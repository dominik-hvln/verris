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" sheetId="1" state="visible" r:id="rId3"/>
    <sheet name="Zalozenia" sheetId="2" state="visible" r:id="rId4"/>
    <sheet name="Licencje" sheetId="3" state="visible" r:id="rId5"/>
    <sheet name="Wezel" sheetId="4" state="visible" r:id="rId6"/>
    <sheet name="Gestosc" sheetId="5" state="visible" r:id="rId7"/>
    <sheet name="Marza" sheetId="6" state="visible" r:id="rId8"/>
    <sheet name="Wrazliwosc" sheetId="7" state="visible" r:id="rId9"/>
    <sheet name="Zrodl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<sst xmlns="http://schemas.openxmlformats.org/spreadsheetml/2006/main" count="499" uniqueCount="371">
  <si>
    <t xml:space="preserve">PB-01 — unit economics węzła vs cena 45 zł/mies. brutto</t>
  </si>
  <si>
    <t xml:space="preserve">Verris · dokument roboczy do decyzji cenowej · stan na 2026-08-22</t>
  </si>
  <si>
    <t xml:space="preserve">Po co ten arkusz</t>
  </si>
  <si>
    <t xml:space="preserve">Policzyć, ile realnie kosztuje jeden węzeł hostingowy w skali miesiąca, ile kont się na nim mieści</t>
  </si>
  <si>
    <t xml:space="preserve">i przy jakiej liczbie kont pakiet za 45 zł brutto przestaje przynosić stratę.</t>
  </si>
  <si>
    <t xml:space="preserve">Arkusz nie ma udowodnić, że cena jest dobra. Ma pokazać, przy jakich założeniach jest, a przy jakich nie.</t>
  </si>
  <si>
    <t xml:space="preserve">Jak czytać kolory</t>
  </si>
  <si>
    <t xml:space="preserve">niebieski</t>
  </si>
  <si>
    <t xml:space="preserve">dane wejściowe — to są komórki do zmiany</t>
  </si>
  <si>
    <t xml:space="preserve">czarny</t>
  </si>
  <si>
    <t xml:space="preserve">wyliczenie w tej zakładce</t>
  </si>
  <si>
    <t xml:space="preserve">zielony</t>
  </si>
  <si>
    <t xml:space="preserve">odwołanie do innej zakładki</t>
  </si>
  <si>
    <t xml:space="preserve">żółte tło</t>
  </si>
  <si>
    <t xml:space="preserve">założenie bez twardego źródła — do zweryfikowania pomiarem</t>
  </si>
  <si>
    <t xml:space="preserve">czerwony</t>
  </si>
  <si>
    <t xml:space="preserve">wynik, który blokuje decyzję</t>
  </si>
  <si>
    <t xml:space="preserve">Kolejność zakładek</t>
  </si>
  <si>
    <t xml:space="preserve">Zalozenia</t>
  </si>
  <si>
    <t xml:space="preserve">wszystkie liczby wejściowe w jednym miejscu, z oznaczeniem źródła</t>
  </si>
  <si>
    <t xml:space="preserve">Licencje</t>
  </si>
  <si>
    <t xml:space="preserve">cenniki CloudLinux / Imunify360 / LiteSpeed / DirectAdmin / JetBackup</t>
  </si>
  <si>
    <t xml:space="preserve">Wezel</t>
  </si>
  <si>
    <t xml:space="preserve">trzy warianty sprzętu i pełny koszt miesięczny każdego</t>
  </si>
  <si>
    <t xml:space="preserve">Gestosc</t>
  </si>
  <si>
    <t xml:space="preserve">ile kont wchodzi na węzeł — wg kodu dzisiaj i wg trzech scenariuszy</t>
  </si>
  <si>
    <t xml:space="preserve">Marza</t>
  </si>
  <si>
    <t xml:space="preserve">rachunek wyniku na węzeł, marża jednostkowa i próg rentowności</t>
  </si>
  <si>
    <t xml:space="preserve">Wrazliwosc</t>
  </si>
  <si>
    <t xml:space="preserve">co się dzieje z wynikiem przy innym overcommicie i innej cenie</t>
  </si>
  <si>
    <t xml:space="preserve">Zrodla</t>
  </si>
  <si>
    <t xml:space="preserve">każda liczba z linkiem i datą sprawdzenia</t>
  </si>
  <si>
    <t xml:space="preserve">Uwaga metodologiczna</t>
  </si>
  <si>
    <t xml:space="preserve">Ceny licencji i sprzętu są sprawdzone 2026-08-22 i mają źródło w zakładce Zrodla.</t>
  </si>
  <si>
    <t xml:space="preserve">Realne zużycie zasobów przez konto (RAM, CPU, dysk) NIE jest zmierzone — to założenie.</t>
  </si>
  <si>
    <t xml:space="preserve">Cały wynik modelu wisi na tym jednym założeniu. Pomiar na węźle #1 (PB-02) jest warunkiem,</t>
  </si>
  <si>
    <t xml:space="preserve">żeby ten arkusz przestał być szacunkiem, a stał się rachunkiem.</t>
  </si>
  <si>
    <t xml:space="preserve">Założenia i dane wejściowe</t>
  </si>
  <si>
    <t xml:space="preserve">Niebieskie = zmieniaj tutaj. Żółte tło = brak twardego źródła.</t>
  </si>
  <si>
    <t xml:space="preserve">Kursy i podatki</t>
  </si>
  <si>
    <t xml:space="preserve">Pozycja</t>
  </si>
  <si>
    <t xml:space="preserve">Wartość</t>
  </si>
  <si>
    <t xml:space="preserve">Jednostka</t>
  </si>
  <si>
    <t xml:space="preserve">Źródło / uwaga</t>
  </si>
  <si>
    <t xml:space="preserve">Kurs USD/PLN</t>
  </si>
  <si>
    <t xml:space="preserve">PLN/USD</t>
  </si>
  <si>
    <t xml:space="preserve">NBP tabela A, 2026-08-22</t>
  </si>
  <si>
    <t xml:space="preserve">Kurs EUR/PLN</t>
  </si>
  <si>
    <t xml:space="preserve">PLN/EUR</t>
  </si>
  <si>
    <t xml:space="preserve">Stawka VAT</t>
  </si>
  <si>
    <t xml:space="preserve">%</t>
  </si>
  <si>
    <t xml:space="preserve">Ustawa o VAT, stawka podstawowa</t>
  </si>
  <si>
    <t xml:space="preserve">Cena i przychód</t>
  </si>
  <si>
    <t xml:space="preserve">Cena pakietu — miesięcznie brutto</t>
  </si>
  <si>
    <t xml:space="preserve">PLN</t>
  </si>
  <si>
    <t xml:space="preserve">apps/www/.../Pricing.tsx:120</t>
  </si>
  <si>
    <t xml:space="preserve">Cena pakietu — rocznie brutto</t>
  </si>
  <si>
    <t xml:space="preserve">Udział abonamentów rocznych</t>
  </si>
  <si>
    <t xml:space="preserve">ZAŁOŻENIE — brak danych sprzedażowych</t>
  </si>
  <si>
    <t xml:space="preserve">Prowizja operatora płatności</t>
  </si>
  <si>
    <t xml:space="preserve">ZAŁOŻENIE — do potwierdzenia w umowie z operatorem</t>
  </si>
  <si>
    <t xml:space="preserve">Cena miesięczna netto</t>
  </si>
  <si>
    <t xml:space="preserve">45,00 / 1,23</t>
  </si>
  <si>
    <t xml:space="preserve">Cena roczna netto — na miesiąc</t>
  </si>
  <si>
    <t xml:space="preserve">399,00 / 1,23 / 12 — rok jest o 26% tańszy miesięcznie</t>
  </si>
  <si>
    <t xml:space="preserve">ARPU netto na konto / mies.</t>
  </si>
  <si>
    <t xml:space="preserve">mix miesięcznych i rocznych</t>
  </si>
  <si>
    <t xml:space="preserve">Przychód netto po prowizji / konto / mies.</t>
  </si>
  <si>
    <t xml:space="preserve">to jest liczba, która realnie wpływa</t>
  </si>
  <si>
    <t xml:space="preserve">Pakiet sprzedawany klientowi (baza w cenie)</t>
  </si>
  <si>
    <t xml:space="preserve">Baza RAM na konto</t>
  </si>
  <si>
    <t xml:space="preserve">GB</t>
  </si>
  <si>
    <t xml:space="preserve">hosting/page.tsx:77 — „Baza w cenie: 50 GB NVMe, 8 GB RAM, 2 vCPU”</t>
  </si>
  <si>
    <t xml:space="preserve">Baza CPU na konto</t>
  </si>
  <si>
    <t xml:space="preserve">vCPU</t>
  </si>
  <si>
    <t xml:space="preserve">hosting/page.tsx:77 — w LVE to SPEED=200%</t>
  </si>
  <si>
    <t xml:space="preserve">Baza dysku na konto</t>
  </si>
  <si>
    <t xml:space="preserve">hosting/page.tsx:77</t>
  </si>
  <si>
    <t xml:space="preserve">Realne zużycie na konto — ZAŁOŻENIE, nie pomiar</t>
  </si>
  <si>
    <t xml:space="preserve">To jest najsłabsze ogniwo całego modelu. Do zmierzenia na węźle #1 (PB-02).</t>
  </si>
  <si>
    <t xml:space="preserve">Podstawa</t>
  </si>
  <si>
    <t xml:space="preserve">Realne zużycie RAM / konto</t>
  </si>
  <si>
    <t xml:space="preserve">ZAŁOŻENIE: typowy WordPress w stanie ustalonym 250–600 MB RSS</t>
  </si>
  <si>
    <t xml:space="preserve">Realne zużycie CPU / konto</t>
  </si>
  <si>
    <t xml:space="preserve">ZAŁOŻENIE: 3–8% rdzenia poza szczytem</t>
  </si>
  <si>
    <t xml:space="preserve">Realne zajęcie dysku / konto</t>
  </si>
  <si>
    <t xml:space="preserve">ZAŁOŻENIE: strona firmowa + poczta + kopie lokalne</t>
  </si>
  <si>
    <t xml:space="preserve">Polityka pojemności</t>
  </si>
  <si>
    <t xml:space="preserve">Rezerwa headroom na węźle</t>
  </si>
  <si>
    <t xml:space="preserve">Docelowa polityka. UWAGA: w kodzie reservedHeadroomPercent ma default 0 (schema.prisma:474)</t>
  </si>
  <si>
    <t xml:space="preserve">Mnożnik kopii zapasowej</t>
  </si>
  <si>
    <t xml:space="preserve">×</t>
  </si>
  <si>
    <t xml:space="preserve">ZAŁOŻENIE: retencja daje ok. 2× wolumen danych</t>
  </si>
  <si>
    <t xml:space="preserve">Liczba węzłów we flocie</t>
  </si>
  <si>
    <t xml:space="preserve">szt.</t>
  </si>
  <si>
    <t xml:space="preserve">Stan na dziś: 1 (Node-PL-01). Zmienia amortyzację control-plane.</t>
  </si>
  <si>
    <t xml:space="preserve">Koszty poza węzłem</t>
  </si>
  <si>
    <t xml:space="preserve">Control-plane: panel + monitoring + poczta / mies.</t>
  </si>
  <si>
    <t xml:space="preserve">ZAŁOŻENIE: serwer panelu + Grafana + SMTP. Dzielone przez liczbę węzłów.</t>
  </si>
  <si>
    <t xml:space="preserve">Wsparcie: minut na konto / mies.</t>
  </si>
  <si>
    <t xml:space="preserve">min</t>
  </si>
  <si>
    <t xml:space="preserve">ZAŁOŻENIE stanu ustalonego. Pierwszy miesiąc klienta jest dużo droższy.</t>
  </si>
  <si>
    <t xml:space="preserve">Stawka godzinowa wsparcia</t>
  </si>
  <si>
    <t xml:space="preserve">PLN/h</t>
  </si>
  <si>
    <t xml:space="preserve">ZAŁOŻENIE: koszt alternatywny czasu założyciela</t>
  </si>
  <si>
    <t xml:space="preserve">Koszt kopii off-site za 1 TB / mies.</t>
  </si>
  <si>
    <t xml:space="preserve">Hetzner Storage Box ok. 3,20 EUR/TB × 4,3122</t>
  </si>
  <si>
    <t xml:space="preserve">Koszt wsparcia na konto / mies.</t>
  </si>
  <si>
    <t xml:space="preserve">minuty / 60 × stawka</t>
  </si>
  <si>
    <t xml:space="preserve">Licencje — cennik i wybór</t>
  </si>
  <si>
    <t xml:space="preserve">Ceny za serwer za miesiąc. Sprawdzone 2026-08-22. Przeliczenie po kursie z zakładki Zalozenia.</t>
  </si>
  <si>
    <t xml:space="preserve">Produkt</t>
  </si>
  <si>
    <t xml:space="preserve">Wariant</t>
  </si>
  <si>
    <t xml:space="preserve">USD/mies.</t>
  </si>
  <si>
    <t xml:space="preserve">PLN/mies.</t>
  </si>
  <si>
    <t xml:space="preserve">Wybrany</t>
  </si>
  <si>
    <t xml:space="preserve">Uwaga</t>
  </si>
  <si>
    <t xml:space="preserve">CloudLinux OS</t>
  </si>
  <si>
    <t xml:space="preserve">1 konto (dawniej Solo)</t>
  </si>
  <si>
    <t xml:space="preserve">Limit 1 konta hostingowego — nie nadaje się do shared.</t>
  </si>
  <si>
    <t xml:space="preserve">5 kont (dawniej Admin)</t>
  </si>
  <si>
    <t xml:space="preserve">Limit 5 kont — nie nadaje się do shared.</t>
  </si>
  <si>
    <t xml:space="preserve">bez limitu kont (dawniej Shared Pro)</t>
  </si>
  <si>
    <t xml:space="preserve">Jedyny wariant sensowny dla shared. Rabat wolumenowy: 16 USD od 2 serwerów, 14 USD od 5.</t>
  </si>
  <si>
    <t xml:space="preserve">Imunify360</t>
  </si>
  <si>
    <t xml:space="preserve">1 konto</t>
  </si>
  <si>
    <t xml:space="preserve">—</t>
  </si>
  <si>
    <t xml:space="preserve">do 30 kont</t>
  </si>
  <si>
    <t xml:space="preserve">Wystarczy tylko przy bardzo małej gęstości.</t>
  </si>
  <si>
    <t xml:space="preserve">do 250 kont</t>
  </si>
  <si>
    <t xml:space="preserve">Wariant zakładany w modelu.</t>
  </si>
  <si>
    <t xml:space="preserve">bez limitu</t>
  </si>
  <si>
    <t xml:space="preserve">LiteSpeed Web Server</t>
  </si>
  <si>
    <t xml:space="preserve">Web Host Essential</t>
  </si>
  <si>
    <t xml:space="preserve">Dokumentacja LiteSpeed: RAM bez limitu, ale 1 proces roboczy. Na 8 rdzeniach do przyjęcia.</t>
  </si>
  <si>
    <t xml:space="preserve">Web Host Professional</t>
  </si>
  <si>
    <t xml:space="preserve">2 procesy robocze. Wariant zakładany dla węzła 16-rdzeniowego.</t>
  </si>
  <si>
    <t xml:space="preserve">Web Host Enterprise</t>
  </si>
  <si>
    <t xml:space="preserve">4 procesy robocze.</t>
  </si>
  <si>
    <t xml:space="preserve">Web Host Elite</t>
  </si>
  <si>
    <t xml:space="preserve">Procesy konfigurowalne + auto-firewall.</t>
  </si>
  <si>
    <t xml:space="preserve">DirectAdmin</t>
  </si>
  <si>
    <t xml:space="preserve">Standard (bez limitu kont)</t>
  </si>
  <si>
    <t xml:space="preserve">Rabat wolumenowy: −15% od 4 licencji, do −40% od 35.</t>
  </si>
  <si>
    <t xml:space="preserve">JetBackup</t>
  </si>
  <si>
    <t xml:space="preserve">za serwer, bez limitu kont</t>
  </si>
  <si>
    <t xml:space="preserve">Alternatywa: skrypty własne — wtedy 0 zł, ale H-20 traci wsparcie producenta.</t>
  </si>
  <si>
    <t xml:space="preserve">Suma wybranych licencji (kolumna „Wybrany” = 1)</t>
  </si>
  <si>
    <t xml:space="preserve">Suma dla węzła mniejszego (LSWS Essential zamiast Professional)</t>
  </si>
  <si>
    <t xml:space="preserve">Wniosek</t>
  </si>
  <si>
    <t xml:space="preserve">Licencje kosztują więcej niż tani serwer. Przy węźle za 277 zł netto same licencje to ok. 468 zł —</t>
  </si>
  <si>
    <t xml:space="preserve">1,7× koszt sprzętu. Oznacza to, że strategia „dużo małych tanich węzłów” jest w tym modelu</t>
  </si>
  <si>
    <t xml:space="preserve">najgorsza z możliwych: licencja jest naliczana od serwera, nie od konta.</t>
  </si>
  <si>
    <t xml:space="preserve">Kierunek odwrotny — mniej, ale większych węzłów — obniża koszt na konto szybciej niż wybór tańszego sprzętu.</t>
  </si>
  <si>
    <t xml:space="preserve">Koszt węzła — warianty sprzętu</t>
  </si>
  <si>
    <t xml:space="preserve">Trzy realne warianty. Ceny netto, sprawdzone 2026-08-22 — przed zamówieniem potwierdzić w konfiguratorze.</t>
  </si>
  <si>
    <t xml:space="preserve">A — OVH Rise-S</t>
  </si>
  <si>
    <t xml:space="preserve">B — Hetzner AX102</t>
  </si>
  <si>
    <t xml:space="preserve">C — OVH Advance-2 (WAW1)</t>
  </si>
  <si>
    <t xml:space="preserve">Lokalizacja</t>
  </si>
  <si>
    <t xml:space="preserve">Francja (GRA/RBX)</t>
  </si>
  <si>
    <t xml:space="preserve">Niemcy / Finlandia</t>
  </si>
  <si>
    <t xml:space="preserve">Polska — Warszawa</t>
  </si>
  <si>
    <t xml:space="preserve">Tylko wariant C jest w PL. Ma znaczenie dla RODO i dla marketingu.</t>
  </si>
  <si>
    <t xml:space="preserve">Rdzenie fizyczne</t>
  </si>
  <si>
    <t xml:space="preserve">AX102 = Ryzen 9 7950X3D, 16 rdzeni / 32 wątki.</t>
  </si>
  <si>
    <t xml:space="preserve">Wątki</t>
  </si>
  <si>
    <t xml:space="preserve">Kod liczy pojemność CPU jako totalCpuCores × 100 (LVE SPEED %).</t>
  </si>
  <si>
    <t xml:space="preserve">RAM (GB)</t>
  </si>
  <si>
    <t xml:space="preserve">AX102 ma 128 GB DDR5 ECC.</t>
  </si>
  <si>
    <t xml:space="preserve">Dysk użyteczny po RAID1 (GB)</t>
  </si>
  <si>
    <t xml:space="preserve">2×960 GB lub 2×1,92 TB w RAID1. Wariant C: dysk 1,92 TB jest płatną opcją.</t>
  </si>
  <si>
    <t xml:space="preserve">Koszty miesięczne netto</t>
  </si>
  <si>
    <t xml:space="preserve">Sprzęt</t>
  </si>
  <si>
    <t xml:space="preserve">Hetzner: 157,30 EUR + 1,70 EUR za IPv4. OVH w PLN netto.</t>
  </si>
  <si>
    <t xml:space="preserve">Wariant A z LSWS Essential (8 rdzeni), B i C z Professional.</t>
  </si>
  <si>
    <t xml:space="preserve">Kopia off-site</t>
  </si>
  <si>
    <t xml:space="preserve">Liczone od pełnej pojemności dysku × mnożnik retencji — konserwatywnie.</t>
  </si>
  <si>
    <t xml:space="preserve">Control-plane (amortyzacja)</t>
  </si>
  <si>
    <t xml:space="preserve">Dzielone przez liczbę węzłów. Przy 1 węźle cały koszt siedzi na nim.</t>
  </si>
  <si>
    <t xml:space="preserve">RAZEM koszt węzła / mies.</t>
  </si>
  <si>
    <t xml:space="preserve">To jest liczba, którą trzeba pokryć przychodem z kont na tym węźle.</t>
  </si>
  <si>
    <t xml:space="preserve">w tym koszt stały niezależny od liczby kont</t>
  </si>
  <si>
    <t xml:space="preserve">Cały koszt węzła jest stały — dołożenie konta nie kosztuje nic po stronie infrastruktury.</t>
  </si>
  <si>
    <t xml:space="preserve">Porównanie wariantów przy overcommicie 4×/4×/2× i bazie z oferty</t>
  </si>
  <si>
    <t xml:space="preserve">Kont na węźle</t>
  </si>
  <si>
    <t xml:space="preserve">Ten sam overcommit dla wszystkich — różnicę robi sam sprzęt.</t>
  </si>
  <si>
    <t xml:space="preserve">Zasób ograniczający</t>
  </si>
  <si>
    <t xml:space="preserve">Gdzie dysk jest wąskim gardłem, większy procesor nie pomoże.</t>
  </si>
  <si>
    <t xml:space="preserve">Cena progowa brutto / mies. (wynik = 0)</t>
  </si>
  <si>
    <t xml:space="preserve">Poniżej 45 zł = wariant się broni. Powyżej = przy tej cenie węzeł dokłada do interesu.</t>
  </si>
  <si>
    <t xml:space="preserve">Różnica wobec ceny 45 zł</t>
  </si>
  <si>
    <t xml:space="preserve">To jest zapas na konto. Ujemny = wariant wyklucza obecną cenę.</t>
  </si>
  <si>
    <t xml:space="preserve">Wariant przyjęty do dalszych obliczeń</t>
  </si>
  <si>
    <t xml:space="preserve">Wariant (B/C/D — litera kolumny)</t>
  </si>
  <si>
    <t xml:space="preserve">C</t>
  </si>
  <si>
    <t xml:space="preserve">B = OVH Rise-S, C = Hetzner AX102, D = OVH Advance-2</t>
  </si>
  <si>
    <t xml:space="preserve">Koszt wybranego węzła / mies.</t>
  </si>
  <si>
    <t xml:space="preserve">Wątki — wybrany węzeł</t>
  </si>
  <si>
    <t xml:space="preserve">RAM (GB) — wybrany węzeł</t>
  </si>
  <si>
    <t xml:space="preserve">Dysk (GB) — wybrany węzeł</t>
  </si>
  <si>
    <t xml:space="preserve">Ile kont mieści się na węźle</t>
  </si>
  <si>
    <t xml:space="preserve">Cztery scenariusze. Pierwszy to nie prognoza — to zachowanie kodu, który jest na produkcji dzisiaj.</t>
  </si>
  <si>
    <t xml:space="preserve">Jak kod dzisiaj przydziela konta</t>
  </si>
  <si>
    <t xml:space="preserve">kolumny pomocnicze →</t>
  </si>
  <si>
    <t xml:space="preserve">ProvisioningService (apps/api/src/subscriptions/provisioning.service.ts:299–301) po każdym założeniu konta</t>
  </si>
  <si>
    <t xml:space="preserve">zwiększa allocatedCpu / allocatedMemory / allocatedDisk o PEŁNE limity planu — nie o realne zużycie.</t>
  </si>
  <si>
    <t xml:space="preserve">NodeSelectorService (node-selector.service.ts:109–115) wpuszcza konto tylko, gdy wolne = total − allocated</t>
  </si>
  <si>
    <t xml:space="preserve">jest większe niż limit planu powiększony o rezerwę headroom.</t>
  </si>
  <si>
    <t xml:space="preserve">To znaczy: 8 GB bazy w ofercie = 8 GB zarezerwowane w księgowości węzła. Bez nadsubskrypcji.</t>
  </si>
  <si>
    <t xml:space="preserve">Scenariusz</t>
  </si>
  <si>
    <t xml:space="preserve">Overcommit RAM</t>
  </si>
  <si>
    <t xml:space="preserve">Overcommit CPU</t>
  </si>
  <si>
    <t xml:space="preserve">Overcommit dysku</t>
  </si>
  <si>
    <t xml:space="preserve">Kont na węzeł</t>
  </si>
  <si>
    <t xml:space="preserve">Co to znaczy</t>
  </si>
  <si>
    <t xml:space="preserve">Headroom</t>
  </si>
  <si>
    <t xml:space="preserve">Baza RAM</t>
  </si>
  <si>
    <t xml:space="preserve">Baza CPU</t>
  </si>
  <si>
    <t xml:space="preserve">Baza dysk</t>
  </si>
  <si>
    <t xml:space="preserve">S0 — kod dzisiaj, headroom 0%</t>
  </si>
  <si>
    <t xml:space="preserve">Stan faktyczny na produkcji. reservedHeadroomPercent ma default 0.</t>
  </si>
  <si>
    <t xml:space="preserve">S1 — kod dzisiaj + polityka headroom 20%</t>
  </si>
  <si>
    <t xml:space="preserve">Docelowa polityka pojemności z FLEET_SCALING.md, gdyby ją włączyć.</t>
  </si>
  <si>
    <t xml:space="preserve">S2 — overcommit branżowy</t>
  </si>
  <si>
    <t xml:space="preserve">RAM i CPU to limity burst, nie rezerwacje — nadsubskrypcja jest normą. Dysk ostrożniej.</t>
  </si>
  <si>
    <t xml:space="preserve">S3 — overcommit + urealniona baza</t>
  </si>
  <si>
    <t xml:space="preserve">Jak S2, ale baza pakietu zmniejszona (patrz komórki poniżej).</t>
  </si>
  <si>
    <t xml:space="preserve">Uwaga po wdrożeniu Z-12 (2026-08-22)</t>
  </si>
  <si>
    <t xml:space="preserve">Ten arkusz liczy headroom tak, jak robił to kod PRZED poprawką: odejmuje rezerwę od pojemności</t>
  </si>
  <si>
    <t xml:space="preserve">porównywanej z sumą limitów planów. Wdrożona wersja robi inaczej — headroom chroni REALNE zużycie,</t>
  </si>
  <si>
    <t xml:space="preserve">a nie księgę handlową, bo „rezerwa pod burst” zabezpiecza przed zdarzeniem fizycznym.</t>
  </si>
  <si>
    <t xml:space="preserve">Praktyczna różnica: w scenariuszu S2 arkusz podaje 51 kont, a kod wpuszcza 64. Model jest więc</t>
  </si>
  <si>
    <t xml:space="preserve">zachowawczy wobec implementacji, nie z nią sprzeczny — decyzja cenowa oparta na 51 kontach</t>
  </si>
  <si>
    <t xml:space="preserve">obowiązuje tym bardziej. Arkusz zostaje przy wersji ostrożniejszej celowo.</t>
  </si>
  <si>
    <t xml:space="preserve">Który zasób ogranicza (wybrany węzeł, scenariusz S2)</t>
  </si>
  <si>
    <t xml:space="preserve">Zasób</t>
  </si>
  <si>
    <t xml:space="preserve">Pojemność węzła</t>
  </si>
  <si>
    <t xml:space="preserve">Na konto</t>
  </si>
  <si>
    <t xml:space="preserve">Kont zmieści</t>
  </si>
  <si>
    <t xml:space="preserve">LVE MemoryMax to twardy sufit, nie rezerwacja — nadsubskrypcja jest bezpieczna do progu realnego zużycia.</t>
  </si>
  <si>
    <t xml:space="preserve">CPU (wątki)</t>
  </si>
  <si>
    <t xml:space="preserve">LVE SPEED ogranicza szczyt. Nadsubskrypcja standardowa.</t>
  </si>
  <si>
    <t xml:space="preserve">Dysk (GB)</t>
  </si>
  <si>
    <t xml:space="preserve">TU JEST PROBLEM: quota dyskowa to realna alokacja, klient może ją wypełnić w 100%.</t>
  </si>
  <si>
    <t xml:space="preserve">Sprawdzenie realnego zużycia wobec pojemności (scenariusz S2)</t>
  </si>
  <si>
    <t xml:space="preserve">Kont × realne zużycie</t>
  </si>
  <si>
    <t xml:space="preserve">Wykorzystanie</t>
  </si>
  <si>
    <t xml:space="preserve">Werdykt</t>
  </si>
  <si>
    <t xml:space="preserve">Ten blok jest testem spójności: jeśli overcommit ze scenariusza daje realne zużycie powyżej</t>
  </si>
  <si>
    <t xml:space="preserve">pojemności węzła, to scenariusz jest fantazją, a nie planem.</t>
  </si>
  <si>
    <t xml:space="preserve">Rachunek wyniku na węzeł i próg rentowności</t>
  </si>
  <si>
    <t xml:space="preserve">Kolumny odpowiadają scenariuszom z zakładki Gestosc.</t>
  </si>
  <si>
    <t xml:space="preserve">S0 — kod dzisiaj</t>
  </si>
  <si>
    <t xml:space="preserve">S1 — headroom 20%</t>
  </si>
  <si>
    <t xml:space="preserve">S2 — overcommit</t>
  </si>
  <si>
    <t xml:space="preserve">S3 — urealniona baza</t>
  </si>
  <si>
    <t xml:space="preserve">z zakładki Gestosc</t>
  </si>
  <si>
    <t xml:space="preserve">Przychód netto po prowizji / mies.</t>
  </si>
  <si>
    <t xml:space="preserve">kont × ARPU netto po prowizji operatora</t>
  </si>
  <si>
    <t xml:space="preserve">Koszt węzła (sprzęt + licencje + backup + control-plane)</t>
  </si>
  <si>
    <t xml:space="preserve">koszt stały — nie zależy od liczby kont</t>
  </si>
  <si>
    <t xml:space="preserve">Koszt wsparcia</t>
  </si>
  <si>
    <t xml:space="preserve">jedyny koszt rosnący z liczbą kont</t>
  </si>
  <si>
    <t xml:space="preserve">WYNIK na węźle / mies.</t>
  </si>
  <si>
    <t xml:space="preserve">poniżej zera = każdy miesiąc działania węzła kosztuje</t>
  </si>
  <si>
    <t xml:space="preserve">Wynik na konto / mies.</t>
  </si>
  <si>
    <t xml:space="preserve">marża jednostkowa</t>
  </si>
  <si>
    <t xml:space="preserve">Marża jako % przychodu</t>
  </si>
  <si>
    <t xml:space="preserve">Próg rentowności</t>
  </si>
  <si>
    <t xml:space="preserve">Marża pokrycia na konto (przychód − wsparcie)</t>
  </si>
  <si>
    <t xml:space="preserve">ile jedno konto dokłada do pokrycia kosztu stałego węzła</t>
  </si>
  <si>
    <t xml:space="preserve">Próg rentowności — kont na węzeł</t>
  </si>
  <si>
    <t xml:space="preserve">koszt stały węzła / marża pokrycia</t>
  </si>
  <si>
    <t xml:space="preserve">Ile razy trzeba nadsubskrybować RAM, żeby tyle kont weszło</t>
  </si>
  <si>
    <t xml:space="preserve">przy bazie 8 GB w ofercie</t>
  </si>
  <si>
    <t xml:space="preserve">Ile razy trzeba nadsubskrybować dysk</t>
  </si>
  <si>
    <t xml:space="preserve">przy bazie 50 GB. Powyżej 1,0× oznacza, że sprzedajesz więcej dysku niż masz.</t>
  </si>
  <si>
    <t xml:space="preserve">Realne zajęcie dysku przy progu rentowności</t>
  </si>
  <si>
    <t xml:space="preserve">przy założonym realnym zajęciu — pokazuje, czy nadsubskrypcja dysku jest do obrony</t>
  </si>
  <si>
    <t xml:space="preserve">Cena, przy której S1 (kod dzisiaj + headroom) wychodzi na zero</t>
  </si>
  <si>
    <t xml:space="preserve">Wymagana cena brutto / mies.</t>
  </si>
  <si>
    <t xml:space="preserve">gdyby nie zmieniać nic w kodzie ani w ofercie, tylko cenę</t>
  </si>
  <si>
    <t xml:space="preserve">Wymagana cena brutto / mies. — scenariusz S2</t>
  </si>
  <si>
    <t xml:space="preserve">przy overcommicie 4×/4×/2×</t>
  </si>
  <si>
    <t xml:space="preserve">Wrażliwość wyniku</t>
  </si>
  <si>
    <t xml:space="preserve">Wynik miesięczny na węźle. Wiersze: overcommit RAM/CPU. Kolumny: cena brutto.</t>
  </si>
  <si>
    <t xml:space="preserve">Siatka 1 — wynik na węźle w zł/mies.</t>
  </si>
  <si>
    <t xml:space="preserve">Overcommit ↓ / cena brutto →</t>
  </si>
  <si>
    <t xml:space="preserve">Siatka 2 — liczba kont na węźle przy danym overcommicie</t>
  </si>
  <si>
    <t xml:space="preserve">Overcommit</t>
  </si>
  <si>
    <t xml:space="preserve">Realne RAM (GB)</t>
  </si>
  <si>
    <t xml:space="preserve">Realny dysk (GB)</t>
  </si>
  <si>
    <t xml:space="preserve">Wykorzystanie RAM</t>
  </si>
  <si>
    <t xml:space="preserve">Wykorzystanie dysku</t>
  </si>
  <si>
    <t xml:space="preserve">Jak czytać te dwie siatki razem</t>
  </si>
  <si>
    <t xml:space="preserve">Siatka 1 mówi, przy jakiej kombinacji ceny i zagęszczenia węzeł przestaje przynosić stratę.</t>
  </si>
  <si>
    <t xml:space="preserve">Siatka 2 mówi, przy jakim zagęszczeniu realne zużycie przestaje się mieścić w sprzęcie.</t>
  </si>
  <si>
    <t xml:space="preserve">Decyzja leży w części wspólnej: pole zielone w siatce 1, które w siatce 2 nie jest „za agresywnie”.</t>
  </si>
  <si>
    <t xml:space="preserve">Źródła liczb</t>
  </si>
  <si>
    <t xml:space="preserve">Każda liczba w modelu ma tu wiersz. Bez wiersza tutaj liczba nie ma prawa być w modelu.</t>
  </si>
  <si>
    <t xml:space="preserve">Sprawdzone</t>
  </si>
  <si>
    <t xml:space="preserve">Typ</t>
  </si>
  <si>
    <t xml:space="preserve">Źródło</t>
  </si>
  <si>
    <t xml:space="preserve">3,6839</t>
  </si>
  <si>
    <t xml:space="preserve">2026-08-22</t>
  </si>
  <si>
    <t xml:space="preserve">źródło</t>
  </si>
  <si>
    <t xml:space="preserve">NBP, tabela kursów średnich A</t>
  </si>
  <si>
    <t xml:space="preserve">4,3122</t>
  </si>
  <si>
    <t xml:space="preserve">CloudLinux — bez limitu kont</t>
  </si>
  <si>
    <t xml:space="preserve">18 USD/serwer/mies.</t>
  </si>
  <si>
    <t xml:space="preserve">https://cloudlinux.com/pricing/ — warianty Solo (1 konto) i Admin (5 kont) są dla shared bezużyteczne</t>
  </si>
  <si>
    <t xml:space="preserve">CloudLinux — rabaty wolumenowe</t>
  </si>
  <si>
    <t xml:space="preserve">16 USD od 2 serw., 14 USD od 5</t>
  </si>
  <si>
    <t xml:space="preserve">https://cloudlinux.com/pricing/</t>
  </si>
  <si>
    <t xml:space="preserve">12 / 25 / 35 / 45 USD</t>
  </si>
  <si>
    <t xml:space="preserve">cennik Imunify360 wg liczby kont: 1 / do 30 / do 250 / bez limitu</t>
  </si>
  <si>
    <t xml:space="preserve">LiteSpeed — limity licencji</t>
  </si>
  <si>
    <t xml:space="preserve">Essential 1 worker, Pro 2, Ent 4</t>
  </si>
  <si>
    <t xml:space="preserve">https://docs.litespeedtech.com/licenses/products/lsws/ — dokumentacja producenta mówi o limicie procesów, nie RAM</t>
  </si>
  <si>
    <t xml:space="preserve">LiteSpeed — ceny</t>
  </si>
  <si>
    <t xml:space="preserve">36 / 46 / 65 / 92 USD</t>
  </si>
  <si>
    <t xml:space="preserve">cennik LSWS Web Host; strona cennikowa jest za weryfikacją bota, cena z research</t>
  </si>
  <si>
    <t xml:space="preserve">DirectAdmin Standard</t>
  </si>
  <si>
    <t xml:space="preserve">29 USD/serwer/mies.</t>
  </si>
  <si>
    <t xml:space="preserve">cennik DirectAdmin, licencja bez limitu kont; rabaty −15% od 4 licencji, do −40% od 35</t>
  </si>
  <si>
    <t xml:space="preserve">8,95 USD/serwer/mies.</t>
  </si>
  <si>
    <t xml:space="preserve">cennik JetBackup, licencja per serwer</t>
  </si>
  <si>
    <t xml:space="preserve">Hetzner AX102</t>
  </si>
  <si>
    <t xml:space="preserve">157,30 EUR + 1,70 EUR IPv4</t>
  </si>
  <si>
    <t xml:space="preserve">https://www.hetzner.com/dedicated-rootserver/ax102/ — po podwyżce z 15.06.2026</t>
  </si>
  <si>
    <t xml:space="preserve">Hetzner AX102 — specyfikacja</t>
  </si>
  <si>
    <t xml:space="preserve">16c/32t, 128 GB DDR5 ECC, 2×1,92 TB NVMe</t>
  </si>
  <si>
    <t xml:space="preserve">https://www.hetzner.com/dedicated-rootserver/ax102/ — lokalizacje FSN1, HEL1 (brak PL)</t>
  </si>
  <si>
    <t xml:space="preserve">OVH Rise-S</t>
  </si>
  <si>
    <t xml:space="preserve">277 PLN netto/mies.</t>
  </si>
  <si>
    <t xml:space="preserve">https://eco.ovhcloud.com/pl/rise/ — Ryzen 7, 8 rdzeni, 64 GB</t>
  </si>
  <si>
    <t xml:space="preserve">OVH Advance-2</t>
  </si>
  <si>
    <t xml:space="preserve">od 661 PLN netto/mies.</t>
  </si>
  <si>
    <t xml:space="preserve">https://www.ovhcloud.com/pl/bare-metal/advance/ — jedyna linia dostępna w WAW1</t>
  </si>
  <si>
    <t xml:space="preserve">Hetzner Storage Box</t>
  </si>
  <si>
    <t xml:space="preserve">ok. 3,20 EUR/TB/mies.</t>
  </si>
  <si>
    <t xml:space="preserve">cennik Storage Box; ruch wychodzący bez limitu i bez opłat</t>
  </si>
  <si>
    <t xml:space="preserve">Cena pakietu 45 zł / 399 zł</t>
  </si>
  <si>
    <t xml:space="preserve">45,00 / 399,00 brutto</t>
  </si>
  <si>
    <t xml:space="preserve">kod</t>
  </si>
  <si>
    <t xml:space="preserve">apps/www/src/app/(frontend)/components/Pricing.tsx:120</t>
  </si>
  <si>
    <t xml:space="preserve">Baza 50 GB / 8 GB / 2 vCPU</t>
  </si>
  <si>
    <t xml:space="preserve">apps/www/src/app/(frontend)/hosting/page.tsx:77</t>
  </si>
  <si>
    <t xml:space="preserve">Placement rezerwuje limity planu</t>
  </si>
  <si>
    <t xml:space="preserve">apps/api/src/subscriptions/provisioning.service.ts:299–301 oraz node-selector.service.ts:109–115</t>
  </si>
  <si>
    <t xml:space="preserve">Headroom ma default 0</t>
  </si>
  <si>
    <t xml:space="preserve">libs/database/prisma/schema.prisma:474 — reservedHeadroomPercent Int @default(0)</t>
  </si>
  <si>
    <t xml:space="preserve">Plan 45 zł nie istnieje w bazie</t>
  </si>
  <si>
    <t xml:space="preserve">libs/database/prisma/seed.ts:40–112 — są tylko starter/pro/business (19,99/49,99/99,99)</t>
  </si>
  <si>
    <t xml:space="preserve">Realne zużycie RAM/CPU/dysk na konto</t>
  </si>
  <si>
    <t xml:space="preserve">0,5 GB / 0,08 vCPU / 8 GB</t>
  </si>
  <si>
    <t xml:space="preserve">ZAŁOŻENIE</t>
  </si>
  <si>
    <t xml:space="preserve">Brak pomiaru. Rzędy wielkości branżowe. Do zmierzenia na węźle #1 — PB-02.</t>
  </si>
  <si>
    <t xml:space="preserve">Udział abonamentów rocznych 40%</t>
  </si>
  <si>
    <t xml:space="preserve">40%</t>
  </si>
  <si>
    <t xml:space="preserve">Brak danych sprzedażowych — produkt nie jest sprzedawany.</t>
  </si>
  <si>
    <t xml:space="preserve">Wsparcie 6 min/konto/mies.</t>
  </si>
  <si>
    <t xml:space="preserve">6 min</t>
  </si>
  <si>
    <t xml:space="preserve">Stan ustalony. Pierwszy miesiąc klienta z migracją jest wielokrotnie droższy.</t>
  </si>
  <si>
    <t xml:space="preserve">Control-plane 250 zł/mies.</t>
  </si>
  <si>
    <t xml:space="preserve">250 zł</t>
  </si>
  <si>
    <t xml:space="preserve">Serwer panelu + monitoring + SMTP. Do zastąpienia realnymi fakturami.</t>
  </si>
  <si>
    <t xml:space="preserve">Prowizja operatora 1,9%</t>
  </si>
  <si>
    <t xml:space="preserve">1,9%</t>
  </si>
  <si>
    <t xml:space="preserve">Do potwierdzenia w umowie z operatorem płatności.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</si>
</sst>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00"/>
    <numFmt numFmtId="166" formatCode="0.0%"/>
    <numFmt numFmtId="167" formatCode="#,##0.00&quot; zł&quot;"/>
    <numFmt numFmtId="168" formatCode="#,##0"/>
    <numFmt numFmtId="169" formatCode="#,##0.00"/>
    <numFmt numFmtId="170" formatCode="0.0\×"/>
    <numFmt numFmtId="171" formatCode="#,##0.00&quot; zł&quot;;[RED]\(#,##0.00&quot; zł)&quot;"/>
    <numFmt numFmtId="172" formatCode="#,##0&quot; zł&quot;"/>
    <numFmt numFmtId="173" formatCode="#,##0&quot; zł&quot;;[RED]\(#,##0&quot; zł)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B11" s="5" t="s">
        <v>7</v>
      </c>
      <c r="C11" s="4" t="s">
        <v>8</v>
      </c>
    </row>
    <row r="12" customFormat="false" ht="15" hidden="false" customHeight="false" outlineLevel="0" collapsed="false">
      <c r="B12" s="6" t="s">
        <v>9</v>
      </c>
      <c r="C12" s="4" t="s">
        <v>10</v>
      </c>
    </row>
    <row r="13" customFormat="false" ht="15" hidden="false" customHeight="false" outlineLevel="0" collapsed="false">
      <c r="B13" s="7" t="s">
        <v>11</v>
      </c>
      <c r="C13" s="4" t="s">
        <v>12</v>
      </c>
    </row>
    <row r="14" customFormat="false" ht="15" hidden="false" customHeight="false" outlineLevel="0" collapsed="false">
      <c r="B14" s="8" t="s">
        <v>13</v>
      </c>
      <c r="C14" s="4" t="s">
        <v>14</v>
      </c>
    </row>
    <row r="15" customFormat="false" ht="15" hidden="false" customHeight="false" outlineLevel="0" collapsed="false">
      <c r="B15" s="9" t="s">
        <v>15</v>
      </c>
      <c r="C15" s="4" t="s">
        <v>16</v>
      </c>
    </row>
    <row r="17" customFormat="false" ht="15" hidden="false" customHeight="false" outlineLevel="0" collapsed="false">
      <c r="A17" s="3" t="s">
        <v>17</v>
      </c>
    </row>
    <row r="18" customFormat="false" ht="15" hidden="false" customHeight="false" outlineLevel="0" collapsed="false">
      <c r="B18" s="10" t="s">
        <v>18</v>
      </c>
      <c r="C18" s="4" t="s">
        <v>19</v>
      </c>
    </row>
    <row r="19" customFormat="false" ht="15" hidden="false" customHeight="false" outlineLevel="0" collapsed="false">
      <c r="B19" s="10" t="s">
        <v>20</v>
      </c>
      <c r="C19" s="4" t="s">
        <v>21</v>
      </c>
    </row>
    <row r="20" customFormat="false" ht="15" hidden="false" customHeight="false" outlineLevel="0" collapsed="false">
      <c r="B20" s="10" t="s">
        <v>22</v>
      </c>
      <c r="C20" s="4" t="s">
        <v>23</v>
      </c>
    </row>
    <row r="21" customFormat="false" ht="15" hidden="false" customHeight="false" outlineLevel="0" collapsed="false">
      <c r="B21" s="10" t="s">
        <v>24</v>
      </c>
      <c r="C21" s="4" t="s">
        <v>25</v>
      </c>
    </row>
    <row r="22" customFormat="false" ht="15" hidden="false" customHeight="false" outlineLevel="0" collapsed="false">
      <c r="B22" s="10" t="s">
        <v>26</v>
      </c>
      <c r="C22" s="4" t="s">
        <v>27</v>
      </c>
    </row>
    <row r="23" customFormat="false" ht="15" hidden="false" customHeight="false" outlineLevel="0" collapsed="false">
      <c r="B23" s="10" t="s">
        <v>28</v>
      </c>
      <c r="C23" s="4" t="s">
        <v>29</v>
      </c>
    </row>
    <row r="24" customFormat="false" ht="15" hidden="false" customHeight="false" outlineLevel="0" collapsed="false">
      <c r="B24" s="10" t="s">
        <v>30</v>
      </c>
      <c r="C24" s="4" t="s">
        <v>31</v>
      </c>
    </row>
    <row r="26" customFormat="false" ht="15" hidden="false" customHeight="false" outlineLevel="0" collapsed="false">
      <c r="A26" s="3" t="s">
        <v>32</v>
      </c>
    </row>
    <row r="27" customFormat="false" ht="15" hidden="false" customHeight="false" outlineLevel="0" collapsed="false">
      <c r="B27" s="4" t="s">
        <v>33</v>
      </c>
    </row>
    <row r="28" customFormat="false" ht="15" hidden="false" customHeight="false" outlineLevel="0" collapsed="false">
      <c r="B28" s="4" t="s">
        <v>34</v>
      </c>
    </row>
    <row r="29" customFormat="false" ht="15" hidden="false" customHeight="false" outlineLevel="0" collapsed="false">
      <c r="B29" s="4" t="s">
        <v>35</v>
      </c>
    </row>
    <row r="30" customFormat="false" ht="15" hidden="false" customHeight="false" outlineLevel="0" collapsed="false">
      <c r="B30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3" t="s">
        <v>39</v>
      </c>
    </row>
    <row r="5" customFormat="false" ht="27.75" hidden="false" customHeight="true" outlineLevel="0" collapsed="false">
      <c r="A5" s="11" t="s">
        <v>40</v>
      </c>
      <c r="B5" s="11" t="s">
        <v>41</v>
      </c>
      <c r="C5" s="11" t="s">
        <v>42</v>
      </c>
      <c r="D5" s="11" t="s">
        <v>43</v>
      </c>
    </row>
    <row r="6" customFormat="false" ht="15" hidden="false" customHeight="false" outlineLevel="0" collapsed="false">
      <c r="A6" s="12" t="s">
        <v>44</v>
      </c>
      <c r="B6" s="13" t="n">
        <v>3.6839</v>
      </c>
      <c r="C6" s="12" t="s">
        <v>45</v>
      </c>
      <c r="D6" s="14" t="s">
        <v>46</v>
      </c>
    </row>
    <row r="7" customFormat="false" ht="15" hidden="false" customHeight="false" outlineLevel="0" collapsed="false">
      <c r="A7" s="12" t="s">
        <v>47</v>
      </c>
      <c r="B7" s="13" t="n">
        <v>4.3122</v>
      </c>
      <c r="C7" s="12" t="s">
        <v>48</v>
      </c>
      <c r="D7" s="14" t="s">
        <v>46</v>
      </c>
    </row>
    <row r="8" customFormat="false" ht="15" hidden="false" customHeight="false" outlineLevel="0" collapsed="false">
      <c r="A8" s="12" t="s">
        <v>49</v>
      </c>
      <c r="B8" s="15" t="n">
        <v>0.23</v>
      </c>
      <c r="C8" s="12" t="s">
        <v>50</v>
      </c>
      <c r="D8" s="14" t="s">
        <v>51</v>
      </c>
    </row>
    <row r="10" customFormat="false" ht="15" hidden="false" customHeight="false" outlineLevel="0" collapsed="false">
      <c r="A10" s="3" t="s">
        <v>52</v>
      </c>
    </row>
    <row r="11" customFormat="false" ht="27.75" hidden="false" customHeight="true" outlineLevel="0" collapsed="false">
      <c r="A11" s="11" t="s">
        <v>40</v>
      </c>
      <c r="B11" s="11" t="s">
        <v>41</v>
      </c>
      <c r="C11" s="11" t="s">
        <v>42</v>
      </c>
      <c r="D11" s="11" t="s">
        <v>43</v>
      </c>
    </row>
    <row r="12" customFormat="false" ht="15" hidden="false" customHeight="false" outlineLevel="0" collapsed="false">
      <c r="A12" s="12" t="s">
        <v>53</v>
      </c>
      <c r="B12" s="16" t="n">
        <v>45</v>
      </c>
      <c r="C12" s="12" t="s">
        <v>54</v>
      </c>
      <c r="D12" s="14" t="s">
        <v>55</v>
      </c>
    </row>
    <row r="13" customFormat="false" ht="15" hidden="false" customHeight="false" outlineLevel="0" collapsed="false">
      <c r="A13" s="12" t="s">
        <v>56</v>
      </c>
      <c r="B13" s="16" t="n">
        <v>399</v>
      </c>
      <c r="C13" s="12" t="s">
        <v>54</v>
      </c>
      <c r="D13" s="14" t="s">
        <v>55</v>
      </c>
    </row>
    <row r="14" customFormat="false" ht="15" hidden="false" customHeight="false" outlineLevel="0" collapsed="false">
      <c r="A14" s="12" t="s">
        <v>57</v>
      </c>
      <c r="B14" s="17" t="n">
        <v>0.4</v>
      </c>
      <c r="C14" s="12" t="s">
        <v>50</v>
      </c>
      <c r="D14" s="14" t="s">
        <v>58</v>
      </c>
    </row>
    <row r="15" customFormat="false" ht="15" hidden="false" customHeight="false" outlineLevel="0" collapsed="false">
      <c r="A15" s="12" t="s">
        <v>59</v>
      </c>
      <c r="B15" s="17" t="n">
        <v>0.019</v>
      </c>
      <c r="C15" s="12" t="s">
        <v>50</v>
      </c>
      <c r="D15" s="14" t="s">
        <v>60</v>
      </c>
    </row>
    <row r="16" customFormat="false" ht="15" hidden="false" customHeight="false" outlineLevel="0" collapsed="false">
      <c r="A16" s="12" t="s">
        <v>61</v>
      </c>
      <c r="B16" s="18" t="n">
        <f aca="false">B12/(1+B8)</f>
        <v>36.5853658536585</v>
      </c>
      <c r="C16" s="12" t="s">
        <v>54</v>
      </c>
      <c r="D16" s="14" t="s">
        <v>62</v>
      </c>
    </row>
    <row r="17" customFormat="false" ht="15" hidden="false" customHeight="false" outlineLevel="0" collapsed="false">
      <c r="A17" s="12" t="s">
        <v>63</v>
      </c>
      <c r="B17" s="18" t="n">
        <f aca="false">B13/(1+B8)/12</f>
        <v>27.0325203252033</v>
      </c>
      <c r="C17" s="12" t="s">
        <v>54</v>
      </c>
      <c r="D17" s="14" t="s">
        <v>64</v>
      </c>
    </row>
    <row r="18" customFormat="false" ht="15" hidden="false" customHeight="false" outlineLevel="0" collapsed="false">
      <c r="A18" s="19" t="s">
        <v>65</v>
      </c>
      <c r="B18" s="20" t="n">
        <f aca="false">B16*(1-B14)+B17*B14</f>
        <v>32.7642276422764</v>
      </c>
      <c r="C18" s="12" t="s">
        <v>54</v>
      </c>
      <c r="D18" s="14" t="s">
        <v>66</v>
      </c>
    </row>
    <row r="19" customFormat="false" ht="15" hidden="false" customHeight="false" outlineLevel="0" collapsed="false">
      <c r="A19" s="12" t="s">
        <v>67</v>
      </c>
      <c r="B19" s="18" t="n">
        <f aca="false">B18*(1-B15)</f>
        <v>32.1417073170732</v>
      </c>
      <c r="C19" s="12" t="s">
        <v>54</v>
      </c>
      <c r="D19" s="14" t="s">
        <v>68</v>
      </c>
    </row>
    <row r="21" customFormat="false" ht="15" hidden="false" customHeight="false" outlineLevel="0" collapsed="false">
      <c r="A21" s="3" t="s">
        <v>69</v>
      </c>
    </row>
    <row r="22" customFormat="false" ht="27.75" hidden="false" customHeight="true" outlineLevel="0" collapsed="false">
      <c r="A22" s="11" t="s">
        <v>40</v>
      </c>
      <c r="B22" s="11" t="s">
        <v>41</v>
      </c>
      <c r="C22" s="11" t="s">
        <v>42</v>
      </c>
      <c r="D22" s="11" t="s">
        <v>43</v>
      </c>
    </row>
    <row r="23" customFormat="false" ht="15" hidden="false" customHeight="false" outlineLevel="0" collapsed="false">
      <c r="A23" s="12" t="s">
        <v>70</v>
      </c>
      <c r="B23" s="21" t="n">
        <v>8</v>
      </c>
      <c r="C23" s="12" t="s">
        <v>71</v>
      </c>
      <c r="D23" s="14" t="s">
        <v>72</v>
      </c>
    </row>
    <row r="24" customFormat="false" ht="15" hidden="false" customHeight="false" outlineLevel="0" collapsed="false">
      <c r="A24" s="12" t="s">
        <v>73</v>
      </c>
      <c r="B24" s="21" t="n">
        <v>2</v>
      </c>
      <c r="C24" s="12" t="s">
        <v>74</v>
      </c>
      <c r="D24" s="14" t="s">
        <v>75</v>
      </c>
    </row>
    <row r="25" customFormat="false" ht="15" hidden="false" customHeight="false" outlineLevel="0" collapsed="false">
      <c r="A25" s="12" t="s">
        <v>76</v>
      </c>
      <c r="B25" s="21" t="n">
        <v>50</v>
      </c>
      <c r="C25" s="12" t="s">
        <v>71</v>
      </c>
      <c r="D25" s="14" t="s">
        <v>77</v>
      </c>
    </row>
    <row r="27" customFormat="false" ht="15" hidden="false" customHeight="false" outlineLevel="0" collapsed="false">
      <c r="A27" s="3" t="s">
        <v>78</v>
      </c>
    </row>
    <row r="28" customFormat="false" ht="15" hidden="false" customHeight="false" outlineLevel="0" collapsed="false">
      <c r="A28" s="9" t="s">
        <v>79</v>
      </c>
    </row>
    <row r="29" customFormat="false" ht="27.75" hidden="false" customHeight="true" outlineLevel="0" collapsed="false">
      <c r="A29" s="11" t="s">
        <v>40</v>
      </c>
      <c r="B29" s="11" t="s">
        <v>41</v>
      </c>
      <c r="C29" s="11" t="s">
        <v>42</v>
      </c>
      <c r="D29" s="11" t="s">
        <v>80</v>
      </c>
    </row>
    <row r="30" customFormat="false" ht="15" hidden="false" customHeight="false" outlineLevel="0" collapsed="false">
      <c r="A30" s="12" t="s">
        <v>81</v>
      </c>
      <c r="B30" s="22" t="n">
        <v>0.5</v>
      </c>
      <c r="C30" s="12" t="s">
        <v>71</v>
      </c>
      <c r="D30" s="14" t="s">
        <v>82</v>
      </c>
    </row>
    <row r="31" customFormat="false" ht="15" hidden="false" customHeight="false" outlineLevel="0" collapsed="false">
      <c r="A31" s="12" t="s">
        <v>83</v>
      </c>
      <c r="B31" s="22" t="n">
        <v>0.08</v>
      </c>
      <c r="C31" s="12" t="s">
        <v>74</v>
      </c>
      <c r="D31" s="14" t="s">
        <v>84</v>
      </c>
    </row>
    <row r="32" customFormat="false" ht="15" hidden="false" customHeight="false" outlineLevel="0" collapsed="false">
      <c r="A32" s="12" t="s">
        <v>85</v>
      </c>
      <c r="B32" s="22" t="n">
        <v>8</v>
      </c>
      <c r="C32" s="12" t="s">
        <v>71</v>
      </c>
      <c r="D32" s="14" t="s">
        <v>86</v>
      </c>
    </row>
    <row r="34" customFormat="false" ht="15" hidden="false" customHeight="false" outlineLevel="0" collapsed="false">
      <c r="A34" s="3" t="s">
        <v>87</v>
      </c>
    </row>
    <row r="35" customFormat="false" ht="27.75" hidden="false" customHeight="true" outlineLevel="0" collapsed="false">
      <c r="A35" s="11" t="s">
        <v>40</v>
      </c>
      <c r="B35" s="11" t="s">
        <v>41</v>
      </c>
      <c r="C35" s="11" t="s">
        <v>42</v>
      </c>
      <c r="D35" s="11" t="s">
        <v>43</v>
      </c>
    </row>
    <row r="36" customFormat="false" ht="15" hidden="false" customHeight="false" outlineLevel="0" collapsed="false">
      <c r="A36" s="12" t="s">
        <v>88</v>
      </c>
      <c r="B36" s="17" t="n">
        <v>0.2</v>
      </c>
      <c r="C36" s="12" t="s">
        <v>50</v>
      </c>
      <c r="D36" s="14" t="s">
        <v>89</v>
      </c>
    </row>
    <row r="37" customFormat="false" ht="15" hidden="false" customHeight="false" outlineLevel="0" collapsed="false">
      <c r="A37" s="12" t="s">
        <v>90</v>
      </c>
      <c r="B37" s="23" t="n">
        <v>2</v>
      </c>
      <c r="C37" s="12" t="s">
        <v>91</v>
      </c>
      <c r="D37" s="14" t="s">
        <v>92</v>
      </c>
    </row>
    <row r="38" customFormat="false" ht="15" hidden="false" customHeight="false" outlineLevel="0" collapsed="false">
      <c r="A38" s="12" t="s">
        <v>93</v>
      </c>
      <c r="B38" s="21" t="n">
        <v>1</v>
      </c>
      <c r="C38" s="12" t="s">
        <v>94</v>
      </c>
      <c r="D38" s="14" t="s">
        <v>95</v>
      </c>
    </row>
    <row r="40" customFormat="false" ht="15" hidden="false" customHeight="false" outlineLevel="0" collapsed="false">
      <c r="A40" s="3" t="s">
        <v>96</v>
      </c>
    </row>
    <row r="41" customFormat="false" ht="27.75" hidden="false" customHeight="true" outlineLevel="0" collapsed="false">
      <c r="A41" s="11" t="s">
        <v>40</v>
      </c>
      <c r="B41" s="11" t="s">
        <v>41</v>
      </c>
      <c r="C41" s="11" t="s">
        <v>42</v>
      </c>
      <c r="D41" s="11" t="s">
        <v>43</v>
      </c>
    </row>
    <row r="42" customFormat="false" ht="15" hidden="false" customHeight="false" outlineLevel="0" collapsed="false">
      <c r="A42" s="12" t="s">
        <v>97</v>
      </c>
      <c r="B42" s="24" t="n">
        <v>250</v>
      </c>
      <c r="C42" s="12" t="s">
        <v>54</v>
      </c>
      <c r="D42" s="14" t="s">
        <v>98</v>
      </c>
    </row>
    <row r="43" customFormat="false" ht="15" hidden="false" customHeight="false" outlineLevel="0" collapsed="false">
      <c r="A43" s="12" t="s">
        <v>99</v>
      </c>
      <c r="B43" s="25" t="n">
        <v>6</v>
      </c>
      <c r="C43" s="12" t="s">
        <v>100</v>
      </c>
      <c r="D43" s="14" t="s">
        <v>101</v>
      </c>
    </row>
    <row r="44" customFormat="false" ht="15" hidden="false" customHeight="false" outlineLevel="0" collapsed="false">
      <c r="A44" s="12" t="s">
        <v>102</v>
      </c>
      <c r="B44" s="24" t="n">
        <v>60</v>
      </c>
      <c r="C44" s="12" t="s">
        <v>103</v>
      </c>
      <c r="D44" s="14" t="s">
        <v>104</v>
      </c>
    </row>
    <row r="45" customFormat="false" ht="15" hidden="false" customHeight="false" outlineLevel="0" collapsed="false">
      <c r="A45" s="12" t="s">
        <v>105</v>
      </c>
      <c r="B45" s="24" t="n">
        <v>13.8</v>
      </c>
      <c r="C45" s="12" t="s">
        <v>54</v>
      </c>
      <c r="D45" s="14" t="s">
        <v>106</v>
      </c>
    </row>
    <row r="46" customFormat="false" ht="15" hidden="false" customHeight="false" outlineLevel="0" collapsed="false">
      <c r="A46" s="12" t="s">
        <v>107</v>
      </c>
      <c r="B46" s="18" t="n">
        <f aca="false">B43/60*B44</f>
        <v>6</v>
      </c>
      <c r="C46" s="12" t="s">
        <v>54</v>
      </c>
      <c r="D46" s="14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27.75" hidden="false" customHeight="true" outlineLevel="0" collapsed="false">
      <c r="A4" s="11" t="s">
        <v>111</v>
      </c>
      <c r="B4" s="11" t="s">
        <v>112</v>
      </c>
      <c r="C4" s="11" t="s">
        <v>113</v>
      </c>
      <c r="D4" s="11" t="s">
        <v>114</v>
      </c>
      <c r="E4" s="11" t="s">
        <v>115</v>
      </c>
      <c r="F4" s="11" t="s">
        <v>116</v>
      </c>
    </row>
    <row r="5" customFormat="false" ht="15" hidden="false" customHeight="false" outlineLevel="0" collapsed="false">
      <c r="A5" s="12" t="s">
        <v>117</v>
      </c>
      <c r="B5" s="12" t="s">
        <v>118</v>
      </c>
      <c r="C5" s="26" t="n">
        <v>7</v>
      </c>
      <c r="D5" s="27" t="n">
        <f aca="false">C5*Zalozenia!$B$6</f>
        <v>25.7873</v>
      </c>
      <c r="E5" s="28" t="n">
        <v>0</v>
      </c>
      <c r="F5" s="29" t="s">
        <v>119</v>
      </c>
    </row>
    <row r="6" customFormat="false" ht="15" hidden="false" customHeight="false" outlineLevel="0" collapsed="false">
      <c r="A6" s="12" t="s">
        <v>117</v>
      </c>
      <c r="B6" s="12" t="s">
        <v>120</v>
      </c>
      <c r="C6" s="26" t="n">
        <v>12</v>
      </c>
      <c r="D6" s="27" t="n">
        <f aca="false">C6*Zalozenia!$B$6</f>
        <v>44.2068</v>
      </c>
      <c r="E6" s="28" t="n">
        <v>0</v>
      </c>
      <c r="F6" s="29" t="s">
        <v>121</v>
      </c>
    </row>
    <row r="7" customFormat="false" ht="22.35" hidden="false" customHeight="false" outlineLevel="0" collapsed="false">
      <c r="A7" s="12" t="s">
        <v>117</v>
      </c>
      <c r="B7" s="12" t="s">
        <v>122</v>
      </c>
      <c r="C7" s="26" t="n">
        <v>18</v>
      </c>
      <c r="D7" s="27" t="n">
        <f aca="false">C7*Zalozenia!$B$6</f>
        <v>66.3102</v>
      </c>
      <c r="E7" s="30" t="n">
        <v>1</v>
      </c>
      <c r="F7" s="29" t="s">
        <v>123</v>
      </c>
    </row>
    <row r="8" customFormat="false" ht="15" hidden="false" customHeight="false" outlineLevel="0" collapsed="false">
      <c r="A8" s="12" t="s">
        <v>124</v>
      </c>
      <c r="B8" s="12" t="s">
        <v>125</v>
      </c>
      <c r="C8" s="26" t="n">
        <v>12</v>
      </c>
      <c r="D8" s="27" t="n">
        <f aca="false">C8*Zalozenia!$B$6</f>
        <v>44.2068</v>
      </c>
      <c r="E8" s="28" t="n">
        <v>0</v>
      </c>
      <c r="F8" s="29" t="s">
        <v>126</v>
      </c>
    </row>
    <row r="9" customFormat="false" ht="15" hidden="false" customHeight="false" outlineLevel="0" collapsed="false">
      <c r="A9" s="12" t="s">
        <v>124</v>
      </c>
      <c r="B9" s="12" t="s">
        <v>127</v>
      </c>
      <c r="C9" s="26" t="n">
        <v>25</v>
      </c>
      <c r="D9" s="27" t="n">
        <f aca="false">C9*Zalozenia!$B$6</f>
        <v>92.0975</v>
      </c>
      <c r="E9" s="28" t="n">
        <v>0</v>
      </c>
      <c r="F9" s="29" t="s">
        <v>128</v>
      </c>
    </row>
    <row r="10" customFormat="false" ht="15" hidden="false" customHeight="false" outlineLevel="0" collapsed="false">
      <c r="A10" s="12" t="s">
        <v>124</v>
      </c>
      <c r="B10" s="12" t="s">
        <v>129</v>
      </c>
      <c r="C10" s="26" t="n">
        <v>35</v>
      </c>
      <c r="D10" s="27" t="n">
        <f aca="false">C10*Zalozenia!$B$6</f>
        <v>128.9365</v>
      </c>
      <c r="E10" s="30" t="n">
        <v>1</v>
      </c>
      <c r="F10" s="29" t="s">
        <v>130</v>
      </c>
    </row>
    <row r="11" customFormat="false" ht="15" hidden="false" customHeight="false" outlineLevel="0" collapsed="false">
      <c r="A11" s="12" t="s">
        <v>124</v>
      </c>
      <c r="B11" s="12" t="s">
        <v>131</v>
      </c>
      <c r="C11" s="26" t="n">
        <v>45</v>
      </c>
      <c r="D11" s="27" t="n">
        <f aca="false">C11*Zalozenia!$B$6</f>
        <v>165.7755</v>
      </c>
      <c r="E11" s="28" t="n">
        <v>0</v>
      </c>
      <c r="F11" s="29" t="s">
        <v>126</v>
      </c>
    </row>
    <row r="12" customFormat="false" ht="22.35" hidden="false" customHeight="false" outlineLevel="0" collapsed="false">
      <c r="A12" s="12" t="s">
        <v>132</v>
      </c>
      <c r="B12" s="12" t="s">
        <v>133</v>
      </c>
      <c r="C12" s="26" t="n">
        <v>36</v>
      </c>
      <c r="D12" s="27" t="n">
        <f aca="false">C12*Zalozenia!$B$6</f>
        <v>132.6204</v>
      </c>
      <c r="E12" s="28" t="n">
        <v>0</v>
      </c>
      <c r="F12" s="29" t="s">
        <v>134</v>
      </c>
    </row>
    <row r="13" customFormat="false" ht="22.35" hidden="false" customHeight="false" outlineLevel="0" collapsed="false">
      <c r="A13" s="12" t="s">
        <v>132</v>
      </c>
      <c r="B13" s="12" t="s">
        <v>135</v>
      </c>
      <c r="C13" s="26" t="n">
        <v>46</v>
      </c>
      <c r="D13" s="27" t="n">
        <f aca="false">C13*Zalozenia!$B$6</f>
        <v>169.4594</v>
      </c>
      <c r="E13" s="30" t="n">
        <v>1</v>
      </c>
      <c r="F13" s="29" t="s">
        <v>136</v>
      </c>
    </row>
    <row r="14" customFormat="false" ht="15" hidden="false" customHeight="false" outlineLevel="0" collapsed="false">
      <c r="A14" s="12" t="s">
        <v>132</v>
      </c>
      <c r="B14" s="12" t="s">
        <v>137</v>
      </c>
      <c r="C14" s="26" t="n">
        <v>65</v>
      </c>
      <c r="D14" s="27" t="n">
        <f aca="false">C14*Zalozenia!$B$6</f>
        <v>239.4535</v>
      </c>
      <c r="E14" s="28" t="n">
        <v>0</v>
      </c>
      <c r="F14" s="29" t="s">
        <v>138</v>
      </c>
    </row>
    <row r="15" customFormat="false" ht="15" hidden="false" customHeight="false" outlineLevel="0" collapsed="false">
      <c r="A15" s="12" t="s">
        <v>132</v>
      </c>
      <c r="B15" s="12" t="s">
        <v>139</v>
      </c>
      <c r="C15" s="26" t="n">
        <v>92</v>
      </c>
      <c r="D15" s="27" t="n">
        <f aca="false">C15*Zalozenia!$B$6</f>
        <v>338.9188</v>
      </c>
      <c r="E15" s="28" t="n">
        <v>0</v>
      </c>
      <c r="F15" s="29" t="s">
        <v>140</v>
      </c>
    </row>
    <row r="16" customFormat="false" ht="15" hidden="false" customHeight="false" outlineLevel="0" collapsed="false">
      <c r="A16" s="12" t="s">
        <v>141</v>
      </c>
      <c r="B16" s="12" t="s">
        <v>142</v>
      </c>
      <c r="C16" s="26" t="n">
        <v>29</v>
      </c>
      <c r="D16" s="27" t="n">
        <f aca="false">C16*Zalozenia!$B$6</f>
        <v>106.8331</v>
      </c>
      <c r="E16" s="30" t="n">
        <v>1</v>
      </c>
      <c r="F16" s="29" t="s">
        <v>143</v>
      </c>
    </row>
    <row r="17" customFormat="false" ht="22.35" hidden="false" customHeight="false" outlineLevel="0" collapsed="false">
      <c r="A17" s="12" t="s">
        <v>144</v>
      </c>
      <c r="B17" s="12" t="s">
        <v>145</v>
      </c>
      <c r="C17" s="26" t="n">
        <v>8.95</v>
      </c>
      <c r="D17" s="27" t="n">
        <f aca="false">C17*Zalozenia!$B$6</f>
        <v>32.970905</v>
      </c>
      <c r="E17" s="30" t="n">
        <v>1</v>
      </c>
      <c r="F17" s="29" t="s">
        <v>146</v>
      </c>
    </row>
    <row r="19" customFormat="false" ht="15" hidden="false" customHeight="false" outlineLevel="0" collapsed="false">
      <c r="A19" s="31" t="s">
        <v>147</v>
      </c>
      <c r="D19" s="32" t="n">
        <f aca="false">SUMPRODUCT(D5:D17,E5:E17)</f>
        <v>504.510105</v>
      </c>
    </row>
    <row r="21" customFormat="false" ht="15" hidden="false" customHeight="false" outlineLevel="0" collapsed="false">
      <c r="A21" s="4" t="s">
        <v>148</v>
      </c>
      <c r="D21" s="18" t="n">
        <f aca="false">D19-D13+D12</f>
        <v>467.671105</v>
      </c>
    </row>
    <row r="23" customFormat="false" ht="15" hidden="false" customHeight="false" outlineLevel="0" collapsed="false">
      <c r="A23" s="3" t="s">
        <v>149</v>
      </c>
    </row>
    <row r="24" customFormat="false" ht="15" hidden="false" customHeight="false" outlineLevel="0" collapsed="false">
      <c r="A24" s="4" t="s">
        <v>150</v>
      </c>
    </row>
    <row r="25" customFormat="false" ht="15" hidden="false" customHeight="false" outlineLevel="0" collapsed="false">
      <c r="A25" s="4" t="s">
        <v>151</v>
      </c>
    </row>
    <row r="26" customFormat="false" ht="15" hidden="false" customHeight="false" outlineLevel="0" collapsed="false">
      <c r="A26" s="4" t="s">
        <v>152</v>
      </c>
    </row>
    <row r="27" customFormat="false" ht="15" hidden="false" customHeight="false" outlineLevel="0" collapsed="false">
      <c r="A27" s="4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0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27.75" hidden="false" customHeight="true" outlineLevel="0" collapsed="false">
      <c r="A4" s="11" t="s">
        <v>40</v>
      </c>
      <c r="B4" s="11" t="s">
        <v>156</v>
      </c>
      <c r="C4" s="11" t="s">
        <v>157</v>
      </c>
      <c r="D4" s="11" t="s">
        <v>158</v>
      </c>
      <c r="E4" s="11" t="s">
        <v>116</v>
      </c>
    </row>
    <row r="5" customFormat="false" ht="22.35" hidden="false" customHeight="false" outlineLevel="0" collapsed="false">
      <c r="A5" s="12" t="s">
        <v>159</v>
      </c>
      <c r="B5" s="12" t="s">
        <v>160</v>
      </c>
      <c r="C5" s="12" t="s">
        <v>161</v>
      </c>
      <c r="D5" s="12" t="s">
        <v>162</v>
      </c>
      <c r="E5" s="29" t="s">
        <v>163</v>
      </c>
    </row>
    <row r="6" customFormat="false" ht="22.35" hidden="false" customHeight="false" outlineLevel="0" collapsed="false">
      <c r="A6" s="12" t="s">
        <v>164</v>
      </c>
      <c r="B6" s="28" t="n">
        <v>8</v>
      </c>
      <c r="C6" s="28" t="n">
        <v>16</v>
      </c>
      <c r="D6" s="28" t="n">
        <v>16</v>
      </c>
      <c r="E6" s="29" t="s">
        <v>165</v>
      </c>
    </row>
    <row r="7" customFormat="false" ht="22.35" hidden="false" customHeight="false" outlineLevel="0" collapsed="false">
      <c r="A7" s="12" t="s">
        <v>166</v>
      </c>
      <c r="B7" s="28" t="n">
        <v>16</v>
      </c>
      <c r="C7" s="28" t="n">
        <v>32</v>
      </c>
      <c r="D7" s="28" t="n">
        <v>32</v>
      </c>
      <c r="E7" s="29" t="s">
        <v>167</v>
      </c>
    </row>
    <row r="8" customFormat="false" ht="15" hidden="false" customHeight="false" outlineLevel="0" collapsed="false">
      <c r="A8" s="12" t="s">
        <v>168</v>
      </c>
      <c r="B8" s="28" t="n">
        <v>64</v>
      </c>
      <c r="C8" s="28" t="n">
        <v>128</v>
      </c>
      <c r="D8" s="28" t="n">
        <v>128</v>
      </c>
      <c r="E8" s="29" t="s">
        <v>169</v>
      </c>
    </row>
    <row r="9" customFormat="false" ht="22.35" hidden="false" customHeight="false" outlineLevel="0" collapsed="false">
      <c r="A9" s="12" t="s">
        <v>170</v>
      </c>
      <c r="B9" s="28" t="n">
        <v>960</v>
      </c>
      <c r="C9" s="28" t="n">
        <v>1920</v>
      </c>
      <c r="D9" s="28" t="n">
        <v>960</v>
      </c>
      <c r="E9" s="29" t="s">
        <v>171</v>
      </c>
    </row>
    <row r="11" customFormat="false" ht="15" hidden="false" customHeight="false" outlineLevel="0" collapsed="false">
      <c r="A11" s="3" t="s">
        <v>172</v>
      </c>
    </row>
    <row r="12" customFormat="false" ht="27.75" hidden="false" customHeight="true" outlineLevel="0" collapsed="false">
      <c r="A12" s="11" t="s">
        <v>40</v>
      </c>
      <c r="B12" s="11" t="s">
        <v>156</v>
      </c>
      <c r="C12" s="11" t="s">
        <v>157</v>
      </c>
      <c r="D12" s="11" t="s">
        <v>158</v>
      </c>
      <c r="E12" s="11" t="s">
        <v>116</v>
      </c>
    </row>
    <row r="13" customFormat="false" ht="22.35" hidden="false" customHeight="false" outlineLevel="0" collapsed="false">
      <c r="A13" s="12" t="s">
        <v>173</v>
      </c>
      <c r="B13" s="16" t="n">
        <v>277</v>
      </c>
      <c r="C13" s="27" t="n">
        <f aca="false">(157.3+1.7)*Zalozenia!$B$7</f>
        <v>685.6398</v>
      </c>
      <c r="D13" s="16" t="n">
        <v>661</v>
      </c>
      <c r="E13" s="29" t="s">
        <v>174</v>
      </c>
    </row>
    <row r="14" customFormat="false" ht="22.35" hidden="false" customHeight="false" outlineLevel="0" collapsed="false">
      <c r="A14" s="12" t="s">
        <v>20</v>
      </c>
      <c r="B14" s="27" t="n">
        <f aca="false">Licencje!$D$21</f>
        <v>467.671105</v>
      </c>
      <c r="C14" s="27" t="n">
        <f aca="false">Licencje!$D$19</f>
        <v>504.510105</v>
      </c>
      <c r="D14" s="27" t="n">
        <f aca="false">Licencje!$D$19</f>
        <v>504.510105</v>
      </c>
      <c r="E14" s="29" t="s">
        <v>175</v>
      </c>
    </row>
    <row r="15" customFormat="false" ht="22.35" hidden="false" customHeight="false" outlineLevel="0" collapsed="false">
      <c r="A15" s="12" t="s">
        <v>176</v>
      </c>
      <c r="B15" s="27" t="n">
        <f aca="false">B9/1024*Zalozenia!$B$37*Zalozenia!$B$45</f>
        <v>25.875</v>
      </c>
      <c r="C15" s="27" t="n">
        <f aca="false">C9/1024*Zalozenia!$B$37*Zalozenia!$B$45</f>
        <v>51.75</v>
      </c>
      <c r="D15" s="27" t="n">
        <f aca="false">D9/1024*Zalozenia!$B$37*Zalozenia!$B$45</f>
        <v>25.875</v>
      </c>
      <c r="E15" s="29" t="s">
        <v>177</v>
      </c>
    </row>
    <row r="16" customFormat="false" ht="22.35" hidden="false" customHeight="false" outlineLevel="0" collapsed="false">
      <c r="A16" s="12" t="s">
        <v>178</v>
      </c>
      <c r="B16" s="27" t="n">
        <f aca="false">Zalozenia!$B$42/Zalozenia!$B$38</f>
        <v>250</v>
      </c>
      <c r="C16" s="27" t="n">
        <f aca="false">Zalozenia!$B$42/Zalozenia!$B$38</f>
        <v>250</v>
      </c>
      <c r="D16" s="27" t="n">
        <f aca="false">Zalozenia!$B$42/Zalozenia!$B$38</f>
        <v>250</v>
      </c>
      <c r="E16" s="29" t="s">
        <v>179</v>
      </c>
    </row>
    <row r="17" customFormat="false" ht="22.35" hidden="false" customHeight="false" outlineLevel="0" collapsed="false">
      <c r="A17" s="33" t="s">
        <v>180</v>
      </c>
      <c r="B17" s="34" t="n">
        <f aca="false">SUM(B13:B16)</f>
        <v>1020.546105</v>
      </c>
      <c r="C17" s="34" t="n">
        <f aca="false">SUM(C13:C16)</f>
        <v>1491.899905</v>
      </c>
      <c r="D17" s="34" t="n">
        <f aca="false">SUM(D13:D16)</f>
        <v>1441.385105</v>
      </c>
      <c r="E17" s="29" t="s">
        <v>181</v>
      </c>
    </row>
    <row r="18" customFormat="false" ht="32.8" hidden="false" customHeight="false" outlineLevel="0" collapsed="false">
      <c r="A18" s="12" t="s">
        <v>182</v>
      </c>
      <c r="B18" s="35" t="n">
        <f aca="false">B17</f>
        <v>1020.546105</v>
      </c>
      <c r="C18" s="35" t="n">
        <f aca="false">C17</f>
        <v>1491.899905</v>
      </c>
      <c r="D18" s="35" t="n">
        <f aca="false">D17</f>
        <v>1441.385105</v>
      </c>
      <c r="E18" s="29" t="s">
        <v>183</v>
      </c>
    </row>
    <row r="20" customFormat="false" ht="15" hidden="false" customHeight="false" outlineLevel="0" collapsed="false">
      <c r="A20" s="3" t="s">
        <v>184</v>
      </c>
    </row>
    <row r="21" customFormat="false" ht="27.75" hidden="false" customHeight="true" outlineLevel="0" collapsed="false">
      <c r="A21" s="11" t="s">
        <v>40</v>
      </c>
      <c r="B21" s="11" t="s">
        <v>156</v>
      </c>
      <c r="C21" s="11" t="s">
        <v>157</v>
      </c>
      <c r="D21" s="11" t="s">
        <v>158</v>
      </c>
      <c r="E21" s="11" t="s">
        <v>116</v>
      </c>
    </row>
    <row r="22" customFormat="false" ht="22.35" hidden="false" customHeight="false" outlineLevel="0" collapsed="false">
      <c r="A22" s="12" t="s">
        <v>185</v>
      </c>
      <c r="B22" s="36" t="n">
        <f aca="false">FLOOR(MIN(B8*(1-Zalozenia!$B$36)*4/Zalozenia!$B$23,B7*(1-Zalozenia!$B$36)*4/Zalozenia!$B$24,B9*(1-Zalozenia!$B$36)*2/Zalozenia!$B$25),1)</f>
        <v>25</v>
      </c>
      <c r="C22" s="36" t="n">
        <f aca="false">FLOOR(MIN(C8*(1-Zalozenia!$B$36)*4/Zalozenia!$B$23,C7*(1-Zalozenia!$B$36)*4/Zalozenia!$B$24,C9*(1-Zalozenia!$B$36)*2/Zalozenia!$B$25),1)</f>
        <v>51</v>
      </c>
      <c r="D22" s="36" t="n">
        <f aca="false">FLOOR(MIN(D8*(1-Zalozenia!$B$36)*4/Zalozenia!$B$23,D7*(1-Zalozenia!$B$36)*4/Zalozenia!$B$24,D9*(1-Zalozenia!$B$36)*2/Zalozenia!$B$25),1)</f>
        <v>30</v>
      </c>
      <c r="E22" s="29" t="s">
        <v>186</v>
      </c>
    </row>
    <row r="23" customFormat="false" ht="22.35" hidden="false" customHeight="false" outlineLevel="0" collapsed="false">
      <c r="A23" s="12" t="s">
        <v>187</v>
      </c>
      <c r="B23" s="37" t="str">
        <f aca="false">IF(B9*(1-Zalozenia!$B$36)*2/Zalozenia!$B$25&lt;=MIN(B8*(1-Zalozenia!$B$36)*4/Zalozenia!$B$23,B7*(1-Zalozenia!$B$36)*4/Zalozenia!$B$24),"dysk","RAM/CPU")</f>
        <v>RAM/CPU</v>
      </c>
      <c r="C23" s="37" t="str">
        <f aca="false">IF(C9*(1-Zalozenia!$B$36)*2/Zalozenia!$B$25&lt;=MIN(C8*(1-Zalozenia!$B$36)*4/Zalozenia!$B$23,C7*(1-Zalozenia!$B$36)*4/Zalozenia!$B$24),"dysk","RAM/CPU")</f>
        <v>RAM/CPU</v>
      </c>
      <c r="D23" s="37" t="str">
        <f aca="false">IF(D9*(1-Zalozenia!$B$36)*2/Zalozenia!$B$25&lt;=MIN(D8*(1-Zalozenia!$B$36)*4/Zalozenia!$B$23,D7*(1-Zalozenia!$B$36)*4/Zalozenia!$B$24),"dysk","RAM/CPU")</f>
        <v>dysk</v>
      </c>
      <c r="E23" s="29" t="s">
        <v>188</v>
      </c>
    </row>
    <row r="24" customFormat="false" ht="22.35" hidden="false" customHeight="false" outlineLevel="0" collapsed="false">
      <c r="A24" s="38" t="s">
        <v>189</v>
      </c>
      <c r="B24" s="39" t="n">
        <f aca="false">(B17/B22+Zalozenia!$B$46)/(1-Zalozenia!$B$15)*(1+Zalozenia!$B$8)</f>
        <v>58.7062878348624</v>
      </c>
      <c r="C24" s="39" t="n">
        <f aca="false">(C17/C22+Zalozenia!$B$46)/(1-Zalozenia!$B$15)*(1+Zalozenia!$B$8)</f>
        <v>44.2009330844876</v>
      </c>
      <c r="D24" s="39" t="n">
        <f aca="false">(D17/D22+Zalozenia!$B$46)/(1-Zalozenia!$B$15)*(1+Zalozenia!$B$8)</f>
        <v>67.7643112181447</v>
      </c>
      <c r="E24" s="29" t="s">
        <v>190</v>
      </c>
    </row>
    <row r="25" customFormat="false" ht="22.35" hidden="false" customHeight="false" outlineLevel="0" collapsed="false">
      <c r="A25" s="12" t="s">
        <v>191</v>
      </c>
      <c r="B25" s="40" t="n">
        <f aca="false">Zalozenia!$B$12-B24</f>
        <v>-13.7062878348624</v>
      </c>
      <c r="C25" s="40" t="n">
        <f aca="false">Zalozenia!$B$12-C24</f>
        <v>0.799066915512391</v>
      </c>
      <c r="D25" s="40" t="n">
        <f aca="false">Zalozenia!$B$12-D24</f>
        <v>-22.7643112181447</v>
      </c>
      <c r="E25" s="29" t="s">
        <v>192</v>
      </c>
    </row>
    <row r="27" customFormat="false" ht="15" hidden="false" customHeight="false" outlineLevel="0" collapsed="false">
      <c r="A27" s="3" t="s">
        <v>193</v>
      </c>
    </row>
    <row r="28" customFormat="false" ht="22.35" hidden="false" customHeight="false" outlineLevel="0" collapsed="false">
      <c r="A28" s="12" t="s">
        <v>194</v>
      </c>
      <c r="B28" s="41" t="s">
        <v>195</v>
      </c>
      <c r="E28" s="29" t="s">
        <v>196</v>
      </c>
    </row>
    <row r="29" customFormat="false" ht="15" hidden="false" customHeight="false" outlineLevel="0" collapsed="false">
      <c r="A29" s="42" t="s">
        <v>197</v>
      </c>
      <c r="B29" s="32" t="n">
        <f aca="false">INDEX(B17:D17,MATCH($B$28,{"B","C","D"},0))</f>
        <v>1491.899905</v>
      </c>
    </row>
    <row r="30" customFormat="false" ht="15" hidden="false" customHeight="false" outlineLevel="0" collapsed="false">
      <c r="A30" s="12" t="s">
        <v>198</v>
      </c>
      <c r="B30" s="43" t="n">
        <f aca="false">INDEX(B7:D7,MATCH($B$28,{"B","C","D"},0))</f>
        <v>32</v>
      </c>
    </row>
    <row r="31" customFormat="false" ht="15" hidden="false" customHeight="false" outlineLevel="0" collapsed="false">
      <c r="A31" s="12" t="s">
        <v>199</v>
      </c>
      <c r="B31" s="43" t="n">
        <f aca="false">INDEX(B8:D8,MATCH($B$28,{"B","C","D"},0))</f>
        <v>128</v>
      </c>
    </row>
    <row r="32" customFormat="false" ht="15" hidden="false" customHeight="false" outlineLevel="0" collapsed="false">
      <c r="A32" s="12" t="s">
        <v>200</v>
      </c>
      <c r="B32" s="43" t="n">
        <f aca="false">INDEX(B9:D9,MATCH($B$28,{"B","C","D"},0))</f>
        <v>1920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44"/>
    <col collapsed="false" customWidth="true" hidden="false" outlineLevel="0" max="10" min="7" style="0" width="11"/>
  </cols>
  <sheetData>
    <row r="1" customFormat="false" ht="17.35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4" customFormat="false" ht="15" hidden="false" customHeight="false" outlineLevel="0" collapsed="false">
      <c r="A4" s="3" t="s">
        <v>203</v>
      </c>
      <c r="G4" s="2" t="s">
        <v>204</v>
      </c>
    </row>
    <row r="5" customFormat="false" ht="15" hidden="false" customHeight="false" outlineLevel="0" collapsed="false">
      <c r="A5" s="4" t="s">
        <v>205</v>
      </c>
    </row>
    <row r="6" customFormat="false" ht="15" hidden="false" customHeight="false" outlineLevel="0" collapsed="false">
      <c r="A6" s="4" t="s">
        <v>206</v>
      </c>
    </row>
    <row r="7" customFormat="false" ht="15" hidden="false" customHeight="false" outlineLevel="0" collapsed="false">
      <c r="A7" s="4" t="s">
        <v>207</v>
      </c>
    </row>
    <row r="8" customFormat="false" ht="15" hidden="false" customHeight="false" outlineLevel="0" collapsed="false">
      <c r="A8" s="4" t="s">
        <v>208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9" t="s">
        <v>209</v>
      </c>
    </row>
    <row r="12" customFormat="false" ht="27.75" hidden="false" customHeight="true" outlineLevel="0" collapsed="false">
      <c r="A12" s="11" t="s">
        <v>210</v>
      </c>
      <c r="B12" s="11" t="s">
        <v>211</v>
      </c>
      <c r="C12" s="11" t="s">
        <v>212</v>
      </c>
      <c r="D12" s="11" t="s">
        <v>213</v>
      </c>
      <c r="E12" s="11" t="s">
        <v>214</v>
      </c>
      <c r="F12" s="11" t="s">
        <v>215</v>
      </c>
      <c r="G12" s="11" t="s">
        <v>216</v>
      </c>
      <c r="H12" s="11" t="s">
        <v>217</v>
      </c>
      <c r="I12" s="11" t="s">
        <v>218</v>
      </c>
      <c r="J12" s="11" t="s">
        <v>219</v>
      </c>
    </row>
    <row r="13" customFormat="false" ht="22.35" hidden="false" customHeight="false" outlineLevel="0" collapsed="false">
      <c r="A13" s="19" t="s">
        <v>220</v>
      </c>
      <c r="B13" s="44" t="n">
        <v>1</v>
      </c>
      <c r="C13" s="44" t="n">
        <v>1</v>
      </c>
      <c r="D13" s="44" t="n">
        <v>1</v>
      </c>
      <c r="E13" s="45" t="n">
        <f aca="false">FLOOR(MIN((Wezel!$B$31*(1-G13)*B13/H13),(Wezel!$B$30*(1-G13)*C13/I13),(Wezel!$B$32*(1-G13)*D13/J13)),1)</f>
        <v>16</v>
      </c>
      <c r="F13" s="29" t="s">
        <v>221</v>
      </c>
      <c r="G13" s="46" t="n">
        <v>0</v>
      </c>
      <c r="H13" s="47" t="n">
        <f aca="false">Zalozenia!$B$23</f>
        <v>8</v>
      </c>
      <c r="I13" s="47" t="n">
        <f aca="false">Zalozenia!$B$24</f>
        <v>2</v>
      </c>
      <c r="J13" s="47" t="n">
        <f aca="false">Zalozenia!$B$25</f>
        <v>50</v>
      </c>
    </row>
    <row r="14" customFormat="false" ht="22.35" hidden="false" customHeight="false" outlineLevel="0" collapsed="false">
      <c r="A14" s="19" t="s">
        <v>222</v>
      </c>
      <c r="B14" s="44" t="n">
        <v>1</v>
      </c>
      <c r="C14" s="44" t="n">
        <v>1</v>
      </c>
      <c r="D14" s="44" t="n">
        <v>1</v>
      </c>
      <c r="E14" s="45" t="n">
        <f aca="false">FLOOR(MIN((Wezel!$B$31*(1-G14)*B14/H14),(Wezel!$B$30*(1-G14)*C14/I14),(Wezel!$B$32*(1-G14)*D14/J14)),1)</f>
        <v>12</v>
      </c>
      <c r="F14" s="29" t="s">
        <v>223</v>
      </c>
      <c r="G14" s="48" t="n">
        <f aca="false">Zalozenia!$B$36</f>
        <v>0.2</v>
      </c>
      <c r="H14" s="47" t="n">
        <f aca="false">Zalozenia!$B$23</f>
        <v>8</v>
      </c>
      <c r="I14" s="47" t="n">
        <f aca="false">Zalozenia!$B$24</f>
        <v>2</v>
      </c>
      <c r="J14" s="47" t="n">
        <f aca="false">Zalozenia!$B$25</f>
        <v>50</v>
      </c>
    </row>
    <row r="15" customFormat="false" ht="22.35" hidden="false" customHeight="false" outlineLevel="0" collapsed="false">
      <c r="A15" s="19" t="s">
        <v>224</v>
      </c>
      <c r="B15" s="44" t="n">
        <v>4</v>
      </c>
      <c r="C15" s="44" t="n">
        <v>4</v>
      </c>
      <c r="D15" s="44" t="n">
        <v>2</v>
      </c>
      <c r="E15" s="45" t="n">
        <f aca="false">FLOOR(MIN((Wezel!$B$31*(1-G15)*B15/H15),(Wezel!$B$30*(1-G15)*C15/I15),(Wezel!$B$32*(1-G15)*D15/J15)),1)</f>
        <v>51</v>
      </c>
      <c r="F15" s="29" t="s">
        <v>225</v>
      </c>
      <c r="G15" s="48" t="n">
        <f aca="false">Zalozenia!$B$36</f>
        <v>0.2</v>
      </c>
      <c r="H15" s="47" t="n">
        <f aca="false">Zalozenia!$B$23</f>
        <v>8</v>
      </c>
      <c r="I15" s="47" t="n">
        <f aca="false">Zalozenia!$B$24</f>
        <v>2</v>
      </c>
      <c r="J15" s="47" t="n">
        <f aca="false">Zalozenia!$B$25</f>
        <v>50</v>
      </c>
    </row>
    <row r="16" customFormat="false" ht="22.35" hidden="false" customHeight="false" outlineLevel="0" collapsed="false">
      <c r="A16" s="19" t="s">
        <v>226</v>
      </c>
      <c r="B16" s="44" t="n">
        <v>4</v>
      </c>
      <c r="C16" s="44" t="n">
        <v>4</v>
      </c>
      <c r="D16" s="44" t="n">
        <v>2</v>
      </c>
      <c r="E16" s="45" t="n">
        <f aca="false">FLOOR(MIN((Wezel!$B$31*(1-G16)*B16/H16),(Wezel!$B$30*(1-G16)*C16/I16),(Wezel!$B$32*(1-G16)*D16/J16)),1)</f>
        <v>102</v>
      </c>
      <c r="F16" s="29" t="s">
        <v>227</v>
      </c>
      <c r="G16" s="48" t="n">
        <f aca="false">Zalozenia!$B$36</f>
        <v>0.2</v>
      </c>
      <c r="H16" s="49" t="n">
        <v>2</v>
      </c>
      <c r="I16" s="49" t="n">
        <v>1</v>
      </c>
      <c r="J16" s="49" t="n">
        <v>20</v>
      </c>
    </row>
    <row r="18" customFormat="false" ht="15" hidden="false" customHeight="false" outlineLevel="0" collapsed="false">
      <c r="A18" s="3" t="s">
        <v>228</v>
      </c>
    </row>
    <row r="19" customFormat="false" ht="15" hidden="false" customHeight="false" outlineLevel="0" collapsed="false">
      <c r="A19" s="2" t="s">
        <v>229</v>
      </c>
    </row>
    <row r="20" customFormat="false" ht="15" hidden="false" customHeight="false" outlineLevel="0" collapsed="false">
      <c r="A20" s="2" t="s">
        <v>230</v>
      </c>
    </row>
    <row r="21" customFormat="false" ht="15" hidden="false" customHeight="false" outlineLevel="0" collapsed="false">
      <c r="A21" s="2" t="s">
        <v>231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2" t="s">
        <v>232</v>
      </c>
    </row>
    <row r="24" customFormat="false" ht="15" hidden="false" customHeight="false" outlineLevel="0" collapsed="false">
      <c r="A24" s="2" t="s">
        <v>233</v>
      </c>
    </row>
    <row r="25" customFormat="false" ht="15" hidden="false" customHeight="false" outlineLevel="0" collapsed="false">
      <c r="A25" s="2" t="s">
        <v>234</v>
      </c>
    </row>
    <row r="27" customFormat="false" ht="15" hidden="false" customHeight="false" outlineLevel="0" collapsed="false">
      <c r="A27" s="3" t="s">
        <v>235</v>
      </c>
    </row>
    <row r="28" customFormat="false" ht="27.75" hidden="false" customHeight="true" outlineLevel="0" collapsed="false">
      <c r="A28" s="11" t="s">
        <v>236</v>
      </c>
      <c r="B28" s="11" t="s">
        <v>237</v>
      </c>
      <c r="C28" s="11" t="s">
        <v>238</v>
      </c>
      <c r="D28" s="11" t="s">
        <v>239</v>
      </c>
      <c r="E28" s="11"/>
      <c r="F28" s="11" t="s">
        <v>116</v>
      </c>
    </row>
    <row r="29" customFormat="false" ht="32.8" hidden="false" customHeight="false" outlineLevel="0" collapsed="false">
      <c r="A29" s="12" t="s">
        <v>168</v>
      </c>
      <c r="B29" s="47" t="n">
        <f aca="false">Wezel!$B$31*(1-G15)</f>
        <v>102.4</v>
      </c>
      <c r="C29" s="50" t="n">
        <f aca="false">H15/B15</f>
        <v>2</v>
      </c>
      <c r="D29" s="36" t="n">
        <f aca="false">FLOOR(B29/C29,1)</f>
        <v>51</v>
      </c>
      <c r="F29" s="29" t="s">
        <v>240</v>
      </c>
    </row>
    <row r="30" customFormat="false" ht="22.35" hidden="false" customHeight="false" outlineLevel="0" collapsed="false">
      <c r="A30" s="12" t="s">
        <v>241</v>
      </c>
      <c r="B30" s="47" t="n">
        <f aca="false">Wezel!$B$30*(1-G15)</f>
        <v>25.6</v>
      </c>
      <c r="C30" s="50" t="n">
        <f aca="false">I15/C15</f>
        <v>0.5</v>
      </c>
      <c r="D30" s="36" t="n">
        <f aca="false">FLOOR(B30/C30,1)</f>
        <v>51</v>
      </c>
      <c r="F30" s="29" t="s">
        <v>242</v>
      </c>
    </row>
    <row r="31" customFormat="false" ht="23.85" hidden="false" customHeight="false" outlineLevel="0" collapsed="false">
      <c r="A31" s="12" t="s">
        <v>243</v>
      </c>
      <c r="B31" s="47" t="n">
        <f aca="false">Wezel!$B$32*(1-G15)</f>
        <v>1536</v>
      </c>
      <c r="C31" s="50" t="n">
        <f aca="false">J15/D15</f>
        <v>25</v>
      </c>
      <c r="D31" s="36" t="n">
        <f aca="false">FLOOR(B31/C31,1)</f>
        <v>61</v>
      </c>
      <c r="F31" s="51" t="s">
        <v>244</v>
      </c>
    </row>
    <row r="33" customFormat="false" ht="15" hidden="false" customHeight="false" outlineLevel="0" collapsed="false">
      <c r="A33" s="3" t="s">
        <v>245</v>
      </c>
    </row>
    <row r="34" customFormat="false" ht="27.75" hidden="false" customHeight="true" outlineLevel="0" collapsed="false">
      <c r="A34" s="11" t="s">
        <v>236</v>
      </c>
      <c r="B34" s="11" t="s">
        <v>246</v>
      </c>
      <c r="C34" s="11" t="s">
        <v>237</v>
      </c>
      <c r="D34" s="11" t="s">
        <v>247</v>
      </c>
      <c r="E34" s="11"/>
      <c r="F34" s="11" t="s">
        <v>248</v>
      </c>
    </row>
    <row r="35" customFormat="false" ht="15" hidden="false" customHeight="false" outlineLevel="0" collapsed="false">
      <c r="A35" s="12" t="s">
        <v>168</v>
      </c>
      <c r="B35" s="52" t="n">
        <f aca="false">E15*Zalozenia!$B$30</f>
        <v>25.5</v>
      </c>
      <c r="C35" s="47" t="n">
        <f aca="false">Wezel!$B$31</f>
        <v>128</v>
      </c>
      <c r="D35" s="53" t="n">
        <f aca="false">B35/C35</f>
        <v>0.19921875</v>
      </c>
      <c r="F35" s="54" t="str">
        <f aca="false">IF(D35&gt;0.85,"PRZEKROCZONE — overcommit za agresywny",IF(D35&gt;0.6,"ciasno, ale mieści się","zapas jest"))</f>
        <v>zapas jest</v>
      </c>
    </row>
    <row r="36" customFormat="false" ht="15" hidden="false" customHeight="false" outlineLevel="0" collapsed="false">
      <c r="A36" s="12" t="s">
        <v>241</v>
      </c>
      <c r="B36" s="52" t="n">
        <f aca="false">E15*Zalozenia!$B$31</f>
        <v>4.08</v>
      </c>
      <c r="C36" s="47" t="n">
        <f aca="false">Wezel!$B$30</f>
        <v>32</v>
      </c>
      <c r="D36" s="53" t="n">
        <f aca="false">B36/C36</f>
        <v>0.1275</v>
      </c>
      <c r="F36" s="54" t="str">
        <f aca="false">IF(D36&gt;0.85,"PRZEKROCZONE — overcommit za agresywny",IF(D36&gt;0.6,"ciasno, ale mieści się","zapas jest"))</f>
        <v>zapas jest</v>
      </c>
    </row>
    <row r="37" customFormat="false" ht="15" hidden="false" customHeight="false" outlineLevel="0" collapsed="false">
      <c r="A37" s="12" t="s">
        <v>243</v>
      </c>
      <c r="B37" s="52" t="n">
        <f aca="false">E15*Zalozenia!$B$32</f>
        <v>408</v>
      </c>
      <c r="C37" s="47" t="n">
        <f aca="false">Wezel!$B$32</f>
        <v>1920</v>
      </c>
      <c r="D37" s="53" t="n">
        <f aca="false">B37/C37</f>
        <v>0.2125</v>
      </c>
      <c r="F37" s="54" t="str">
        <f aca="false">IF(D37&gt;0.85,"PRZEKROCZONE — overcommit za agresywny",IF(D37&gt;0.6,"ciasno, ale mieści się","zapas jest"))</f>
        <v>zapas jest</v>
      </c>
    </row>
    <row r="39" customFormat="false" ht="15" hidden="false" customHeight="false" outlineLevel="0" collapsed="false">
      <c r="A39" s="2" t="s">
        <v>249</v>
      </c>
    </row>
    <row r="40" customFormat="false" ht="15" hidden="false" customHeight="false" outlineLevel="0" collapsed="false">
      <c r="A40" s="2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8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252</v>
      </c>
    </row>
    <row r="4" customFormat="false" ht="27.75" hidden="false" customHeight="true" outlineLevel="0" collapsed="false">
      <c r="A4" s="11" t="s">
        <v>40</v>
      </c>
      <c r="B4" s="11" t="s">
        <v>253</v>
      </c>
      <c r="C4" s="11" t="s">
        <v>254</v>
      </c>
      <c r="D4" s="11" t="s">
        <v>255</v>
      </c>
      <c r="E4" s="11" t="s">
        <v>256</v>
      </c>
      <c r="F4" s="11" t="s">
        <v>116</v>
      </c>
    </row>
    <row r="5" customFormat="false" ht="15" hidden="false" customHeight="false" outlineLevel="0" collapsed="false">
      <c r="A5" s="19" t="s">
        <v>185</v>
      </c>
      <c r="B5" s="47" t="n">
        <f aca="false">Gestosc!$E$13</f>
        <v>16</v>
      </c>
      <c r="C5" s="47" t="n">
        <f aca="false">Gestosc!$E$14</f>
        <v>12</v>
      </c>
      <c r="D5" s="47" t="n">
        <f aca="false">Gestosc!$E$15</f>
        <v>51</v>
      </c>
      <c r="E5" s="47" t="n">
        <f aca="false">Gestosc!$E$16</f>
        <v>102</v>
      </c>
      <c r="F5" s="14" t="s">
        <v>257</v>
      </c>
    </row>
    <row r="6" customFormat="false" ht="15" hidden="false" customHeight="false" outlineLevel="0" collapsed="false">
      <c r="A6" s="12" t="s">
        <v>258</v>
      </c>
      <c r="B6" s="55" t="n">
        <f aca="false">B5*Zalozenia!$B$19</f>
        <v>514.267317073171</v>
      </c>
      <c r="C6" s="55" t="n">
        <f aca="false">C5*Zalozenia!$B$19</f>
        <v>385.700487804878</v>
      </c>
      <c r="D6" s="55" t="n">
        <f aca="false">D5*Zalozenia!$B$19</f>
        <v>1639.22707317073</v>
      </c>
      <c r="E6" s="55" t="n">
        <f aca="false">E5*Zalozenia!$B$19</f>
        <v>3278.45414634146</v>
      </c>
      <c r="F6" s="29" t="s">
        <v>259</v>
      </c>
    </row>
    <row r="7" customFormat="false" ht="15" hidden="false" customHeight="false" outlineLevel="0" collapsed="false">
      <c r="A7" s="12" t="s">
        <v>260</v>
      </c>
      <c r="B7" s="55" t="n">
        <f aca="false">-Wezel!$B$29</f>
        <v>-1491.899905</v>
      </c>
      <c r="C7" s="55" t="n">
        <f aca="false">-Wezel!$B$29</f>
        <v>-1491.899905</v>
      </c>
      <c r="D7" s="55" t="n">
        <f aca="false">-Wezel!$B$29</f>
        <v>-1491.899905</v>
      </c>
      <c r="E7" s="55" t="n">
        <f aca="false">-Wezel!$B$29</f>
        <v>-1491.899905</v>
      </c>
      <c r="F7" s="29" t="s">
        <v>261</v>
      </c>
    </row>
    <row r="8" customFormat="false" ht="15" hidden="false" customHeight="false" outlineLevel="0" collapsed="false">
      <c r="A8" s="12" t="s">
        <v>262</v>
      </c>
      <c r="B8" s="55" t="n">
        <f aca="false">-B5*Zalozenia!$B$46</f>
        <v>-96</v>
      </c>
      <c r="C8" s="55" t="n">
        <f aca="false">-C5*Zalozenia!$B$46</f>
        <v>-72</v>
      </c>
      <c r="D8" s="55" t="n">
        <f aca="false">-D5*Zalozenia!$B$46</f>
        <v>-306</v>
      </c>
      <c r="E8" s="55" t="n">
        <f aca="false">-E5*Zalozenia!$B$46</f>
        <v>-612</v>
      </c>
      <c r="F8" s="29" t="s">
        <v>263</v>
      </c>
    </row>
    <row r="9" customFormat="false" ht="22.35" hidden="false" customHeight="false" outlineLevel="0" collapsed="false">
      <c r="A9" s="56" t="s">
        <v>264</v>
      </c>
      <c r="B9" s="57" t="n">
        <f aca="false">SUM(B6:B8)</f>
        <v>-1073.63258792683</v>
      </c>
      <c r="C9" s="57" t="n">
        <f aca="false">SUM(C6:C8)</f>
        <v>-1178.19941719512</v>
      </c>
      <c r="D9" s="57" t="n">
        <f aca="false">SUM(D6:D8)</f>
        <v>-158.672831829268</v>
      </c>
      <c r="E9" s="57" t="n">
        <f aca="false">SUM(E6:E8)</f>
        <v>1174.55424134146</v>
      </c>
      <c r="F9" s="29" t="s">
        <v>265</v>
      </c>
    </row>
    <row r="10" customFormat="false" ht="15" hidden="false" customHeight="false" outlineLevel="0" collapsed="false">
      <c r="A10" s="12" t="s">
        <v>266</v>
      </c>
      <c r="B10" s="40" t="n">
        <f aca="false">IF(B5=0,0,B9/B5)</f>
        <v>-67.1020367454268</v>
      </c>
      <c r="C10" s="40" t="n">
        <f aca="false">IF(C5=0,0,C9/C5)</f>
        <v>-98.1832847662601</v>
      </c>
      <c r="D10" s="40" t="n">
        <f aca="false">IF(D5=0,0,D9/D5)</f>
        <v>-3.11123199665231</v>
      </c>
      <c r="E10" s="40" t="n">
        <f aca="false">IF(E5=0,0,E9/E5)</f>
        <v>11.5152376602104</v>
      </c>
      <c r="F10" s="14" t="s">
        <v>267</v>
      </c>
    </row>
    <row r="11" customFormat="false" ht="15" hidden="false" customHeight="false" outlineLevel="0" collapsed="false">
      <c r="A11" s="12" t="s">
        <v>268</v>
      </c>
      <c r="B11" s="53" t="n">
        <f aca="false">IF(B6=0,0,B9/B6)</f>
        <v>-2.08769360269121</v>
      </c>
      <c r="C11" s="53" t="n">
        <f aca="false">IF(C6=0,0,C9/C6)</f>
        <v>-3.05470035545084</v>
      </c>
      <c r="D11" s="53" t="n">
        <f aca="false">IF(D6=0,0,D9/D6)</f>
        <v>-0.0967973470096182</v>
      </c>
      <c r="E11" s="53" t="n">
        <f aca="false">IF(E6=0,0,E9/E6)</f>
        <v>0.358264654289031</v>
      </c>
    </row>
    <row r="13" customFormat="false" ht="15" hidden="false" customHeight="false" outlineLevel="0" collapsed="false">
      <c r="A13" s="3" t="s">
        <v>269</v>
      </c>
    </row>
    <row r="14" customFormat="false" ht="27.75" hidden="false" customHeight="true" outlineLevel="0" collapsed="false">
      <c r="A14" s="11" t="s">
        <v>40</v>
      </c>
      <c r="B14" s="11" t="s">
        <v>41</v>
      </c>
      <c r="C14" s="11"/>
      <c r="D14" s="11"/>
      <c r="E14" s="11"/>
      <c r="F14" s="11" t="s">
        <v>116</v>
      </c>
    </row>
    <row r="15" customFormat="false" ht="22.35" hidden="false" customHeight="false" outlineLevel="0" collapsed="false">
      <c r="A15" s="12" t="s">
        <v>270</v>
      </c>
      <c r="B15" s="55" t="n">
        <f aca="false">Zalozenia!$B$19-Zalozenia!$B$46</f>
        <v>26.1417073170732</v>
      </c>
      <c r="F15" s="29" t="s">
        <v>271</v>
      </c>
    </row>
    <row r="16" customFormat="false" ht="15" hidden="false" customHeight="false" outlineLevel="0" collapsed="false">
      <c r="A16" s="58" t="s">
        <v>272</v>
      </c>
      <c r="B16" s="59" t="n">
        <f aca="false">IF(B15&lt;=0,"cena nie pokrywa nawet wsparcia",CEILING(Wezel!$B$29/B15,1))</f>
        <v>58</v>
      </c>
      <c r="F16" s="29" t="s">
        <v>273</v>
      </c>
    </row>
    <row r="17" customFormat="false" ht="15" hidden="false" customHeight="false" outlineLevel="0" collapsed="false">
      <c r="A17" s="12" t="s">
        <v>274</v>
      </c>
      <c r="B17" s="60" t="n">
        <f aca="false">IF(ISNUMBER(B16),B16*Zalozenia!$B$23/Wezel!$B$31,"—")</f>
        <v>3.625</v>
      </c>
      <c r="F17" s="29" t="s">
        <v>275</v>
      </c>
    </row>
    <row r="18" customFormat="false" ht="23.85" hidden="false" customHeight="false" outlineLevel="0" collapsed="false">
      <c r="A18" s="12" t="s">
        <v>276</v>
      </c>
      <c r="B18" s="61" t="n">
        <f aca="false">IF(ISNUMBER(B16),B16*Zalozenia!$B$25/Wezel!$B$32,"—")</f>
        <v>1.51041666666667</v>
      </c>
      <c r="F18" s="51" t="s">
        <v>277</v>
      </c>
    </row>
    <row r="19" customFormat="false" ht="22.35" hidden="false" customHeight="false" outlineLevel="0" collapsed="false">
      <c r="A19" s="12" t="s">
        <v>278</v>
      </c>
      <c r="B19" s="53" t="n">
        <f aca="false">IF(ISNUMBER(B16),B16*Zalozenia!$B$32/Wezel!$B$32,"—")</f>
        <v>0.241666666666667</v>
      </c>
      <c r="F19" s="29" t="s">
        <v>279</v>
      </c>
    </row>
    <row r="21" customFormat="false" ht="15" hidden="false" customHeight="false" outlineLevel="0" collapsed="false">
      <c r="A21" s="3" t="s">
        <v>280</v>
      </c>
    </row>
    <row r="22" customFormat="false" ht="22.35" hidden="false" customHeight="false" outlineLevel="0" collapsed="false">
      <c r="A22" s="42" t="s">
        <v>281</v>
      </c>
      <c r="B22" s="39" t="n">
        <f aca="false">IF(C5=0,"—",(Wezel!$B$29/C5+Zalozenia!$B$46)/(1-Zalozenia!$B$15)*(1+Zalozenia!$B$8))</f>
        <v>163.404424324669</v>
      </c>
      <c r="F22" s="29" t="s">
        <v>282</v>
      </c>
    </row>
    <row r="23" customFormat="false" ht="15" hidden="false" customHeight="false" outlineLevel="0" collapsed="false">
      <c r="A23" s="12" t="s">
        <v>283</v>
      </c>
      <c r="B23" s="35" t="n">
        <f aca="false">IF(D5=0,"—",(Wezel!$B$29/D5+Zalozenia!$B$46)/(1-Zalozenia!$B$15)*(1+Zalozenia!$B$8))</f>
        <v>44.2009330844876</v>
      </c>
      <c r="F23" s="29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285</v>
      </c>
    </row>
    <row r="2" customFormat="false" ht="15" hidden="false" customHeight="false" outlineLevel="0" collapsed="false">
      <c r="A2" s="2" t="s">
        <v>286</v>
      </c>
    </row>
    <row r="4" customFormat="false" ht="15" hidden="false" customHeight="false" outlineLevel="0" collapsed="false">
      <c r="A4" s="3" t="s">
        <v>287</v>
      </c>
    </row>
    <row r="5" customFormat="false" ht="15" hidden="false" customHeight="false" outlineLevel="0" collapsed="false">
      <c r="A5" s="62" t="s">
        <v>288</v>
      </c>
      <c r="B5" s="63" t="n">
        <v>39</v>
      </c>
      <c r="C5" s="63" t="n">
        <v>45</v>
      </c>
      <c r="D5" s="63" t="n">
        <v>49</v>
      </c>
      <c r="E5" s="63" t="n">
        <v>59</v>
      </c>
      <c r="F5" s="63" t="n">
        <v>69</v>
      </c>
      <c r="G5" s="63" t="n">
        <v>79</v>
      </c>
    </row>
    <row r="6" customFormat="false" ht="15" hidden="false" customHeight="false" outlineLevel="0" collapsed="false">
      <c r="A6" s="44" t="n">
        <v>1</v>
      </c>
      <c r="B6" s="64" t="n">
        <f aca="false">FLOOR(MIN(Wezel!$B$31*(1-Zalozenia!$B$36)*$A6/Zalozenia!$B$23,Wezel!$B$30*(1-Zalozenia!$B$36)*$A6/Zalozenia!$B$24,Wezel!$B$32*(1-Zalozenia!$B$36)*MAX($A6/2,1)/Zalozenia!$B$25),1)*((39/(1+Zalozenia!$B$8)*(1-Zalozenia!$B$14)+39*(Zalozenia!$B$13/Zalozenia!$B$12/12)/(1+Zalozenia!$B$8)*Zalozenia!$B$14)*(1-Zalozenia!$B$15)-Zalozenia!$B$46)-Wezel!$B$29</f>
        <v>-1229.62614890244</v>
      </c>
      <c r="C6" s="64" t="n">
        <f aca="false">FLOOR(MIN(Wezel!$B$31*(1-Zalozenia!$B$36)*$A6/Zalozenia!$B$23,Wezel!$B$30*(1-Zalozenia!$B$36)*$A6/Zalozenia!$B$24,Wezel!$B$32*(1-Zalozenia!$B$36)*MAX($A6/2,1)/Zalozenia!$B$25),1)*((45/(1+Zalozenia!$B$8)*(1-Zalozenia!$B$14)+45*(Zalozenia!$B$13/Zalozenia!$B$12/12)/(1+Zalozenia!$B$8)*Zalozenia!$B$14)*(1-Zalozenia!$B$15)-Zalozenia!$B$46)-Wezel!$B$29</f>
        <v>-1178.19941719512</v>
      </c>
      <c r="D6" s="64" t="n">
        <f aca="false">FLOOR(MIN(Wezel!$B$31*(1-Zalozenia!$B$36)*$A6/Zalozenia!$B$23,Wezel!$B$30*(1-Zalozenia!$B$36)*$A6/Zalozenia!$B$24,Wezel!$B$32*(1-Zalozenia!$B$36)*MAX($A6/2,1)/Zalozenia!$B$25),1)*((49/(1+Zalozenia!$B$8)*(1-Zalozenia!$B$14)+49*(Zalozenia!$B$13/Zalozenia!$B$12/12)/(1+Zalozenia!$B$8)*Zalozenia!$B$14)*(1-Zalozenia!$B$15)-Zalozenia!$B$46)-Wezel!$B$29</f>
        <v>-1143.91492939024</v>
      </c>
      <c r="E6" s="64" t="n">
        <f aca="false">FLOOR(MIN(Wezel!$B$31*(1-Zalozenia!$B$36)*$A6/Zalozenia!$B$23,Wezel!$B$30*(1-Zalozenia!$B$36)*$A6/Zalozenia!$B$24,Wezel!$B$32*(1-Zalozenia!$B$36)*MAX($A6/2,1)/Zalozenia!$B$25),1)*((59/(1+Zalozenia!$B$8)*(1-Zalozenia!$B$14)+59*(Zalozenia!$B$13/Zalozenia!$B$12/12)/(1+Zalozenia!$B$8)*Zalozenia!$B$14)*(1-Zalozenia!$B$15)-Zalozenia!$B$46)-Wezel!$B$29</f>
        <v>-1058.20370987805</v>
      </c>
      <c r="F6" s="64" t="n">
        <f aca="false">FLOOR(MIN(Wezel!$B$31*(1-Zalozenia!$B$36)*$A6/Zalozenia!$B$23,Wezel!$B$30*(1-Zalozenia!$B$36)*$A6/Zalozenia!$B$24,Wezel!$B$32*(1-Zalozenia!$B$36)*MAX($A6/2,1)/Zalozenia!$B$25),1)*((69/(1+Zalozenia!$B$8)*(1-Zalozenia!$B$14)+69*(Zalozenia!$B$13/Zalozenia!$B$12/12)/(1+Zalozenia!$B$8)*Zalozenia!$B$14)*(1-Zalozenia!$B$15)-Zalozenia!$B$46)-Wezel!$B$29</f>
        <v>-972.492490365853</v>
      </c>
      <c r="G6" s="64" t="n">
        <f aca="false">FLOOR(MIN(Wezel!$B$31*(1-Zalozenia!$B$36)*$A6/Zalozenia!$B$23,Wezel!$B$30*(1-Zalozenia!$B$36)*$A6/Zalozenia!$B$24,Wezel!$B$32*(1-Zalozenia!$B$36)*MAX($A6/2,1)/Zalozenia!$B$25),1)*((79/(1+Zalozenia!$B$8)*(1-Zalozenia!$B$14)+79*(Zalozenia!$B$13/Zalozenia!$B$12/12)/(1+Zalozenia!$B$8)*Zalozenia!$B$14)*(1-Zalozenia!$B$15)-Zalozenia!$B$46)-Wezel!$B$29</f>
        <v>-886.781270853658</v>
      </c>
    </row>
    <row r="7" customFormat="false" ht="15" hidden="false" customHeight="false" outlineLevel="0" collapsed="false">
      <c r="A7" s="44" t="n">
        <v>2</v>
      </c>
      <c r="B7" s="64" t="n">
        <f aca="false">FLOOR(MIN(Wezel!$B$31*(1-Zalozenia!$B$36)*$A7/Zalozenia!$B$23,Wezel!$B$30*(1-Zalozenia!$B$36)*$A7/Zalozenia!$B$24,Wezel!$B$32*(1-Zalozenia!$B$36)*MAX($A7/2,1)/Zalozenia!$B$25),1)*((39/(1+Zalozenia!$B$8)*(1-Zalozenia!$B$14)+39*(Zalozenia!$B$13/Zalozenia!$B$12/12)/(1+Zalozenia!$B$8)*Zalozenia!$B$14)*(1-Zalozenia!$B$15)-Zalozenia!$B$46)-Wezel!$B$29</f>
        <v>-945.496246463414</v>
      </c>
      <c r="C7" s="64" t="n">
        <f aca="false">FLOOR(MIN(Wezel!$B$31*(1-Zalozenia!$B$36)*$A7/Zalozenia!$B$23,Wezel!$B$30*(1-Zalozenia!$B$36)*$A7/Zalozenia!$B$24,Wezel!$B$32*(1-Zalozenia!$B$36)*MAX($A7/2,1)/Zalozenia!$B$25),1)*((45/(1+Zalozenia!$B$8)*(1-Zalozenia!$B$14)+45*(Zalozenia!$B$13/Zalozenia!$B$12/12)/(1+Zalozenia!$B$8)*Zalozenia!$B$14)*(1-Zalozenia!$B$15)-Zalozenia!$B$46)-Wezel!$B$29</f>
        <v>-838.357222073171</v>
      </c>
      <c r="D7" s="64" t="n">
        <f aca="false">FLOOR(MIN(Wezel!$B$31*(1-Zalozenia!$B$36)*$A7/Zalozenia!$B$23,Wezel!$B$30*(1-Zalozenia!$B$36)*$A7/Zalozenia!$B$24,Wezel!$B$32*(1-Zalozenia!$B$36)*MAX($A7/2,1)/Zalozenia!$B$25),1)*((49/(1+Zalozenia!$B$8)*(1-Zalozenia!$B$14)+49*(Zalozenia!$B$13/Zalozenia!$B$12/12)/(1+Zalozenia!$B$8)*Zalozenia!$B$14)*(1-Zalozenia!$B$15)-Zalozenia!$B$46)-Wezel!$B$29</f>
        <v>-766.931205813008</v>
      </c>
      <c r="E7" s="64" t="n">
        <f aca="false">FLOOR(MIN(Wezel!$B$31*(1-Zalozenia!$B$36)*$A7/Zalozenia!$B$23,Wezel!$B$30*(1-Zalozenia!$B$36)*$A7/Zalozenia!$B$24,Wezel!$B$32*(1-Zalozenia!$B$36)*MAX($A7/2,1)/Zalozenia!$B$25),1)*((59/(1+Zalozenia!$B$8)*(1-Zalozenia!$B$14)+59*(Zalozenia!$B$13/Zalozenia!$B$12/12)/(1+Zalozenia!$B$8)*Zalozenia!$B$14)*(1-Zalozenia!$B$15)-Zalozenia!$B$46)-Wezel!$B$29</f>
        <v>-588.366165162601</v>
      </c>
      <c r="F7" s="64" t="n">
        <f aca="false">FLOOR(MIN(Wezel!$B$31*(1-Zalozenia!$B$36)*$A7/Zalozenia!$B$23,Wezel!$B$30*(1-Zalozenia!$B$36)*$A7/Zalozenia!$B$24,Wezel!$B$32*(1-Zalozenia!$B$36)*MAX($A7/2,1)/Zalozenia!$B$25),1)*((69/(1+Zalozenia!$B$8)*(1-Zalozenia!$B$14)+69*(Zalozenia!$B$13/Zalozenia!$B$12/12)/(1+Zalozenia!$B$8)*Zalozenia!$B$14)*(1-Zalozenia!$B$15)-Zalozenia!$B$46)-Wezel!$B$29</f>
        <v>-409.801124512195</v>
      </c>
      <c r="G7" s="64" t="n">
        <f aca="false">FLOOR(MIN(Wezel!$B$31*(1-Zalozenia!$B$36)*$A7/Zalozenia!$B$23,Wezel!$B$30*(1-Zalozenia!$B$36)*$A7/Zalozenia!$B$24,Wezel!$B$32*(1-Zalozenia!$B$36)*MAX($A7/2,1)/Zalozenia!$B$25),1)*((79/(1+Zalozenia!$B$8)*(1-Zalozenia!$B$14)+79*(Zalozenia!$B$13/Zalozenia!$B$12/12)/(1+Zalozenia!$B$8)*Zalozenia!$B$14)*(1-Zalozenia!$B$15)-Zalozenia!$B$46)-Wezel!$B$29</f>
        <v>-231.236083861788</v>
      </c>
    </row>
    <row r="8" customFormat="false" ht="15" hidden="false" customHeight="false" outlineLevel="0" collapsed="false">
      <c r="A8" s="44" t="n">
        <v>3</v>
      </c>
      <c r="B8" s="64" t="n">
        <f aca="false">FLOOR(MIN(Wezel!$B$31*(1-Zalozenia!$B$36)*$A8/Zalozenia!$B$23,Wezel!$B$30*(1-Zalozenia!$B$36)*$A8/Zalozenia!$B$24,Wezel!$B$32*(1-Zalozenia!$B$36)*MAX($A8/2,1)/Zalozenia!$B$25),1)*((39/(1+Zalozenia!$B$8)*(1-Zalozenia!$B$14)+39*(Zalozenia!$B$13/Zalozenia!$B$12/12)/(1+Zalozenia!$B$8)*Zalozenia!$B$14)*(1-Zalozenia!$B$15)-Zalozenia!$B$46)-Wezel!$B$29</f>
        <v>-661.36634402439</v>
      </c>
      <c r="C8" s="64" t="n">
        <f aca="false">FLOOR(MIN(Wezel!$B$31*(1-Zalozenia!$B$36)*$A8/Zalozenia!$B$23,Wezel!$B$30*(1-Zalozenia!$B$36)*$A8/Zalozenia!$B$24,Wezel!$B$32*(1-Zalozenia!$B$36)*MAX($A8/2,1)/Zalozenia!$B$25),1)*((45/(1+Zalozenia!$B$8)*(1-Zalozenia!$B$14)+45*(Zalozenia!$B$13/Zalozenia!$B$12/12)/(1+Zalozenia!$B$8)*Zalozenia!$B$14)*(1-Zalozenia!$B$15)-Zalozenia!$B$46)-Wezel!$B$29</f>
        <v>-498.515026951219</v>
      </c>
      <c r="D8" s="64" t="n">
        <f aca="false">FLOOR(MIN(Wezel!$B$31*(1-Zalozenia!$B$36)*$A8/Zalozenia!$B$23,Wezel!$B$30*(1-Zalozenia!$B$36)*$A8/Zalozenia!$B$24,Wezel!$B$32*(1-Zalozenia!$B$36)*MAX($A8/2,1)/Zalozenia!$B$25),1)*((49/(1+Zalozenia!$B$8)*(1-Zalozenia!$B$14)+49*(Zalozenia!$B$13/Zalozenia!$B$12/12)/(1+Zalozenia!$B$8)*Zalozenia!$B$14)*(1-Zalozenia!$B$15)-Zalozenia!$B$46)-Wezel!$B$29</f>
        <v>-389.947482235772</v>
      </c>
      <c r="E8" s="64" t="n">
        <f aca="false">FLOOR(MIN(Wezel!$B$31*(1-Zalozenia!$B$36)*$A8/Zalozenia!$B$23,Wezel!$B$30*(1-Zalozenia!$B$36)*$A8/Zalozenia!$B$24,Wezel!$B$32*(1-Zalozenia!$B$36)*MAX($A8/2,1)/Zalozenia!$B$25),1)*((59/(1+Zalozenia!$B$8)*(1-Zalozenia!$B$14)+59*(Zalozenia!$B$13/Zalozenia!$B$12/12)/(1+Zalozenia!$B$8)*Zalozenia!$B$14)*(1-Zalozenia!$B$15)-Zalozenia!$B$46)-Wezel!$B$29</f>
        <v>-118.528620447154</v>
      </c>
      <c r="F8" s="64" t="n">
        <f aca="false">FLOOR(MIN(Wezel!$B$31*(1-Zalozenia!$B$36)*$A8/Zalozenia!$B$23,Wezel!$B$30*(1-Zalozenia!$B$36)*$A8/Zalozenia!$B$24,Wezel!$B$32*(1-Zalozenia!$B$36)*MAX($A8/2,1)/Zalozenia!$B$25),1)*((69/(1+Zalozenia!$B$8)*(1-Zalozenia!$B$14)+69*(Zalozenia!$B$13/Zalozenia!$B$12/12)/(1+Zalozenia!$B$8)*Zalozenia!$B$14)*(1-Zalozenia!$B$15)-Zalozenia!$B$46)-Wezel!$B$29</f>
        <v>152.890241341463</v>
      </c>
      <c r="G8" s="64" t="n">
        <f aca="false">FLOOR(MIN(Wezel!$B$31*(1-Zalozenia!$B$36)*$A8/Zalozenia!$B$23,Wezel!$B$30*(1-Zalozenia!$B$36)*$A8/Zalozenia!$B$24,Wezel!$B$32*(1-Zalozenia!$B$36)*MAX($A8/2,1)/Zalozenia!$B$25),1)*((79/(1+Zalozenia!$B$8)*(1-Zalozenia!$B$14)+79*(Zalozenia!$B$13/Zalozenia!$B$12/12)/(1+Zalozenia!$B$8)*Zalozenia!$B$14)*(1-Zalozenia!$B$15)-Zalozenia!$B$46)-Wezel!$B$29</f>
        <v>424.309103130082</v>
      </c>
    </row>
    <row r="9" customFormat="false" ht="15" hidden="false" customHeight="false" outlineLevel="0" collapsed="false">
      <c r="A9" s="44" t="n">
        <v>4</v>
      </c>
      <c r="B9" s="64" t="n">
        <f aca="false">FLOOR(MIN(Wezel!$B$31*(1-Zalozenia!$B$36)*$A9/Zalozenia!$B$23,Wezel!$B$30*(1-Zalozenia!$B$36)*$A9/Zalozenia!$B$24,Wezel!$B$32*(1-Zalozenia!$B$36)*MAX($A9/2,1)/Zalozenia!$B$25),1)*((39/(1+Zalozenia!$B$8)*(1-Zalozenia!$B$14)+39*(Zalozenia!$B$13/Zalozenia!$B$12/12)/(1+Zalozenia!$B$8)*Zalozenia!$B$14)*(1-Zalozenia!$B$15)-Zalozenia!$B$46)-Wezel!$B$29</f>
        <v>-377.236441585366</v>
      </c>
      <c r="C9" s="64" t="n">
        <f aca="false">FLOOR(MIN(Wezel!$B$31*(1-Zalozenia!$B$36)*$A9/Zalozenia!$B$23,Wezel!$B$30*(1-Zalozenia!$B$36)*$A9/Zalozenia!$B$24,Wezel!$B$32*(1-Zalozenia!$B$36)*MAX($A9/2,1)/Zalozenia!$B$25),1)*((45/(1+Zalozenia!$B$8)*(1-Zalozenia!$B$14)+45*(Zalozenia!$B$13/Zalozenia!$B$12/12)/(1+Zalozenia!$B$8)*Zalozenia!$B$14)*(1-Zalozenia!$B$15)-Zalozenia!$B$46)-Wezel!$B$29</f>
        <v>-158.672831829268</v>
      </c>
      <c r="D9" s="64" t="n">
        <f aca="false">FLOOR(MIN(Wezel!$B$31*(1-Zalozenia!$B$36)*$A9/Zalozenia!$B$23,Wezel!$B$30*(1-Zalozenia!$B$36)*$A9/Zalozenia!$B$24,Wezel!$B$32*(1-Zalozenia!$B$36)*MAX($A9/2,1)/Zalozenia!$B$25),1)*((49/(1+Zalozenia!$B$8)*(1-Zalozenia!$B$14)+49*(Zalozenia!$B$13/Zalozenia!$B$12/12)/(1+Zalozenia!$B$8)*Zalozenia!$B$14)*(1-Zalozenia!$B$15)-Zalozenia!$B$46)-Wezel!$B$29</f>
        <v>-12.9637586585363</v>
      </c>
      <c r="E9" s="64" t="n">
        <f aca="false">FLOOR(MIN(Wezel!$B$31*(1-Zalozenia!$B$36)*$A9/Zalozenia!$B$23,Wezel!$B$30*(1-Zalozenia!$B$36)*$A9/Zalozenia!$B$24,Wezel!$B$32*(1-Zalozenia!$B$36)*MAX($A9/2,1)/Zalozenia!$B$25),1)*((59/(1+Zalozenia!$B$8)*(1-Zalozenia!$B$14)+59*(Zalozenia!$B$13/Zalozenia!$B$12/12)/(1+Zalozenia!$B$8)*Zalozenia!$B$14)*(1-Zalozenia!$B$15)-Zalozenia!$B$46)-Wezel!$B$29</f>
        <v>351.308924268293</v>
      </c>
      <c r="F9" s="64" t="n">
        <f aca="false">FLOOR(MIN(Wezel!$B$31*(1-Zalozenia!$B$36)*$A9/Zalozenia!$B$23,Wezel!$B$30*(1-Zalozenia!$B$36)*$A9/Zalozenia!$B$24,Wezel!$B$32*(1-Zalozenia!$B$36)*MAX($A9/2,1)/Zalozenia!$B$25),1)*((69/(1+Zalozenia!$B$8)*(1-Zalozenia!$B$14)+69*(Zalozenia!$B$13/Zalozenia!$B$12/12)/(1+Zalozenia!$B$8)*Zalozenia!$B$14)*(1-Zalozenia!$B$15)-Zalozenia!$B$46)-Wezel!$B$29</f>
        <v>715.581607195122</v>
      </c>
      <c r="G9" s="64" t="n">
        <f aca="false">FLOOR(MIN(Wezel!$B$31*(1-Zalozenia!$B$36)*$A9/Zalozenia!$B$23,Wezel!$B$30*(1-Zalozenia!$B$36)*$A9/Zalozenia!$B$24,Wezel!$B$32*(1-Zalozenia!$B$36)*MAX($A9/2,1)/Zalozenia!$B$25),1)*((79/(1+Zalozenia!$B$8)*(1-Zalozenia!$B$14)+79*(Zalozenia!$B$13/Zalozenia!$B$12/12)/(1+Zalozenia!$B$8)*Zalozenia!$B$14)*(1-Zalozenia!$B$15)-Zalozenia!$B$46)-Wezel!$B$29</f>
        <v>1079.85429012195</v>
      </c>
    </row>
    <row r="10" customFormat="false" ht="15" hidden="false" customHeight="false" outlineLevel="0" collapsed="false">
      <c r="A10" s="44" t="n">
        <v>5</v>
      </c>
      <c r="B10" s="64" t="n">
        <f aca="false">FLOOR(MIN(Wezel!$B$31*(1-Zalozenia!$B$36)*$A10/Zalozenia!$B$23,Wezel!$B$30*(1-Zalozenia!$B$36)*$A10/Zalozenia!$B$24,Wezel!$B$32*(1-Zalozenia!$B$36)*MAX($A10/2,1)/Zalozenia!$B$25),1)*((39/(1+Zalozenia!$B$8)*(1-Zalozenia!$B$14)+39*(Zalozenia!$B$13/Zalozenia!$B$12/12)/(1+Zalozenia!$B$8)*Zalozenia!$B$14)*(1-Zalozenia!$B$15)-Zalozenia!$B$46)-Wezel!$B$29</f>
        <v>-93.1065391463412</v>
      </c>
      <c r="C10" s="64" t="n">
        <f aca="false">FLOOR(MIN(Wezel!$B$31*(1-Zalozenia!$B$36)*$A10/Zalozenia!$B$23,Wezel!$B$30*(1-Zalozenia!$B$36)*$A10/Zalozenia!$B$24,Wezel!$B$32*(1-Zalozenia!$B$36)*MAX($A10/2,1)/Zalozenia!$B$25),1)*((45/(1+Zalozenia!$B$8)*(1-Zalozenia!$B$14)+45*(Zalozenia!$B$13/Zalozenia!$B$12/12)/(1+Zalozenia!$B$8)*Zalozenia!$B$14)*(1-Zalozenia!$B$15)-Zalozenia!$B$46)-Wezel!$B$29</f>
        <v>181.169363292683</v>
      </c>
      <c r="D10" s="64" t="n">
        <f aca="false">FLOOR(MIN(Wezel!$B$31*(1-Zalozenia!$B$36)*$A10/Zalozenia!$B$23,Wezel!$B$30*(1-Zalozenia!$B$36)*$A10/Zalozenia!$B$24,Wezel!$B$32*(1-Zalozenia!$B$36)*MAX($A10/2,1)/Zalozenia!$B$25),1)*((49/(1+Zalozenia!$B$8)*(1-Zalozenia!$B$14)+49*(Zalozenia!$B$13/Zalozenia!$B$12/12)/(1+Zalozenia!$B$8)*Zalozenia!$B$14)*(1-Zalozenia!$B$15)-Zalozenia!$B$46)-Wezel!$B$29</f>
        <v>364.019964918699</v>
      </c>
      <c r="E10" s="64" t="n">
        <f aca="false">FLOOR(MIN(Wezel!$B$31*(1-Zalozenia!$B$36)*$A10/Zalozenia!$B$23,Wezel!$B$30*(1-Zalozenia!$B$36)*$A10/Zalozenia!$B$24,Wezel!$B$32*(1-Zalozenia!$B$36)*MAX($A10/2,1)/Zalozenia!$B$25),1)*((59/(1+Zalozenia!$B$8)*(1-Zalozenia!$B$14)+59*(Zalozenia!$B$13/Zalozenia!$B$12/12)/(1+Zalozenia!$B$8)*Zalozenia!$B$14)*(1-Zalozenia!$B$15)-Zalozenia!$B$46)-Wezel!$B$29</f>
        <v>821.14646898374</v>
      </c>
      <c r="F10" s="64" t="n">
        <f aca="false">FLOOR(MIN(Wezel!$B$31*(1-Zalozenia!$B$36)*$A10/Zalozenia!$B$23,Wezel!$B$30*(1-Zalozenia!$B$36)*$A10/Zalozenia!$B$24,Wezel!$B$32*(1-Zalozenia!$B$36)*MAX($A10/2,1)/Zalozenia!$B$25),1)*((69/(1+Zalozenia!$B$8)*(1-Zalozenia!$B$14)+69*(Zalozenia!$B$13/Zalozenia!$B$12/12)/(1+Zalozenia!$B$8)*Zalozenia!$B$14)*(1-Zalozenia!$B$15)-Zalozenia!$B$46)-Wezel!$B$29</f>
        <v>1278.27297304878</v>
      </c>
      <c r="G10" s="64" t="n">
        <f aca="false">FLOOR(MIN(Wezel!$B$31*(1-Zalozenia!$B$36)*$A10/Zalozenia!$B$23,Wezel!$B$30*(1-Zalozenia!$B$36)*$A10/Zalozenia!$B$24,Wezel!$B$32*(1-Zalozenia!$B$36)*MAX($A10/2,1)/Zalozenia!$B$25),1)*((79/(1+Zalozenia!$B$8)*(1-Zalozenia!$B$14)+79*(Zalozenia!$B$13/Zalozenia!$B$12/12)/(1+Zalozenia!$B$8)*Zalozenia!$B$14)*(1-Zalozenia!$B$15)-Zalozenia!$B$46)-Wezel!$B$29</f>
        <v>1735.39947711382</v>
      </c>
    </row>
    <row r="11" customFormat="false" ht="15" hidden="false" customHeight="false" outlineLevel="0" collapsed="false">
      <c r="A11" s="44" t="n">
        <v>6</v>
      </c>
      <c r="B11" s="64" t="n">
        <f aca="false">FLOOR(MIN(Wezel!$B$31*(1-Zalozenia!$B$36)*$A11/Zalozenia!$B$23,Wezel!$B$30*(1-Zalozenia!$B$36)*$A11/Zalozenia!$B$24,Wezel!$B$32*(1-Zalozenia!$B$36)*MAX($A11/2,1)/Zalozenia!$B$25),1)*((39/(1+Zalozenia!$B$8)*(1-Zalozenia!$B$14)+39*(Zalozenia!$B$13/Zalozenia!$B$12/12)/(1+Zalozenia!$B$8)*Zalozenia!$B$14)*(1-Zalozenia!$B$15)-Zalozenia!$B$46)-Wezel!$B$29</f>
        <v>169.16721695122</v>
      </c>
      <c r="C11" s="64" t="n">
        <f aca="false">FLOOR(MIN(Wezel!$B$31*(1-Zalozenia!$B$36)*$A11/Zalozenia!$B$23,Wezel!$B$30*(1-Zalozenia!$B$36)*$A11/Zalozenia!$B$24,Wezel!$B$32*(1-Zalozenia!$B$36)*MAX($A11/2,1)/Zalozenia!$B$25),1)*((45/(1+Zalozenia!$B$8)*(1-Zalozenia!$B$14)+45*(Zalozenia!$B$13/Zalozenia!$B$12/12)/(1+Zalozenia!$B$8)*Zalozenia!$B$14)*(1-Zalozenia!$B$15)-Zalozenia!$B$46)-Wezel!$B$29</f>
        <v>494.869851097561</v>
      </c>
      <c r="D11" s="64" t="n">
        <f aca="false">FLOOR(MIN(Wezel!$B$31*(1-Zalozenia!$B$36)*$A11/Zalozenia!$B$23,Wezel!$B$30*(1-Zalozenia!$B$36)*$A11/Zalozenia!$B$24,Wezel!$B$32*(1-Zalozenia!$B$36)*MAX($A11/2,1)/Zalozenia!$B$25),1)*((49/(1+Zalozenia!$B$8)*(1-Zalozenia!$B$14)+49*(Zalozenia!$B$13/Zalozenia!$B$12/12)/(1+Zalozenia!$B$8)*Zalozenia!$B$14)*(1-Zalozenia!$B$15)-Zalozenia!$B$46)-Wezel!$B$29</f>
        <v>712.004940528455</v>
      </c>
      <c r="E11" s="64" t="n">
        <f aca="false">FLOOR(MIN(Wezel!$B$31*(1-Zalozenia!$B$36)*$A11/Zalozenia!$B$23,Wezel!$B$30*(1-Zalozenia!$B$36)*$A11/Zalozenia!$B$24,Wezel!$B$32*(1-Zalozenia!$B$36)*MAX($A11/2,1)/Zalozenia!$B$25),1)*((59/(1+Zalozenia!$B$8)*(1-Zalozenia!$B$14)+59*(Zalozenia!$B$13/Zalozenia!$B$12/12)/(1+Zalozenia!$B$8)*Zalozenia!$B$14)*(1-Zalozenia!$B$15)-Zalozenia!$B$46)-Wezel!$B$29</f>
        <v>1254.84266410569</v>
      </c>
      <c r="F11" s="64" t="n">
        <f aca="false">FLOOR(MIN(Wezel!$B$31*(1-Zalozenia!$B$36)*$A11/Zalozenia!$B$23,Wezel!$B$30*(1-Zalozenia!$B$36)*$A11/Zalozenia!$B$24,Wezel!$B$32*(1-Zalozenia!$B$36)*MAX($A11/2,1)/Zalozenia!$B$25),1)*((69/(1+Zalozenia!$B$8)*(1-Zalozenia!$B$14)+69*(Zalozenia!$B$13/Zalozenia!$B$12/12)/(1+Zalozenia!$B$8)*Zalozenia!$B$14)*(1-Zalozenia!$B$15)-Zalozenia!$B$46)-Wezel!$B$29</f>
        <v>1797.68038768293</v>
      </c>
      <c r="G11" s="64" t="n">
        <f aca="false">FLOOR(MIN(Wezel!$B$31*(1-Zalozenia!$B$36)*$A11/Zalozenia!$B$23,Wezel!$B$30*(1-Zalozenia!$B$36)*$A11/Zalozenia!$B$24,Wezel!$B$32*(1-Zalozenia!$B$36)*MAX($A11/2,1)/Zalozenia!$B$25),1)*((79/(1+Zalozenia!$B$8)*(1-Zalozenia!$B$14)+79*(Zalozenia!$B$13/Zalozenia!$B$12/12)/(1+Zalozenia!$B$8)*Zalozenia!$B$14)*(1-Zalozenia!$B$15)-Zalozenia!$B$46)-Wezel!$B$29</f>
        <v>2340.51811126016</v>
      </c>
    </row>
    <row r="12" customFormat="false" ht="15" hidden="false" customHeight="false" outlineLevel="0" collapsed="false">
      <c r="A12" s="44" t="n">
        <v>8</v>
      </c>
      <c r="B12" s="64" t="n">
        <f aca="false">FLOOR(MIN(Wezel!$B$31*(1-Zalozenia!$B$36)*$A12/Zalozenia!$B$23,Wezel!$B$30*(1-Zalozenia!$B$36)*$A12/Zalozenia!$B$24,Wezel!$B$32*(1-Zalozenia!$B$36)*MAX($A12/2,1)/Zalozenia!$B$25),1)*((39/(1+Zalozenia!$B$8)*(1-Zalozenia!$B$14)+39*(Zalozenia!$B$13/Zalozenia!$B$12/12)/(1+Zalozenia!$B$8)*Zalozenia!$B$14)*(1-Zalozenia!$B$15)-Zalozenia!$B$46)-Wezel!$B$29</f>
        <v>737.427021829269</v>
      </c>
      <c r="C12" s="64" t="n">
        <f aca="false">FLOOR(MIN(Wezel!$B$31*(1-Zalozenia!$B$36)*$A12/Zalozenia!$B$23,Wezel!$B$30*(1-Zalozenia!$B$36)*$A12/Zalozenia!$B$24,Wezel!$B$32*(1-Zalozenia!$B$36)*MAX($A12/2,1)/Zalozenia!$B$25),1)*((45/(1+Zalozenia!$B$8)*(1-Zalozenia!$B$14)+45*(Zalozenia!$B$13/Zalozenia!$B$12/12)/(1+Zalozenia!$B$8)*Zalozenia!$B$14)*(1-Zalozenia!$B$15)-Zalozenia!$B$46)-Wezel!$B$29</f>
        <v>1174.55424134146</v>
      </c>
      <c r="D12" s="64" t="n">
        <f aca="false">FLOOR(MIN(Wezel!$B$31*(1-Zalozenia!$B$36)*$A12/Zalozenia!$B$23,Wezel!$B$30*(1-Zalozenia!$B$36)*$A12/Zalozenia!$B$24,Wezel!$B$32*(1-Zalozenia!$B$36)*MAX($A12/2,1)/Zalozenia!$B$25),1)*((49/(1+Zalozenia!$B$8)*(1-Zalozenia!$B$14)+49*(Zalozenia!$B$13/Zalozenia!$B$12/12)/(1+Zalozenia!$B$8)*Zalozenia!$B$14)*(1-Zalozenia!$B$15)-Zalozenia!$B$46)-Wezel!$B$29</f>
        <v>1465.97238768293</v>
      </c>
      <c r="E12" s="64" t="n">
        <f aca="false">FLOOR(MIN(Wezel!$B$31*(1-Zalozenia!$B$36)*$A12/Zalozenia!$B$23,Wezel!$B$30*(1-Zalozenia!$B$36)*$A12/Zalozenia!$B$24,Wezel!$B$32*(1-Zalozenia!$B$36)*MAX($A12/2,1)/Zalozenia!$B$25),1)*((59/(1+Zalozenia!$B$8)*(1-Zalozenia!$B$14)+59*(Zalozenia!$B$13/Zalozenia!$B$12/12)/(1+Zalozenia!$B$8)*Zalozenia!$B$14)*(1-Zalozenia!$B$15)-Zalozenia!$B$46)-Wezel!$B$29</f>
        <v>2194.51775353659</v>
      </c>
      <c r="F12" s="64" t="n">
        <f aca="false">FLOOR(MIN(Wezel!$B$31*(1-Zalozenia!$B$36)*$A12/Zalozenia!$B$23,Wezel!$B$30*(1-Zalozenia!$B$36)*$A12/Zalozenia!$B$24,Wezel!$B$32*(1-Zalozenia!$B$36)*MAX($A12/2,1)/Zalozenia!$B$25),1)*((69/(1+Zalozenia!$B$8)*(1-Zalozenia!$B$14)+69*(Zalozenia!$B$13/Zalozenia!$B$12/12)/(1+Zalozenia!$B$8)*Zalozenia!$B$14)*(1-Zalozenia!$B$15)-Zalozenia!$B$46)-Wezel!$B$29</f>
        <v>2923.06311939024</v>
      </c>
      <c r="G12" s="64" t="n">
        <f aca="false">FLOOR(MIN(Wezel!$B$31*(1-Zalozenia!$B$36)*$A12/Zalozenia!$B$23,Wezel!$B$30*(1-Zalozenia!$B$36)*$A12/Zalozenia!$B$24,Wezel!$B$32*(1-Zalozenia!$B$36)*MAX($A12/2,1)/Zalozenia!$B$25),1)*((79/(1+Zalozenia!$B$8)*(1-Zalozenia!$B$14)+79*(Zalozenia!$B$13/Zalozenia!$B$12/12)/(1+Zalozenia!$B$8)*Zalozenia!$B$14)*(1-Zalozenia!$B$15)-Zalozenia!$B$46)-Wezel!$B$29</f>
        <v>3651.6084852439</v>
      </c>
    </row>
    <row r="14" customFormat="false" ht="15" hidden="false" customHeight="false" outlineLevel="0" collapsed="false">
      <c r="A14" s="3" t="s">
        <v>289</v>
      </c>
    </row>
    <row r="15" customFormat="false" ht="15" hidden="false" customHeight="false" outlineLevel="0" collapsed="false">
      <c r="A15" s="19" t="s">
        <v>290</v>
      </c>
      <c r="B15" s="19" t="s">
        <v>214</v>
      </c>
      <c r="C15" s="19" t="s">
        <v>291</v>
      </c>
      <c r="D15" s="19" t="s">
        <v>292</v>
      </c>
      <c r="E15" s="19" t="s">
        <v>293</v>
      </c>
      <c r="F15" s="19" t="s">
        <v>294</v>
      </c>
      <c r="H15" s="19" t="s">
        <v>248</v>
      </c>
    </row>
    <row r="16" customFormat="false" ht="15" hidden="false" customHeight="false" outlineLevel="0" collapsed="false">
      <c r="A16" s="44" t="n">
        <v>1</v>
      </c>
      <c r="B16" s="36" t="n">
        <f aca="false">FLOOR(MIN(Wezel!$B$31*(1-Zalozenia!$B$36)*$A16/Zalozenia!$B$23,Wezel!$B$30*(1-Zalozenia!$B$36)*$A16/Zalozenia!$B$24,Wezel!$B$32*(1-Zalozenia!$B$36)*MAX($A16/2,1)/Zalozenia!$B$25),1)</f>
        <v>12</v>
      </c>
      <c r="C16" s="50" t="n">
        <f aca="false">B16*Zalozenia!$B$30</f>
        <v>6</v>
      </c>
      <c r="D16" s="36" t="n">
        <f aca="false">B16*Zalozenia!$B$32</f>
        <v>96</v>
      </c>
      <c r="E16" s="53" t="n">
        <f aca="false">C16/Wezel!$B$31</f>
        <v>0.046875</v>
      </c>
      <c r="F16" s="53" t="n">
        <f aca="false">D16/Wezel!$B$32</f>
        <v>0.05</v>
      </c>
      <c r="H16" s="12" t="str">
        <f aca="false">IF(OR(E16&gt;0.85,F16&gt;0.85),"za agresywnie",IF(OR(E16&gt;0.6,F16&gt;0.6),"granica","bezpiecznie"))</f>
        <v>bezpiecznie</v>
      </c>
    </row>
    <row r="17" customFormat="false" ht="15" hidden="false" customHeight="false" outlineLevel="0" collapsed="false">
      <c r="A17" s="44" t="n">
        <v>2</v>
      </c>
      <c r="B17" s="36" t="n">
        <f aca="false">FLOOR(MIN(Wezel!$B$31*(1-Zalozenia!$B$36)*$A17/Zalozenia!$B$23,Wezel!$B$30*(1-Zalozenia!$B$36)*$A17/Zalozenia!$B$24,Wezel!$B$32*(1-Zalozenia!$B$36)*MAX($A17/2,1)/Zalozenia!$B$25),1)</f>
        <v>25</v>
      </c>
      <c r="C17" s="50" t="n">
        <f aca="false">B17*Zalozenia!$B$30</f>
        <v>12.5</v>
      </c>
      <c r="D17" s="36" t="n">
        <f aca="false">B17*Zalozenia!$B$32</f>
        <v>200</v>
      </c>
      <c r="E17" s="53" t="n">
        <f aca="false">C17/Wezel!$B$31</f>
        <v>0.09765625</v>
      </c>
      <c r="F17" s="53" t="n">
        <f aca="false">D17/Wezel!$B$32</f>
        <v>0.104166666666667</v>
      </c>
      <c r="H17" s="12" t="str">
        <f aca="false">IF(OR(E17&gt;0.85,F17&gt;0.85),"za agresywnie",IF(OR(E17&gt;0.6,F17&gt;0.6),"granica","bezpiecznie"))</f>
        <v>bezpiecznie</v>
      </c>
    </row>
    <row r="18" customFormat="false" ht="15" hidden="false" customHeight="false" outlineLevel="0" collapsed="false">
      <c r="A18" s="44" t="n">
        <v>3</v>
      </c>
      <c r="B18" s="36" t="n">
        <f aca="false">FLOOR(MIN(Wezel!$B$31*(1-Zalozenia!$B$36)*$A18/Zalozenia!$B$23,Wezel!$B$30*(1-Zalozenia!$B$36)*$A18/Zalozenia!$B$24,Wezel!$B$32*(1-Zalozenia!$B$36)*MAX($A18/2,1)/Zalozenia!$B$25),1)</f>
        <v>38</v>
      </c>
      <c r="C18" s="50" t="n">
        <f aca="false">B18*Zalozenia!$B$30</f>
        <v>19</v>
      </c>
      <c r="D18" s="36" t="n">
        <f aca="false">B18*Zalozenia!$B$32</f>
        <v>304</v>
      </c>
      <c r="E18" s="53" t="n">
        <f aca="false">C18/Wezel!$B$31</f>
        <v>0.1484375</v>
      </c>
      <c r="F18" s="53" t="n">
        <f aca="false">D18/Wezel!$B$32</f>
        <v>0.158333333333333</v>
      </c>
      <c r="H18" s="12" t="str">
        <f aca="false">IF(OR(E18&gt;0.85,F18&gt;0.85),"za agresywnie",IF(OR(E18&gt;0.6,F18&gt;0.6),"granica","bezpiecznie"))</f>
        <v>bezpiecznie</v>
      </c>
    </row>
    <row r="19" customFormat="false" ht="15" hidden="false" customHeight="false" outlineLevel="0" collapsed="false">
      <c r="A19" s="44" t="n">
        <v>4</v>
      </c>
      <c r="B19" s="36" t="n">
        <f aca="false">FLOOR(MIN(Wezel!$B$31*(1-Zalozenia!$B$36)*$A19/Zalozenia!$B$23,Wezel!$B$30*(1-Zalozenia!$B$36)*$A19/Zalozenia!$B$24,Wezel!$B$32*(1-Zalozenia!$B$36)*MAX($A19/2,1)/Zalozenia!$B$25),1)</f>
        <v>51</v>
      </c>
      <c r="C19" s="50" t="n">
        <f aca="false">B19*Zalozenia!$B$30</f>
        <v>25.5</v>
      </c>
      <c r="D19" s="36" t="n">
        <f aca="false">B19*Zalozenia!$B$32</f>
        <v>408</v>
      </c>
      <c r="E19" s="53" t="n">
        <f aca="false">C19/Wezel!$B$31</f>
        <v>0.19921875</v>
      </c>
      <c r="F19" s="53" t="n">
        <f aca="false">D19/Wezel!$B$32</f>
        <v>0.2125</v>
      </c>
      <c r="H19" s="12" t="str">
        <f aca="false">IF(OR(E19&gt;0.85,F19&gt;0.85),"za agresywnie",IF(OR(E19&gt;0.6,F19&gt;0.6),"granica","bezpiecznie"))</f>
        <v>bezpiecznie</v>
      </c>
    </row>
    <row r="20" customFormat="false" ht="15" hidden="false" customHeight="false" outlineLevel="0" collapsed="false">
      <c r="A20" s="44" t="n">
        <v>5</v>
      </c>
      <c r="B20" s="36" t="n">
        <f aca="false">FLOOR(MIN(Wezel!$B$31*(1-Zalozenia!$B$36)*$A20/Zalozenia!$B$23,Wezel!$B$30*(1-Zalozenia!$B$36)*$A20/Zalozenia!$B$24,Wezel!$B$32*(1-Zalozenia!$B$36)*MAX($A20/2,1)/Zalozenia!$B$25),1)</f>
        <v>64</v>
      </c>
      <c r="C20" s="50" t="n">
        <f aca="false">B20*Zalozenia!$B$30</f>
        <v>32</v>
      </c>
      <c r="D20" s="36" t="n">
        <f aca="false">B20*Zalozenia!$B$32</f>
        <v>512</v>
      </c>
      <c r="E20" s="53" t="n">
        <f aca="false">C20/Wezel!$B$31</f>
        <v>0.25</v>
      </c>
      <c r="F20" s="53" t="n">
        <f aca="false">D20/Wezel!$B$32</f>
        <v>0.266666666666667</v>
      </c>
      <c r="H20" s="12" t="str">
        <f aca="false">IF(OR(E20&gt;0.85,F20&gt;0.85),"za agresywnie",IF(OR(E20&gt;0.6,F20&gt;0.6),"granica","bezpiecznie"))</f>
        <v>bezpiecznie</v>
      </c>
    </row>
    <row r="21" customFormat="false" ht="15" hidden="false" customHeight="false" outlineLevel="0" collapsed="false">
      <c r="A21" s="44" t="n">
        <v>6</v>
      </c>
      <c r="B21" s="36" t="n">
        <f aca="false">FLOOR(MIN(Wezel!$B$31*(1-Zalozenia!$B$36)*$A21/Zalozenia!$B$23,Wezel!$B$30*(1-Zalozenia!$B$36)*$A21/Zalozenia!$B$24,Wezel!$B$32*(1-Zalozenia!$B$36)*MAX($A21/2,1)/Zalozenia!$B$25),1)</f>
        <v>76</v>
      </c>
      <c r="C21" s="50" t="n">
        <f aca="false">B21*Zalozenia!$B$30</f>
        <v>38</v>
      </c>
      <c r="D21" s="36" t="n">
        <f aca="false">B21*Zalozenia!$B$32</f>
        <v>608</v>
      </c>
      <c r="E21" s="53" t="n">
        <f aca="false">C21/Wezel!$B$31</f>
        <v>0.296875</v>
      </c>
      <c r="F21" s="53" t="n">
        <f aca="false">D21/Wezel!$B$32</f>
        <v>0.316666666666667</v>
      </c>
      <c r="H21" s="12" t="str">
        <f aca="false">IF(OR(E21&gt;0.85,F21&gt;0.85),"za agresywnie",IF(OR(E21&gt;0.6,F21&gt;0.6),"granica","bezpiecznie"))</f>
        <v>bezpiecznie</v>
      </c>
    </row>
    <row r="22" customFormat="false" ht="15" hidden="false" customHeight="false" outlineLevel="0" collapsed="false">
      <c r="A22" s="44" t="n">
        <v>8</v>
      </c>
      <c r="B22" s="36" t="n">
        <f aca="false">FLOOR(MIN(Wezel!$B$31*(1-Zalozenia!$B$36)*$A22/Zalozenia!$B$23,Wezel!$B$30*(1-Zalozenia!$B$36)*$A22/Zalozenia!$B$24,Wezel!$B$32*(1-Zalozenia!$B$36)*MAX($A22/2,1)/Zalozenia!$B$25),1)</f>
        <v>102</v>
      </c>
      <c r="C22" s="50" t="n">
        <f aca="false">B22*Zalozenia!$B$30</f>
        <v>51</v>
      </c>
      <c r="D22" s="36" t="n">
        <f aca="false">B22*Zalozenia!$B$32</f>
        <v>816</v>
      </c>
      <c r="E22" s="53" t="n">
        <f aca="false">C22/Wezel!$B$31</f>
        <v>0.3984375</v>
      </c>
      <c r="F22" s="53" t="n">
        <f aca="false">D22/Wezel!$B$32</f>
        <v>0.425</v>
      </c>
      <c r="H22" s="12" t="str">
        <f aca="false">IF(OR(E22&gt;0.85,F22&gt;0.85),"za agresywnie",IF(OR(E22&gt;0.6,F22&gt;0.6),"granica","bezpiecznie"))</f>
        <v>bezpiecznie</v>
      </c>
    </row>
    <row r="24" customFormat="false" ht="15" hidden="false" customHeight="false" outlineLevel="0" collapsed="false">
      <c r="A24" s="3" t="s">
        <v>295</v>
      </c>
    </row>
    <row r="25" customFormat="false" ht="15" hidden="false" customHeight="false" outlineLevel="0" collapsed="false">
      <c r="A25" s="4" t="s">
        <v>296</v>
      </c>
    </row>
    <row r="26" customFormat="false" ht="15" hidden="false" customHeight="false" outlineLevel="0" collapsed="false">
      <c r="A26" s="4" t="s">
        <v>297</v>
      </c>
    </row>
    <row r="27" customFormat="false" ht="15" hidden="false" customHeight="false" outlineLevel="0" collapsed="false">
      <c r="A27" s="4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299</v>
      </c>
    </row>
    <row r="2" customFormat="false" ht="15" hidden="false" customHeight="false" outlineLevel="0" collapsed="false">
      <c r="A2" s="2" t="s">
        <v>300</v>
      </c>
    </row>
    <row r="4" customFormat="false" ht="27.75" hidden="false" customHeight="true" outlineLevel="0" collapsed="false">
      <c r="A4" s="11" t="s">
        <v>40</v>
      </c>
      <c r="B4" s="11" t="s">
        <v>41</v>
      </c>
      <c r="C4" s="11" t="s">
        <v>301</v>
      </c>
      <c r="D4" s="11" t="s">
        <v>302</v>
      </c>
      <c r="E4" s="11" t="s">
        <v>303</v>
      </c>
    </row>
    <row r="5" customFormat="false" ht="25.5" hidden="false" customHeight="true" outlineLevel="0" collapsed="false">
      <c r="A5" s="54" t="s">
        <v>44</v>
      </c>
      <c r="B5" s="54" t="s">
        <v>304</v>
      </c>
      <c r="C5" s="37" t="s">
        <v>305</v>
      </c>
      <c r="D5" s="37" t="s">
        <v>306</v>
      </c>
      <c r="E5" s="29" t="s">
        <v>307</v>
      </c>
    </row>
    <row r="6" customFormat="false" ht="25.5" hidden="false" customHeight="true" outlineLevel="0" collapsed="false">
      <c r="A6" s="54" t="s">
        <v>47</v>
      </c>
      <c r="B6" s="54" t="s">
        <v>308</v>
      </c>
      <c r="C6" s="37" t="s">
        <v>305</v>
      </c>
      <c r="D6" s="37" t="s">
        <v>306</v>
      </c>
      <c r="E6" s="29" t="s">
        <v>307</v>
      </c>
    </row>
    <row r="7" customFormat="false" ht="25.5" hidden="false" customHeight="true" outlineLevel="0" collapsed="false">
      <c r="A7" s="54" t="s">
        <v>309</v>
      </c>
      <c r="B7" s="54" t="s">
        <v>310</v>
      </c>
      <c r="C7" s="37" t="s">
        <v>305</v>
      </c>
      <c r="D7" s="37" t="s">
        <v>306</v>
      </c>
      <c r="E7" s="29" t="s">
        <v>311</v>
      </c>
    </row>
    <row r="8" customFormat="false" ht="25.5" hidden="false" customHeight="true" outlineLevel="0" collapsed="false">
      <c r="A8" s="54" t="s">
        <v>312</v>
      </c>
      <c r="B8" s="54" t="s">
        <v>313</v>
      </c>
      <c r="C8" s="37" t="s">
        <v>305</v>
      </c>
      <c r="D8" s="37" t="s">
        <v>306</v>
      </c>
      <c r="E8" s="29" t="s">
        <v>314</v>
      </c>
    </row>
    <row r="9" customFormat="false" ht="25.5" hidden="false" customHeight="true" outlineLevel="0" collapsed="false">
      <c r="A9" s="54" t="s">
        <v>124</v>
      </c>
      <c r="B9" s="54" t="s">
        <v>315</v>
      </c>
      <c r="C9" s="37" t="s">
        <v>305</v>
      </c>
      <c r="D9" s="37" t="s">
        <v>306</v>
      </c>
      <c r="E9" s="29" t="s">
        <v>316</v>
      </c>
    </row>
    <row r="10" customFormat="false" ht="25.5" hidden="false" customHeight="true" outlineLevel="0" collapsed="false">
      <c r="A10" s="54" t="s">
        <v>317</v>
      </c>
      <c r="B10" s="54" t="s">
        <v>318</v>
      </c>
      <c r="C10" s="37" t="s">
        <v>305</v>
      </c>
      <c r="D10" s="37" t="s">
        <v>306</v>
      </c>
      <c r="E10" s="29" t="s">
        <v>319</v>
      </c>
    </row>
    <row r="11" customFormat="false" ht="25.5" hidden="false" customHeight="true" outlineLevel="0" collapsed="false">
      <c r="A11" s="54" t="s">
        <v>320</v>
      </c>
      <c r="B11" s="54" t="s">
        <v>321</v>
      </c>
      <c r="C11" s="37" t="s">
        <v>305</v>
      </c>
      <c r="D11" s="37" t="s">
        <v>306</v>
      </c>
      <c r="E11" s="29" t="s">
        <v>322</v>
      </c>
    </row>
    <row r="12" customFormat="false" ht="25.5" hidden="false" customHeight="true" outlineLevel="0" collapsed="false">
      <c r="A12" s="54" t="s">
        <v>323</v>
      </c>
      <c r="B12" s="54" t="s">
        <v>324</v>
      </c>
      <c r="C12" s="37" t="s">
        <v>305</v>
      </c>
      <c r="D12" s="37" t="s">
        <v>306</v>
      </c>
      <c r="E12" s="29" t="s">
        <v>325</v>
      </c>
    </row>
    <row r="13" customFormat="false" ht="25.5" hidden="false" customHeight="true" outlineLevel="0" collapsed="false">
      <c r="A13" s="54" t="s">
        <v>144</v>
      </c>
      <c r="B13" s="54" t="s">
        <v>326</v>
      </c>
      <c r="C13" s="37" t="s">
        <v>305</v>
      </c>
      <c r="D13" s="37" t="s">
        <v>306</v>
      </c>
      <c r="E13" s="29" t="s">
        <v>327</v>
      </c>
    </row>
    <row r="14" customFormat="false" ht="25.5" hidden="false" customHeight="true" outlineLevel="0" collapsed="false">
      <c r="A14" s="54" t="s">
        <v>328</v>
      </c>
      <c r="B14" s="54" t="s">
        <v>329</v>
      </c>
      <c r="C14" s="37" t="s">
        <v>305</v>
      </c>
      <c r="D14" s="37" t="s">
        <v>306</v>
      </c>
      <c r="E14" s="29" t="s">
        <v>330</v>
      </c>
    </row>
    <row r="15" customFormat="false" ht="25.5" hidden="false" customHeight="true" outlineLevel="0" collapsed="false">
      <c r="A15" s="54" t="s">
        <v>331</v>
      </c>
      <c r="B15" s="54" t="s">
        <v>332</v>
      </c>
      <c r="C15" s="37" t="s">
        <v>305</v>
      </c>
      <c r="D15" s="37" t="s">
        <v>306</v>
      </c>
      <c r="E15" s="29" t="s">
        <v>333</v>
      </c>
    </row>
    <row r="16" customFormat="false" ht="25.5" hidden="false" customHeight="true" outlineLevel="0" collapsed="false">
      <c r="A16" s="54" t="s">
        <v>334</v>
      </c>
      <c r="B16" s="54" t="s">
        <v>335</v>
      </c>
      <c r="C16" s="37" t="s">
        <v>305</v>
      </c>
      <c r="D16" s="37" t="s">
        <v>306</v>
      </c>
      <c r="E16" s="29" t="s">
        <v>336</v>
      </c>
    </row>
    <row r="17" customFormat="false" ht="25.5" hidden="false" customHeight="true" outlineLevel="0" collapsed="false">
      <c r="A17" s="54" t="s">
        <v>337</v>
      </c>
      <c r="B17" s="54" t="s">
        <v>338</v>
      </c>
      <c r="C17" s="37" t="s">
        <v>305</v>
      </c>
      <c r="D17" s="37" t="s">
        <v>306</v>
      </c>
      <c r="E17" s="29" t="s">
        <v>339</v>
      </c>
    </row>
    <row r="18" customFormat="false" ht="25.5" hidden="false" customHeight="true" outlineLevel="0" collapsed="false">
      <c r="A18" s="54" t="s">
        <v>340</v>
      </c>
      <c r="B18" s="54" t="s">
        <v>341</v>
      </c>
      <c r="C18" s="37" t="s">
        <v>305</v>
      </c>
      <c r="D18" s="37" t="s">
        <v>306</v>
      </c>
      <c r="E18" s="29" t="s">
        <v>342</v>
      </c>
    </row>
    <row r="19" customFormat="false" ht="25.5" hidden="false" customHeight="true" outlineLevel="0" collapsed="false">
      <c r="A19" s="54" t="s">
        <v>343</v>
      </c>
      <c r="B19" s="54" t="s">
        <v>344</v>
      </c>
      <c r="C19" s="37" t="s">
        <v>305</v>
      </c>
      <c r="D19" s="37" t="s">
        <v>345</v>
      </c>
      <c r="E19" s="29" t="s">
        <v>346</v>
      </c>
    </row>
    <row r="20" customFormat="false" ht="25.5" hidden="false" customHeight="true" outlineLevel="0" collapsed="false">
      <c r="A20" s="54" t="s">
        <v>347</v>
      </c>
      <c r="B20" s="54" t="s">
        <v>126</v>
      </c>
      <c r="C20" s="37" t="s">
        <v>305</v>
      </c>
      <c r="D20" s="37" t="s">
        <v>345</v>
      </c>
      <c r="E20" s="29" t="s">
        <v>348</v>
      </c>
    </row>
    <row r="21" customFormat="false" ht="25.5" hidden="false" customHeight="true" outlineLevel="0" collapsed="false">
      <c r="A21" s="54" t="s">
        <v>349</v>
      </c>
      <c r="B21" s="54" t="s">
        <v>126</v>
      </c>
      <c r="C21" s="37" t="s">
        <v>305</v>
      </c>
      <c r="D21" s="37" t="s">
        <v>345</v>
      </c>
      <c r="E21" s="29" t="s">
        <v>350</v>
      </c>
    </row>
    <row r="22" customFormat="false" ht="25.5" hidden="false" customHeight="true" outlineLevel="0" collapsed="false">
      <c r="A22" s="54" t="s">
        <v>351</v>
      </c>
      <c r="B22" s="54" t="s">
        <v>126</v>
      </c>
      <c r="C22" s="37" t="s">
        <v>305</v>
      </c>
      <c r="D22" s="37" t="s">
        <v>345</v>
      </c>
      <c r="E22" s="29" t="s">
        <v>352</v>
      </c>
    </row>
    <row r="23" customFormat="false" ht="25.5" hidden="false" customHeight="true" outlineLevel="0" collapsed="false">
      <c r="A23" s="54" t="s">
        <v>353</v>
      </c>
      <c r="B23" s="54" t="s">
        <v>126</v>
      </c>
      <c r="C23" s="37" t="s">
        <v>305</v>
      </c>
      <c r="D23" s="37" t="s">
        <v>345</v>
      </c>
      <c r="E23" s="29" t="s">
        <v>354</v>
      </c>
    </row>
    <row r="24" customFormat="false" ht="25.5" hidden="false" customHeight="true" outlineLevel="0" collapsed="false">
      <c r="A24" s="54" t="s">
        <v>355</v>
      </c>
      <c r="B24" s="54" t="s">
        <v>356</v>
      </c>
      <c r="C24" s="37" t="s">
        <v>126</v>
      </c>
      <c r="D24" s="65" t="s">
        <v>357</v>
      </c>
      <c r="E24" s="29" t="s">
        <v>358</v>
      </c>
    </row>
    <row r="25" customFormat="false" ht="25.5" hidden="false" customHeight="true" outlineLevel="0" collapsed="false">
      <c r="A25" s="54" t="s">
        <v>359</v>
      </c>
      <c r="B25" s="54" t="s">
        <v>360</v>
      </c>
      <c r="C25" s="37" t="s">
        <v>126</v>
      </c>
      <c r="D25" s="65" t="s">
        <v>357</v>
      </c>
      <c r="E25" s="29" t="s">
        <v>361</v>
      </c>
    </row>
    <row r="26" customFormat="false" ht="25.5" hidden="false" customHeight="true" outlineLevel="0" collapsed="false">
      <c r="A26" s="54" t="s">
        <v>362</v>
      </c>
      <c r="B26" s="54" t="s">
        <v>363</v>
      </c>
      <c r="C26" s="37" t="s">
        <v>126</v>
      </c>
      <c r="D26" s="65" t="s">
        <v>357</v>
      </c>
      <c r="E26" s="29" t="s">
        <v>364</v>
      </c>
    </row>
    <row r="27" customFormat="false" ht="25.5" hidden="false" customHeight="true" outlineLevel="0" collapsed="false">
      <c r="A27" s="54" t="s">
        <v>365</v>
      </c>
      <c r="B27" s="54" t="s">
        <v>366</v>
      </c>
      <c r="C27" s="37" t="s">
        <v>126</v>
      </c>
      <c r="D27" s="65" t="s">
        <v>357</v>
      </c>
      <c r="E27" s="29" t="s">
        <v>367</v>
      </c>
    </row>
    <row r="28" customFormat="false" ht="25.5" hidden="false" customHeight="true" outlineLevel="0" collapsed="false">
      <c r="A28" s="54" t="s">
        <v>368</v>
      </c>
      <c r="B28" s="54" t="s">
        <v>369</v>
      </c>
      <c r="C28" s="37" t="s">
        <v>126</v>
      </c>
      <c r="D28" s="65" t="s">
        <v>357</v>
      </c>
      <c r="E28" s="29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2026-08-22T09:47:14Z</dcterms:created>
  <dc:creator>openpyxl</dc:creator>
  <dc:description/>
  <dc:language>en-US</dc:language>
  <cp:lastModifiedBy/>
  <dcterms:modified xsi:type="dcterms:W3CDTF">2026-08-22T09:47:14Z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