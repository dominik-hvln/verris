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startu'!$A$1:$P$122</definedName>
    <definedName name="_xlnm._FilterDatabase" localSheetId="2" hidden="1">'Sprinty'!$A$1:$J$24</definedName>
    <definedName name="_xlnm._FilterDatabase" localSheetId="3" hidden="1">'Po starcie'!$A$1:$K$25</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2026-10-05 z audyt/dane/</t>
        </is>
      </c>
    </row>
    <row r="4">
      <c r="A4" s="3" t="inlineStr">
        <is>
          <t>Kluczowe liczby</t>
        </is>
      </c>
    </row>
    <row r="6">
      <c r="A6" s="4" t="inlineStr">
        <is>
          <t>Zadań w planie</t>
        </is>
      </c>
      <c r="B6" s="5">
        <f>COUNTA('Backlog do startu'!$A$2:$A$122)</f>
        <v/>
      </c>
    </row>
    <row r="7">
      <c r="A7" s="4" t="inlineStr">
        <is>
          <t>Godzin w planie</t>
        </is>
      </c>
      <c r="B7" s="5">
        <f>SUM('Backlog do startu'!$F$2:$F$122)</f>
        <v/>
      </c>
    </row>
    <row r="8">
      <c r="A8" s="4" t="inlineStr">
        <is>
          <t>Pojemność</t>
        </is>
      </c>
      <c r="B8" s="5" t="n">
        <v>690</v>
      </c>
    </row>
    <row r="9">
      <c r="A9" s="4" t="inlineStr">
        <is>
          <t>Zapas</t>
        </is>
      </c>
      <c r="B9" s="5">
        <f>B7-B6</f>
        <v/>
      </c>
    </row>
    <row r="10">
      <c r="A10" s="6" t="inlineStr">
        <is>
          <t>Blokerów</t>
        </is>
      </c>
      <c r="B10" s="7">
        <f>COUNTIF('Backlog do startu'!$E$2:$E$122,"BLOKER STARTU")+COUNTIF('Backlog do startu'!$E$2:$E$122,"BLOKER BIZNESOWY")</f>
        <v/>
      </c>
    </row>
    <row r="11">
      <c r="A11" s="4" t="inlineStr">
        <is>
          <t>Zadań zrobionych</t>
        </is>
      </c>
      <c r="B11" s="5">
        <f>COUNTIF('Backlog do startu'!$P$2:$P$122,"zrobione")</f>
        <v/>
      </c>
    </row>
    <row r="12">
      <c r="A12" s="4" t="inlineStr">
        <is>
          <t>Godzin zrobionych</t>
        </is>
      </c>
      <c r="B12" s="5">
        <f>SUMIF('Backlog do startu'!$P$2:$P$122,"zrobione",'Backlog do startu'!$F$2:$F$122)</f>
        <v/>
      </c>
    </row>
    <row r="13">
      <c r="A13" s="4" t="inlineStr">
        <is>
          <t>Postęp</t>
        </is>
      </c>
      <c r="B13" s="8">
        <f>IFERROR(B12/B6,0)</f>
        <v/>
      </c>
    </row>
    <row r="15">
      <c r="A15" s="3" t="inlineStr">
        <is>
          <t>Praca poza planem sprintów</t>
        </is>
      </c>
    </row>
    <row r="16">
      <c r="A16" s="4" t="inlineStr">
        <is>
          <t>Pozycji w roadmapie po starcie</t>
        </is>
      </c>
      <c r="B16" s="5" t="n">
        <v>24</v>
      </c>
    </row>
    <row r="17">
      <c r="A17" s="4" t="inlineStr">
        <is>
          <t>Godzin</t>
        </is>
      </c>
      <c r="B17" s="5" t="n">
        <v>510</v>
      </c>
    </row>
    <row r="18">
      <c r="A18" s="4" t="inlineStr">
        <is>
          <t>Sprintów po tyle godzin</t>
        </is>
      </c>
      <c r="B18" s="5" t="n">
        <v>17</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DZIAŁA</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8" s="11" t="inlineStr">
        <is>
          <t>F-01 (ten sam edytor)</t>
        </is>
      </c>
      <c r="N48" s="11" t="inlineStr">
        <is>
          <t>Funkcja dostępna z panelu klienta bez wychodzenia do DirectAdmina; test uruchamiany w CI.</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DZIAŁA</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Funkcja dostępna z panelu klienta bez wychodzenia do DirectAdmina; test uruchamiany w CI.</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9" s="11" t="inlineStr">
        <is>
          <t>—</t>
        </is>
      </c>
      <c r="N59" s="11" t="inlineStr">
        <is>
          <t>Funkcja dostępna z panelu klienta bez wychodzenia do DirectAdmina; test uruchamiany w CI.</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8" s="11" t="inlineStr">
        <is>
          <t>—</t>
        </is>
      </c>
      <c r="N68" s="11" t="inlineStr">
        <is>
          <t>Funkcja dostępna z panelu klienta bez wychodzenia do DirectAdmina; test uruchamiany w CI.</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DZIAŁA</t>
        </is>
      </c>
      <c r="L71"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71" s="11" t="inlineStr">
        <is>
          <t>—</t>
        </is>
      </c>
      <c r="N71" s="11" t="inlineStr">
        <is>
          <t>Funkcja dostępna z panelu klienta bez wychodzenia do DirectAdmina; test uruchamiany w CI.</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DZIAŁA</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Funkcja dostępna z panelu klienta bez wychodzenia do DirectAdmina; test uruchamiany w CI.</t>
        </is>
      </c>
      <c r="O76"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2026-10-19</t>
        </is>
      </c>
      <c r="J77" s="10" t="inlineStr">
        <is>
          <t>2026-10-23</t>
        </is>
      </c>
      <c r="K77" s="10" t="inlineStr">
        <is>
          <t>DZIAŁA</t>
        </is>
      </c>
      <c r="L77" s="11" t="inlineStr">
        <is>
          <t>domains.controller.ts:54</t>
        </is>
      </c>
      <c r="M77" s="11" t="inlineStr">
        <is>
          <t>—</t>
        </is>
      </c>
      <c r="N77" s="11" t="inlineStr">
        <is>
          <t>Funkcja dostępna z panelu klienta bez wychodzenia do DirectAdmina; test uruchamiany w CI.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2026-10-19</t>
        </is>
      </c>
      <c r="J78" s="10" t="inlineStr">
        <is>
          <t>2026-10-23</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2026-10-19</t>
        </is>
      </c>
      <c r="J79" s="10" t="inlineStr">
        <is>
          <t>2026-10-23</t>
        </is>
      </c>
      <c r="K79" s="10" t="inlineStr">
        <is>
          <t>DZIAŁA</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9" s="10" t="inlineStr">
        <is>
          <t>do zrobienia</t>
        </is>
      </c>
    </row>
    <row r="80">
      <c r="A80" s="10" t="inlineStr">
        <is>
          <t>PB-40</t>
        </is>
      </c>
      <c r="B80" s="11" t="inlineStr">
        <is>
          <t>Beta wewnętrzna na węźle testowym t1</t>
        </is>
      </c>
      <c r="C80" s="10" t="inlineStr">
        <is>
          <t>poza audytem</t>
        </is>
      </c>
      <c r="D80" s="10" t="inlineStr">
        <is>
          <t>Praca spoza audytu</t>
        </is>
      </c>
      <c r="E80" s="10" t="inlineStr">
        <is>
          <t>WYSOKI</t>
        </is>
      </c>
      <c r="F80" s="10" t="n">
        <v>12</v>
      </c>
      <c r="G80" s="10" t="n">
        <v>14</v>
      </c>
      <c r="H80" s="10" t="inlineStr">
        <is>
          <t>Faza 2 — Odzyskanie funkcji-widm i luki pierwszego tygodnia</t>
        </is>
      </c>
      <c r="I80" s="10" t="inlineStr">
        <is>
          <t>2026-10-19</t>
        </is>
      </c>
      <c r="J80" s="10" t="inlineStr">
        <is>
          <t>2026-10-23</t>
        </is>
      </c>
      <c r="K80" s="10" t="inlineStr">
        <is>
          <t>—</t>
        </is>
      </c>
      <c r="L80" s="11" t="inlineStr">
        <is>
          <t>—</t>
        </is>
      </c>
      <c r="M80" s="11" t="inlineStr">
        <is>
          <t>—</t>
        </is>
      </c>
      <c r="N80" s="11" t="inlineStr">
        <is>
          <t>Wszystkie 8 scenariuszy przejście bez pomocy; zero otwartych błędów krytycznych (dane, pieniądze, dostęp); poprawki „przed AX102” zamknięte, reszta rozpisana na „przed GO” i „po starcie”.</t>
        </is>
      </c>
      <c r="O80" s="11" t="inlineStr">
        <is>
          <t>Przed zakupem AX102 właściciel i 2–3 zaufane osoby przechodzą scenariusze testerów z docs/ops/BETA_TESTY.md na t1 (decyzja 2026-09-29: otwarta beta dopiero po poprawnej wewnętrznej). Termin 19.10–6.11.2026.</t>
        </is>
      </c>
      <c r="P80" s="10" t="inlineStr">
        <is>
          <t>do zrobienia</t>
        </is>
      </c>
    </row>
    <row r="81">
      <c r="A81" s="10" t="inlineStr">
        <is>
          <t>PB-08</t>
        </is>
      </c>
      <c r="B81" s="11" t="inlineStr">
        <is>
          <t>Pomiar: Consent Mode v2 + GTM + dedup event_id</t>
        </is>
      </c>
      <c r="C81" s="10" t="inlineStr">
        <is>
          <t>poza audytem</t>
        </is>
      </c>
      <c r="D81" s="10" t="inlineStr">
        <is>
          <t>Praca spoza audytu</t>
        </is>
      </c>
      <c r="E81" s="10" t="inlineStr">
        <is>
          <t>ŚREDNI</t>
        </is>
      </c>
      <c r="F81" s="10" t="n">
        <v>16</v>
      </c>
      <c r="G81" s="10" t="n">
        <v>14</v>
      </c>
      <c r="H81" s="10" t="inlineStr">
        <is>
          <t>Faza 2 — Odzyskanie funkcji-widm i luki pierwszego tygodnia</t>
        </is>
      </c>
      <c r="I81" s="10" t="inlineStr">
        <is>
          <t>2026-10-19</t>
        </is>
      </c>
      <c r="J81" s="10" t="inlineStr">
        <is>
          <t>2026-10-23</t>
        </is>
      </c>
      <c r="K81" s="10" t="inlineStr">
        <is>
          <t>—</t>
        </is>
      </c>
      <c r="L81" s="11" t="inlineStr">
        <is>
          <t>—</t>
        </is>
      </c>
      <c r="M81" s="11" t="inlineStr">
        <is>
          <t>—</t>
        </is>
      </c>
      <c r="N81" s="11" t="inlineStr">
        <is>
          <t>Zdarzenie zakupu dociera raz, nie dwa. Consent Mode nie blokuje pomiaru po zgodzie. Zweryfikowane w GTM Preview i w raporcie.</t>
        </is>
      </c>
      <c r="O81"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1" s="10" t="inlineStr">
        <is>
          <t>do zrobienia</t>
        </is>
      </c>
    </row>
    <row r="82">
      <c r="A82" s="10" t="inlineStr">
        <is>
          <t>PB-27</t>
        </is>
      </c>
      <c r="B82" s="11" t="inlineStr">
        <is>
          <t>Indywidualne warunki usługi: cena i autoskalowanie</t>
        </is>
      </c>
      <c r="C82" s="10" t="inlineStr">
        <is>
          <t>poza audytem</t>
        </is>
      </c>
      <c r="D82" s="10" t="inlineStr">
        <is>
          <t>Praca spoza audytu</t>
        </is>
      </c>
      <c r="E82" s="10" t="inlineStr">
        <is>
          <t>WYSOKI</t>
        </is>
      </c>
      <c r="F82" s="10" t="n">
        <v>12</v>
      </c>
      <c r="G82" s="10" t="n">
        <v>14</v>
      </c>
      <c r="H82" s="10" t="inlineStr">
        <is>
          <t>Faza 2 — Odzyskanie funkcji-widm i luki pierwszego tygodnia</t>
        </is>
      </c>
      <c r="I82" s="10" t="inlineStr">
        <is>
          <t>2026-10-19</t>
        </is>
      </c>
      <c r="J82" s="10" t="inlineStr">
        <is>
          <t>2026-10-23</t>
        </is>
      </c>
      <c r="K82" s="10" t="inlineStr">
        <is>
          <t>—</t>
        </is>
      </c>
      <c r="L82" s="11" t="inlineStr">
        <is>
          <t>—</t>
        </is>
      </c>
      <c r="M82" s="11" t="inlineStr">
        <is>
          <t>—</t>
        </is>
      </c>
      <c r="N82" s="11" t="inlineStr">
        <is>
          <t>Operator zakłada usługę z własną ceną; odnowienie pobiera tę cenę; autoskalowanie liczone z rabatem; każda zmiana w dzienniku audytu z autorem i powodem; test na PostgreSQL.</t>
        </is>
      </c>
      <c r="O82"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2" s="10" t="inlineStr">
        <is>
          <t>do zrobienia</t>
        </is>
      </c>
    </row>
    <row r="83">
      <c r="A83" s="10" t="inlineStr">
        <is>
          <t>PB-28</t>
        </is>
      </c>
      <c r="B83" s="11" t="inlineStr">
        <is>
          <t>Rozliczenie poza Verris (całe konto)</t>
        </is>
      </c>
      <c r="C83" s="10" t="inlineStr">
        <is>
          <t>poza audytem</t>
        </is>
      </c>
      <c r="D83" s="10" t="inlineStr">
        <is>
          <t>Praca spoza audytu</t>
        </is>
      </c>
      <c r="E83" s="10" t="inlineStr">
        <is>
          <t>WYSOKI</t>
        </is>
      </c>
      <c r="F83" s="10" t="n">
        <v>10</v>
      </c>
      <c r="G83" s="10" t="n">
        <v>14</v>
      </c>
      <c r="H83" s="10" t="inlineStr">
        <is>
          <t>Faza 2 — Odzyskanie funkcji-widm i luki pierwszego tygodnia</t>
        </is>
      </c>
      <c r="I83" s="10" t="inlineStr">
        <is>
          <t>2026-10-19</t>
        </is>
      </c>
      <c r="J83" s="10" t="inlineStr">
        <is>
          <t>2026-10-23</t>
        </is>
      </c>
      <c r="K83" s="10" t="inlineStr">
        <is>
          <t>—</t>
        </is>
      </c>
      <c r="L83" s="11" t="inlineStr">
        <is>
          <t>—</t>
        </is>
      </c>
      <c r="M83" s="11" t="inlineStr">
        <is>
          <t>—</t>
        </is>
      </c>
      <c r="N83" s="11" t="inlineStr">
        <is>
          <t>Flaga na koncie ustawiana z panelu admina/obsługi; testy: brak obciążeń, przedłużanie okresu, brak maili, brak blokady, raport zużycia autoskalowania.</t>
        </is>
      </c>
      <c r="O83"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3" s="10" t="inlineStr">
        <is>
          <t>do zrobienia</t>
        </is>
      </c>
    </row>
    <row r="84">
      <c r="A84" s="10" t="inlineStr">
        <is>
          <t>X-41</t>
        </is>
      </c>
      <c r="B84" s="11" t="inlineStr">
        <is>
          <t>Hardening egressu wisi w łańcuchu OUTPUT, a ruch kontenerów idzie przez FORWARD</t>
        </is>
      </c>
      <c r="C84" s="10" t="inlineStr">
        <is>
          <t>audyt</t>
        </is>
      </c>
      <c r="D84" s="10" t="inlineStr">
        <is>
          <t>X — Infrastruktura jakości</t>
        </is>
      </c>
      <c r="E84" s="10" t="inlineStr">
        <is>
          <t>WYSOKA</t>
        </is>
      </c>
      <c r="F84" s="10" t="n">
        <v>16</v>
      </c>
      <c r="G84" s="10" t="n">
        <v>15</v>
      </c>
      <c r="H84" s="10" t="inlineStr">
        <is>
          <t>Faza 3 — Wejście na rynek</t>
        </is>
      </c>
      <c r="I84" s="10" t="inlineStr">
        <is>
          <t>2026-10-05</t>
        </is>
      </c>
      <c r="J84" s="10" t="inlineStr">
        <is>
          <t>2026-10-09</t>
        </is>
      </c>
      <c r="K84" s="10" t="inlineStr">
        <is>
          <t>CZĘŚCIOWE</t>
        </is>
      </c>
      <c r="L84" s="11" t="inlineStr">
        <is>
          <t>obserwacja wpięta w DOCKER-USER, 1674 pakiety zliczone, 0 DROP/REJECT</t>
        </is>
      </c>
      <c r="M84" s="11" t="inlineStr">
        <is>
          <t>—</t>
        </is>
      </c>
      <c r="N84" s="11" t="inlineStr">
        <is>
          <t>Ograniczenie opisane w uwagach macierzy zniknęło; test potwierdza zachowanie także w scenariuszu awaryjnym.</t>
        </is>
      </c>
      <c r="O84"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c r="P84" s="10" t="inlineStr">
        <is>
          <t>do zrobienia</t>
        </is>
      </c>
    </row>
    <row r="85">
      <c r="A85" s="10" t="inlineStr">
        <is>
          <t>SEC-03</t>
        </is>
      </c>
      <c r="B85" s="11" t="inlineStr">
        <is>
          <t>Ruch poza TCP/80 i TCP/443 — DNS (UDP/53), SMTP — nie jest objęty ani obserwacją z X-41, ani trybem strict</t>
        </is>
      </c>
      <c r="C85" s="10" t="inlineStr">
        <is>
          <t>audyt</t>
        </is>
      </c>
      <c r="D85" s="10" t="inlineStr">
        <is>
          <t>G — SSL i bezpieczeństwo</t>
        </is>
      </c>
      <c r="E85" s="10" t="inlineStr">
        <is>
          <t>WYSOKA</t>
        </is>
      </c>
      <c r="F85" s="10" t="n">
        <v>16</v>
      </c>
      <c r="G85" s="10" t="n">
        <v>15</v>
      </c>
      <c r="H85" s="10" t="inlineStr">
        <is>
          <t>Faza 3 — Wejście na rynek</t>
        </is>
      </c>
      <c r="I85" s="10" t="inlineStr">
        <is>
          <t>2026-10-05</t>
        </is>
      </c>
      <c r="J85" s="10" t="inlineStr">
        <is>
          <t>2026-10-09</t>
        </is>
      </c>
      <c r="K85" s="10" t="inlineStr">
        <is>
          <t>CZĘŚCIOWE</t>
        </is>
      </c>
      <c r="L85"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5" s="11" t="inlineStr">
        <is>
          <t>—</t>
        </is>
      </c>
      <c r="N85" s="11" t="inlineStr">
        <is>
          <t>Ograniczenie opisane w uwagach macierzy zniknęło; test potwierdza zachowanie także w scenariuszu awaryjnym.</t>
        </is>
      </c>
      <c r="O85"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c r="P85" s="10" t="inlineStr">
        <is>
          <t>do zrobienia</t>
        </is>
      </c>
    </row>
    <row r="86">
      <c r="A86" s="10" t="inlineStr">
        <is>
          <t>PB-22</t>
        </is>
      </c>
      <c r="B86" s="11" t="inlineStr">
        <is>
          <t>Badge na stronę v2 — interaktywne i użyteczne dla klienta</t>
        </is>
      </c>
      <c r="C86" s="10" t="inlineStr">
        <is>
          <t>poza audytem</t>
        </is>
      </c>
      <c r="D86" s="10" t="inlineStr">
        <is>
          <t>Praca spoza audytu</t>
        </is>
      </c>
      <c r="E86" s="10" t="inlineStr">
        <is>
          <t>ŚREDNI</t>
        </is>
      </c>
      <c r="F86" s="10" t="n">
        <v>20</v>
      </c>
      <c r="G86" s="10" t="n">
        <v>15</v>
      </c>
      <c r="H86" s="10" t="inlineStr">
        <is>
          <t>Faza 3 — Wejście na rynek</t>
        </is>
      </c>
      <c r="I86" s="10" t="inlineStr">
        <is>
          <t>2026-10-05</t>
        </is>
      </c>
      <c r="J86" s="10" t="inlineStr">
        <is>
          <t>2026-10-09</t>
        </is>
      </c>
      <c r="K86" s="10" t="inlineStr">
        <is>
          <t>—</t>
        </is>
      </c>
      <c r="L86" s="11" t="inlineStr">
        <is>
          <t>—</t>
        </is>
      </c>
      <c r="M86" s="11" t="inlineStr">
        <is>
          <t>—</t>
        </is>
      </c>
      <c r="N86" s="11" t="inlineStr">
        <is>
          <t>Badge widoczne na prod na domenie klienta; pieczęć znika przy niespełnionych warunkach; kliknięcia polecenia liczone; testy D2 zielone.</t>
        </is>
      </c>
      <c r="O86"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6" s="10" t="inlineStr">
        <is>
          <t>do zrobienia</t>
        </is>
      </c>
    </row>
    <row r="87">
      <c r="A87" s="10" t="inlineStr">
        <is>
          <t>SEC-05</t>
        </is>
      </c>
      <c r="B87" s="11" t="inlineStr">
        <is>
          <t>Log egressu jest próbką, nie zapisem</t>
        </is>
      </c>
      <c r="C87" s="10" t="inlineStr">
        <is>
          <t>audyt</t>
        </is>
      </c>
      <c r="D87" s="10" t="inlineStr">
        <is>
          <t>G — SSL i bezpieczeństwo</t>
        </is>
      </c>
      <c r="E87" s="10" t="inlineStr">
        <is>
          <t>WYSOKA</t>
        </is>
      </c>
      <c r="F87" s="10" t="n">
        <v>6</v>
      </c>
      <c r="G87" s="10" t="n">
        <v>16</v>
      </c>
      <c r="H87" s="10" t="inlineStr">
        <is>
          <t>Faza 3 — Wejście na rynek</t>
        </is>
      </c>
      <c r="I87" s="10" t="inlineStr">
        <is>
          <t>2026-10-12</t>
        </is>
      </c>
      <c r="J87" s="10" t="inlineStr">
        <is>
          <t>2026-10-16</t>
        </is>
      </c>
      <c r="K87" s="10" t="inlineStr">
        <is>
          <t>DZIAŁA</t>
        </is>
      </c>
      <c r="L87"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7" s="11" t="inlineStr">
        <is>
          <t>—</t>
        </is>
      </c>
      <c r="N87" s="11" t="inlineStr">
        <is>
          <t>Funkcja dostępna z panelu klienta bez wychodzenia do DirectAdmina; test uruchamiany w CI.</t>
        </is>
      </c>
      <c r="O87"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7" s="10" t="inlineStr">
        <is>
          <t>do zrobienia</t>
        </is>
      </c>
    </row>
    <row r="88">
      <c r="A88" s="10" t="inlineStr">
        <is>
          <t>SEC-04</t>
        </is>
      </c>
      <c r="B88" s="11" t="inlineStr">
        <is>
          <t>Host rozmawia z kontenerami przez OUTPUT — ruch wewnętrzny liczony jako egress</t>
        </is>
      </c>
      <c r="C88" s="10" t="inlineStr">
        <is>
          <t>audyt</t>
        </is>
      </c>
      <c r="D88" s="10" t="inlineStr">
        <is>
          <t>G — SSL i bezpieczeństwo</t>
        </is>
      </c>
      <c r="E88" s="10" t="inlineStr">
        <is>
          <t>WYSOKA</t>
        </is>
      </c>
      <c r="F88" s="10" t="n">
        <v>6</v>
      </c>
      <c r="G88" s="10" t="n">
        <v>16</v>
      </c>
      <c r="H88" s="10" t="inlineStr">
        <is>
          <t>Faza 3 — Wejście na rynek</t>
        </is>
      </c>
      <c r="I88" s="10" t="inlineStr">
        <is>
          <t>2026-10-12</t>
        </is>
      </c>
      <c r="J88" s="10" t="inlineStr">
        <is>
          <t>2026-10-16</t>
        </is>
      </c>
      <c r="K88" s="10" t="inlineStr">
        <is>
          <t>DZIAŁA</t>
        </is>
      </c>
      <c r="L88" s="11" t="inlineStr">
        <is>
          <t>security-control-plane-egress.sh — RETURN dla -o lo/docker0/br-+ w VERRIS_EGRESS_STRICT i br-+ w VERRIS_EGRESS_BOGON przed DROP; test apps/api/src/test/egress-strict-naprawde-blokuje.spec.ts</t>
        </is>
      </c>
      <c r="M88" s="11" t="inlineStr">
        <is>
          <t>—</t>
        </is>
      </c>
      <c r="N88" s="11" t="inlineStr">
        <is>
          <t>Funkcja dostępna z panelu klienta bez wychodzenia do DirectAdmina; test uruchamiany w CI.</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88" s="10" t="inlineStr">
        <is>
          <t>do zrobienia</t>
        </is>
      </c>
    </row>
    <row r="89">
      <c r="A89" s="10" t="inlineStr">
        <is>
          <t>SEC-01</t>
        </is>
      </c>
      <c r="B89" s="11" t="inlineStr">
        <is>
          <t>Tryb `--strict` jest atrapą</t>
        </is>
      </c>
      <c r="C89" s="10" t="inlineStr">
        <is>
          <t>audyt</t>
        </is>
      </c>
      <c r="D89" s="10" t="inlineStr">
        <is>
          <t>G — SSL i bezpieczeństwo</t>
        </is>
      </c>
      <c r="E89" s="10" t="inlineStr">
        <is>
          <t>WYSOKA</t>
        </is>
      </c>
      <c r="F89" s="10" t="n">
        <v>16</v>
      </c>
      <c r="G89" s="10" t="n">
        <v>16</v>
      </c>
      <c r="H89" s="10" t="inlineStr">
        <is>
          <t>Faza 3 — Wejście na rynek</t>
        </is>
      </c>
      <c r="I89" s="10" t="inlineStr">
        <is>
          <t>2026-10-12</t>
        </is>
      </c>
      <c r="J89" s="10" t="inlineStr">
        <is>
          <t>2026-10-16</t>
        </is>
      </c>
      <c r="K89" s="10" t="inlineStr">
        <is>
          <t>CZĘŚCIOWE</t>
        </is>
      </c>
      <c r="L89"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9" s="11" t="inlineStr">
        <is>
          <t>—</t>
        </is>
      </c>
      <c r="N89" s="11" t="inlineStr">
        <is>
          <t>Ograniczenie opisane w uwagach macierzy zniknęło; test potwierdza zachowanie także w scenariuszu awaryjnym.</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c r="P89" s="10" t="inlineStr">
        <is>
          <t>do zrobienia</t>
        </is>
      </c>
    </row>
    <row r="90">
      <c r="A90" s="10" t="inlineStr">
        <is>
          <t>SEC-06</t>
        </is>
      </c>
      <c r="B90" s="11" t="inlineStr">
        <is>
          <t>Allowlista pokrywa to, o czym ktoś pomyślał, nie to, co host robi</t>
        </is>
      </c>
      <c r="C90" s="10" t="inlineStr">
        <is>
          <t>audyt</t>
        </is>
      </c>
      <c r="D90" s="10" t="inlineStr">
        <is>
          <t>G — SSL i bezpieczeństwo</t>
        </is>
      </c>
      <c r="E90" s="10" t="inlineStr">
        <is>
          <t>WYSOKA</t>
        </is>
      </c>
      <c r="F90" s="10" t="n">
        <v>16</v>
      </c>
      <c r="G90" s="10" t="n">
        <v>16</v>
      </c>
      <c r="H90" s="10" t="inlineStr">
        <is>
          <t>Faza 3 — Wejście na rynek</t>
        </is>
      </c>
      <c r="I90" s="10" t="inlineStr">
        <is>
          <t>2026-10-12</t>
        </is>
      </c>
      <c r="J90" s="10" t="inlineStr">
        <is>
          <t>2026-10-16</t>
        </is>
      </c>
      <c r="K90" s="10" t="inlineStr">
        <is>
          <t>BRAK</t>
        </is>
      </c>
      <c r="L90" s="11" t="inlineStr">
        <is>
          <t>ipset test verris_egress_https na 4 celach z logu egressu</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90" s="10" t="inlineStr">
        <is>
          <t>do zrobienia</t>
        </is>
      </c>
    </row>
    <row r="91">
      <c r="A91" s="10" t="inlineStr">
        <is>
          <t>SEC-02</t>
        </is>
      </c>
      <c r="B91" s="11" t="inlineStr">
        <is>
          <t>Stripe jest w allowliście wyłącznie po nazwie, a ipset powstaje z rozwiązania nazw</t>
        </is>
      </c>
      <c r="C91" s="10" t="inlineStr">
        <is>
          <t>audyt</t>
        </is>
      </c>
      <c r="D91" s="10" t="inlineStr">
        <is>
          <t>G — SSL i bezpieczeństwo</t>
        </is>
      </c>
      <c r="E91" s="10" t="inlineStr">
        <is>
          <t>ŚREDNIA</t>
        </is>
      </c>
      <c r="F91" s="10" t="n">
        <v>6</v>
      </c>
      <c r="G91" s="10" t="n">
        <v>16</v>
      </c>
      <c r="H91" s="10" t="inlineStr">
        <is>
          <t>Faza 3 — Wejście na rynek</t>
        </is>
      </c>
      <c r="I91" s="10" t="inlineStr">
        <is>
          <t>2026-10-12</t>
        </is>
      </c>
      <c r="J91" s="10" t="inlineStr">
        <is>
          <t>2026-10-16</t>
        </is>
      </c>
      <c r="K91" s="10" t="inlineStr">
        <is>
          <t>BRAK</t>
        </is>
      </c>
      <c r="L91" s="11" t="inlineStr">
        <is>
          <t>`egress-allow-hostnames.txt`; ipset `verris_egress_https` = 65 wpisów</t>
        </is>
      </c>
      <c r="M91" s="11" t="inlineStr">
        <is>
          <t>—</t>
        </is>
      </c>
      <c r="N91" s="11" t="inlineStr">
        <is>
          <t>Funkcja dostępna z panelu klienta bez wychodzenia do DirectAdmina; test uruchamiany w CI.</t>
        </is>
      </c>
      <c r="O91"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1" s="10" t="inlineStr">
        <is>
          <t>do zrobienia</t>
        </is>
      </c>
    </row>
    <row r="92">
      <c r="A92" s="10" t="inlineStr">
        <is>
          <t>NODE-02</t>
        </is>
      </c>
      <c r="B92" s="11" t="inlineStr">
        <is>
          <t>`main()` nie sprawdza kodów powrotu</t>
        </is>
      </c>
      <c r="C92" s="10" t="inlineStr">
        <is>
          <t>audyt</t>
        </is>
      </c>
      <c r="D92" s="10" t="inlineStr">
        <is>
          <t>Q — Przewaga</t>
        </is>
      </c>
      <c r="E92" s="10" t="inlineStr">
        <is>
          <t>WYSOKA</t>
        </is>
      </c>
      <c r="F92" s="10" t="n">
        <v>6</v>
      </c>
      <c r="G92" s="10" t="n">
        <v>16</v>
      </c>
      <c r="H92" s="10" t="inlineStr">
        <is>
          <t>Faza 3 — Wejście na rynek</t>
        </is>
      </c>
      <c r="I92" s="10" t="inlineStr">
        <is>
          <t>2026-10-12</t>
        </is>
      </c>
      <c r="J92" s="10" t="inlineStr">
        <is>
          <t>2026-10-16</t>
        </is>
      </c>
      <c r="K92" s="10" t="inlineStr">
        <is>
          <t>CZĘŚCIOWE</t>
        </is>
      </c>
      <c r="L92"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92" s="11" t="inlineStr">
        <is>
          <t>—</t>
        </is>
      </c>
      <c r="N92" s="11" t="inlineStr">
        <is>
          <t>Ograniczenie opisane w uwagach macierzy zniknęło; test potwierdza zachowanie także w scenariuszu awaryjnym.</t>
        </is>
      </c>
      <c r="O92"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92" s="10" t="inlineStr">
        <is>
          <t>do zrobienia</t>
        </is>
      </c>
    </row>
    <row r="93">
      <c r="A93" s="10" t="inlineStr">
        <is>
          <t>PB-23</t>
        </is>
      </c>
      <c r="B93" s="11" t="inlineStr">
        <is>
          <t>Każdy widok osiągalny z menu (klient, admin, staff)</t>
        </is>
      </c>
      <c r="C93" s="10" t="inlineStr">
        <is>
          <t>poza audytem</t>
        </is>
      </c>
      <c r="D93" s="10" t="inlineStr">
        <is>
          <t>Praca spoza audytu</t>
        </is>
      </c>
      <c r="E93" s="10" t="inlineStr">
        <is>
          <t>ŚREDNI</t>
        </is>
      </c>
      <c r="F93" s="10" t="n">
        <v>10</v>
      </c>
      <c r="G93" s="10" t="n">
        <v>16</v>
      </c>
      <c r="H93" s="10" t="inlineStr">
        <is>
          <t>Faza 3 — Wejście na rynek</t>
        </is>
      </c>
      <c r="I93" s="10" t="inlineStr">
        <is>
          <t>2026-10-12</t>
        </is>
      </c>
      <c r="J93" s="10" t="inlineStr">
        <is>
          <t>2026-10-16</t>
        </is>
      </c>
      <c r="K93" s="10" t="inlineStr">
        <is>
          <t>—</t>
        </is>
      </c>
      <c r="L93" s="11" t="inlineStr">
        <is>
          <t>—</t>
        </is>
      </c>
      <c r="M93" s="11" t="inlineStr">
        <is>
          <t>—</t>
        </is>
      </c>
      <c r="N93" s="11" t="inlineStr">
        <is>
          <t>Lista tras vs menu dla trzech paneli bez luk; test-strażnik czerwony po dodaniu trasy bez wejścia w nawigacji.</t>
        </is>
      </c>
      <c r="O93"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3" s="10" t="inlineStr">
        <is>
          <t>do zrobienia</t>
        </is>
      </c>
    </row>
    <row r="94">
      <c r="A94" s="10" t="inlineStr">
        <is>
          <t>PB-30</t>
        </is>
      </c>
      <c r="B94" s="11" t="inlineStr">
        <is>
          <t>Jeden plik wersji dla floty + test zgodności</t>
        </is>
      </c>
      <c r="C94" s="10" t="inlineStr">
        <is>
          <t>poza audytem</t>
        </is>
      </c>
      <c r="D94" s="10" t="inlineStr">
        <is>
          <t>Praca spoza audytu</t>
        </is>
      </c>
      <c r="E94" s="10" t="inlineStr">
        <is>
          <t>WYSOKI</t>
        </is>
      </c>
      <c r="F94" s="10" t="n">
        <v>12</v>
      </c>
      <c r="G94" s="10" t="n">
        <v>16</v>
      </c>
      <c r="H94" s="10" t="inlineStr">
        <is>
          <t>Faza 3 — Wejście na rynek</t>
        </is>
      </c>
      <c r="I94" s="10" t="inlineStr">
        <is>
          <t>2026-10-12</t>
        </is>
      </c>
      <c r="J94" s="10" t="inlineStr">
        <is>
          <t>2026-10-16</t>
        </is>
      </c>
      <c r="K94" s="10" t="inlineStr">
        <is>
          <t>—</t>
        </is>
      </c>
      <c r="L94" s="11" t="inlineStr">
        <is>
          <t>—</t>
        </is>
      </c>
      <c r="M94" s="11" t="inlineStr">
        <is>
          <t>—</t>
        </is>
      </c>
      <c r="N94" s="11" t="inlineStr">
        <is>
          <t>Dwa węzły z tego samego manifestu dają identyczny raport wersji; różnica widoczna w panelu.</t>
        </is>
      </c>
      <c r="O94"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94" s="10" t="inlineStr">
        <is>
          <t>do zrobienia</t>
        </is>
      </c>
    </row>
    <row r="95">
      <c r="A95" s="10" t="inlineStr">
        <is>
          <t>PB-31</t>
        </is>
      </c>
      <c r="B95" s="11" t="inlineStr">
        <is>
          <t>Pełna automatyzacja kreatora węzła</t>
        </is>
      </c>
      <c r="C95" s="10" t="inlineStr">
        <is>
          <t>poza audytem</t>
        </is>
      </c>
      <c r="D95" s="10" t="inlineStr">
        <is>
          <t>Praca spoza audytu</t>
        </is>
      </c>
      <c r="E95" s="10" t="inlineStr">
        <is>
          <t>WYSOKI</t>
        </is>
      </c>
      <c r="F95" s="10" t="n">
        <v>20</v>
      </c>
      <c r="G95" s="10" t="n">
        <v>16</v>
      </c>
      <c r="H95" s="10" t="inlineStr">
        <is>
          <t>Faza 3 — Wejście na rynek</t>
        </is>
      </c>
      <c r="I95" s="10" t="inlineStr">
        <is>
          <t>2026-10-12</t>
        </is>
      </c>
      <c r="J95" s="10" t="inlineStr">
        <is>
          <t>2026-10-16</t>
        </is>
      </c>
      <c r="K95" s="10" t="inlineStr">
        <is>
          <t>—</t>
        </is>
      </c>
      <c r="L95" s="11" t="inlineStr">
        <is>
          <t>—</t>
        </is>
      </c>
      <c r="M95" s="11" t="inlineStr">
        <is>
          <t>—</t>
        </is>
      </c>
      <c r="N95" s="11" t="inlineStr">
        <is>
          <t>Węzeł testowy od czystego AlmaLinux do zielonego raportu bez SSH ręcznie.</t>
        </is>
      </c>
      <c r="O95"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95" s="10" t="inlineStr">
        <is>
          <t>do zrobienia</t>
        </is>
      </c>
    </row>
    <row r="96">
      <c r="A96" s="10" t="inlineStr">
        <is>
          <t>PB-32</t>
        </is>
      </c>
      <c r="B96" s="11" t="inlineStr">
        <is>
          <t>Aktualizacje węzłów falami</t>
        </is>
      </c>
      <c r="C96" s="10" t="inlineStr">
        <is>
          <t>poza audytem</t>
        </is>
      </c>
      <c r="D96" s="10" t="inlineStr">
        <is>
          <t>Praca spoza audytu</t>
        </is>
      </c>
      <c r="E96" s="10" t="inlineStr">
        <is>
          <t>ŚREDNI</t>
        </is>
      </c>
      <c r="F96" s="10" t="n">
        <v>8</v>
      </c>
      <c r="G96" s="10" t="n">
        <v>16</v>
      </c>
      <c r="H96" s="10" t="inlineStr">
        <is>
          <t>Faza 3 — Wejście na rynek</t>
        </is>
      </c>
      <c r="I96" s="10" t="inlineStr">
        <is>
          <t>2026-10-12</t>
        </is>
      </c>
      <c r="J96" s="10" t="inlineStr">
        <is>
          <t>2026-10-16</t>
        </is>
      </c>
      <c r="K96" s="10" t="inlineStr">
        <is>
          <t>—</t>
        </is>
      </c>
      <c r="L96" s="11" t="inlineStr">
        <is>
          <t>—</t>
        </is>
      </c>
      <c r="M96" s="11" t="inlineStr">
        <is>
          <t>—</t>
        </is>
      </c>
      <c r="N96" s="11" t="inlineStr">
        <is>
          <t>Fala zatrzymuje się na pierwszym błędzie; status w panelu zgodny z logiem.</t>
        </is>
      </c>
      <c r="O96"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96" s="10" t="inlineStr">
        <is>
          <t>do zrobienia</t>
        </is>
      </c>
    </row>
    <row r="97">
      <c r="A97" s="10" t="inlineStr">
        <is>
          <t>PB-33</t>
        </is>
      </c>
      <c r="B97" s="11" t="inlineStr">
        <is>
          <t>Wersje stosu floty w panelu + wyrównanie falą</t>
        </is>
      </c>
      <c r="C97" s="10" t="inlineStr">
        <is>
          <t>poza audytem</t>
        </is>
      </c>
      <c r="D97" s="10" t="inlineStr">
        <is>
          <t>Praca spoza audytu</t>
        </is>
      </c>
      <c r="E97" s="10" t="inlineStr">
        <is>
          <t>WYSOKI</t>
        </is>
      </c>
      <c r="F97" s="10" t="n">
        <v>12</v>
      </c>
      <c r="G97" s="10" t="n">
        <v>16</v>
      </c>
      <c r="H97" s="10" t="inlineStr">
        <is>
          <t>Faza 3 — Wejście na rynek</t>
        </is>
      </c>
      <c r="I97" s="10" t="inlineStr">
        <is>
          <t>2026-10-12</t>
        </is>
      </c>
      <c r="J97" s="10" t="inlineStr">
        <is>
          <t>2026-10-16</t>
        </is>
      </c>
      <c r="K97" s="10" t="inlineStr">
        <is>
          <t>—</t>
        </is>
      </c>
      <c r="L97" s="11" t="inlineStr">
        <is>
          <t>—</t>
        </is>
      </c>
      <c r="M97" s="11" t="inlineStr">
        <is>
          <t>—</t>
        </is>
      </c>
      <c r="N97" s="11" t="inlineStr">
        <is>
          <t>Zmiana wersji w panelu → nowy węzeł instaluje ją, istniejące wyrównane falą; audyt zgodności zielony.</t>
        </is>
      </c>
      <c r="O97"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97" s="10" t="inlineStr">
        <is>
          <t>do zrobienia</t>
        </is>
      </c>
    </row>
    <row r="98">
      <c r="A98" s="10" t="inlineStr">
        <is>
          <t>PB-35</t>
        </is>
      </c>
      <c r="B98" s="11" t="inlineStr">
        <is>
          <t>Automatyczna fala aktualizacji węzłów co tydzień</t>
        </is>
      </c>
      <c r="C98" s="10" t="inlineStr">
        <is>
          <t>poza audytem</t>
        </is>
      </c>
      <c r="D98" s="10" t="inlineStr">
        <is>
          <t>Praca spoza audytu</t>
        </is>
      </c>
      <c r="E98" s="10" t="inlineStr">
        <is>
          <t>WYSOKI</t>
        </is>
      </c>
      <c r="F98" s="10" t="n">
        <v>3</v>
      </c>
      <c r="G98" s="10" t="n">
        <v>16</v>
      </c>
      <c r="H98" s="10" t="inlineStr">
        <is>
          <t>Faza 3 — Wejście na rynek</t>
        </is>
      </c>
      <c r="I98" s="10" t="inlineStr">
        <is>
          <t>2026-10-12</t>
        </is>
      </c>
      <c r="J98" s="10" t="inlineStr">
        <is>
          <t>2026-10-16</t>
        </is>
      </c>
      <c r="K98" s="10" t="inlineStr">
        <is>
          <t>—</t>
        </is>
      </c>
      <c r="L98" s="11" t="inlineStr">
        <is>
          <t>—</t>
        </is>
      </c>
      <c r="M98" s="11" t="inlineStr">
        <is>
          <t>—</t>
        </is>
      </c>
      <c r="N98" s="11" t="inlineStr">
        <is>
          <t>Fala startuje sama w oknie; zatrzymanie widoczne w powiadomieniach admina.</t>
        </is>
      </c>
      <c r="O98"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98" s="10" t="inlineStr">
        <is>
          <t>do zrobienia</t>
        </is>
      </c>
    </row>
    <row r="99">
      <c r="A99" s="10" t="inlineStr">
        <is>
          <t>P-15</t>
        </is>
      </c>
      <c r="B99" s="11" t="inlineStr">
        <is>
          <t>Podpisane DPA z subprocesorami (część)</t>
        </is>
      </c>
      <c r="C99" s="10" t="inlineStr">
        <is>
          <t>audyt</t>
        </is>
      </c>
      <c r="D99" s="10" t="inlineStr">
        <is>
          <t>P — Zgodność</t>
        </is>
      </c>
      <c r="E99" s="10" t="inlineStr">
        <is>
          <t>BLOKER STARTU</t>
        </is>
      </c>
      <c r="F99" s="10" t="n">
        <v>6</v>
      </c>
      <c r="G99" s="10" t="n">
        <v>17</v>
      </c>
      <c r="H99" s="10" t="inlineStr">
        <is>
          <t>Faza 3 — Wejście na rynek</t>
        </is>
      </c>
      <c r="I99" s="10" t="inlineStr">
        <is>
          <t>2026-11-23</t>
        </is>
      </c>
      <c r="J99" s="10" t="inlineStr">
        <is>
          <t>2026-11-27</t>
        </is>
      </c>
      <c r="K99" s="10" t="inlineStr">
        <is>
          <t>DZIAŁA</t>
        </is>
      </c>
      <c r="L99" s="11" t="inlineStr">
        <is>
          <t>docs/legal/dpa-subprocessors-tracking.md — tabela statusow po korekcie 2026-09-19. Stripe i AWS: DPA obowiazuje z mocy umowy glownej. Hetzner i Openprovider: akceptacja w panelu, jeszcze nie wykonana. Cloudflare: mechanizm do potwierdzenia.</t>
        </is>
      </c>
      <c r="M99" s="11" t="inlineStr">
        <is>
          <t>—</t>
        </is>
      </c>
      <c r="N99" s="11" t="inlineStr">
        <is>
          <t>Funkcja dostępna z panelu klienta bez wychodzenia do DirectAdmina; test uruchamiany w CI.</t>
        </is>
      </c>
      <c r="O99"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9" s="10" t="inlineStr">
        <is>
          <t>do zrobienia</t>
        </is>
      </c>
    </row>
    <row r="100">
      <c r="A100" s="10" t="inlineStr">
        <is>
          <t>PB-03</t>
        </is>
      </c>
      <c r="B100" s="11" t="inlineStr">
        <is>
          <t>Finalizacja dokumentów prawnych 1.0.0</t>
        </is>
      </c>
      <c r="C100" s="10" t="inlineStr">
        <is>
          <t>poza audytem</t>
        </is>
      </c>
      <c r="D100" s="10" t="inlineStr">
        <is>
          <t>Praca spoza audytu</t>
        </is>
      </c>
      <c r="E100" s="10" t="inlineStr">
        <is>
          <t>BLOKER BIZNESOWY</t>
        </is>
      </c>
      <c r="F100" s="10" t="n">
        <v>16</v>
      </c>
      <c r="G100" s="10" t="n">
        <v>17</v>
      </c>
      <c r="H100" s="10" t="inlineStr">
        <is>
          <t>Faza 3 — Wejście na rynek</t>
        </is>
      </c>
      <c r="I100" s="10" t="inlineStr">
        <is>
          <t>2026-11-23</t>
        </is>
      </c>
      <c r="J100" s="10" t="inlineStr">
        <is>
          <t>2026-11-27</t>
        </is>
      </c>
      <c r="K100" s="10" t="inlineStr">
        <is>
          <t>—</t>
        </is>
      </c>
      <c r="L100" s="11" t="inlineStr">
        <is>
          <t>—</t>
        </is>
      </c>
      <c r="M100" s="11" t="inlineStr">
        <is>
          <t>—</t>
        </is>
      </c>
      <c r="N100" s="11" t="inlineStr">
        <is>
          <t>Wszystkie dokumenty w statusie opublikowanym z numerem wersji i datą. Panel /legal nie pokazuje ani jednego „Dokument w przygotowaniu”.</t>
        </is>
      </c>
      <c r="O100"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100" s="10" t="inlineStr">
        <is>
          <t>do zrobienia</t>
        </is>
      </c>
    </row>
    <row r="101">
      <c r="A101" s="10" t="inlineStr">
        <is>
          <t>PB-04</t>
        </is>
      </c>
      <c r="B101" s="11" t="inlineStr">
        <is>
          <t>Procedura obsługi nadużyć (abuse) — dokument</t>
        </is>
      </c>
      <c r="C101" s="10" t="inlineStr">
        <is>
          <t>poza audytem</t>
        </is>
      </c>
      <c r="D101" s="10" t="inlineStr">
        <is>
          <t>Praca spoza audytu</t>
        </is>
      </c>
      <c r="E101" s="10" t="inlineStr">
        <is>
          <t>WYSOKI</t>
        </is>
      </c>
      <c r="F101" s="10" t="n">
        <v>8</v>
      </c>
      <c r="G101" s="10" t="n">
        <v>17</v>
      </c>
      <c r="H101" s="10" t="inlineStr">
        <is>
          <t>Faza 3 — Wejście na rynek</t>
        </is>
      </c>
      <c r="I101" s="10" t="inlineStr">
        <is>
          <t>2026-11-23</t>
        </is>
      </c>
      <c r="J101" s="10" t="inlineStr">
        <is>
          <t>2026-11-27</t>
        </is>
      </c>
      <c r="K101" s="10" t="inlineStr">
        <is>
          <t>—</t>
        </is>
      </c>
      <c r="L101" s="11" t="inlineStr">
        <is>
          <t>—</t>
        </is>
      </c>
      <c r="M101" s="11" t="inlineStr">
        <is>
          <t>—</t>
        </is>
      </c>
      <c r="N101" s="11" t="inlineStr">
        <is>
          <t>Dokument w ops/docs z właścicielem i czasami reakcji. Test: zgłoszenie wysłane na abuse@ trafia do kogoś i ma odpowiedź w deklarowanym czasie.</t>
        </is>
      </c>
      <c r="O101"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101" s="10" t="inlineStr">
        <is>
          <t>do zrobienia</t>
        </is>
      </c>
    </row>
    <row r="102">
      <c r="A102" s="10" t="inlineStr">
        <is>
          <t>N-16</t>
        </is>
      </c>
      <c r="B102" s="11" t="inlineStr">
        <is>
          <t>SLA z zapisanymi kredytami</t>
        </is>
      </c>
      <c r="C102" s="10" t="inlineStr">
        <is>
          <t>audyt</t>
        </is>
      </c>
      <c r="D102" s="10" t="inlineStr">
        <is>
          <t>N — Wsparcie i ops</t>
        </is>
      </c>
      <c r="E102" s="10" t="inlineStr">
        <is>
          <t>WYSOKA</t>
        </is>
      </c>
      <c r="F102" s="10" t="n">
        <v>6</v>
      </c>
      <c r="G102" s="10" t="n">
        <v>18</v>
      </c>
      <c r="H102" s="10" t="inlineStr">
        <is>
          <t>Faza 3 — Wejście na rynek</t>
        </is>
      </c>
      <c r="I102" s="10" t="inlineStr">
        <is>
          <t>2026-11-30</t>
        </is>
      </c>
      <c r="J102" s="10" t="inlineStr">
        <is>
          <t>2026-12-04</t>
        </is>
      </c>
      <c r="K102" s="10" t="inlineStr">
        <is>
          <t>DZIAŁA</t>
        </is>
      </c>
      <c r="L102"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102" s="11" t="inlineStr">
        <is>
          <t>PB-03 (kredyty SLA muszą być zgodne z opublikowanym regulaminem)</t>
        </is>
      </c>
      <c r="N102" s="11" t="inlineStr">
        <is>
          <t>Funkcja dostępna z panelu klienta bez wychodzenia do DirectAdmina; test uruchamiany w CI.</t>
        </is>
      </c>
      <c r="O102"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102" s="10" t="inlineStr">
        <is>
          <t>do zrobienia</t>
        </is>
      </c>
    </row>
    <row r="103">
      <c r="A103" s="10" t="inlineStr">
        <is>
          <t>A-11</t>
        </is>
      </c>
      <c r="B103" s="11" t="inlineStr">
        <is>
          <t>Wyszukiwarka wolnych domen</t>
        </is>
      </c>
      <c r="C103" s="10" t="inlineStr">
        <is>
          <t>audyt</t>
        </is>
      </c>
      <c r="D103" s="10" t="inlineStr">
        <is>
          <t>A — Domeny i konta</t>
        </is>
      </c>
      <c r="E103" s="10" t="inlineStr">
        <is>
          <t>WYSOKA</t>
        </is>
      </c>
      <c r="F103" s="10" t="n">
        <v>6</v>
      </c>
      <c r="G103" s="10" t="n">
        <v>18</v>
      </c>
      <c r="H103" s="10" t="inlineStr">
        <is>
          <t>Faza 3 — Wejście na rynek</t>
        </is>
      </c>
      <c r="I103" s="10" t="inlineStr">
        <is>
          <t>2026-11-30</t>
        </is>
      </c>
      <c r="J103" s="10" t="inlineStr">
        <is>
          <t>2026-12-04</t>
        </is>
      </c>
      <c r="K103" s="10" t="inlineStr">
        <is>
          <t>DZIAŁA</t>
        </is>
      </c>
      <c r="L103" s="11" t="inlineStr">
        <is>
          <t>domains.controller.ts:54</t>
        </is>
      </c>
      <c r="M103" s="11" t="inlineStr">
        <is>
          <t>—</t>
        </is>
      </c>
      <c r="N103" s="11" t="inlineStr">
        <is>
          <t>Funkcja dostępna z panelu klienta bez wychodzenia do DirectAdmina; test uruchamiany w CI.</t>
        </is>
      </c>
      <c r="O103"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103" s="10" t="inlineStr">
        <is>
          <t>do zrobienia</t>
        </is>
      </c>
    </row>
    <row r="104">
      <c r="A104" s="10" t="inlineStr">
        <is>
          <t>PB-07</t>
        </is>
      </c>
      <c r="B104" s="11" t="inlineStr">
        <is>
          <t>Treści i cennik na verris.pl</t>
        </is>
      </c>
      <c r="C104" s="10" t="inlineStr">
        <is>
          <t>poza audytem</t>
        </is>
      </c>
      <c r="D104" s="10" t="inlineStr">
        <is>
          <t>Praca spoza audytu</t>
        </is>
      </c>
      <c r="E104" s="10" t="inlineStr">
        <is>
          <t>WYSOKI</t>
        </is>
      </c>
      <c r="F104" s="10" t="n">
        <v>16</v>
      </c>
      <c r="G104" s="10" t="n">
        <v>18</v>
      </c>
      <c r="H104" s="10" t="inlineStr">
        <is>
          <t>Faza 3 — Wejście na rynek</t>
        </is>
      </c>
      <c r="I104" s="10" t="inlineStr">
        <is>
          <t>2026-11-30</t>
        </is>
      </c>
      <c r="J104" s="10" t="inlineStr">
        <is>
          <t>2026-12-04</t>
        </is>
      </c>
      <c r="K104" s="10" t="inlineStr">
        <is>
          <t>—</t>
        </is>
      </c>
      <c r="L104" s="11" t="inlineStr">
        <is>
          <t>—</t>
        </is>
      </c>
      <c r="M104" s="11" t="inlineStr">
        <is>
          <t>PB-01 (cennik zależy od unit economics)</t>
        </is>
      </c>
      <c r="N104" s="11" t="inlineStr">
        <is>
          <t>Cennik zgodny z wynikiem PB-01. Specyfikacja techniczna publiczna, jak u cyber_Folks — to jest element zaufania, którego rynek oczekuje.</t>
        </is>
      </c>
      <c r="O104"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104" s="10" t="inlineStr">
        <is>
          <t>do zrobienia</t>
        </is>
      </c>
    </row>
    <row r="105">
      <c r="A105" s="10" t="inlineStr">
        <is>
          <t>PB-11</t>
        </is>
      </c>
      <c r="B105" s="11" t="inlineStr">
        <is>
          <t>Bus factor: drugi kanał alertów i procedura zastępstwa</t>
        </is>
      </c>
      <c r="C105" s="10" t="inlineStr">
        <is>
          <t>poza audytem</t>
        </is>
      </c>
      <c r="D105" s="10" t="inlineStr">
        <is>
          <t>Praca spoza audytu</t>
        </is>
      </c>
      <c r="E105" s="10" t="inlineStr">
        <is>
          <t>WYSOKI</t>
        </is>
      </c>
      <c r="F105" s="10" t="n">
        <v>8</v>
      </c>
      <c r="G105" s="10" t="n">
        <v>18</v>
      </c>
      <c r="H105" s="10" t="inlineStr">
        <is>
          <t>Faza 3 — Wejście na rynek</t>
        </is>
      </c>
      <c r="I105" s="10" t="inlineStr">
        <is>
          <t>2026-11-30</t>
        </is>
      </c>
      <c r="J105" s="10" t="inlineStr">
        <is>
          <t>2026-12-04</t>
        </is>
      </c>
      <c r="K105" s="10" t="inlineStr">
        <is>
          <t>—</t>
        </is>
      </c>
      <c r="L105" s="11" t="inlineStr">
        <is>
          <t>—</t>
        </is>
      </c>
      <c r="M105" s="11" t="inlineStr">
        <is>
          <t>—</t>
        </is>
      </c>
      <c r="N105" s="11" t="inlineStr">
        <is>
          <t>Alert testowy dociera dwoma kanałami. Dokument zastępstwa zawiera dostęp awaryjny i listę rzeczy, które muszą się dziać codziennie.</t>
        </is>
      </c>
      <c r="O105"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105" s="10" t="inlineStr">
        <is>
          <t>do zrobienia</t>
        </is>
      </c>
    </row>
    <row r="106">
      <c r="A106" s="10" t="inlineStr">
        <is>
          <t>PB-21</t>
        </is>
      </c>
      <c r="B106" s="11" t="inlineStr">
        <is>
          <t>DNS platformy i poczty na serwerze testowym</t>
        </is>
      </c>
      <c r="C106" s="10" t="inlineStr">
        <is>
          <t>poza audytem</t>
        </is>
      </c>
      <c r="D106" s="10" t="inlineStr">
        <is>
          <t>Praca spoza audytu</t>
        </is>
      </c>
      <c r="E106" s="10" t="inlineStr">
        <is>
          <t>WYSOKI</t>
        </is>
      </c>
      <c r="F106" s="10" t="n">
        <v>6</v>
      </c>
      <c r="G106" s="10" t="n">
        <v>18</v>
      </c>
      <c r="H106" s="10" t="inlineStr">
        <is>
          <t>Faza 3 — Wejście na rynek</t>
        </is>
      </c>
      <c r="I106" s="10" t="inlineStr">
        <is>
          <t>2026-11-30</t>
        </is>
      </c>
      <c r="J106" s="10" t="inlineStr">
        <is>
          <t>2026-12-04</t>
        </is>
      </c>
      <c r="K106" s="10" t="inlineStr">
        <is>
          <t>—</t>
        </is>
      </c>
      <c r="L106" s="11" t="inlineStr">
        <is>
          <t>—</t>
        </is>
      </c>
      <c r="M106" s="11" t="inlineStr">
        <is>
          <t>—</t>
        </is>
      </c>
      <c r="N106"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106"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 | ZAMKNIĘTE 2026-10-04 (D3 t1): NS platformy ns3/ns4.verris.pl (delegacja d3.hvln.pl, „Tryb NS: poprawny”); rekord dodany/usunięty bez duplikatu (F-01/F-02 30.09, usunięcie _dmarc 04.10 — serial strefy 2026100401); rozmiar skrzynki bez zmiany hasła (E-05); DKIM ze strefy, SPF/DMARC z kreatora (E-15/16/17); verris.pl jeden DMARC (p=none usunięty w OVH przez właściciela); decyzja: bez _spf.verris.pl (docs/VERRIS.md, 8bb0ea30). Przy okazji: raport poczty czytał strefę z cache resolvera (TTL 3600) — poprawka e7b47f48; naprawa asystenta (PB-17) do powtórki po wdrożeniu.</t>
        </is>
      </c>
      <c r="P106" s="10" t="inlineStr">
        <is>
          <t>do zrobienia</t>
        </is>
      </c>
    </row>
    <row r="107">
      <c r="A107" s="10" t="inlineStr">
        <is>
          <t>PB-24</t>
        </is>
      </c>
      <c r="B107" s="11" t="inlineStr">
        <is>
          <t>KSC/NIS2: wpis do wykazu podmiotów kluczowych</t>
        </is>
      </c>
      <c r="C107" s="10" t="inlineStr">
        <is>
          <t>poza audytem</t>
        </is>
      </c>
      <c r="D107" s="10" t="inlineStr">
        <is>
          <t>Praca spoza audytu</t>
        </is>
      </c>
      <c r="E107" s="10" t="inlineStr">
        <is>
          <t>WYSOKI</t>
        </is>
      </c>
      <c r="F107" s="10" t="n">
        <v>3</v>
      </c>
      <c r="G107" s="10" t="n">
        <v>18</v>
      </c>
      <c r="H107" s="10" t="inlineStr">
        <is>
          <t>Faza 3 — Wejście na rynek</t>
        </is>
      </c>
      <c r="I107" s="10" t="inlineStr">
        <is>
          <t>2026-11-30</t>
        </is>
      </c>
      <c r="J107" s="10" t="inlineStr">
        <is>
          <t>2026-12-04</t>
        </is>
      </c>
      <c r="K107" s="10" t="inlineStr">
        <is>
          <t>—</t>
        </is>
      </c>
      <c r="L107" s="11" t="inlineStr">
        <is>
          <t>—</t>
        </is>
      </c>
      <c r="M107" s="11" t="inlineStr">
        <is>
          <t>—</t>
        </is>
      </c>
      <c r="N107" s="11" t="inlineStr">
        <is>
          <t>Wpis w wykazie przed upływem 6 miesięcy od pierwszej domeny/DNS dla klienta; termin zapisany w tym zadaniu z datą.</t>
        </is>
      </c>
      <c r="O107"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7" s="10" t="inlineStr">
        <is>
          <t>do zrobienia</t>
        </is>
      </c>
    </row>
    <row r="108">
      <c r="A108" s="10" t="inlineStr">
        <is>
          <t>PB-25</t>
        </is>
      </c>
      <c r="B108" s="11" t="inlineStr">
        <is>
          <t>White label na węźle — klient nie widzi DirectAdmina</t>
        </is>
      </c>
      <c r="C108" s="10" t="inlineStr">
        <is>
          <t>poza audytem</t>
        </is>
      </c>
      <c r="D108" s="10" t="inlineStr">
        <is>
          <t>Praca spoza audytu</t>
        </is>
      </c>
      <c r="E108" s="10" t="inlineStr">
        <is>
          <t>WYSOKI</t>
        </is>
      </c>
      <c r="F108" s="10" t="n">
        <v>8</v>
      </c>
      <c r="G108" s="10" t="n">
        <v>18</v>
      </c>
      <c r="H108" s="10" t="inlineStr">
        <is>
          <t>Faza 3 — Wejście na rynek</t>
        </is>
      </c>
      <c r="I108" s="10" t="inlineStr">
        <is>
          <t>2026-11-30</t>
        </is>
      </c>
      <c r="J108" s="10" t="inlineStr">
        <is>
          <t>2026-12-04</t>
        </is>
      </c>
      <c r="K108" s="10" t="inlineStr">
        <is>
          <t>—</t>
        </is>
      </c>
      <c r="L108" s="11" t="inlineStr">
        <is>
          <t>—</t>
        </is>
      </c>
      <c r="M108" s="11" t="inlineStr">
        <is>
          <t>—</t>
        </is>
      </c>
      <c r="N108" s="11" t="inlineStr">
        <is>
          <t>Na węźle #1: logowanie do panelu hostingowego, phpMyAdmin i webmaila z panelu klienta nie pokazuje nazwy ani portu DirectAdmina; nowa domena i konto zawieszone pokazują strony Verris; zrzuty w dowodzie.</t>
        </is>
      </c>
      <c r="O108"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 | ZAMKNIĘTE 2026-10-04 (D3 na węźle testowym t1; na węźle #1 to samo przychodzi z profilu — kontrola w PB-02): phpMyAdmin z panelu (jednorazowy link) i webmail bez nazwy/portu DirectAdmina; linki do panelu DA puste z API; zawieszone konto → „Strona tymczasowo niedostępna” (verris-suspended-page), odwieszenie bez obciążenia; nowa poddomena wl3.d3.hvln.pl → „Witamy na stronie … hosting verris” po haku subdomain_create_post (b2ead35 + 0f7f032 dla układu DA 1.710). Uwaga: adres phpMyAdmin/webmaila to nazwa węzła (t1.verris.pl).</t>
        </is>
      </c>
      <c r="P108" s="10" t="inlineStr">
        <is>
          <t>do zrobienia</t>
        </is>
      </c>
    </row>
    <row r="109">
      <c r="A109" s="10" t="inlineStr">
        <is>
          <t>PB-06</t>
        </is>
      </c>
      <c r="B109" s="11" t="inlineStr">
        <is>
          <t>Landing /przenies-strone</t>
        </is>
      </c>
      <c r="C109" s="10" t="inlineStr">
        <is>
          <t>poza audytem</t>
        </is>
      </c>
      <c r="D109" s="10" t="inlineStr">
        <is>
          <t>Praca spoza audytu</t>
        </is>
      </c>
      <c r="E109" s="10" t="inlineStr">
        <is>
          <t>WYSOKI</t>
        </is>
      </c>
      <c r="F109" s="10" t="n">
        <v>16</v>
      </c>
      <c r="G109" s="10" t="n">
        <v>19</v>
      </c>
      <c r="H109" s="10" t="inlineStr">
        <is>
          <t>Faza 3 — Wejście na rynek</t>
        </is>
      </c>
      <c r="I109" s="10" t="inlineStr">
        <is>
          <t>2026-11-30</t>
        </is>
      </c>
      <c r="J109" s="10" t="inlineStr">
        <is>
          <t>2026-12-04</t>
        </is>
      </c>
      <c r="K109" s="10" t="inlineStr">
        <is>
          <t>—</t>
        </is>
      </c>
      <c r="L109" s="11" t="inlineStr">
        <is>
          <t>—</t>
        </is>
      </c>
      <c r="M109" s="11" t="inlineStr">
        <is>
          <t>PB-07 (landing korzysta z ustalonego cennika)</t>
        </is>
      </c>
      <c r="N109" s="11" t="inlineStr">
        <is>
          <t>Strona opublikowana, pomiar działa, formularz i CTA prowadzą do rejestracji. Żadne twierdzenie na stronie nie jest oznaczone w macierzy jako LUKA lub ATRAPA.</t>
        </is>
      </c>
      <c r="O109"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9" s="10" t="inlineStr">
        <is>
          <t>do zrobienia</t>
        </is>
      </c>
    </row>
    <row r="110">
      <c r="A110" s="10" t="inlineStr">
        <is>
          <t>PB-09</t>
        </is>
      </c>
      <c r="B110" s="11" t="inlineStr">
        <is>
          <t>Baza wiedzy — 20 artykułów startowych</t>
        </is>
      </c>
      <c r="C110" s="10" t="inlineStr">
        <is>
          <t>poza audytem</t>
        </is>
      </c>
      <c r="D110" s="10" t="inlineStr">
        <is>
          <t>Praca spoza audytu</t>
        </is>
      </c>
      <c r="E110" s="10" t="inlineStr">
        <is>
          <t>ŚREDNI</t>
        </is>
      </c>
      <c r="F110" s="10" t="n">
        <v>16</v>
      </c>
      <c r="G110" s="10" t="n">
        <v>19</v>
      </c>
      <c r="H110" s="10" t="inlineStr">
        <is>
          <t>Faza 3 — Wejście na rynek</t>
        </is>
      </c>
      <c r="I110" s="10" t="inlineStr">
        <is>
          <t>2026-11-30</t>
        </is>
      </c>
      <c r="J110" s="10" t="inlineStr">
        <is>
          <t>2026-12-04</t>
        </is>
      </c>
      <c r="K110" s="10" t="inlineStr">
        <is>
          <t>—</t>
        </is>
      </c>
      <c r="L110" s="11" t="inlineStr">
        <is>
          <t>—</t>
        </is>
      </c>
      <c r="M110" s="11" t="inlineStr">
        <is>
          <t>—</t>
        </is>
      </c>
      <c r="N110" s="11" t="inlineStr">
        <is>
          <t>20 artykułów opublikowanych i zaindeksowanych do asystenta AI. Każdy opisuje funkcję, która w macierzy ma status DZIAŁA.</t>
        </is>
      </c>
      <c r="O110"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10" s="10" t="inlineStr">
        <is>
          <t>do zrobienia</t>
        </is>
      </c>
    </row>
    <row r="111">
      <c r="A111" s="10" t="inlineStr">
        <is>
          <t>PB-19</t>
        </is>
      </c>
      <c r="B111" s="11" t="inlineStr">
        <is>
          <t>Widok strony: ruch, TTFB, błędy 5xx, technologia i logi z węzła</t>
        </is>
      </c>
      <c r="C111" s="10" t="inlineStr">
        <is>
          <t>poza audytem</t>
        </is>
      </c>
      <c r="D111" s="10" t="inlineStr">
        <is>
          <t>Praca spoza audytu</t>
        </is>
      </c>
      <c r="E111" s="10" t="inlineStr">
        <is>
          <t>ŚREDNI</t>
        </is>
      </c>
      <c r="F111" s="10" t="n">
        <v>24</v>
      </c>
      <c r="G111" s="10" t="n">
        <v>19</v>
      </c>
      <c r="H111" s="10" t="inlineStr">
        <is>
          <t>Faza 3 — Wejście na rynek</t>
        </is>
      </c>
      <c r="I111" s="10" t="inlineStr">
        <is>
          <t>2026-11-30</t>
        </is>
      </c>
      <c r="J111" s="10" t="inlineStr">
        <is>
          <t>2026-12-04</t>
        </is>
      </c>
      <c r="K111" s="10" t="inlineStr">
        <is>
          <t>—</t>
        </is>
      </c>
      <c r="L111" s="11" t="inlineStr">
        <is>
          <t>—</t>
        </is>
      </c>
      <c r="M111" s="11" t="inlineStr">
        <is>
          <t>—</t>
        </is>
      </c>
      <c r="N111" s="11" t="inlineStr">
        <is>
          <t>Na działającym węźle produkcyjnym: widok strony pokazuje ruch 7 dni, TTFB i 5xx z prawdziwych logów, wykrytą technologię i zakładkę „Logi”; brak danych = „—”, nie zero; testy parsera logów i detekcji technologii w CI; sprawdzone na D3 (serwer).</t>
        </is>
      </c>
      <c r="O111"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11" s="10" t="inlineStr">
        <is>
          <t>do zrobienia</t>
        </is>
      </c>
    </row>
    <row r="112">
      <c r="A112" s="10" t="inlineStr">
        <is>
          <t>PB-12</t>
        </is>
      </c>
      <c r="B112" s="11" t="inlineStr">
        <is>
          <t>Runbook startu i decyzja GO</t>
        </is>
      </c>
      <c r="C112" s="10" t="inlineStr">
        <is>
          <t>poza audytem</t>
        </is>
      </c>
      <c r="D112" s="10" t="inlineStr">
        <is>
          <t>Praca spoza audytu</t>
        </is>
      </c>
      <c r="E112" s="10" t="inlineStr">
        <is>
          <t>BLOKER BIZNESOWY</t>
        </is>
      </c>
      <c r="F112" s="10" t="n">
        <v>8</v>
      </c>
      <c r="G112" s="10" t="n">
        <v>20</v>
      </c>
      <c r="H112" s="10" t="inlineStr"/>
      <c r="I112" s="10" t="inlineStr">
        <is>
          <t>2027-01-04</t>
        </is>
      </c>
      <c r="J112" s="10" t="inlineStr">
        <is>
          <t>2027-01-08</t>
        </is>
      </c>
      <c r="K112" s="10" t="inlineStr">
        <is>
          <t>—</t>
        </is>
      </c>
      <c r="L112" s="11" t="inlineStr">
        <is>
          <t>—</t>
        </is>
      </c>
      <c r="M112" s="11" t="inlineStr">
        <is>
          <t>PB-05 (decyzja GO po przejściu ścieżki na produkcji)</t>
        </is>
      </c>
      <c r="N112" s="11" t="inlineStr">
        <is>
          <t>Każdy z 11 blokerów ma wpis: co zrobiono, gdzie jest dowód, kto potwierdził. Bez formuły „warunkowe GO”.</t>
        </is>
      </c>
      <c r="O112" s="11" t="inlineStr">
        <is>
          <t>Domknięcie: przegląd wszystkich blokerów z dowodem zamknięcia, decyzja GO/NO-GO zapisana z datą.</t>
        </is>
      </c>
      <c r="P112" s="10" t="inlineStr">
        <is>
          <t>do zrobienia</t>
        </is>
      </c>
    </row>
    <row r="113">
      <c r="A113" s="10" t="inlineStr">
        <is>
          <t>PB-10</t>
        </is>
      </c>
      <c r="B113" s="11" t="inlineStr">
        <is>
          <t>Kampania gads-search-hosting-202607 — uruchomienie</t>
        </is>
      </c>
      <c r="C113" s="10" t="inlineStr">
        <is>
          <t>poza audytem</t>
        </is>
      </c>
      <c r="D113" s="10" t="inlineStr">
        <is>
          <t>Praca spoza audytu</t>
        </is>
      </c>
      <c r="E113" s="10" t="inlineStr">
        <is>
          <t>ŚREDNI</t>
        </is>
      </c>
      <c r="F113" s="10" t="n">
        <v>8</v>
      </c>
      <c r="G113" s="10" t="n">
        <v>20</v>
      </c>
      <c r="H113" s="10" t="inlineStr"/>
      <c r="I113" s="10" t="inlineStr">
        <is>
          <t>2027-01-04</t>
        </is>
      </c>
      <c r="J113" s="10" t="inlineStr">
        <is>
          <t>2027-01-08</t>
        </is>
      </c>
      <c r="K113" s="10" t="inlineStr">
        <is>
          <t>—</t>
        </is>
      </c>
      <c r="L113" s="11" t="inlineStr">
        <is>
          <t>—</t>
        </is>
      </c>
      <c r="M113" s="11" t="inlineStr">
        <is>
          <t>PB-06 (kampania kieruje na landing)</t>
        </is>
      </c>
      <c r="N113" s="11" t="inlineStr">
        <is>
          <t>Kampania utworzona wstrzymana, konwersje podpięte, budżet i stawki ustawione. Start dopiero po PB-05.</t>
        </is>
      </c>
      <c r="O113" s="11" t="inlineStr">
        <is>
          <t>Konfiguracja kampanii wyszukiwarkowej, budżet 500–1000 zł/mies., oś przekazu: migracja bez przestoju.</t>
        </is>
      </c>
      <c r="P113" s="10" t="inlineStr">
        <is>
          <t>do zrobienia</t>
        </is>
      </c>
    </row>
    <row r="114">
      <c r="A114" s="10" t="inlineStr">
        <is>
          <t>Z-18</t>
        </is>
      </c>
      <c r="B114" s="11" t="inlineStr">
        <is>
          <t>Prawdziwa przyczyna błędu provisioningu nie ginie po drodze (część)</t>
        </is>
      </c>
      <c r="C114" s="10" t="inlineStr">
        <is>
          <t>audyt</t>
        </is>
      </c>
      <c r="D114" s="10" t="inlineStr">
        <is>
          <t>Z — Pass adwersaryjny</t>
        </is>
      </c>
      <c r="E114" s="10" t="inlineStr">
        <is>
          <t>BLOKER STARTU</t>
        </is>
      </c>
      <c r="F114" s="10" t="n">
        <v>2</v>
      </c>
      <c r="G114" s="10" t="n">
        <v>21</v>
      </c>
      <c r="H114" s="10" t="inlineStr"/>
      <c r="I114" s="10" t="inlineStr">
        <is>
          <t>2026-11-09</t>
        </is>
      </c>
      <c r="J114" s="10" t="inlineStr">
        <is>
          <t>2026-11-13</t>
        </is>
      </c>
      <c r="K114" s="10" t="inlineStr">
        <is>
          <t>DZIAŁA</t>
        </is>
      </c>
      <c r="L114"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14" s="11" t="inlineStr">
        <is>
          <t>—</t>
        </is>
      </c>
      <c r="N114" s="11" t="inlineStr">
        <is>
          <t>Funkcja dostępna z panelu klienta bez wychodzenia do DirectAdmina; test uruchamiany w CI.</t>
        </is>
      </c>
      <c r="O114"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14" s="10" t="inlineStr">
        <is>
          <t>do zrobienia</t>
        </is>
      </c>
    </row>
    <row r="115">
      <c r="A115" s="10" t="inlineStr">
        <is>
          <t>J-01</t>
        </is>
      </c>
      <c r="B115" s="11" t="inlineStr">
        <is>
          <t>LiteSpeed / serwer o wysokiej wydajności</t>
        </is>
      </c>
      <c r="C115" s="10" t="inlineStr">
        <is>
          <t>audyt</t>
        </is>
      </c>
      <c r="D115" s="10" t="inlineStr">
        <is>
          <t>J — Wydajność i cache</t>
        </is>
      </c>
      <c r="E115" s="10" t="inlineStr">
        <is>
          <t>WYSOKA</t>
        </is>
      </c>
      <c r="F115" s="10" t="n">
        <v>6</v>
      </c>
      <c r="G115" s="10" t="n">
        <v>21</v>
      </c>
      <c r="H115" s="10" t="inlineStr"/>
      <c r="I115" s="10" t="inlineStr">
        <is>
          <t>2026-11-09</t>
        </is>
      </c>
      <c r="J115" s="10" t="inlineStr">
        <is>
          <t>2026-11-13</t>
        </is>
      </c>
      <c r="K115" s="10" t="inlineStr">
        <is>
          <t>DZIAŁA</t>
        </is>
      </c>
      <c r="L115" s="11" t="inlineStr">
        <is>
          <t>decyzja infrastrukturalna, poza kodem panelu; D3 t1 29.09 (panel klienta, d3.hvln.pl): LiteSpeed Enterprise (Server: LiteSpeed), CacheRoot z profilu [OK], strona główna WordPressa z x-litespeed-cache: hit</t>
        </is>
      </c>
      <c r="M115" s="11" t="inlineStr">
        <is>
          <t>—</t>
        </is>
      </c>
      <c r="N115" s="11" t="inlineStr">
        <is>
          <t>Funkcja dostępna z panelu klienta bez wychodzenia do DirectAdmina; test uruchamiany w CI.</t>
        </is>
      </c>
      <c r="O115"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15" s="10" t="inlineStr">
        <is>
          <t>do zrobienia</t>
        </is>
      </c>
    </row>
    <row r="116">
      <c r="A116" s="10" t="inlineStr">
        <is>
          <t>J-04</t>
        </is>
      </c>
      <c r="B116" s="11" t="inlineStr">
        <is>
          <t>HTTP/3</t>
        </is>
      </c>
      <c r="C116" s="10" t="inlineStr">
        <is>
          <t>audyt</t>
        </is>
      </c>
      <c r="D116" s="10" t="inlineStr">
        <is>
          <t>J — Wydajność i cache</t>
        </is>
      </c>
      <c r="E116" s="10" t="inlineStr">
        <is>
          <t>ŚREDNIA</t>
        </is>
      </c>
      <c r="F116" s="10" t="n">
        <v>6</v>
      </c>
      <c r="G116" s="10" t="n">
        <v>21</v>
      </c>
      <c r="H116" s="10" t="inlineStr"/>
      <c r="I116" s="10" t="inlineStr">
        <is>
          <t>2026-11-09</t>
        </is>
      </c>
      <c r="J116" s="10" t="inlineStr">
        <is>
          <t>2026-11-13</t>
        </is>
      </c>
      <c r="K116" s="10" t="inlineStr">
        <is>
          <t>DZIAŁA</t>
        </is>
      </c>
      <c r="L116"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16" s="11" t="inlineStr">
        <is>
          <t>—</t>
        </is>
      </c>
      <c r="N116" s="11" t="inlineStr">
        <is>
          <t>Funkcja dostępna z panelu klienta bez wychodzenia do DirectAdmina; test uruchamiany w CI.</t>
        </is>
      </c>
      <c r="O116"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16" s="10" t="inlineStr">
        <is>
          <t>do zrobienia</t>
        </is>
      </c>
    </row>
    <row r="117">
      <c r="A117" s="10" t="inlineStr">
        <is>
          <t>B-01</t>
        </is>
      </c>
      <c r="B117" s="11" t="inlineStr">
        <is>
          <t>Zmiana wersji PHP dla całego konta</t>
        </is>
      </c>
      <c r="C117" s="10" t="inlineStr">
        <is>
          <t>audyt</t>
        </is>
      </c>
      <c r="D117" s="10" t="inlineStr">
        <is>
          <t>B — Runtime WWW</t>
        </is>
      </c>
      <c r="E117" s="10" t="inlineStr">
        <is>
          <t>—</t>
        </is>
      </c>
      <c r="F117" s="10" t="n">
        <v>6</v>
      </c>
      <c r="G117" s="10" t="n">
        <v>21</v>
      </c>
      <c r="H117" s="10" t="inlineStr"/>
      <c r="I117" s="10" t="inlineStr">
        <is>
          <t>2026-11-09</t>
        </is>
      </c>
      <c r="J117" s="10" t="inlineStr">
        <is>
          <t>2026-11-13</t>
        </is>
      </c>
      <c r="K117" s="10" t="inlineStr">
        <is>
          <t>DZIAŁA</t>
        </is>
      </c>
      <c r="L117"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17" s="11" t="inlineStr">
        <is>
          <t>—</t>
        </is>
      </c>
      <c r="N117" s="11" t="inlineStr">
        <is>
          <t>Funkcja dostępna z panelu klienta bez wychodzenia do DirectAdmina; test uruchamiany w CI.</t>
        </is>
      </c>
      <c r="O117"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7" s="10" t="inlineStr">
        <is>
          <t>do zrobienia</t>
        </is>
      </c>
    </row>
    <row r="118">
      <c r="A118" s="10" t="inlineStr">
        <is>
          <t>PB-02</t>
        </is>
      </c>
      <c r="B118" s="11" t="inlineStr">
        <is>
          <t>Onboarding produkcyjnego węzła #1 (Hetzner AX102)</t>
        </is>
      </c>
      <c r="C118" s="10" t="inlineStr">
        <is>
          <t>poza audytem</t>
        </is>
      </c>
      <c r="D118" s="10" t="inlineStr">
        <is>
          <t>Praca spoza audytu</t>
        </is>
      </c>
      <c r="E118" s="10" t="inlineStr">
        <is>
          <t>WYSOKI</t>
        </is>
      </c>
      <c r="F118" s="10" t="n">
        <v>16</v>
      </c>
      <c r="G118" s="10" t="n">
        <v>21</v>
      </c>
      <c r="H118" s="10" t="inlineStr"/>
      <c r="I118" s="10" t="inlineStr">
        <is>
          <t>2026-11-09</t>
        </is>
      </c>
      <c r="J118" s="10" t="inlineStr">
        <is>
          <t>2026-11-13</t>
        </is>
      </c>
      <c r="K118" s="10" t="inlineStr">
        <is>
          <t>—</t>
        </is>
      </c>
      <c r="L118" s="11" t="inlineStr">
        <is>
          <t>—</t>
        </is>
      </c>
      <c r="M118" s="11" t="inlineStr">
        <is>
          <t>—</t>
        </is>
      </c>
      <c r="N118" s="11" t="inlineStr">
        <is>
          <t>Węzeł przechodzi wszystkie 14 checków live-readiness. /etc/verris-backup.conf istnieje, pierwszy backup off-site wykonany i zaraportowany do control-plane.</t>
        </is>
      </c>
      <c r="O118" s="11" t="inlineStr">
        <is>
          <t>Pełny przebieg node-onboard-live.sh na docelowym serwerze, z konfiguracją backupu off-site jako krokiem obowiązkowym.</t>
        </is>
      </c>
      <c r="P118" s="10" t="inlineStr">
        <is>
          <t>do zrobienia</t>
        </is>
      </c>
    </row>
    <row r="119">
      <c r="A119" s="10" t="inlineStr">
        <is>
          <t>PB-29</t>
        </is>
      </c>
      <c r="B119" s="11" t="inlineStr">
        <is>
          <t>Węzeł: blokery bezpieczeństwa i stabilności</t>
        </is>
      </c>
      <c r="C119" s="10" t="inlineStr">
        <is>
          <t>poza audytem</t>
        </is>
      </c>
      <c r="D119" s="10" t="inlineStr">
        <is>
          <t>Praca spoza audytu</t>
        </is>
      </c>
      <c r="E119" s="10" t="inlineStr">
        <is>
          <t>KRYTYCZNY</t>
        </is>
      </c>
      <c r="F119" s="10" t="n">
        <v>12</v>
      </c>
      <c r="G119" s="10" t="n">
        <v>21</v>
      </c>
      <c r="H119" s="10" t="inlineStr"/>
      <c r="I119" s="10" t="inlineStr">
        <is>
          <t>2026-11-09</t>
        </is>
      </c>
      <c r="J119" s="10" t="inlineStr">
        <is>
          <t>2026-11-13</t>
        </is>
      </c>
      <c r="K119" s="10" t="inlineStr">
        <is>
          <t>—</t>
        </is>
      </c>
      <c r="L119" s="11" t="inlineStr">
        <is>
          <t>—</t>
        </is>
      </c>
      <c r="M119" s="11" t="inlineStr">
        <is>
          <t>—</t>
        </is>
      </c>
      <c r="N119" s="11" t="inlineStr">
        <is>
          <t>Nowy węzeł nie dostaje kont przed zieloną weryfikacją; skrypty przechodzą test na węźle testowym (D3).</t>
        </is>
      </c>
      <c r="O119"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9" s="10" t="inlineStr">
        <is>
          <t>do zrobienia</t>
        </is>
      </c>
    </row>
    <row r="120">
      <c r="A120" s="10" t="inlineStr">
        <is>
          <t>PB-36</t>
        </is>
      </c>
      <c r="B120" s="11" t="inlineStr">
        <is>
          <t>Podpisane skrypty węzła i klucz SSH ograniczony do control-plane</t>
        </is>
      </c>
      <c r="C120" s="10" t="inlineStr">
        <is>
          <t>poza audytem</t>
        </is>
      </c>
      <c r="D120" s="10" t="inlineStr">
        <is>
          <t>Praca spoza audytu</t>
        </is>
      </c>
      <c r="E120" s="10" t="inlineStr">
        <is>
          <t>KRYTYCZNY</t>
        </is>
      </c>
      <c r="F120" s="10" t="n">
        <v>10</v>
      </c>
      <c r="G120" s="10" t="n">
        <v>21</v>
      </c>
      <c r="H120" s="10" t="inlineStr"/>
      <c r="I120" s="10" t="inlineStr">
        <is>
          <t>2026-11-09</t>
        </is>
      </c>
      <c r="J120" s="10" t="inlineStr">
        <is>
          <t>2026-11-13</t>
        </is>
      </c>
      <c r="K120" s="10" t="inlineStr">
        <is>
          <t>—</t>
        </is>
      </c>
      <c r="L120" s="11" t="inlineStr">
        <is>
          <t>—</t>
        </is>
      </c>
      <c r="M120" s="11" t="inlineStr">
        <is>
          <t>—</t>
        </is>
      </c>
      <c r="N120" s="11" t="inlineStr">
        <is>
          <t>Niepodpisany/zmieniony skrypt odrzucony przez węzeł; authorized_keys zawiera tylko aktualny klucz z ograniczeniem IP.</t>
        </is>
      </c>
      <c r="O120"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20" s="10" t="inlineStr">
        <is>
          <t>do zrobienia</t>
        </is>
      </c>
    </row>
    <row r="121">
      <c r="A121" s="10" t="inlineStr">
        <is>
          <t>PB-26</t>
        </is>
      </c>
      <c r="B121" s="11" t="inlineStr">
        <is>
          <t>Otwarte testy (beta) z zaproszonymi użytkownikami</t>
        </is>
      </c>
      <c r="C121" s="10" t="inlineStr">
        <is>
          <t>poza audytem</t>
        </is>
      </c>
      <c r="D121" s="10" t="inlineStr">
        <is>
          <t>Praca spoza audytu</t>
        </is>
      </c>
      <c r="E121" s="10" t="inlineStr">
        <is>
          <t>WYSOKI</t>
        </is>
      </c>
      <c r="F121" s="10" t="n">
        <v>12</v>
      </c>
      <c r="G121" s="10" t="n">
        <v>22</v>
      </c>
      <c r="H121" s="10" t="inlineStr"/>
      <c r="I121" s="10" t="inlineStr">
        <is>
          <t>2026-12-07</t>
        </is>
      </c>
      <c r="J121" s="10" t="inlineStr">
        <is>
          <t>2026-12-11</t>
        </is>
      </c>
      <c r="K121" s="10" t="inlineStr">
        <is>
          <t>—</t>
        </is>
      </c>
      <c r="L121" s="11" t="inlineStr">
        <is>
          <t>—</t>
        </is>
      </c>
      <c r="M121" s="11" t="inlineStr">
        <is>
          <t>—</t>
        </is>
      </c>
      <c r="N121" s="11" t="inlineStr">
        <is>
          <t>Minimum 7 dni od pierwszej aktywnej usługi; zero otwartych błędów krytycznych (dane, pieniądze, dostęp); ≥ 80% testerów z działającą stroną bez pomocy wsparcia; poprawki „przed GO” zamknięte. Dopiero potem PB-12.</t>
        </is>
      </c>
      <c r="O121"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21" s="10" t="inlineStr">
        <is>
          <t>do zrobienia</t>
        </is>
      </c>
    </row>
    <row r="122">
      <c r="A122" s="10" t="inlineStr">
        <is>
          <t>PB-05</t>
        </is>
      </c>
      <c r="B122" s="11" t="inlineStr">
        <is>
          <t>Test end-to-end „pierwszy klient”</t>
        </is>
      </c>
      <c r="C122" s="10" t="inlineStr">
        <is>
          <t>poza audytem</t>
        </is>
      </c>
      <c r="D122" s="10" t="inlineStr">
        <is>
          <t>Praca spoza audytu</t>
        </is>
      </c>
      <c r="E122" s="10" t="inlineStr">
        <is>
          <t>BLOKER BIZNESOWY</t>
        </is>
      </c>
      <c r="F122" s="10" t="n">
        <v>16</v>
      </c>
      <c r="G122" s="10" t="n">
        <v>22</v>
      </c>
      <c r="H122" s="10" t="inlineStr"/>
      <c r="I122" s="10" t="inlineStr">
        <is>
          <t>2026-12-07</t>
        </is>
      </c>
      <c r="J122" s="10" t="inlineStr">
        <is>
          <t>2026-12-11</t>
        </is>
      </c>
      <c r="K122" s="10" t="inlineStr">
        <is>
          <t>—</t>
        </is>
      </c>
      <c r="L122" s="11" t="inlineStr">
        <is>
          <t>—</t>
        </is>
      </c>
      <c r="M122" s="11" t="inlineStr">
        <is>
          <t>wszystkie blokery zamknięte (sprint 8)</t>
        </is>
      </c>
      <c r="N122" s="11" t="inlineStr">
        <is>
          <t>Zapisany przebieg z timestampami dla każdego kroku — to jest dowód poziomu D3, jedyny w całym projekcie. Każdy nieudany krok wraca do backlogu jako bloker.</t>
        </is>
      </c>
      <c r="O122" s="11" t="inlineStr">
        <is>
          <t>Przejście całej ścieżki na produkcji jako realny klient: rejestracja, zakup, płatność, provisioning, migracja strony, wystawienie faktury, KSeF, backup, odtworzenie.</t>
        </is>
      </c>
      <c r="P122" s="10" t="inlineStr">
        <is>
          <t>do zrobienia</t>
        </is>
      </c>
    </row>
  </sheetData>
  <autoFilter ref="A1:P122"/>
  <conditionalFormatting sqref="E2:E122">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2">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startu'!$G$2:$G$122,A2)</f>
        <v/>
      </c>
      <c r="G2" s="10">
        <f>SUMIF('Backlog do startu'!$G$2:$G$122,A2,'Backlog do startu'!$F$2:$F$122)</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startu'!$G$2:$G$122,A3)</f>
        <v/>
      </c>
      <c r="G3" s="10">
        <f>SUMIF('Backlog do startu'!$G$2:$G$122,A3,'Backlog do startu'!$F$2:$F$122)</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startu'!$G$2:$G$122,A4)</f>
        <v/>
      </c>
      <c r="G4" s="10">
        <f>SUMIF('Backlog do startu'!$G$2:$G$122,A4,'Backlog do startu'!$F$2:$F$122)</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startu'!$G$2:$G$122,A5)</f>
        <v/>
      </c>
      <c r="G5" s="10">
        <f>SUMIF('Backlog do startu'!$G$2:$G$122,A5,'Backlog do startu'!$F$2:$F$122)</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startu'!$G$2:$G$122,A6)</f>
        <v/>
      </c>
      <c r="G6" s="10">
        <f>SUMIF('Backlog do startu'!$G$2:$G$122,A6,'Backlog do startu'!$F$2:$F$122)</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startu'!$G$2:$G$122,A7)</f>
        <v/>
      </c>
      <c r="G7" s="10">
        <f>SUMIF('Backlog do startu'!$G$2:$G$122,A7,'Backlog do startu'!$F$2:$F$122)</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startu'!$G$2:$G$122,A8)</f>
        <v/>
      </c>
      <c r="G8" s="10">
        <f>SUMIF('Backlog do startu'!$G$2:$G$122,A8,'Backlog do startu'!$F$2:$F$122)</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startu'!$G$2:$G$122,A9)</f>
        <v/>
      </c>
      <c r="G9" s="10">
        <f>SUMIF('Backlog do startu'!$G$2:$G$122,A9,'Backlog do startu'!$F$2:$F$122)</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startu'!$G$2:$G$122,A10)</f>
        <v/>
      </c>
      <c r="G10" s="10">
        <f>SUMIF('Backlog do startu'!$G$2:$G$122,A10,'Backlog do startu'!$F$2:$F$122)</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startu'!$G$2:$G$122,A11)</f>
        <v/>
      </c>
      <c r="G11" s="10">
        <f>SUMIF('Backlog do startu'!$G$2:$G$122,A11,'Backlog do startu'!$F$2:$F$122)</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startu'!$G$2:$G$122,A12)</f>
        <v/>
      </c>
      <c r="G12" s="10">
        <f>SUMIF('Backlog do startu'!$G$2:$G$122,A12,'Backlog do startu'!$F$2:$F$122)</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startu'!$G$2:$G$122,A13)</f>
        <v/>
      </c>
      <c r="G13" s="10">
        <f>SUMIF('Backlog do startu'!$G$2:$G$122,A13,'Backlog do startu'!$F$2:$F$122)</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startu'!$G$2:$G$122,A14)</f>
        <v/>
      </c>
      <c r="G14" s="10">
        <f>SUMIF('Backlog do startu'!$G$2:$G$122,A14,'Backlog do startu'!$F$2:$F$122)</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2026-10-19</t>
        </is>
      </c>
      <c r="C15" s="10" t="inlineStr">
        <is>
          <t>2026-10-23</t>
        </is>
      </c>
      <c r="D15" s="11" t="inlineStr">
        <is>
          <t>Faza 2 — Odzyskanie funkcji-widm i luki pierwszego tygodnia</t>
        </is>
      </c>
      <c r="E15" s="11" t="inlineStr">
        <is>
          <t>Beta wewnętrzna na t1, rozliczenia klienta i pomiar</t>
        </is>
      </c>
      <c r="F15" s="10">
        <f>COUNTIF('Backlog do startu'!$G$2:$G$122,A15)</f>
        <v/>
      </c>
      <c r="G15" s="10">
        <f>SUMIF('Backlog do startu'!$G$2:$G$122,A15,'Backlog do startu'!$F$2:$F$122)</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 | 2026-10-04 HARMONOGRAM STARTU (wariant A, decyzja właściciela): beta wewnętrzna na t1 19.10–6.11 (PB-40); w tym oknie wypadają testy PB-27 (22.10) i PB-28 (odnowienie d3 28.10).</t>
        </is>
      </c>
    </row>
    <row r="16">
      <c r="A16" s="10" t="n">
        <v>15</v>
      </c>
      <c r="B16" s="10" t="inlineStr">
        <is>
          <t>2026-10-05</t>
        </is>
      </c>
      <c r="C16" s="10" t="inlineStr">
        <is>
          <t>2026-10-09</t>
        </is>
      </c>
      <c r="D16" s="11" t="inlineStr">
        <is>
          <t>Faza 3 — Wejście na rynek</t>
        </is>
      </c>
      <c r="E16" s="11" t="inlineStr">
        <is>
          <t>Egress: pelne pokrycie ruchu (control-plane)</t>
        </is>
      </c>
      <c r="F16" s="10">
        <f>COUNTIF('Backlog do startu'!$G$2:$G$122,A16)</f>
        <v/>
      </c>
      <c r="G16" s="10">
        <f>SUMIF('Backlog do startu'!$G$2:$G$122,A16,'Backlog do startu'!$F$2:$F$122)</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2026-10-12</t>
        </is>
      </c>
      <c r="C17" s="10" t="inlineStr">
        <is>
          <t>2026-10-16</t>
        </is>
      </c>
      <c r="D17" s="11" t="inlineStr">
        <is>
          <t>Faza 3 — Wejście na rynek</t>
        </is>
      </c>
      <c r="E17" s="11" t="inlineStr">
        <is>
          <t>Strict egress na control-plane</t>
        </is>
      </c>
      <c r="F17" s="10">
        <f>COUNTIF('Backlog do startu'!$G$2:$G$122,A17)</f>
        <v/>
      </c>
      <c r="G17" s="10">
        <f>SUMIF('Backlog do startu'!$G$2:$G$122,A17,'Backlog do startu'!$F$2:$F$122)</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 | 2026-10-04 DECYZJA WŁAŚCICIELA: drugi węzeł testowy t2 (Hetzner Cloud, czysty AlmaLinux 10) teraz — kreator od zera (PB-31, NODE-02), flota na t1 + t2 (PB-30/32/33/35), H-16 między t1 a t2. AX102 w sprincie 21 już tylko PB-02.</t>
        </is>
      </c>
    </row>
    <row r="18">
      <c r="A18" s="10" t="n">
        <v>17</v>
      </c>
      <c r="B18" s="10" t="inlineStr">
        <is>
          <t>2026-11-23</t>
        </is>
      </c>
      <c r="C18" s="10" t="inlineStr">
        <is>
          <t>2026-11-27</t>
        </is>
      </c>
      <c r="D18" s="11" t="inlineStr">
        <is>
          <t>Faza 3 — Wejście na rynek</t>
        </is>
      </c>
      <c r="E18" s="11" t="inlineStr">
        <is>
          <t>Dokumenty prawne, DPA i naduzycia</t>
        </is>
      </c>
      <c r="F18" s="10">
        <f>COUNTIF('Backlog do startu'!$G$2:$G$122,A18)</f>
        <v/>
      </c>
      <c r="G18" s="10">
        <f>SUMIF('Backlog do startu'!$G$2:$G$122,A18,'Backlog do startu'!$F$2:$F$122)</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 | 2026-10-04 HARMONOGRAM STARTU (wariant A, decyzja właściciela): 23.11 — dokumenty przed otwartą betą (testerzy są zwykłymi klientami); równolegle migracja kilku stron właściciela na AX102.</t>
        </is>
      </c>
    </row>
    <row r="19">
      <c r="A19" s="10" t="n">
        <v>18</v>
      </c>
      <c r="B19" s="10" t="inlineStr">
        <is>
          <t>2026-11-30</t>
        </is>
      </c>
      <c r="C19" s="10" t="inlineStr">
        <is>
          <t>2026-12-04</t>
        </is>
      </c>
      <c r="D19" s="11" t="inlineStr">
        <is>
          <t>Faza 3 — Wejście na rynek</t>
        </is>
      </c>
      <c r="E19" s="11" t="inlineStr">
        <is>
          <t>Cennik, SLA i zastepstwo</t>
        </is>
      </c>
      <c r="F19" s="10">
        <f>COUNTIF('Backlog do startu'!$G$2:$G$122,A19)</f>
        <v/>
      </c>
      <c r="G19" s="10">
        <f>SUMIF('Backlog do startu'!$G$2:$G$122,A19,'Backlog do startu'!$F$2:$F$122)</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 | 2026-10-04 HARMONOGRAM STARTU (wariant A, decyzja właściciela): 30.11; dane OpenProvidera przełączone na produkcyjne przed PB-05.</t>
        </is>
      </c>
    </row>
    <row r="20">
      <c r="A20" s="10" t="n">
        <v>19</v>
      </c>
      <c r="B20" s="10" t="inlineStr">
        <is>
          <t>2026-11-30</t>
        </is>
      </c>
      <c r="C20" s="10" t="inlineStr">
        <is>
          <t>2026-12-04</t>
        </is>
      </c>
      <c r="D20" s="11" t="inlineStr">
        <is>
          <t>Faza 3 — Wejście na rynek</t>
        </is>
      </c>
      <c r="E20" s="11" t="inlineStr">
        <is>
          <t>Landing i baza wiedzy</t>
        </is>
      </c>
      <c r="F20" s="10">
        <f>COUNTIF('Backlog do startu'!$G$2:$G$122,A20)</f>
        <v/>
      </c>
      <c r="G20" s="10">
        <f>SUMIF('Backlog do startu'!$G$2:$G$122,A20,'Backlog do startu'!$F$2:$F$122)</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2027-01-04</t>
        </is>
      </c>
      <c r="C21" s="10" t="inlineStr">
        <is>
          <t>2027-01-08</t>
        </is>
      </c>
      <c r="D21" s="11" t="inlineStr"/>
      <c r="E21" s="11" t="inlineStr">
        <is>
          <t>Decyzja GO i start sprzedaży</t>
        </is>
      </c>
      <c r="F21" s="10">
        <f>COUNTIF('Backlog do startu'!$G$2:$G$122,A21)</f>
        <v/>
      </c>
      <c r="G21" s="10">
        <f>SUMIF('Backlog do startu'!$G$2:$G$122,A21,'Backlog do startu'!$F$2:$F$122)</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 | 2026-10-04 HARMONOGRAM STARTU (wariant A, decyzja właściciela): decyzja GO 4–8.01.2027 (PB-12), start sprzedaży i kampanii 11.01.2027 (PB-10).</t>
        </is>
      </c>
    </row>
    <row r="22">
      <c r="A22" s="10" t="n">
        <v>21</v>
      </c>
      <c r="B22" s="10" t="inlineStr">
        <is>
          <t>2026-11-09</t>
        </is>
      </c>
      <c r="C22" s="10" t="inlineStr">
        <is>
          <t>2026-11-13</t>
        </is>
      </c>
      <c r="D22" s="11" t="inlineStr"/>
      <c r="E22" s="11" t="inlineStr">
        <is>
          <t>Wezel produkcyjny #1 (Hetzner AX102)</t>
        </is>
      </c>
      <c r="F22" s="10">
        <f>COUNTIF('Backlog do startu'!$G$2:$G$122,A22)</f>
        <v/>
      </c>
      <c r="G22" s="10">
        <f>SUMIF('Backlog do startu'!$G$2:$G$122,A22,'Backlog do startu'!$F$2:$F$122)</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 | 2026-10-04 HARMONOGRAM STARTU (wariant A, decyzja właściciela): zakup AX102 9.11 zamiast 18.01 — serwer od razu przyjmuje strony właściciela; t1 + AX102 = dwa węzły dla PB-30/32/33 i H-16.</t>
        </is>
      </c>
    </row>
    <row r="23">
      <c r="A23" s="10" t="n">
        <v>22</v>
      </c>
      <c r="B23" s="10" t="inlineStr">
        <is>
          <t>2026-12-07</t>
        </is>
      </c>
      <c r="C23" s="10" t="inlineStr">
        <is>
          <t>2026-12-11</t>
        </is>
      </c>
      <c r="D23" s="11" t="inlineStr"/>
      <c r="E23" s="11" t="inlineStr">
        <is>
          <t>Beta zewnętrzna i ścieżka pierwszego klienta</t>
        </is>
      </c>
      <c r="F23" s="10">
        <f>COUNTIF('Backlog do startu'!$G$2:$G$122,A23)</f>
        <v/>
      </c>
      <c r="G23" s="10">
        <f>SUMIF('Backlog do startu'!$G$2:$G$122,A23,'Backlog do startu'!$F$2:$F$122)</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 | 2026-10-04 HARMONOGRAM STARTU (wariant A, decyzja właściciela): otwarta beta na AX102 7–20.12 (min. 7 dni), PB-05 na prawdziwych pieniądzach i domenie w jej trakcie; 21.12–3.01 zamrożenie świąteczne, tylko poprawki „przed GO”.</t>
        </is>
      </c>
    </row>
    <row r="24">
      <c r="A24" s="10" t="n">
        <v>23</v>
      </c>
      <c r="B24" s="10" t="inlineStr">
        <is>
          <t>2027-01-11</t>
        </is>
      </c>
      <c r="C24" s="10" t="inlineStr">
        <is>
          <t>2027-01-15</t>
        </is>
      </c>
      <c r="D24" s="11" t="inlineStr"/>
      <c r="E24" s="11" t="inlineStr">
        <is>
          <t>Po starcie — odłożone decyzją właściciela</t>
        </is>
      </c>
      <c r="F24" s="10">
        <f>COUNTIF('Backlog do startu'!$G$2:$G$122,A24)</f>
        <v/>
      </c>
      <c r="G24" s="10">
        <f>SUMIF('Backlog do startu'!$G$2:$G$122,A24,'Backlog do startu'!$F$2:$F$122)</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 | 2026-10-04 HARMONOGRAM STARTU (wariant A, decyzja właściciela): po starcie od 11.01.2027.</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J-05</t>
        </is>
      </c>
      <c r="B3" s="10" t="inlineStr">
        <is>
          <t>E-02</t>
        </is>
      </c>
      <c r="C3" s="11" t="inlineStr">
        <is>
          <t>Wydajność: cache i skalowanie</t>
        </is>
      </c>
      <c r="D3" s="10" t="inlineStr">
        <is>
          <t>Q1 2027</t>
        </is>
      </c>
      <c r="E3" s="10" t="inlineStr">
        <is>
          <t>WYSOKI</t>
        </is>
      </c>
      <c r="F3" s="11" t="inlineStr">
        <is>
          <t>CDN</t>
        </is>
      </c>
      <c r="G3" s="10" t="inlineStr">
        <is>
          <t>J — Wydajność i cache</t>
        </is>
      </c>
      <c r="H3" s="10" t="inlineStr">
        <is>
          <t>NISKA</t>
        </is>
      </c>
      <c r="I3" s="10" t="n">
        <v>40</v>
      </c>
      <c r="J3" s="10" t="inlineStr">
        <is>
          <t>BRAK</t>
        </is>
      </c>
      <c r="K3" s="11" t="inlineStr">
        <is>
          <t>na rynku PL płatny dodatek</t>
        </is>
      </c>
    </row>
    <row r="4">
      <c r="A4" s="10" t="inlineStr">
        <is>
          <t>J-07</t>
        </is>
      </c>
      <c r="B4" s="10" t="inlineStr">
        <is>
          <t>E-02</t>
        </is>
      </c>
      <c r="C4" s="11" t="inlineStr">
        <is>
          <t>Wydajność: cache i skalowanie</t>
        </is>
      </c>
      <c r="D4" s="10" t="inlineStr">
        <is>
          <t>Q1 2027</t>
        </is>
      </c>
      <c r="E4" s="10" t="inlineStr">
        <is>
          <t>WYSOKI</t>
        </is>
      </c>
      <c r="F4" s="11" t="inlineStr">
        <is>
          <t>Dedykowany adres IP</t>
        </is>
      </c>
      <c r="G4" s="10" t="inlineStr">
        <is>
          <t>J — Wydajność i cache</t>
        </is>
      </c>
      <c r="H4" s="10" t="inlineStr">
        <is>
          <t>ŚREDNIA</t>
        </is>
      </c>
      <c r="I4" s="10" t="n">
        <v>6</v>
      </c>
      <c r="J4" s="10" t="inlineStr">
        <is>
          <t>CZĘŚCIOWE</t>
        </is>
      </c>
      <c r="K4" s="11" t="inlineStr">
        <is>
          <t>addons — jako dodatek typu workorder</t>
        </is>
      </c>
    </row>
    <row r="5">
      <c r="A5" s="10" t="inlineStr">
        <is>
          <t>H-16</t>
        </is>
      </c>
      <c r="B5" s="10" t="inlineStr">
        <is>
          <t>E-12</t>
        </is>
      </c>
      <c r="C5" s="11" t="inlineStr">
        <is>
          <t>Backup: granularność i retencja</t>
        </is>
      </c>
      <c r="D5" s="10" t="inlineStr">
        <is>
          <t>Q1 2027</t>
        </is>
      </c>
      <c r="E5" s="10" t="inlineStr">
        <is>
          <t>WYSOKI</t>
        </is>
      </c>
      <c r="F5" s="11" t="inlineStr">
        <is>
          <t>ODTWORZENIE KONTA NA INNY WĘZEŁ</t>
        </is>
      </c>
      <c r="G5" s="10" t="inlineStr">
        <is>
          <t>H — Backup i odtwarzanie</t>
        </is>
      </c>
      <c r="H5" s="10" t="inlineStr">
        <is>
          <t>WYSOKA</t>
        </is>
      </c>
      <c r="I5" s="10" t="n">
        <v>40</v>
      </c>
      <c r="J5" s="10" t="inlineStr">
        <is>
          <t>CZĘŚCIOWE</t>
        </is>
      </c>
      <c r="K5"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6">
      <c r="A6" s="10" t="inlineStr">
        <is>
          <t>M-33</t>
        </is>
      </c>
      <c r="B6" s="10" t="inlineStr">
        <is>
          <t>E-14</t>
        </is>
      </c>
      <c r="C6" s="11" t="inlineStr">
        <is>
          <t>Rozliczenia: dokończenie</t>
        </is>
      </c>
      <c r="D6" s="10" t="inlineStr">
        <is>
          <t>Q1 2027</t>
        </is>
      </c>
      <c r="E6" s="10" t="inlineStr">
        <is>
          <t>WYSOKI</t>
        </is>
      </c>
      <c r="F6" s="11" t="inlineStr">
        <is>
          <t>Dodatki płatne (IP, wsparcie priorytetowe)</t>
        </is>
      </c>
      <c r="G6" s="10" t="inlineStr">
        <is>
          <t>M — Rozliczenia</t>
        </is>
      </c>
      <c r="H6" s="10" t="inlineStr">
        <is>
          <t>NISKA</t>
        </is>
      </c>
      <c r="I6" s="10" t="n">
        <v>16</v>
      </c>
      <c r="J6" s="10" t="inlineStr">
        <is>
          <t>CZĘŚCIOWE</t>
        </is>
      </c>
      <c r="K6" s="11" t="inlineStr">
        <is>
          <t>addon.service.ts:120 — 2 z 3 to workorder do BOK</t>
        </is>
      </c>
    </row>
    <row r="7">
      <c r="A7" s="10" t="inlineStr">
        <is>
          <t>N-21</t>
        </is>
      </c>
      <c r="B7" s="10" t="inlineStr">
        <is>
          <t>E-15</t>
        </is>
      </c>
      <c r="C7" s="11" t="inlineStr">
        <is>
          <t>Wsparcie i ops: kolejka abuse</t>
        </is>
      </c>
      <c r="D7" s="10" t="inlineStr">
        <is>
          <t>Q1 2027</t>
        </is>
      </c>
      <c r="E7" s="10" t="inlineStr">
        <is>
          <t>WYSOKI</t>
        </is>
      </c>
      <c r="F7" s="11" t="inlineStr">
        <is>
          <t>Wsparcie telefoniczne</t>
        </is>
      </c>
      <c r="G7" s="10" t="inlineStr">
        <is>
          <t>N — Wsparcie i ops</t>
        </is>
      </c>
      <c r="H7" s="10" t="inlineStr">
        <is>
          <t>ŚREDNIA</t>
        </is>
      </c>
      <c r="I7" s="10" t="n">
        <v>6</v>
      </c>
      <c r="J7" s="10" t="inlineStr">
        <is>
          <t>BRAK</t>
        </is>
      </c>
      <c r="K7" s="11" t="inlineStr">
        <is>
          <t>poza produktem</t>
        </is>
      </c>
    </row>
    <row r="8">
      <c r="A8" s="10" t="inlineStr">
        <is>
          <t>PROD-01</t>
        </is>
      </c>
      <c r="B8" s="10" t="inlineStr">
        <is>
          <t>E-15</t>
        </is>
      </c>
      <c r="C8" s="11" t="inlineStr">
        <is>
          <t>Wsparcie i ops: kolejka abuse</t>
        </is>
      </c>
      <c r="D8" s="10" t="inlineStr">
        <is>
          <t>Q1 2027</t>
        </is>
      </c>
      <c r="E8" s="10" t="inlineStr">
        <is>
          <t>WYSOKI</t>
        </is>
      </c>
      <c r="F8" s="11" t="inlineStr">
        <is>
          <t>Instalator węzła bez udziału administratora</t>
        </is>
      </c>
      <c r="G8" s="10" t="inlineStr">
        <is>
          <t>N — Wsparcie i ops</t>
        </is>
      </c>
      <c r="H8" s="10" t="inlineStr">
        <is>
          <t>WYSOKA</t>
        </is>
      </c>
      <c r="I8" s="10" t="n">
        <v>40</v>
      </c>
      <c r="J8" s="10" t="inlineStr">
        <is>
          <t>CZĘŚCIOWE</t>
        </is>
      </c>
      <c r="K8" s="11" t="inlineStr">
        <is>
          <t>docs/archiwum/zadania/PROD-01-instalator-wezla-bez-czlowieka.md; stan: bootstrap v2 + kreator węzła (Q-14) — kroki CloudLinux/DA/LiteSpeed nadal ręczne</t>
        </is>
      </c>
    </row>
    <row r="9">
      <c r="A9" s="10" t="inlineStr">
        <is>
          <t>A-09</t>
        </is>
      </c>
      <c r="B9" s="10" t="inlineStr">
        <is>
          <t>E-04</t>
        </is>
      </c>
      <c r="C9" s="11" t="inlineStr">
        <is>
          <t>Domeny jako produkt</t>
        </is>
      </c>
      <c r="D9" s="10" t="inlineStr">
        <is>
          <t>Q2 2027</t>
        </is>
      </c>
      <c r="E9" s="10" t="inlineStr">
        <is>
          <t>WYSOKI</t>
        </is>
      </c>
      <c r="F9" s="11" t="inlineStr">
        <is>
          <t>Transfer domeny (kod authinfo)</t>
        </is>
      </c>
      <c r="G9" s="10" t="inlineStr">
        <is>
          <t>A — Domeny i konta</t>
        </is>
      </c>
      <c r="H9" s="10" t="inlineStr">
        <is>
          <t>WYSOKA</t>
        </is>
      </c>
      <c r="I9" s="10" t="n">
        <v>16</v>
      </c>
      <c r="J9" s="10" t="inlineStr">
        <is>
          <t>CZĘŚCIOWE</t>
        </is>
      </c>
      <c r="K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0">
      <c r="A10" s="10" t="inlineStr">
        <is>
          <t>A-14</t>
        </is>
      </c>
      <c r="B10" s="10" t="inlineStr">
        <is>
          <t>E-04</t>
        </is>
      </c>
      <c r="C10" s="11" t="inlineStr">
        <is>
          <t>Domeny jako produkt</t>
        </is>
      </c>
      <c r="D10" s="10" t="inlineStr">
        <is>
          <t>Q2 2027</t>
        </is>
      </c>
      <c r="E10" s="10" t="inlineStr">
        <is>
          <t>WYSOKI</t>
        </is>
      </c>
      <c r="F10" s="11" t="inlineStr">
        <is>
          <t>Ukrycie danych WHOIS / domain privacy</t>
        </is>
      </c>
      <c r="G10" s="10" t="inlineStr">
        <is>
          <t>A — Domeny i konta</t>
        </is>
      </c>
      <c r="H10" s="10" t="inlineStr">
        <is>
          <t>NISKA</t>
        </is>
      </c>
      <c r="I10" s="10" t="n">
        <v>6</v>
      </c>
      <c r="J10" s="10" t="inlineStr">
        <is>
          <t>FLAGA</t>
        </is>
      </c>
      <c r="K10" s="11" t="inlineStr">
        <is>
          <t>domain-registrar.service.ts setWhoisPrivacy (OpenProvider PUT /v1/domains/{id} is_private_whois_enabled); Domain.whoisPrivacy; zamówienie WHOIS_PRIVACY; ustawienie domain.whoisPrivacyYearlyPrice (puste = ukryte); migracja 20261005160000_ukrycie_whois</t>
        </is>
      </c>
    </row>
    <row r="11">
      <c r="A11" s="10" t="inlineStr">
        <is>
          <t>E-24</t>
        </is>
      </c>
      <c r="B11" s="10" t="inlineStr">
        <is>
          <t>E-10</t>
        </is>
      </c>
      <c r="C11" s="11" t="inlineStr">
        <is>
          <t>Poczta: filtry, kalendarz, limity</t>
        </is>
      </c>
      <c r="D11" s="10" t="inlineStr">
        <is>
          <t>Q2 2027</t>
        </is>
      </c>
      <c r="E11" s="10" t="inlineStr">
        <is>
          <t>ŚREDNI</t>
        </is>
      </c>
      <c r="F11" s="11" t="inlineStr">
        <is>
          <t>2FA dla webmaila</t>
        </is>
      </c>
      <c r="G11" s="10" t="inlineStr">
        <is>
          <t>E — Poczta</t>
        </is>
      </c>
      <c r="H11" s="10" t="inlineStr">
        <is>
          <t>NISKA</t>
        </is>
      </c>
      <c r="I11" s="10" t="n">
        <v>16</v>
      </c>
      <c r="J11" s="10" t="inlineStr">
        <is>
          <t>BRAK</t>
        </is>
      </c>
      <c r="K11" s="11" t="inlineStr">
        <is>
          <t>cyber_Folks ma nawet 2FA dla IMAP/SMTP</t>
        </is>
      </c>
    </row>
    <row r="12">
      <c r="A12" s="10" t="inlineStr">
        <is>
          <t>G-08</t>
        </is>
      </c>
      <c r="B12" s="10" t="inlineStr">
        <is>
          <t>E-06</t>
        </is>
      </c>
      <c r="C12" s="11" t="inlineStr">
        <is>
          <t>Bezpieczeństwo jako funkcja</t>
        </is>
      </c>
      <c r="D12" s="10" t="inlineStr">
        <is>
          <t>Q3 2027</t>
        </is>
      </c>
      <c r="E12" s="10" t="inlineStr">
        <is>
          <t>ŚREDNI</t>
        </is>
      </c>
      <c r="F12" s="11" t="inlineStr">
        <is>
          <t>Sprzedaż certyfikatów DV/OV/EV</t>
        </is>
      </c>
      <c r="G12" s="10" t="inlineStr">
        <is>
          <t>G — SSL i bezpieczeństwo</t>
        </is>
      </c>
      <c r="H12" s="10" t="inlineStr">
        <is>
          <t>NISKA</t>
        </is>
      </c>
      <c r="I12" s="10" t="n">
        <v>16</v>
      </c>
      <c r="J12" s="10" t="inlineStr">
        <is>
          <t>BRAK</t>
        </is>
      </c>
      <c r="K12" s="11" t="inlineStr">
        <is>
          <t>wszystkie 5 hostingów PL to sprzedaje</t>
        </is>
      </c>
    </row>
    <row r="13">
      <c r="A13" s="10" t="inlineStr">
        <is>
          <t>G-21</t>
        </is>
      </c>
      <c r="B13" s="10" t="inlineStr">
        <is>
          <t>E-06</t>
        </is>
      </c>
      <c r="C13" s="11" t="inlineStr">
        <is>
          <t>Bezpieczeństwo jako funkcja</t>
        </is>
      </c>
      <c r="D13" s="10" t="inlineStr">
        <is>
          <t>Q3 2027</t>
        </is>
      </c>
      <c r="E13" s="10" t="inlineStr">
        <is>
          <t>ŚREDNI</t>
        </is>
      </c>
      <c r="F13" s="11" t="inlineStr">
        <is>
          <t>Anty-DDoS</t>
        </is>
      </c>
      <c r="G13" s="10" t="inlineStr">
        <is>
          <t>G — SSL i bezpieczeństwo</t>
        </is>
      </c>
      <c r="H13" s="10" t="inlineStr">
        <is>
          <t>ŚREDNIA</t>
        </is>
      </c>
      <c r="I13" s="10" t="n">
        <v>40</v>
      </c>
      <c r="J13" s="10" t="inlineStr">
        <is>
          <t>DZIAŁA</t>
        </is>
      </c>
      <c r="K13" s="11" t="inlineStr">
        <is>
          <t>ops/docs/DDOS.md; Hetzner DDoS Protection (L3/L4, w cenie); RateLimitGuard + Turnstile (L7 panel/API); LiteSpeed Per-Client Throttling (węzeł, onboarding)</t>
        </is>
      </c>
    </row>
    <row r="14">
      <c r="A14" s="10" t="inlineStr">
        <is>
          <t>O-05</t>
        </is>
      </c>
      <c r="B14" s="10" t="inlineStr">
        <is>
          <t>E-07</t>
        </is>
      </c>
      <c r="C14" s="11" t="inlineStr">
        <is>
          <t>Reseller jako produkt</t>
        </is>
      </c>
      <c r="D14" s="10" t="inlineStr">
        <is>
          <t>Q3 2027</t>
        </is>
      </c>
      <c r="E14" s="10" t="inlineStr">
        <is>
          <t>ŚREDNI</t>
        </is>
      </c>
      <c r="F14" s="11" t="inlineStr">
        <is>
          <t>Reseller — przegląd klientów</t>
        </is>
      </c>
      <c r="G14" s="10" t="inlineStr">
        <is>
          <t>O — Multi-user i reseller</t>
        </is>
      </c>
      <c r="H14" s="10" t="inlineStr">
        <is>
          <t>ŚREDNIA</t>
        </is>
      </c>
      <c r="I14" s="10" t="n">
        <v>40</v>
      </c>
      <c r="J14" s="10" t="inlineStr">
        <is>
          <t>DZIAŁA</t>
        </is>
      </c>
      <c r="K14" s="11" t="inlineStr">
        <is>
          <t>reseller-klienci.service.ts + reseller.controller.ts (5 tras), reseller-klient.tsx; reseller-klienci.int-spec.ts (6 testów na PostgreSQL)</t>
        </is>
      </c>
    </row>
    <row r="15">
      <c r="A15" s="10" t="inlineStr">
        <is>
          <t>O-07</t>
        </is>
      </c>
      <c r="B15" s="10" t="inlineStr">
        <is>
          <t>E-07</t>
        </is>
      </c>
      <c r="C15" s="11" t="inlineStr">
        <is>
          <t>Reseller jako produkt</t>
        </is>
      </c>
      <c r="D15" s="10" t="inlineStr">
        <is>
          <t>Q3 2027</t>
        </is>
      </c>
      <c r="E15" s="10" t="inlineStr">
        <is>
          <t>ŚREDNI</t>
        </is>
      </c>
      <c r="F15" s="11" t="inlineStr">
        <is>
          <t>Reseller — ustawianie własnej marży</t>
        </is>
      </c>
      <c r="G15" s="10" t="inlineStr">
        <is>
          <t>O — Multi-user i reseller</t>
        </is>
      </c>
      <c r="H15" s="10" t="inlineStr">
        <is>
          <t>NISKA</t>
        </is>
      </c>
      <c r="I15" s="10" t="n">
        <v>16</v>
      </c>
      <c r="J15" s="10" t="inlineStr">
        <is>
          <t>CZĘŚCIOWE</t>
        </is>
      </c>
      <c r="K15" s="11" t="inlineStr">
        <is>
          <t>reseller.controller.ts POST me/markup → reseller.service.ts setMarkup (0–300%, audyt RESELLER_MARKUP_CHANGED); reseller-client.tsx „Twój narzut”; test reseller.apply.spec.ts</t>
        </is>
      </c>
    </row>
    <row r="16">
      <c r="A16" s="10" t="inlineStr">
        <is>
          <t>P-12</t>
        </is>
      </c>
      <c r="B16" s="10" t="inlineStr">
        <is>
          <t>E-08</t>
        </is>
      </c>
      <c r="C16" s="11" t="inlineStr">
        <is>
          <t>Dostępność i zgodność w produkcie</t>
        </is>
      </c>
      <c r="D16" s="10" t="inlineStr">
        <is>
          <t>Q3 2027</t>
        </is>
      </c>
      <c r="E16" s="10" t="inlineStr">
        <is>
          <t>ŚREDNI</t>
        </is>
      </c>
      <c r="F16" s="11" t="inlineStr">
        <is>
          <t>Dostępność panelu wg WCAG 2.1 AA (EAA)</t>
        </is>
      </c>
      <c r="G16" s="10" t="inlineStr">
        <is>
          <t>P — Zgodność</t>
        </is>
      </c>
      <c r="H16" s="10" t="inlineStr">
        <is>
          <t>ŚREDNIA</t>
        </is>
      </c>
      <c r="I16" s="10" t="n">
        <v>40</v>
      </c>
      <c r="J16" s="10" t="inlineStr">
        <is>
          <t>DZIAŁA</t>
        </is>
      </c>
      <c r="K16" s="11" t="inlineStr">
        <is>
          <t>eslint.config.mjs w 4 aplikacjach: jsx-a11y recommended jako błędy (34 reguły); 76 → 0 znalezisk (client 52, admin 17, staff 6, www 1); client-panel/src/lib/kontrast-tokenow.spec.ts; ops/qa/a11y-nazwy-kontrolek.js</t>
        </is>
      </c>
    </row>
    <row r="17">
      <c r="A17" s="10" t="inlineStr">
        <is>
          <t>P-14</t>
        </is>
      </c>
      <c r="B17" s="10" t="inlineStr">
        <is>
          <t>E-08</t>
        </is>
      </c>
      <c r="C17" s="11" t="inlineStr">
        <is>
          <t>Dostępność i zgodność w produkcie</t>
        </is>
      </c>
      <c r="D17" s="10" t="inlineStr">
        <is>
          <t>Q3 2027</t>
        </is>
      </c>
      <c r="E17" s="10" t="inlineStr">
        <is>
          <t>ŚREDNI</t>
        </is>
      </c>
      <c r="F17" s="11" t="inlineStr">
        <is>
          <t>Certyfikacja ISO 27001</t>
        </is>
      </c>
      <c r="G17" s="10" t="inlineStr">
        <is>
          <t>P — Zgodność</t>
        </is>
      </c>
      <c r="H17" s="10" t="inlineStr">
        <is>
          <t>NISKA</t>
        </is>
      </c>
      <c r="I17" s="10" t="n">
        <v>40</v>
      </c>
      <c r="J17" s="10" t="inlineStr">
        <is>
          <t>BRAK</t>
        </is>
      </c>
      <c r="K17" s="11" t="inlineStr">
        <is>
          <t>home.pl i nazwa.pl mają — element przetargowy w B2B</t>
        </is>
      </c>
    </row>
    <row r="18">
      <c r="A18" s="10" t="inlineStr">
        <is>
          <t>F-12</t>
        </is>
      </c>
      <c r="B18" s="10" t="inlineStr">
        <is>
          <t>E-11</t>
        </is>
      </c>
      <c r="C18" s="11" t="inlineStr">
        <is>
          <t>DNS: DNSSEC i zarządzanie strefą</t>
        </is>
      </c>
      <c r="D18" s="10" t="inlineStr">
        <is>
          <t>Q3 2027</t>
        </is>
      </c>
      <c r="E18" s="10" t="inlineStr">
        <is>
          <t>ŚREDNI</t>
        </is>
      </c>
      <c r="F18" s="11" t="inlineStr">
        <is>
          <t>Anycast DNS</t>
        </is>
      </c>
      <c r="G18" s="10" t="inlineStr">
        <is>
          <t>F — DNS</t>
        </is>
      </c>
      <c r="H18" s="10" t="inlineStr">
        <is>
          <t>NISKA</t>
        </is>
      </c>
      <c r="I18" s="10" t="n">
        <v>40</v>
      </c>
      <c r="J18" s="10" t="inlineStr">
        <is>
          <t>BRAK</t>
        </is>
      </c>
      <c r="K18" s="11" t="inlineStr">
        <is>
          <t>tylko nazwa.pl na rynku PL</t>
        </is>
      </c>
    </row>
    <row r="19">
      <c r="A19" s="10" t="inlineStr">
        <is>
          <t>L-11</t>
        </is>
      </c>
      <c r="B19" s="10" t="inlineStr">
        <is>
          <t>E-13</t>
        </is>
      </c>
      <c r="C19" s="11" t="inlineStr">
        <is>
          <t>Automatyzacja: API zapisu i webhooki</t>
        </is>
      </c>
      <c r="D19" s="10" t="inlineStr">
        <is>
          <t>Q3 2027</t>
        </is>
      </c>
      <c r="E19" s="10" t="inlineStr">
        <is>
          <t>ŚREDNI</t>
        </is>
      </c>
      <c r="F19" s="11" t="inlineStr">
        <is>
          <t>Asystent AI w panelu</t>
        </is>
      </c>
      <c r="G19" s="10" t="inlineStr">
        <is>
          <t>L — Automatyzacja</t>
        </is>
      </c>
      <c r="H19" s="10" t="inlineStr">
        <is>
          <t>ŚREDNIA</t>
        </is>
      </c>
      <c r="I19" s="10" t="n">
        <v>6</v>
      </c>
      <c r="J19" s="10" t="inlineStr">
        <is>
          <t>FLAGA</t>
        </is>
      </c>
      <c r="K19" s="11" t="inlineStr">
        <is>
          <t>ai-modele.ts; ai-provider.service.ts; ai-ustawienia.admin.controller.ts; admin /settings/ai</t>
        </is>
      </c>
    </row>
    <row r="20">
      <c r="A20" s="10" t="inlineStr">
        <is>
          <t>L-12</t>
        </is>
      </c>
      <c r="B20" s="10" t="inlineStr">
        <is>
          <t>E-13</t>
        </is>
      </c>
      <c r="C20" s="11" t="inlineStr">
        <is>
          <t>Automatyzacja: API zapisu i webhooki</t>
        </is>
      </c>
      <c r="D20" s="10" t="inlineStr">
        <is>
          <t>Q3 2027</t>
        </is>
      </c>
      <c r="E20" s="10" t="inlineStr">
        <is>
          <t>ŚREDNI</t>
        </is>
      </c>
      <c r="F20" s="11" t="inlineStr">
        <is>
          <t>Prognoza zużycia zasobów (AI)</t>
        </is>
      </c>
      <c r="G20" s="10" t="inlineStr">
        <is>
          <t>L — Automatyzacja</t>
        </is>
      </c>
      <c r="H20" s="10" t="inlineStr">
        <is>
          <t>NISKA</t>
        </is>
      </c>
      <c r="I20" s="10" t="n">
        <v>6</v>
      </c>
      <c r="J20" s="10" t="inlineStr">
        <is>
          <t>FLAGA</t>
        </is>
      </c>
      <c r="K20" s="11" t="inlineStr">
        <is>
          <t>hosting-forecast-actions.ts:7; fallback ServiceForecastPanel.tsx:97</t>
        </is>
      </c>
    </row>
    <row r="21">
      <c r="A21" s="10" t="inlineStr">
        <is>
          <t>NODE-01</t>
        </is>
      </c>
      <c r="B21" s="10" t="inlineStr">
        <is>
          <t>E-16</t>
        </is>
      </c>
      <c r="C21" s="11" t="inlineStr">
        <is>
          <t>Rozszerzenia oferty</t>
        </is>
      </c>
      <c r="D21" s="10" t="inlineStr">
        <is>
          <t>Q4 2027</t>
        </is>
      </c>
      <c r="E21" s="10" t="inlineStr">
        <is>
          <t>NISKI</t>
        </is>
      </c>
      <c r="F21" s="11" t="inlineStr">
        <is>
          <t>Dwie niepołączone ścieżki dodania węzła w tym samym panelu</t>
        </is>
      </c>
      <c r="G21" s="10" t="inlineStr">
        <is>
          <t>Q — Przewaga</t>
        </is>
      </c>
      <c r="H21" s="10" t="inlineStr">
        <is>
          <t>ŚREDNIA</t>
        </is>
      </c>
      <c r="I21" s="10" t="n">
        <v>16</v>
      </c>
      <c r="J21" s="10" t="inlineStr">
        <is>
          <t>DZIAŁA</t>
        </is>
      </c>
      <c r="K21" s="11" t="inlineStr">
        <is>
          <t>node-wizard.tsx (krok „Instalacja (bootstrap v2)” z NodeBootstrapProgress), /nodes/init → przekierowanie, NODE_ONBOARD_RUNBOOK.md jedynym runbookiem</t>
        </is>
      </c>
    </row>
    <row r="22">
      <c r="A22" s="10" t="inlineStr">
        <is>
          <t>Q-05</t>
        </is>
      </c>
      <c r="B22" s="10" t="inlineStr">
        <is>
          <t>E-16</t>
        </is>
      </c>
      <c r="C22" s="11" t="inlineStr">
        <is>
          <t>Rozszerzenia oferty</t>
        </is>
      </c>
      <c r="D22" s="10" t="inlineStr">
        <is>
          <t>Q4 2027</t>
        </is>
      </c>
      <c r="E22" s="10" t="inlineStr">
        <is>
          <t>NISKI</t>
        </is>
      </c>
      <c r="F22" s="11" t="inlineStr">
        <is>
          <t>E-mail marketing wbudowany w panel</t>
        </is>
      </c>
      <c r="G22" s="10" t="inlineStr">
        <is>
          <t>Q — Przewaga</t>
        </is>
      </c>
      <c r="H22" s="10" t="inlineStr">
        <is>
          <t>—</t>
        </is>
      </c>
      <c r="I22" s="10" t="n">
        <v>0</v>
      </c>
      <c r="J22" s="10" t="inlineStr">
        <is>
          <t>CZĘŚCIOWE</t>
        </is>
      </c>
      <c r="K22" s="11" t="inlineStr">
        <is>
          <t>email-marketing.controller.ts:36,81,119,139</t>
        </is>
      </c>
    </row>
    <row r="23">
      <c r="A23" s="10" t="inlineStr">
        <is>
          <t>Q-06</t>
        </is>
      </c>
      <c r="B23" s="10" t="inlineStr">
        <is>
          <t>E-16</t>
        </is>
      </c>
      <c r="C23" s="11" t="inlineStr">
        <is>
          <t>Rozszerzenia oferty</t>
        </is>
      </c>
      <c r="D23" s="10" t="inlineStr">
        <is>
          <t>Q4 2027</t>
        </is>
      </c>
      <c r="E23" s="10" t="inlineStr">
        <is>
          <t>NISKI</t>
        </is>
      </c>
      <c r="F23" s="11" t="inlineStr">
        <is>
          <t>VPS / cloud w tym samym panelu</t>
        </is>
      </c>
      <c r="G23" s="10" t="inlineStr">
        <is>
          <t>Q — Przewaga</t>
        </is>
      </c>
      <c r="H23" s="10" t="inlineStr">
        <is>
          <t>ŚREDNIA</t>
        </is>
      </c>
      <c r="I23" s="10" t="n">
        <v>16</v>
      </c>
      <c r="J23" s="10" t="inlineStr">
        <is>
          <t>FLAGA</t>
        </is>
      </c>
      <c r="K23" s="11" t="inlineStr">
        <is>
          <t>vps.controller.ts:53,59,69; HETZNER_API_TOKEN</t>
        </is>
      </c>
    </row>
    <row r="24">
      <c r="A24" s="10" t="inlineStr">
        <is>
          <t>Q-07</t>
        </is>
      </c>
      <c r="B24" s="10" t="inlineStr">
        <is>
          <t>E-16</t>
        </is>
      </c>
      <c r="C24" s="11" t="inlineStr">
        <is>
          <t>Rozszerzenia oferty</t>
        </is>
      </c>
      <c r="D24" s="10" t="inlineStr">
        <is>
          <t>Q4 2027</t>
        </is>
      </c>
      <c r="E24" s="10" t="inlineStr">
        <is>
          <t>NISKI</t>
        </is>
      </c>
      <c r="F24" s="11" t="inlineStr">
        <is>
          <t>VPS — konsola / VNC</t>
        </is>
      </c>
      <c r="G24" s="10" t="inlineStr">
        <is>
          <t>Q — Przewaga</t>
        </is>
      </c>
      <c r="H24" s="10" t="inlineStr">
        <is>
          <t>NISKA</t>
        </is>
      </c>
      <c r="I24" s="10" t="n">
        <v>16</v>
      </c>
      <c r="J24" s="10" t="inlineStr">
        <is>
          <t>BRAK</t>
        </is>
      </c>
      <c r="K24" s="11" t="inlineStr"/>
    </row>
    <row r="25">
      <c r="A25" s="10" t="inlineStr">
        <is>
          <t>Q-08</t>
        </is>
      </c>
      <c r="B25" s="10" t="inlineStr">
        <is>
          <t>E-16</t>
        </is>
      </c>
      <c r="C25" s="11" t="inlineStr">
        <is>
          <t>Rozszerzenia oferty</t>
        </is>
      </c>
      <c r="D25" s="10" t="inlineStr">
        <is>
          <t>Q4 2027</t>
        </is>
      </c>
      <c r="E25" s="10" t="inlineStr">
        <is>
          <t>NISKI</t>
        </is>
      </c>
      <c r="F25" s="11" t="inlineStr">
        <is>
          <t>VPS — snapshoty i rebuild</t>
        </is>
      </c>
      <c r="G25" s="10" t="inlineStr">
        <is>
          <t>Q — Przewaga</t>
        </is>
      </c>
      <c r="H25" s="10" t="inlineStr">
        <is>
          <t>NISKA</t>
        </is>
      </c>
      <c r="I25" s="10" t="n">
        <v>16</v>
      </c>
      <c r="J25" s="10" t="inlineStr">
        <is>
          <t>BRAK</t>
        </is>
      </c>
      <c r="K25" s="11" t="inlineStr"/>
    </row>
  </sheetData>
  <autoFilter ref="A1:K2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2026-10-05T19:46:05Z</dcterms:created>
  <dcterms:modified xmlns:dcterms="http://purl.org/dc/terms/" xmlns:xsi="http://www.w3.org/2001/XMLSchema-instance" xsi:type="dcterms:W3CDTF">2026-10-05T19:46:05Z</dcterms:modified>
</cp:coreProperties>
</file>