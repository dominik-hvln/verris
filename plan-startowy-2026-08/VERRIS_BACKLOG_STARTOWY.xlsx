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startu'!$A$1:$P$152</definedName>
    <definedName name="_xlnm._FilterDatabase" localSheetId="2" hidden="1">'Sprinty'!$A$1:$J$24</definedName>
    <definedName name="_xlnm._FilterDatabase" localSheetId="3" hidden="1">'Po starcie'!$A$1:$K$19</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65 h netto na sprint · wygenerowane 2026-10-12 z audyt/dane/</t>
        </is>
      </c>
    </row>
    <row r="4">
      <c r="A4" s="3" t="inlineStr">
        <is>
          <t>Kluczowe liczby</t>
        </is>
      </c>
    </row>
    <row r="6">
      <c r="A6" s="4" t="inlineStr">
        <is>
          <t>Zadań w planie</t>
        </is>
      </c>
      <c r="B6" s="5">
        <f>COUNTA('Backlog do startu'!$A$2:$A$152)</f>
        <v/>
      </c>
    </row>
    <row r="7">
      <c r="A7" s="4" t="inlineStr">
        <is>
          <t>Godzin w planie</t>
        </is>
      </c>
      <c r="B7" s="5">
        <f>SUM('Backlog do startu'!$F$2:$F$152)</f>
        <v/>
      </c>
    </row>
    <row r="8">
      <c r="A8" s="4" t="inlineStr">
        <is>
          <t>Pojemność</t>
        </is>
      </c>
      <c r="B8" s="5" t="n">
        <v>1495</v>
      </c>
    </row>
    <row r="9">
      <c r="A9" s="4" t="inlineStr">
        <is>
          <t>Zapas</t>
        </is>
      </c>
      <c r="B9" s="5">
        <f>B7-B6</f>
        <v/>
      </c>
    </row>
    <row r="10">
      <c r="A10" s="6" t="inlineStr">
        <is>
          <t>Blokerów</t>
        </is>
      </c>
      <c r="B10" s="7">
        <f>COUNTIF('Backlog do startu'!$E$2:$E$152,"BLOKER STARTU")+COUNTIF('Backlog do startu'!$E$2:$E$152,"BLOKER BIZNESOWY")</f>
        <v/>
      </c>
    </row>
    <row r="11">
      <c r="A11" s="4" t="inlineStr">
        <is>
          <t>Zadań zrobionych</t>
        </is>
      </c>
      <c r="B11" s="5">
        <f>COUNTIF('Backlog do startu'!$P$2:$P$152,"zrobione")</f>
        <v/>
      </c>
    </row>
    <row r="12">
      <c r="A12" s="4" t="inlineStr">
        <is>
          <t>Godzin zrobionych</t>
        </is>
      </c>
      <c r="B12" s="5">
        <f>SUMIF('Backlog do startu'!$P$2:$P$152,"zrobione",'Backlog do startu'!$F$2:$F$152)</f>
        <v/>
      </c>
    </row>
    <row r="13">
      <c r="A13" s="4" t="inlineStr">
        <is>
          <t>Postęp</t>
        </is>
      </c>
      <c r="B13" s="8">
        <f>IFERROR(B12/B6,0)</f>
        <v/>
      </c>
    </row>
    <row r="15">
      <c r="A15" s="3" t="inlineStr">
        <is>
          <t>Praca poza planem sprintów</t>
        </is>
      </c>
    </row>
    <row r="16">
      <c r="A16" s="4" t="inlineStr">
        <is>
          <t>Pozycji w roadmapie po starcie</t>
        </is>
      </c>
      <c r="B16" s="5" t="n">
        <v>18</v>
      </c>
    </row>
    <row r="17">
      <c r="A17" s="4" t="inlineStr">
        <is>
          <t>Godzin</t>
        </is>
      </c>
      <c r="B17" s="5" t="n">
        <v>444</v>
      </c>
    </row>
    <row r="18">
      <c r="A18" s="4" t="inlineStr">
        <is>
          <t>Sprintów po tyle godzin</t>
        </is>
      </c>
      <c r="B18" s="5" t="n">
        <v>6.8</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5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X-30</t>
        </is>
      </c>
      <c r="B26" s="11" t="inlineStr">
        <is>
          <t>Reguły alertowe nie tylko są wczytane, ale się liczą</t>
        </is>
      </c>
      <c r="C26" s="10" t="inlineStr">
        <is>
          <t>audyt</t>
        </is>
      </c>
      <c r="D26" s="10" t="inlineStr">
        <is>
          <t>X — Infrastruktura jakości</t>
        </is>
      </c>
      <c r="E26" s="10" t="inlineStr">
        <is>
          <t>—</t>
        </is>
      </c>
      <c r="F26" s="10" t="n">
        <v>6</v>
      </c>
      <c r="G26" s="10" t="n">
        <v>2</v>
      </c>
      <c r="H26" s="10" t="inlineStr">
        <is>
          <t>Faza 0 — Zatrzymać krwawienie</t>
        </is>
      </c>
      <c r="I26" s="10" t="inlineStr">
        <is>
          <t>2026-09-07</t>
        </is>
      </c>
      <c r="J26" s="10" t="inlineStr">
        <is>
          <t>2026-09-11</t>
        </is>
      </c>
      <c r="K26" s="10" t="inlineStr">
        <is>
          <t>DZIAŁA</t>
        </is>
      </c>
      <c r="L26"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6" s="11" t="inlineStr">
        <is>
          <t>—</t>
        </is>
      </c>
      <c r="N26" s="11" t="inlineStr">
        <is>
          <t>Funkcja dostępna z panelu klienta bez wychodzenia do DirectAdmina; test uruchamiany w CI.</t>
        </is>
      </c>
      <c r="O26"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6" s="10" t="inlineStr">
        <is>
          <t>do zrobienia</t>
        </is>
      </c>
    </row>
    <row r="27">
      <c r="A27" s="10" t="inlineStr">
        <is>
          <t>X-31</t>
        </is>
      </c>
      <c r="B27" s="11" t="inlineStr">
        <is>
          <t>Kanał alertów daje znak życia (dead man's switch)</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7" s="11" t="inlineStr">
        <is>
          <t>—</t>
        </is>
      </c>
      <c r="N27" s="11" t="inlineStr">
        <is>
          <t>Funkcja dostępna z panelu klienta bez wychodzenia do DirectAdmina; test uruchamiany w CI.</t>
        </is>
      </c>
      <c r="O2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7" s="10" t="inlineStr">
        <is>
          <t>do zrobienia</t>
        </is>
      </c>
    </row>
    <row r="28">
      <c r="A28" s="10" t="inlineStr">
        <is>
          <t>X-32</t>
        </is>
      </c>
      <c r="B28" s="11" t="inlineStr">
        <is>
          <t>Martwy job da się odrzucić z panelu, ze śladem w audycie</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8" s="11" t="inlineStr">
        <is>
          <t>—</t>
        </is>
      </c>
      <c r="N28" s="11" t="inlineStr">
        <is>
          <t>Funkcja dostępna z panelu klienta bez wychodzenia do DirectAdmina; test uruchamiany w CI.</t>
        </is>
      </c>
      <c r="O2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8" s="10" t="inlineStr">
        <is>
          <t>do zrobienia</t>
        </is>
      </c>
    </row>
    <row r="29">
      <c r="A29" s="10" t="inlineStr">
        <is>
          <t>X-33</t>
        </is>
      </c>
      <c r="B29" s="11" t="inlineStr">
        <is>
          <t>Bramka alertów odróżnia „nie ma" od „jeszcze nie ma"</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29" s="11" t="inlineStr">
        <is>
          <t>—</t>
        </is>
      </c>
      <c r="N29" s="11" t="inlineStr">
        <is>
          <t>Funkcja dostępna z panelu klienta bez wychodzenia do DirectAdmina; test uruchamiany w CI.</t>
        </is>
      </c>
      <c r="O29"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29" s="10" t="inlineStr">
        <is>
          <t>do zrobienia</t>
        </is>
      </c>
    </row>
    <row r="30">
      <c r="A30" s="10" t="inlineStr">
        <is>
          <t>X-34</t>
        </is>
      </c>
      <c r="B30" s="11" t="inlineStr">
        <is>
          <t>Bramka alertów czyta metryki bez potoku (SIGPIPE + pipefail)</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0" s="11" t="inlineStr">
        <is>
          <t>—</t>
        </is>
      </c>
      <c r="N30" s="11" t="inlineStr">
        <is>
          <t>Funkcja dostępna z panelu klienta bez wychodzenia do DirectAdmina; test uruchamiany w CI.</t>
        </is>
      </c>
      <c r="O30"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0" s="10" t="inlineStr">
        <is>
          <t>do zrobienia</t>
        </is>
      </c>
    </row>
    <row r="31">
      <c r="A31" s="10" t="inlineStr">
        <is>
          <t>Z-12</t>
        </is>
      </c>
      <c r="B31" s="11" t="inlineStr">
        <is>
          <t>Placement kont nadsubskrybuje zasoby węzła zamiast rezerwować pełne limity planu</t>
        </is>
      </c>
      <c r="C31" s="10" t="inlineStr">
        <is>
          <t>audyt</t>
        </is>
      </c>
      <c r="D31" s="10" t="inlineStr">
        <is>
          <t>K — Statystyki, logi, limity</t>
        </is>
      </c>
      <c r="E31" s="10" t="inlineStr">
        <is>
          <t>—</t>
        </is>
      </c>
      <c r="F31" s="10" t="n">
        <v>16</v>
      </c>
      <c r="G31" s="10" t="n">
        <v>3</v>
      </c>
      <c r="H31" s="10" t="inlineStr">
        <is>
          <t>Faza 0 — Zatrzymać krwawienie</t>
        </is>
      </c>
      <c r="I31" s="10" t="inlineStr">
        <is>
          <t>2026-09-14</t>
        </is>
      </c>
      <c r="J31" s="10" t="inlineStr">
        <is>
          <t>2026-09-18</t>
        </is>
      </c>
      <c r="K31" s="10" t="inlineStr">
        <is>
          <t>DZIAŁA</t>
        </is>
      </c>
      <c r="L31"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1" s="11" t="inlineStr">
        <is>
          <t>—</t>
        </is>
      </c>
      <c r="N31" s="11" t="inlineStr">
        <is>
          <t>Funkcja dostępna z panelu klienta bez wychodzenia do DirectAdmina; test uruchamiany w CI.</t>
        </is>
      </c>
      <c r="O31"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 | 2026-10-10: D3 (karta węzła t1, 10.10 ok. 13:00): pula sprzedażowa TEST-NRB-01 wyczerpana przez dysk — przydzielone kontom 100 GB na 75 GB, zapas 0 kont. Bramka handlowa działa zgodnie z kodem, ale po wznowieniu nowych kont 18.10 testerzy bety nie kupią hostingu, dopóki nie zmieni się nadsubskrypcja dysku albo przydziały — decyzja właściciela: PB-55.</t>
        </is>
      </c>
      <c r="P31" s="10" t="inlineStr">
        <is>
          <t>do zrobienia</t>
        </is>
      </c>
    </row>
    <row r="32">
      <c r="A32" s="10" t="inlineStr">
        <is>
          <t>Z-13</t>
        </is>
      </c>
      <c r="B32" s="11" t="inlineStr">
        <is>
          <t>Pakiet sprzedawany na stronie istnieje jako plan w bazie</t>
        </is>
      </c>
      <c r="C32" s="10" t="inlineStr">
        <is>
          <t>audyt</t>
        </is>
      </c>
      <c r="D32" s="10" t="inlineStr">
        <is>
          <t>M — Rozliczenia</t>
        </is>
      </c>
      <c r="E32" s="10" t="inlineStr">
        <is>
          <t>—</t>
        </is>
      </c>
      <c r="F32" s="10" t="n">
        <v>6</v>
      </c>
      <c r="G32" s="10" t="n">
        <v>3</v>
      </c>
      <c r="H32" s="10" t="inlineStr">
        <is>
          <t>Faza 0 — Zatrzymać krwawienie</t>
        </is>
      </c>
      <c r="I32" s="10" t="inlineStr">
        <is>
          <t>2026-09-14</t>
        </is>
      </c>
      <c r="J32" s="10" t="inlineStr">
        <is>
          <t>2026-09-18</t>
        </is>
      </c>
      <c r="K32" s="10" t="inlineStr">
        <is>
          <t>DZIAŁA</t>
        </is>
      </c>
      <c r="L32"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2" s="11" t="inlineStr">
        <is>
          <t>—</t>
        </is>
      </c>
      <c r="N32" s="11" t="inlineStr">
        <is>
          <t>Funkcja dostępna z panelu klienta bez wychodzenia do DirectAdmina; test uruchamiany w CI.</t>
        </is>
      </c>
      <c r="O32"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2" s="10" t="inlineStr">
        <is>
          <t>do zrobienia</t>
        </is>
      </c>
    </row>
    <row r="33">
      <c r="A33" s="10" t="inlineStr">
        <is>
          <t>Z-16</t>
        </is>
      </c>
      <c r="B33" s="11" t="inlineStr">
        <is>
          <t>Autoskalowanie pyta węzeł o pojemność i dowozi sufit obiecany w ofercie</t>
        </is>
      </c>
      <c r="C33" s="10" t="inlineStr">
        <is>
          <t>audyt</t>
        </is>
      </c>
      <c r="D33" s="10" t="inlineStr">
        <is>
          <t>J — Wydajność i cache</t>
        </is>
      </c>
      <c r="E33" s="10" t="inlineStr">
        <is>
          <t>—</t>
        </is>
      </c>
      <c r="F33" s="10" t="n">
        <v>16</v>
      </c>
      <c r="G33" s="10" t="n">
        <v>3</v>
      </c>
      <c r="H33" s="10" t="inlineStr">
        <is>
          <t>Faza 0 — Zatrzymać krwawienie</t>
        </is>
      </c>
      <c r="I33" s="10" t="inlineStr">
        <is>
          <t>2026-09-14</t>
        </is>
      </c>
      <c r="J33" s="10" t="inlineStr">
        <is>
          <t>2026-09-18</t>
        </is>
      </c>
      <c r="K33" s="10" t="inlineStr">
        <is>
          <t>DZIAŁA</t>
        </is>
      </c>
      <c r="L33"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3" s="11" t="inlineStr">
        <is>
          <t>—</t>
        </is>
      </c>
      <c r="N33" s="11" t="inlineStr">
        <is>
          <t>Funkcja dostępna z panelu klienta bez wychodzenia do DirectAdmina; test uruchamiany w CI.</t>
        </is>
      </c>
      <c r="O33"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3" s="10" t="inlineStr">
        <is>
          <t>do zrobienia</t>
        </is>
      </c>
    </row>
    <row r="34">
      <c r="A34" s="10" t="inlineStr">
        <is>
          <t>PB-14</t>
        </is>
      </c>
      <c r="B34" s="11" t="inlineStr">
        <is>
          <t>Wybór dostawcy i lokalizacji węzła produkcyjnego #1</t>
        </is>
      </c>
      <c r="C34" s="10" t="inlineStr">
        <is>
          <t>poza audytem</t>
        </is>
      </c>
      <c r="D34" s="10" t="inlineStr">
        <is>
          <t>Praca spoza audytu</t>
        </is>
      </c>
      <c r="E34" s="10" t="inlineStr">
        <is>
          <t>WYSOKI</t>
        </is>
      </c>
      <c r="F34" s="10" t="n">
        <v>6</v>
      </c>
      <c r="G34" s="10" t="n">
        <v>3</v>
      </c>
      <c r="H34" s="10" t="inlineStr">
        <is>
          <t>Faza 0 — Zatrzymać krwawienie</t>
        </is>
      </c>
      <c r="I34" s="10" t="inlineStr">
        <is>
          <t>2026-09-14</t>
        </is>
      </c>
      <c r="J34" s="10" t="inlineStr">
        <is>
          <t>2026-09-18</t>
        </is>
      </c>
      <c r="K34" s="10" t="inlineStr">
        <is>
          <t>—</t>
        </is>
      </c>
      <c r="L34" s="11" t="inlineStr">
        <is>
          <t>—</t>
        </is>
      </c>
      <c r="M34" s="11" t="inlineStr">
        <is>
          <t>—</t>
        </is>
      </c>
      <c r="N34" s="11" t="inlineStr">
        <is>
          <t>Decyzja zapisana w repo z datą, przed zamówieniem serwera. Jeśli wybrany dostawca spoza Polski — polityka prywatności i DPA opisują lokalizację przetwarzania przed startem sprzedaży.</t>
        </is>
      </c>
      <c r="O34"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4" s="10" t="inlineStr">
        <is>
          <t>do zrobienia</t>
        </is>
      </c>
    </row>
    <row r="35">
      <c r="A35" s="10" t="inlineStr">
        <is>
          <t>DEV-01</t>
        </is>
      </c>
      <c r="B35" s="11" t="inlineStr">
        <is>
          <t>Baza deweloperska jest nieosiągalna, a `docker-compose.yml` opisuje stan, którego nie ma</t>
        </is>
      </c>
      <c r="C35" s="10" t="inlineStr">
        <is>
          <t>audyt</t>
        </is>
      </c>
      <c r="D35" s="10" t="inlineStr">
        <is>
          <t>X — Infrastruktura jakości</t>
        </is>
      </c>
      <c r="E35" s="10" t="inlineStr">
        <is>
          <t>WYSOKA</t>
        </is>
      </c>
      <c r="F35" s="10" t="n">
        <v>6</v>
      </c>
      <c r="G35" s="10" t="n">
        <v>4</v>
      </c>
      <c r="H35" s="10" t="inlineStr">
        <is>
          <t>Faza 1 — Rozliczenia i dowód odtworzenia</t>
        </is>
      </c>
      <c r="I35" s="10" t="inlineStr">
        <is>
          <t>2026-09-21</t>
        </is>
      </c>
      <c r="J35" s="10" t="inlineStr">
        <is>
          <t>2026-09-25</t>
        </is>
      </c>
      <c r="K35" s="10" t="inlineStr">
        <is>
          <t>DZIAŁA</t>
        </is>
      </c>
      <c r="L35" s="11" t="inlineStr">
        <is>
          <t>docker-compose.yml — wolumen postgres_data_v2 + healthcheck logujący się jako verris (psql select 1); LOCAL_DEV.md — sekcja o starym wolumenie</t>
        </is>
      </c>
      <c r="M35" s="11" t="inlineStr">
        <is>
          <t>—</t>
        </is>
      </c>
      <c r="N35" s="11" t="inlineStr">
        <is>
          <t>Funkcja dostępna z panelu klienta bez wychodzenia do DirectAdmina; test uruchamiany w CI.</t>
        </is>
      </c>
      <c r="O35"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5" s="10" t="inlineStr">
        <is>
          <t>do zrobienia</t>
        </is>
      </c>
    </row>
    <row r="36">
      <c r="A36" s="10" t="inlineStr">
        <is>
          <t>DEP-01</t>
        </is>
      </c>
      <c r="B36" s="11" t="inlineStr">
        <is>
          <t>Osiem otwartych pull requestów Dependabota, żaden niescalony</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2026-09-24: #39 (22 × minor/patch, lockfile wprost z PR), #30–#33 (akcje GitHuba) wciągnięte na main lokalnie; #28 (graphql 17) wyciszony w .github/dependabot.yml z pozycją X-21 i przeglądem 2026-12-15</t>
        </is>
      </c>
      <c r="M36" s="11" t="inlineStr">
        <is>
          <t>—</t>
        </is>
      </c>
      <c r="N36" s="11" t="inlineStr">
        <is>
          <t>Funkcja dostępna z panelu klienta bez wychodzenia do DirectAdmina; test uruchamiany w CI.</t>
        </is>
      </c>
      <c r="O36"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6" s="10" t="inlineStr">
        <is>
          <t>do zrobienia</t>
        </is>
      </c>
    </row>
    <row r="37">
      <c r="A37" s="10" t="inlineStr">
        <is>
          <t>ENV-01</t>
        </is>
      </c>
      <c r="B37" s="11" t="inlineStr">
        <is>
          <t>Bramka lokalna biegnie na Node 20, CI na Node 22</t>
        </is>
      </c>
      <c r="C37" s="10" t="inlineStr">
        <is>
          <t>audyt</t>
        </is>
      </c>
      <c r="D37" s="10" t="inlineStr">
        <is>
          <t>X — Infrastruktura jakości</t>
        </is>
      </c>
      <c r="E37" s="10" t="inlineStr">
        <is>
          <t>ŚREDNIA</t>
        </is>
      </c>
      <c r="F37" s="10" t="n">
        <v>6</v>
      </c>
      <c r="G37" s="10" t="n">
        <v>4</v>
      </c>
      <c r="H37" s="10" t="inlineStr">
        <is>
          <t>Faza 1 — Rozliczenia i dowód odtworzenia</t>
        </is>
      </c>
      <c r="I37" s="10" t="inlineStr">
        <is>
          <t>2026-09-21</t>
        </is>
      </c>
      <c r="J37" s="10" t="inlineStr">
        <is>
          <t>2026-09-25</t>
        </is>
      </c>
      <c r="K37" s="10" t="inlineStr">
        <is>
          <t>DZIAŁA</t>
        </is>
      </c>
      <c r="L37"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7" s="10" t="inlineStr">
        <is>
          <t>do zrobienia</t>
        </is>
      </c>
    </row>
    <row r="38">
      <c r="A38" s="10" t="inlineStr">
        <is>
          <t>X-50</t>
        </is>
      </c>
      <c r="B38" s="11" t="inlineStr">
        <is>
          <t>Bramka podatnosci zatrzymuje cokolwiek — jest wymagana do merge i wolana przez wdrozenie</t>
        </is>
      </c>
      <c r="C38" s="10" t="inlineStr">
        <is>
          <t>audyt</t>
        </is>
      </c>
      <c r="D38" s="10" t="inlineStr">
        <is>
          <t>X — Infrastruktura jakości</t>
        </is>
      </c>
      <c r="E38" s="10" t="inlineStr">
        <is>
          <t>WYSOKA</t>
        </is>
      </c>
      <c r="F38" s="10" t="n">
        <v>6</v>
      </c>
      <c r="G38" s="10" t="n">
        <v>4</v>
      </c>
      <c r="H38" s="10" t="inlineStr">
        <is>
          <t>Faza 1 — Rozliczenia i dowód odtworzenia</t>
        </is>
      </c>
      <c r="I38" s="10" t="inlineStr">
        <is>
          <t>2026-09-21</t>
        </is>
      </c>
      <c r="J38" s="10" t="inlineStr">
        <is>
          <t>2026-09-25</t>
        </is>
      </c>
      <c r="K38" s="10" t="inlineStr">
        <is>
          <t>DZIAŁA</t>
        </is>
      </c>
      <c r="L38"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8" s="11" t="inlineStr">
        <is>
          <t>—</t>
        </is>
      </c>
      <c r="N38" s="11" t="inlineStr">
        <is>
          <t>Funkcja dostępna z panelu klienta bez wychodzenia do DirectAdmina; test uruchamiany w CI.</t>
        </is>
      </c>
      <c r="O38"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8" s="10" t="inlineStr">
        <is>
          <t>do zrobienia</t>
        </is>
      </c>
    </row>
    <row r="39">
      <c r="A39" s="10" t="inlineStr">
        <is>
          <t>X-51</t>
        </is>
      </c>
      <c r="B39" s="11" t="inlineStr">
        <is>
          <t>Etykiety z dependabot.yml istnieja w repozytorium</t>
        </is>
      </c>
      <c r="C39" s="10" t="inlineStr">
        <is>
          <t>audyt</t>
        </is>
      </c>
      <c r="D39" s="10" t="inlineStr">
        <is>
          <t>X — Infrastruktura jakości</t>
        </is>
      </c>
      <c r="E39" s="10" t="inlineStr">
        <is>
          <t>NISKA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utworzone etykiety dependencies, security, docker, ci — 9 -&gt; 13 etykiet w repozytorium; pokrywaja wszystkie trzy sekcje labels: w .github/dependabot.yml.</t>
        </is>
      </c>
      <c r="M39" s="11" t="inlineStr">
        <is>
          <t>—</t>
        </is>
      </c>
      <c r="N39" s="11" t="inlineStr">
        <is>
          <t>Funkcja dostępna z panelu klienta bez wychodzenia do DirectAdmina; test uruchamiany w CI.</t>
        </is>
      </c>
      <c r="O39"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39" s="10" t="inlineStr">
        <is>
          <t>do zrobienia</t>
        </is>
      </c>
    </row>
    <row r="40">
      <c r="A40" s="10" t="inlineStr">
        <is>
          <t>SEC-07</t>
        </is>
      </c>
      <c r="B40" s="11" t="inlineStr">
        <is>
          <t>Trzy podatnosci HIGH w multerze — zdalny DoS bez uwierzytelnienia na sciezce uploadu</t>
        </is>
      </c>
      <c r="C40" s="10" t="inlineStr">
        <is>
          <t>audyt</t>
        </is>
      </c>
      <c r="D40" s="10" t="inlineStr">
        <is>
          <t>G — SSL i bezpieczeństwo</t>
        </is>
      </c>
      <c r="E40" s="10" t="inlineStr">
        <is>
          <t>WYSOKA</t>
        </is>
      </c>
      <c r="F40" s="10" t="n">
        <v>16</v>
      </c>
      <c r="G40" s="10" t="n">
        <v>4</v>
      </c>
      <c r="H40" s="10" t="inlineStr">
        <is>
          <t>Faza 1 — Rozliczenia i dowód odtworzenia</t>
        </is>
      </c>
      <c r="I40" s="10" t="inlineStr">
        <is>
          <t>2026-09-21</t>
        </is>
      </c>
      <c r="J40" s="10" t="inlineStr">
        <is>
          <t>2026-09-25</t>
        </is>
      </c>
      <c r="K40" s="10" t="inlineStr">
        <is>
          <t>DZIAŁA</t>
        </is>
      </c>
      <c r="L40"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0" s="11" t="inlineStr">
        <is>
          <t>—</t>
        </is>
      </c>
      <c r="N40" s="11" t="inlineStr">
        <is>
          <t>Funkcja dostępna z panelu klienta bez wychodzenia do DirectAdmina; test uruchamiany w CI.</t>
        </is>
      </c>
      <c r="O40"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0" s="10" t="inlineStr">
        <is>
          <t>do zrobienia</t>
        </is>
      </c>
    </row>
    <row r="41">
      <c r="A41" s="10" t="inlineStr">
        <is>
          <t>SEC-08</t>
        </is>
      </c>
      <c r="B41" s="11" t="inlineStr">
        <is>
          <t>Dwa niezauwierzytelnione RCE w Next.js lezaly w drzewie 22 dni</t>
        </is>
      </c>
      <c r="C41" s="10" t="inlineStr">
        <is>
          <t>audyt</t>
        </is>
      </c>
      <c r="D41" s="10" t="inlineStr">
        <is>
          <t>G — SSL i bezpieczeństwo</t>
        </is>
      </c>
      <c r="E41" s="10" t="inlineStr">
        <is>
          <t>WYSOKA</t>
        </is>
      </c>
      <c r="F41" s="10" t="n">
        <v>6</v>
      </c>
      <c r="G41" s="10" t="n">
        <v>4</v>
      </c>
      <c r="H41" s="10" t="inlineStr">
        <is>
          <t>Faza 1 — Rozliczenia i dowód odtworzenia</t>
        </is>
      </c>
      <c r="I41" s="10" t="inlineStr">
        <is>
          <t>2026-09-21</t>
        </is>
      </c>
      <c r="J41" s="10" t="inlineStr">
        <is>
          <t>2026-09-25</t>
        </is>
      </c>
      <c r="K41" s="10" t="inlineStr">
        <is>
          <t>DZIAŁA</t>
        </is>
      </c>
      <c r="L41"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1" s="11" t="inlineStr">
        <is>
          <t>—</t>
        </is>
      </c>
      <c r="N41" s="11" t="inlineStr">
        <is>
          <t>Funkcja dostępna z panelu klienta bez wychodzenia do DirectAdmina; test uruchamiany w CI.</t>
        </is>
      </c>
      <c r="O41"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1" s="10" t="inlineStr">
        <is>
          <t>do zrobienia</t>
        </is>
      </c>
    </row>
    <row r="42">
      <c r="A42" s="10" t="inlineStr">
        <is>
          <t>PB-13</t>
        </is>
      </c>
      <c r="B42" s="11" t="inlineStr">
        <is>
          <t>Decyzja: własny KSeF czy integracja z programem księgowym</t>
        </is>
      </c>
      <c r="C42" s="10" t="inlineStr">
        <is>
          <t>poza audytem</t>
        </is>
      </c>
      <c r="D42" s="10" t="inlineStr">
        <is>
          <t>Praca spoza audytu</t>
        </is>
      </c>
      <c r="E42" s="10" t="inlineStr">
        <is>
          <t>BLOKER BIZNESOWY</t>
        </is>
      </c>
      <c r="F42" s="10" t="n">
        <v>6</v>
      </c>
      <c r="G42" s="10" t="n">
        <v>4</v>
      </c>
      <c r="H42" s="10" t="inlineStr">
        <is>
          <t>Faza 1 — Rozliczenia i dowód odtworzenia</t>
        </is>
      </c>
      <c r="I42" s="10" t="inlineStr">
        <is>
          <t>2026-09-21</t>
        </is>
      </c>
      <c r="J42" s="10" t="inlineStr">
        <is>
          <t>2026-09-25</t>
        </is>
      </c>
      <c r="K42" s="10" t="inlineStr">
        <is>
          <t>—</t>
        </is>
      </c>
      <c r="L42" s="11" t="inlineStr">
        <is>
          <t>—</t>
        </is>
      </c>
      <c r="M42" s="11" t="inlineStr">
        <is>
          <t>—</t>
        </is>
      </c>
      <c r="N42" s="11" t="inlineStr">
        <is>
          <t>Decyzja zapisana w repo z uzasadnieniem i datą. Jeśli wybrana integracja — sprint 18 zmienia zakres z dokończenia modułu na wdrożenie eksportu do programu księgowego. Decyzja musi zapaść przed sprintem 18, inaczej blokuje start.</t>
        </is>
      </c>
      <c r="O42"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2" s="10" t="inlineStr">
        <is>
          <t>do zrobienia</t>
        </is>
      </c>
    </row>
    <row r="43">
      <c r="A43" s="10" t="inlineStr">
        <is>
          <t>FAK-01</t>
        </is>
      </c>
      <c r="B43" s="11" t="inlineStr">
        <is>
          <t>Panel nie wystawia faktury VAT rownolegle z programem ksiegowym</t>
        </is>
      </c>
      <c r="C43" s="10" t="inlineStr">
        <is>
          <t>audyt</t>
        </is>
      </c>
      <c r="D43" s="10" t="inlineStr">
        <is>
          <t>M — Rozliczenia</t>
        </is>
      </c>
      <c r="E43" s="10" t="inlineStr">
        <is>
          <t>—</t>
        </is>
      </c>
      <c r="F43" s="10" t="n">
        <v>16</v>
      </c>
      <c r="G43" s="10" t="n">
        <v>5</v>
      </c>
      <c r="H43" s="10" t="inlineStr">
        <is>
          <t>Faza 1 — Rozliczenia i dowód odtworzenia</t>
        </is>
      </c>
      <c r="I43" s="10" t="inlineStr">
        <is>
          <t>2026-09-28</t>
        </is>
      </c>
      <c r="J43" s="10" t="inlineStr">
        <is>
          <t>2026-10-02</t>
        </is>
      </c>
      <c r="K43" s="10" t="inlineStr">
        <is>
          <t>DZIAŁA</t>
        </is>
      </c>
      <c r="L43"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3" s="11" t="inlineStr">
        <is>
          <t>PB-13 (kierunek fakturowania — zamkniete 2026-09-22)</t>
        </is>
      </c>
      <c r="N43" s="11" t="inlineStr">
        <is>
          <t>Funkcja dostępna z panelu klienta bez wychodzenia do DirectAdmina; test uruchamiany w CI.</t>
        </is>
      </c>
      <c r="O43"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3" s="10" t="inlineStr">
        <is>
          <t>do zrobienia</t>
        </is>
      </c>
    </row>
    <row r="44">
      <c r="A44" s="10" t="inlineStr">
        <is>
          <t>X-03</t>
        </is>
      </c>
      <c r="B44" s="11" t="inlineStr">
        <is>
          <t>Testy uruchamiane przed wdrożeniem</t>
        </is>
      </c>
      <c r="C44" s="10" t="inlineStr">
        <is>
          <t>audyt</t>
        </is>
      </c>
      <c r="D44" s="10" t="inlineStr">
        <is>
          <t>X — Infrastruktura jakości</t>
        </is>
      </c>
      <c r="E44" s="10" t="inlineStr">
        <is>
          <t>WYSOKA</t>
        </is>
      </c>
      <c r="F44" s="10" t="n">
        <v>6</v>
      </c>
      <c r="G44" s="10" t="n">
        <v>5</v>
      </c>
      <c r="H44" s="10" t="inlineStr">
        <is>
          <t>Faza 1 — Rozliczenia i dowód odtworzenia</t>
        </is>
      </c>
      <c r="I44" s="10" t="inlineStr">
        <is>
          <t>2026-09-28</t>
        </is>
      </c>
      <c r="J44" s="10" t="inlineStr">
        <is>
          <t>2026-10-02</t>
        </is>
      </c>
      <c r="K44" s="10" t="inlineStr">
        <is>
          <t>DZIAŁA</t>
        </is>
      </c>
      <c r="L4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4" s="11" t="inlineStr">
        <is>
          <t>—</t>
        </is>
      </c>
      <c r="N44" s="11" t="inlineStr">
        <is>
          <t>Funkcja dostępna z panelu klienta bez wychodzenia do DirectAdmina; test uruchamiany w CI.</t>
        </is>
      </c>
      <c r="O4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4" s="10" t="inlineStr">
        <is>
          <t>do zrobienia</t>
        </is>
      </c>
    </row>
    <row r="45">
      <c r="A45" s="10" t="inlineStr">
        <is>
          <t>PB-14</t>
        </is>
      </c>
      <c r="B45" s="11" t="inlineStr">
        <is>
          <t>Wybór dostawcy i lokalizacji węzła produkcyjnego #1</t>
        </is>
      </c>
      <c r="C45" s="10" t="inlineStr">
        <is>
          <t>poza audytem</t>
        </is>
      </c>
      <c r="D45" s="10" t="inlineStr">
        <is>
          <t>Praca spoza audytu</t>
        </is>
      </c>
      <c r="E45" s="10" t="inlineStr">
        <is>
          <t>WYSOKI</t>
        </is>
      </c>
      <c r="F45" s="10" t="n">
        <v>6</v>
      </c>
      <c r="G45" s="10" t="n">
        <v>5</v>
      </c>
      <c r="H45" s="10" t="inlineStr">
        <is>
          <t>Faza 1 — Rozliczenia i dowód odtworzenia</t>
        </is>
      </c>
      <c r="I45" s="10" t="inlineStr">
        <is>
          <t>2026-09-28</t>
        </is>
      </c>
      <c r="J45" s="10" t="inlineStr">
        <is>
          <t>2026-10-02</t>
        </is>
      </c>
      <c r="K45" s="10" t="inlineStr">
        <is>
          <t>—</t>
        </is>
      </c>
      <c r="L45" s="11" t="inlineStr">
        <is>
          <t>—</t>
        </is>
      </c>
      <c r="M45" s="11" t="inlineStr">
        <is>
          <t>—</t>
        </is>
      </c>
      <c r="N45" s="11" t="inlineStr">
        <is>
          <t>Decyzja zapisana w repo z datą, przed zamówieniem serwera. Jeśli wybrany dostawca spoza Polski — polityka prywatności i DPA opisują lokalizację przetwarzania przed startem sprzedaży.</t>
        </is>
      </c>
      <c r="O4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5" s="10" t="inlineStr">
        <is>
          <t>do zrobienia</t>
        </is>
      </c>
    </row>
    <row r="46">
      <c r="A46" s="10" t="inlineStr">
        <is>
          <t>F-01</t>
        </is>
      </c>
      <c r="B46" s="11" t="inlineStr">
        <is>
          <t>Edytor rekordów DNS (A/CNAME/MX/TXT)</t>
        </is>
      </c>
      <c r="C46" s="10" t="inlineStr">
        <is>
          <t>audyt</t>
        </is>
      </c>
      <c r="D46" s="10" t="inlineStr">
        <is>
          <t>F — DNS</t>
        </is>
      </c>
      <c r="E46" s="10" t="inlineStr">
        <is>
          <t>—</t>
        </is>
      </c>
      <c r="F46" s="10" t="n">
        <v>6</v>
      </c>
      <c r="G46" s="10" t="n">
        <v>6</v>
      </c>
      <c r="H46" s="10" t="inlineStr">
        <is>
          <t>Faza 1 — Rozliczenia i dowód odtworzenia</t>
        </is>
      </c>
      <c r="I46" s="10" t="inlineStr">
        <is>
          <t>2026-10-05</t>
        </is>
      </c>
      <c r="J46" s="10" t="inlineStr">
        <is>
          <t>2026-10-09</t>
        </is>
      </c>
      <c r="K46" s="10" t="inlineStr">
        <is>
          <t>DZIAŁA</t>
        </is>
      </c>
      <c r="L46"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6" s="11" t="inlineStr">
        <is>
          <t>—</t>
        </is>
      </c>
      <c r="N46" s="11" t="inlineStr">
        <is>
          <t>Funkcja dostępna z panelu klienta bez wychodzenia do DirectAdmina; test uruchamiany w CI.</t>
        </is>
      </c>
      <c r="O46"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6" s="10" t="inlineStr">
        <is>
          <t>do zrobienia</t>
        </is>
      </c>
    </row>
    <row r="47">
      <c r="A47" s="10" t="inlineStr">
        <is>
          <t>F-02</t>
        </is>
      </c>
      <c r="B47" s="11" t="inlineStr">
        <is>
          <t>Rekordy SRV / CAA</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7" s="11" t="inlineStr">
        <is>
          <t>F-01 (ten sam edytor)</t>
        </is>
      </c>
      <c r="N47" s="11" t="inlineStr">
        <is>
          <t>Funkcja dostępna z panelu klienta bez wychodzenia do DirectAdmina; test uruchamiany w CI.</t>
        </is>
      </c>
      <c r="O47"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PB-15</t>
        </is>
      </c>
      <c r="B48" s="11" t="inlineStr">
        <is>
          <t>Fundament nowego designu panelu</t>
        </is>
      </c>
      <c r="C48" s="10" t="inlineStr">
        <is>
          <t>poza audytem</t>
        </is>
      </c>
      <c r="D48" s="10" t="inlineStr">
        <is>
          <t>Praca spoza audytu</t>
        </is>
      </c>
      <c r="E48" s="10" t="inlineStr">
        <is>
          <t>WYSOKI</t>
        </is>
      </c>
      <c r="F48" s="10" t="n">
        <v>30</v>
      </c>
      <c r="G48" s="10" t="n">
        <v>6</v>
      </c>
      <c r="H48" s="10" t="inlineStr">
        <is>
          <t>Faza 1 — Rozliczenia i dowód odtworzenia</t>
        </is>
      </c>
      <c r="I48" s="10" t="inlineStr">
        <is>
          <t>2026-10-05</t>
        </is>
      </c>
      <c r="J48" s="10" t="inlineStr">
        <is>
          <t>2026-10-09</t>
        </is>
      </c>
      <c r="K48" s="10" t="inlineStr">
        <is>
          <t>—</t>
        </is>
      </c>
      <c r="L48" s="11" t="inlineStr">
        <is>
          <t>—</t>
        </is>
      </c>
      <c r="M48" s="11" t="inlineStr">
        <is>
          <t>—</t>
        </is>
      </c>
      <c r="N48" s="11" t="inlineStr">
        <is>
          <t>Ekran-wzorzec zaakceptowany przez właściciela; tokeny i komponenty w @verris/ui lub components/panel; ciemny i jasny motyw; kontrast WCAG AA; brak regresji w testach.</t>
        </is>
      </c>
      <c r="O48"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8" s="10" t="inlineStr">
        <is>
          <t>do zrobienia</t>
        </is>
      </c>
    </row>
    <row r="49">
      <c r="A49" s="10" t="inlineStr">
        <is>
          <t>PB-16</t>
        </is>
      </c>
      <c r="B49" s="11" t="inlineStr">
        <is>
          <t>Ekrany panelu klienta w nowym designie + tryb Prosty/Pełny + wyszukiwarka „/”</t>
        </is>
      </c>
      <c r="C49" s="10" t="inlineStr">
        <is>
          <t>poza audytem</t>
        </is>
      </c>
      <c r="D49" s="10" t="inlineStr">
        <is>
          <t>Praca spoza audytu</t>
        </is>
      </c>
      <c r="E49" s="10" t="inlineStr">
        <is>
          <t>WYSOKI</t>
        </is>
      </c>
      <c r="F49" s="10" t="n">
        <v>40</v>
      </c>
      <c r="G49" s="10" t="n">
        <v>7</v>
      </c>
      <c r="H49" s="10" t="inlineStr">
        <is>
          <t>Faza 1 — Rozliczenia i dowód odtworzenia</t>
        </is>
      </c>
      <c r="I49" s="10" t="inlineStr">
        <is>
          <t>2026-10-12</t>
        </is>
      </c>
      <c r="J49" s="10" t="inlineStr">
        <is>
          <t>2026-10-16</t>
        </is>
      </c>
      <c r="K49" s="10" t="inlineStr">
        <is>
          <t>—</t>
        </is>
      </c>
      <c r="L49" s="11" t="inlineStr">
        <is>
          <t>—</t>
        </is>
      </c>
      <c r="M49" s="11" t="inlineStr">
        <is>
          <t>—</t>
        </is>
      </c>
      <c r="N49" s="11" t="inlineStr">
        <is>
          <t>Wszystkie trasy panelu klienta na nowych komponentach; tryb zapamiętany per użytkownik; „/” działa na każdym ekranie; zrzuty mobile/desktop sprawdzone.</t>
        </is>
      </c>
      <c r="O49"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49" s="10" t="inlineStr">
        <is>
          <t>do zrobienia</t>
        </is>
      </c>
    </row>
    <row r="50">
      <c r="A50" s="10" t="inlineStr">
        <is>
          <t>PB-20</t>
        </is>
      </c>
      <c r="B50" s="11" t="inlineStr">
        <is>
          <t>Tryb agencji: przełącznik klienta w menu bocznym</t>
        </is>
      </c>
      <c r="C50" s="10" t="inlineStr">
        <is>
          <t>poza audytem</t>
        </is>
      </c>
      <c r="D50" s="10" t="inlineStr">
        <is>
          <t>Praca spoza audytu</t>
        </is>
      </c>
      <c r="E50" s="10" t="inlineStr">
        <is>
          <t>ŚREDNI</t>
        </is>
      </c>
      <c r="F50" s="10" t="n">
        <v>16</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Decyzja o modelu zapisana w docs/VERRIS.md; przełącznik widoczny tylko dla kont z klientami; przełączenie zmienia kontekst usług, domen i płatności; guard uprawnień obejmuje nowe trasy (Z-04); testy w CI.</t>
        </is>
      </c>
      <c r="O50"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 | 2026-10-08 PRODUKCJA (D3), ścieżka nowego adresu (subkonto): właściciel d3 zaprosił dominik+dev@dkowalski.pl z zakresem „Wybrane usługi: d3.hvln.pl”, etykieta IT; mail „Zaproszenie do konta Verris” (zaproszający, tylko d3.hvln.pl, etykieta, link 7 dni) → aktywacja z ustawieniem hasła. Po zalogowaniu subkonta: menu Pulpit/Usługi/Powiadomienia/Baza wiedzy/Ustawienia, widać tylko d3.hvln.pl, domeny/portfel/zgłoszenia „brak uprawnień”; /dashboard/billing, /domains, /iam, /reseller, /support, /vps, /migrations → przekierowanie na pulpit; Ustawienia: „Konto operatora (subkonto)”, e-mail zmienia właściciel. Admin: „Subkonto konta dominik@dkowalski.pl”.</t>
        </is>
      </c>
      <c r="P50" s="10" t="inlineStr">
        <is>
          <t>do zrobienia</t>
        </is>
      </c>
    </row>
    <row r="51">
      <c r="A51" s="10" t="inlineStr">
        <is>
          <t>PB-34</t>
        </is>
      </c>
      <c r="B51" s="11" t="inlineStr">
        <is>
          <t>Panele admina i obsługi na poziomie panelu klienta</t>
        </is>
      </c>
      <c r="C51" s="10" t="inlineStr">
        <is>
          <t>poza audytem</t>
        </is>
      </c>
      <c r="D51" s="10" t="inlineStr">
        <is>
          <t>Praca spoza audytu</t>
        </is>
      </c>
      <c r="E51" s="10" t="inlineStr">
        <is>
          <t>WYSOKI</t>
        </is>
      </c>
      <c r="F51" s="10" t="n">
        <v>40</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Makieta zaakceptowana; wszystkie ekrany admina i obsługi na v2, bramka a11y zielona.</t>
        </is>
      </c>
      <c r="O51"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 | 2026-10-10: dalsze prace nad panelami operatora poza tym zadaniem — pakiet obsługi z 08.10 (oznaczenia PB-41–PB-48 w kodzie i commitach, bez wierszy w tej tablicy: diagnostyka ze zgłoszenia, karta usługi dla L1, migracja za klienta ze zgodą, spójna karta klienta z dziennikiem odczytów, role L1–L4, wnioski o operację), porządki panelu admina (PB-49) i Fala 1 audytu paneli operatora (PB-50) — obie zamknięte 10.10. Audyt paneli operatora z 10.10: pokrycie standardu rynku 41% — wygląd v2 jest, zakres funkcji nie; dalej PB-51 (Fala 2), PB-52 (blokada wysyłki, bloker), PB-53 (Fala 3). Panele obsługi i admina od 09.10 tylko przez VPN (Q-18). D3 10.10 ok. 13:00: karta węzła t1, karta klienta d3 i kody promocyjne działają.</t>
        </is>
      </c>
      <c r="P51" s="10" t="inlineStr">
        <is>
          <t>do zrobienia</t>
        </is>
      </c>
    </row>
    <row r="52">
      <c r="A52" s="10" t="inlineStr">
        <is>
          <t>PB-37</t>
        </is>
      </c>
      <c r="B52" s="11" t="inlineStr">
        <is>
          <t>Opieka nad zgłoszeniem: podpowiedzi dla obsługi, automatyczne wiadomości, oceny opiekuna</t>
        </is>
      </c>
      <c r="C52" s="10" t="inlineStr">
        <is>
          <t>poza audytem</t>
        </is>
      </c>
      <c r="D52" s="10" t="inlineStr">
        <is>
          <t>Praca spoza audytu</t>
        </is>
      </c>
      <c r="E52" s="10" t="inlineStr">
        <is>
          <t>WYSOKI</t>
        </is>
      </c>
      <c r="F52" s="10" t="n">
        <v>16</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Klient dostaje potwierdzenie z opiekunem i terminem, widzi „przeczytane” i postęp; po zamknięciu ocenia opiekuna i obsługę; obsługa ma szkic i szablony w jednym bloku.</t>
        </is>
      </c>
      <c r="O52"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 | 2026-10-08 DECYZJA WŁAŚCICIELA (d874df4b): „Wciąż nad tym pracujemy” po połowie czasu odpowiedzi, ale najwcześniej po 2 h (URGENT/HIGH 2 h, NORMAL 6 h, LOW 12 h) — zgłoszenie z eskalacji migracji (URGENT, 1 h) dostawało ją po 35 min, przed terminem z maila migracji. Test na PostgreSQL (opieka-zgloszen.int-spec.ts).</t>
        </is>
      </c>
      <c r="P52" s="10" t="inlineStr">
        <is>
          <t>do zrobienia</t>
        </is>
      </c>
    </row>
    <row r="53">
      <c r="A53" s="10" t="inlineStr">
        <is>
          <t>PB-38</t>
        </is>
      </c>
      <c r="B53" s="11" t="inlineStr">
        <is>
          <t>Najnowsze stabilne wersje narzędzi i bibliotek przed startem</t>
        </is>
      </c>
      <c r="C53" s="10" t="inlineStr">
        <is>
          <t>poza audytem</t>
        </is>
      </c>
      <c r="D53" s="10" t="inlineStr">
        <is>
          <t>Praca spoza audytu</t>
        </is>
      </c>
      <c r="E53" s="10" t="inlineStr">
        <is>
          <t>WYSOKI</t>
        </is>
      </c>
      <c r="F53" s="10" t="n">
        <v>30</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Bramka (lint, typecheck, testy) i testy integracyjne zielone na nowych wersjach; obrazy budują się w CI; wdrożenie produkcyjne bez błędów; Dependabot i strażnik EOL działają.</t>
        </is>
      </c>
      <c r="O53"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3" s="10" t="inlineStr">
        <is>
          <t>do zrobienia</t>
        </is>
      </c>
    </row>
    <row r="54">
      <c r="A54" s="10" t="inlineStr">
        <is>
          <t>PB-39</t>
        </is>
      </c>
      <c r="B54" s="11" t="inlineStr">
        <is>
          <t>API i biblioteki jako ESM (Vitest, Prisma prisma-client)</t>
        </is>
      </c>
      <c r="C54" s="10" t="inlineStr">
        <is>
          <t>poza audytem</t>
        </is>
      </c>
      <c r="D54" s="10" t="inlineStr">
        <is>
          <t>Praca spoza audytu</t>
        </is>
      </c>
      <c r="E54" s="10" t="inlineStr">
        <is>
          <t>WYSOKI</t>
        </is>
      </c>
      <c r="F54" s="10" t="n">
        <v>14</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i testy integracyjne zielone na Vitest; obraz API buduje się w CI; wdrożenie produkcyjne bez błędów; główne ścieżki działają po wdrożeniu.</t>
        </is>
      </c>
      <c r="O54" s="11" t="inlineStr">
        <is>
          <t>Decyzja właściciela 2026-09-26 (formularz): przechodzimy teraz, przed falą 3. ESM to domyślny format NestJS 12; znika eksperymentalna flaga Jesta; prisma-client-js jest wycofany.</t>
        </is>
      </c>
      <c r="P54" s="10" t="inlineStr">
        <is>
          <t>do zrobienia</t>
        </is>
      </c>
    </row>
    <row r="55">
      <c r="A55" s="10" t="inlineStr">
        <is>
          <t>E-15</t>
        </is>
      </c>
      <c r="B55" s="11" t="inlineStr">
        <is>
          <t>Rekordy SPF — kreator</t>
        </is>
      </c>
      <c r="C55" s="10" t="inlineStr">
        <is>
          <t>audyt</t>
        </is>
      </c>
      <c r="D55" s="10" t="inlineStr">
        <is>
          <t>E — Poczta</t>
        </is>
      </c>
      <c r="E55" s="10" t="inlineStr">
        <is>
          <t>—</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5" s="11" t="inlineStr">
        <is>
          <t>—</t>
        </is>
      </c>
      <c r="N55" s="11" t="inlineStr">
        <is>
          <t>Funkcja dostępna z panelu klienta bez wychodzenia do DirectAdmina; test uruchamiany w CI.</t>
        </is>
      </c>
      <c r="O55"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5" s="10" t="inlineStr">
        <is>
          <t>do zrobienia</t>
        </is>
      </c>
    </row>
    <row r="56">
      <c r="A56" s="10" t="inlineStr">
        <is>
          <t>E-16</t>
        </is>
      </c>
      <c r="B56" s="11" t="inlineStr">
        <is>
          <t>Rekordy DKIM — konfiguracja</t>
        </is>
      </c>
      <c r="C56" s="10" t="inlineStr">
        <is>
          <t>audyt</t>
        </is>
      </c>
      <c r="D56" s="10" t="inlineStr">
        <is>
          <t>E — Poczta</t>
        </is>
      </c>
      <c r="E56" s="10" t="inlineStr">
        <is>
          <t>WYSOKA</t>
        </is>
      </c>
      <c r="F56" s="10" t="n">
        <v>6</v>
      </c>
      <c r="G56" s="10" t="n">
        <v>8</v>
      </c>
      <c r="H56" s="10" t="inlineStr">
        <is>
          <t>Faza 1 — Rozliczenia i dowód odtworzenia</t>
        </is>
      </c>
      <c r="I56" s="10" t="inlineStr">
        <is>
          <t>2026-10-19</t>
        </is>
      </c>
      <c r="J56" s="10" t="inlineStr">
        <is>
          <t>2026-10-23</t>
        </is>
      </c>
      <c r="K56" s="10" t="inlineStr">
        <is>
          <t>DZIAŁA</t>
        </is>
      </c>
      <c r="L56" s="11" t="inlineStr">
        <is>
          <t>deliverability/mail-auth.ts (akcja enable-dkim); servers/directadmin.service.ts enableHostingDkim; POST /services/:id/hosting-email/dkim; email/deliverability-panel.tsx; testy mail-auth.spec.ts, directadmin.narzedzia.spec.ts</t>
        </is>
      </c>
      <c r="M56" s="11" t="inlineStr">
        <is>
          <t>E-15 (ten sam panel dostarczalności)</t>
        </is>
      </c>
      <c r="N56" s="11" t="inlineStr">
        <is>
          <t>Funkcja dostępna z panelu klienta bez wychodzenia do DirectAdmina; test uruchamiany w CI.</t>
        </is>
      </c>
      <c r="O56"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6" s="10" t="inlineStr">
        <is>
          <t>do zrobienia</t>
        </is>
      </c>
    </row>
    <row r="57">
      <c r="A57" s="10" t="inlineStr">
        <is>
          <t>E-17</t>
        </is>
      </c>
      <c r="B57" s="11" t="inlineStr">
        <is>
          <t>Rekord DMARC — konfiguracja</t>
        </is>
      </c>
      <c r="C57" s="10" t="inlineStr">
        <is>
          <t>audyt</t>
        </is>
      </c>
      <c r="D57" s="10" t="inlineStr">
        <is>
          <t>E — Poczta</t>
        </is>
      </c>
      <c r="E57" s="10" t="inlineStr">
        <is>
          <t>—</t>
        </is>
      </c>
      <c r="F57" s="10" t="n">
        <v>6</v>
      </c>
      <c r="G57" s="10" t="n">
        <v>8</v>
      </c>
      <c r="H57" s="10" t="inlineStr">
        <is>
          <t>Faza 1 — Rozliczenia i dowód odtworzenia</t>
        </is>
      </c>
      <c r="I57" s="10" t="inlineStr">
        <is>
          <t>2026-10-19</t>
        </is>
      </c>
      <c r="J57" s="10" t="inlineStr">
        <is>
          <t>2026-10-23</t>
        </is>
      </c>
      <c r="K57" s="10" t="inlineStr">
        <is>
          <t>DZIAŁA</t>
        </is>
      </c>
      <c r="L57"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7" s="11" t="inlineStr">
        <is>
          <t>E-15</t>
        </is>
      </c>
      <c r="N57" s="11" t="inlineStr">
        <is>
          <t>Funkcja dostępna z panelu klienta bez wychodzenia do DirectAdmina; test uruchamiany w CI.</t>
        </is>
      </c>
      <c r="O57" s="11" t="inlineStr">
        <is>
          <t>j.w. | KOD: kreator DMARC — wybór polityki i opcjonalny adres raportów, zachowuje pozostałe tagi. Sugestia bez rua na verris.pl (raporty do obcej domeny wymagają rekordu autoryzacji). OTWARTE do D3: zapis do strefy DA.</t>
        </is>
      </c>
      <c r="P57" s="10" t="inlineStr">
        <is>
          <t>do zrobienia</t>
        </is>
      </c>
    </row>
    <row r="58">
      <c r="A58" s="10" t="inlineStr">
        <is>
          <t>E-05</t>
        </is>
      </c>
      <c r="B58" s="11" t="inlineStr">
        <is>
          <t>Zmiana quoty ISTNIEJĄCEJ skrzynki</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8" s="11" t="inlineStr">
        <is>
          <t>—</t>
        </is>
      </c>
      <c r="N58" s="11" t="inlineStr">
        <is>
          <t>Funkcja dostępna z panelu klienta bez wychodzenia do DirectAdmina; test uruchamiany w CI.</t>
        </is>
      </c>
      <c r="O58"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8" s="10" t="inlineStr">
        <is>
          <t>do zrobienia</t>
        </is>
      </c>
    </row>
    <row r="59">
      <c r="A59" s="10" t="inlineStr">
        <is>
          <t>M-26</t>
        </is>
      </c>
      <c r="B59" s="11" t="inlineStr">
        <is>
          <t>Usunięcie zapisanej karty przez klienta</t>
        </is>
      </c>
      <c r="C59" s="10" t="inlineStr">
        <is>
          <t>audyt</t>
        </is>
      </c>
      <c r="D59" s="10" t="inlineStr">
        <is>
          <t>M — Rozliczenia</t>
        </is>
      </c>
      <c r="E59" s="10" t="inlineStr">
        <is>
          <t>WYSOKA</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9" s="11" t="inlineStr">
        <is>
          <t>—</t>
        </is>
      </c>
      <c r="N59" s="11" t="inlineStr">
        <is>
          <t>Funkcja dostępna z panelu klienta bez wychodzenia do DirectAdmina; test uruchamiany w CI.</t>
        </is>
      </c>
      <c r="O59"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9" s="10" t="inlineStr">
        <is>
          <t>do zrobienia</t>
        </is>
      </c>
    </row>
    <row r="60">
      <c r="A60" s="10" t="inlineStr">
        <is>
          <t>PB-17</t>
        </is>
      </c>
      <c r="B60" s="11" t="inlineStr">
        <is>
          <t>Asystent v1: dymki, naprawy jednym kliknięciem, czat z danymi konta</t>
        </is>
      </c>
      <c r="C60" s="10" t="inlineStr">
        <is>
          <t>poza audytem</t>
        </is>
      </c>
      <c r="D60" s="10" t="inlineStr">
        <is>
          <t>Praca spoza audytu</t>
        </is>
      </c>
      <c r="E60" s="10" t="inlineStr">
        <is>
          <t>WYSOKI</t>
        </is>
      </c>
      <c r="F60" s="10" t="n">
        <v>30</v>
      </c>
      <c r="G60" s="10" t="n">
        <v>9</v>
      </c>
      <c r="H60" s="10" t="inlineStr">
        <is>
          <t>Faza 2 — Odzyskanie funkcji-widm i luki pierwszego tygodnia</t>
        </is>
      </c>
      <c r="I60" s="10" t="inlineStr">
        <is>
          <t>2026-10-26</t>
        </is>
      </c>
      <c r="J60" s="10" t="inlineStr">
        <is>
          <t>2026-10-30</t>
        </is>
      </c>
      <c r="K60" s="10" t="inlineStr">
        <is>
          <t>—</t>
        </is>
      </c>
      <c r="L60" s="11" t="inlineStr">
        <is>
          <t>—</t>
        </is>
      </c>
      <c r="M60" s="11" t="inlineStr">
        <is>
          <t>—</t>
        </is>
      </c>
      <c r="N60" s="11" t="inlineStr">
        <is>
          <t>Co najmniej 5 reguł dymków z testami; każda naprawa ma cofnięcie i wpis audytu; czat odpowiada z kontekstem usługi; brak akcji destrukcyjnych w v1.</t>
        </is>
      </c>
      <c r="O60"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0" s="10" t="inlineStr">
        <is>
          <t>do zrobienia</t>
        </is>
      </c>
    </row>
    <row r="61">
      <c r="A61" s="10" t="inlineStr">
        <is>
          <t>PB-18</t>
        </is>
      </c>
      <c r="B61" s="11" t="inlineStr">
        <is>
          <t>Tickety v2: podgląd klienta, szablony ze zmiennymi, szkice odpowiedzi</t>
        </is>
      </c>
      <c r="C61" s="10" t="inlineStr">
        <is>
          <t>poza audytem</t>
        </is>
      </c>
      <c r="D61" s="10" t="inlineStr">
        <is>
          <t>Praca spoza audytu</t>
        </is>
      </c>
      <c r="E61" s="10" t="inlineStr">
        <is>
          <t>WYSOKI</t>
        </is>
      </c>
      <c r="F61" s="10" t="n">
        <v>24</v>
      </c>
      <c r="G61" s="10" t="n">
        <v>10</v>
      </c>
      <c r="H61" s="10" t="inlineStr">
        <is>
          <t>Faza 2 — Odzyskanie funkcji-widm i luki pierwszego tygodnia</t>
        </is>
      </c>
      <c r="I61" s="10" t="inlineStr">
        <is>
          <t>2026-11-02</t>
        </is>
      </c>
      <c r="J61" s="10" t="inlineStr">
        <is>
          <t>2026-11-06</t>
        </is>
      </c>
      <c r="K61" s="10" t="inlineStr">
        <is>
          <t>—</t>
        </is>
      </c>
      <c r="L61" s="11" t="inlineStr">
        <is>
          <t>—</t>
        </is>
      </c>
      <c r="M61" s="11" t="inlineStr">
        <is>
          <t>—</t>
        </is>
      </c>
      <c r="N61" s="11" t="inlineStr">
        <is>
          <t>Podgląd klienta bez przechodzenia między ekranami; szablony podstawiają zmienne z testem; szkic odpowiedzi dla 6 kategorii (DNS, SSL, poczta, płatność, migracja, awaria).</t>
        </is>
      </c>
      <c r="O61"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1" s="10" t="inlineStr">
        <is>
          <t>do zrobienia</t>
        </is>
      </c>
    </row>
    <row r="62">
      <c r="A62" s="10" t="inlineStr">
        <is>
          <t>A-25</t>
        </is>
      </c>
      <c r="B62" s="11" t="inlineStr">
        <is>
          <t>Ręczne zawieszenie usługi przez operatora</t>
        </is>
      </c>
      <c r="C62" s="10" t="inlineStr">
        <is>
          <t>audyt</t>
        </is>
      </c>
      <c r="D62" s="10" t="inlineStr">
        <is>
          <t>A — Domeny i konta</t>
        </is>
      </c>
      <c r="E62" s="10" t="inlineStr">
        <is>
          <t>—</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2" s="11" t="inlineStr">
        <is>
          <t>—</t>
        </is>
      </c>
      <c r="N62" s="11" t="inlineStr">
        <is>
          <t>Funkcja dostępna z panelu klienta bez wychodzenia do DirectAdmina; test uruchamiany w CI.</t>
        </is>
      </c>
      <c r="O62"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2" s="10" t="inlineStr">
        <is>
          <t>do zrobienia</t>
        </is>
      </c>
    </row>
    <row r="63">
      <c r="A63" s="10" t="inlineStr">
        <is>
          <t>A-26</t>
        </is>
      </c>
      <c r="B63" s="11" t="inlineStr">
        <is>
          <t>Ręczne odwieszenie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ten sam formularz — odwieszenie z opcją obciążenia za odnowienie (chargeRenewal); D3 t1 (d3.hvln.pl) 29.09: odwieszenie bez obciążenia → WordPress wraca po kilku sekundach</t>
        </is>
      </c>
      <c r="M63" s="11" t="inlineStr">
        <is>
          <t>A-25 (ten sam widok)</t>
        </is>
      </c>
      <c r="N63" s="11" t="inlineStr">
        <is>
          <t>Funkcja dostępna z panelu klienta bez wychodzenia do DirectAdmina; test uruchamiany w CI.</t>
        </is>
      </c>
      <c r="O63" s="11" t="inlineStr">
        <is>
          <t>Skorygowane: jak A-25, endpoint subscriptions.admin.controller.ts:210 działa z chargeRenewal. | UI zrobione. OTWARTE do D3 (PB-21): odwieszenie konta w DA na żywym węźle.</t>
        </is>
      </c>
      <c r="P63" s="10" t="inlineStr">
        <is>
          <t>do zrobienia</t>
        </is>
      </c>
    </row>
    <row r="64">
      <c r="A64" s="10" t="inlineStr">
        <is>
          <t>N-07</t>
        </is>
      </c>
      <c r="B64" s="11" t="inlineStr">
        <is>
          <t>Ręczne tworzenie incydentu na status page</t>
        </is>
      </c>
      <c r="C64" s="10" t="inlineStr">
        <is>
          <t>audyt</t>
        </is>
      </c>
      <c r="D64" s="10" t="inlineStr">
        <is>
          <t>N — Wsparcie i ops</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D2: admin-panel status/incidents/incident-compose.tsx → POST /admin/product-ops/incidents; przycisk „Rozwiąż” (PATCH incidents/:id status=RESOLVED); probe-ingest.service.ts isManualIncident; test status/incydent-reczny.spec.ts</t>
        </is>
      </c>
      <c r="M64" s="11" t="inlineStr">
        <is>
          <t>—</t>
        </is>
      </c>
      <c r="N64" s="11" t="inlineStr">
        <is>
          <t>Funkcja dostępna z panelu klienta bez wychodzenia do DirectAdmina; test uruchamiany w CI.</t>
        </is>
      </c>
      <c r="O64"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4" s="10" t="inlineStr">
        <is>
          <t>do zrobienia</t>
        </is>
      </c>
    </row>
    <row r="65">
      <c r="A65" s="10" t="inlineStr">
        <is>
          <t>H-22</t>
        </is>
      </c>
      <c r="B65" s="11" t="inlineStr">
        <is>
          <t>Panel odtwarzania w widocznym miejscu</t>
        </is>
      </c>
      <c r="C65" s="10" t="inlineStr">
        <is>
          <t>audyt</t>
        </is>
      </c>
      <c r="D65" s="10" t="inlineStr">
        <is>
          <t>H — Backup i odtwarzanie</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client-panel BackupsTab.tsx — sekcja „Kopie poza serwerem” (HostingOffsitePanel) w zakładce Kopie zapasowe; zdublowany panel przywracania usunięty z Zużycia zasobów (hosting-backup-restore-panel.tsx)</t>
        </is>
      </c>
      <c r="M65" s="11" t="inlineStr">
        <is>
          <t>—</t>
        </is>
      </c>
      <c r="N65" s="11" t="inlineStr">
        <is>
          <t>Funkcja dostępna z panelu klienta bez wychodzenia do DirectAdmina; test uruchamiany w CI.</t>
        </is>
      </c>
      <c r="O65" s="11" t="inlineStr">
        <is>
          <t>klient w kryzysie tego nie znajdzie | Kopie off-site są tam, gdzie klient ich szuka w kryzysie; przywracanie jest w jednym miejscu, z potwierdzeniem domeną.</t>
        </is>
      </c>
      <c r="P65" s="10" t="inlineStr">
        <is>
          <t>do zrobienia</t>
        </is>
      </c>
    </row>
    <row r="66">
      <c r="A66" s="10" t="inlineStr">
        <is>
          <t>H-09</t>
        </is>
      </c>
      <c r="B66" s="11" t="inlineStr">
        <is>
          <t>Kopia bezpieczeństwa przed odtworzeniem</t>
        </is>
      </c>
      <c r="C66" s="10" t="inlineStr">
        <is>
          <t>audyt</t>
        </is>
      </c>
      <c r="D66" s="10" t="inlineStr">
        <is>
          <t>H — Backup i odtwarzanie</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DZIAŁA</t>
        </is>
      </c>
      <c r="L66"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6" s="11" t="inlineStr">
        <is>
          <t>—</t>
        </is>
      </c>
      <c r="N66" s="11" t="inlineStr">
        <is>
          <t>Funkcja dostępna z panelu klienta bez wychodzenia do DirectAdmina; test uruchamiany w CI.</t>
        </is>
      </c>
      <c r="O66"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6" s="10" t="inlineStr">
        <is>
          <t>do zrobienia</t>
        </is>
      </c>
    </row>
    <row r="67">
      <c r="A67" s="10" t="inlineStr">
        <is>
          <t>H-17</t>
        </is>
      </c>
      <c r="B67" s="11" t="inlineStr">
        <is>
          <t>Tryb restore skryptu odtwarzającego osiągalny z produktu</t>
        </is>
      </c>
      <c r="C67" s="10" t="inlineStr">
        <is>
          <t>audyt</t>
        </is>
      </c>
      <c r="D67" s="10" t="inlineStr">
        <is>
          <t>H — Backup i odtwarzanie</t>
        </is>
      </c>
      <c r="E67" s="10" t="inlineStr">
        <is>
          <t>WYSOKA</t>
        </is>
      </c>
      <c r="F67" s="10" t="n">
        <v>6</v>
      </c>
      <c r="G67" s="10" t="n">
        <v>12</v>
      </c>
      <c r="H67" s="10" t="inlineStr">
        <is>
          <t>Faza 2 — Odzyskanie funkcji-widm i luki pierwszego tygodnia</t>
        </is>
      </c>
      <c r="I67" s="10" t="inlineStr">
        <is>
          <t>2026-11-16</t>
        </is>
      </c>
      <c r="J67" s="10" t="inlineStr">
        <is>
          <t>2026-11-20</t>
        </is>
      </c>
      <c r="K67" s="10" t="inlineStr">
        <is>
          <t>DZIAŁA</t>
        </is>
      </c>
      <c r="L67"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7" s="11" t="inlineStr">
        <is>
          <t>H-20 (najpierw potwierdzone odtworzenie, potem wystawienie trybu w produkcie)</t>
        </is>
      </c>
      <c r="N67" s="11" t="inlineStr">
        <is>
          <t>Funkcja dostępna z panelu klienta bez wychodzenia do DirectAdmina; test uruchamiany w CI.</t>
        </is>
      </c>
      <c r="O67"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7" s="10" t="inlineStr">
        <is>
          <t>do zrobienia</t>
        </is>
      </c>
    </row>
    <row r="68">
      <c r="A68" s="10" t="inlineStr">
        <is>
          <t>G-20</t>
        </is>
      </c>
      <c r="B68" s="11" t="inlineStr">
        <is>
          <t>Ochrona przed atakiem słownikowym na panel</t>
        </is>
      </c>
      <c r="C68" s="10" t="inlineStr">
        <is>
          <t>audyt</t>
        </is>
      </c>
      <c r="D68" s="10" t="inlineStr">
        <is>
          <t>G — SSL i bezpieczeństwo</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D2: common/guards/rate-limit.guard.spec.ts (6 testów: limit per IP, per e-mail z wielu IP, reset okna, zakresy i @SkipRateLimit, przepełnienie mapy, awaria Redisa)</t>
        </is>
      </c>
      <c r="M68" s="11" t="inlineStr">
        <is>
          <t>—</t>
        </is>
      </c>
      <c r="N68" s="11" t="inlineStr">
        <is>
          <t>Funkcja dostępna z panelu klienta bez wychodzenia do DirectAdmina; test uruchamiany w CI.</t>
        </is>
      </c>
      <c r="O68"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8" s="10" t="inlineStr">
        <is>
          <t>do zrobienia</t>
        </is>
      </c>
    </row>
    <row r="69">
      <c r="A69" s="10" t="inlineStr">
        <is>
          <t>I-11</t>
        </is>
      </c>
      <c r="B69" s="11" t="inlineStr">
        <is>
          <t>Staging — publikacja na produkcję</t>
        </is>
      </c>
      <c r="C69" s="10" t="inlineStr">
        <is>
          <t>audyt</t>
        </is>
      </c>
      <c r="D69" s="10" t="inlineStr">
        <is>
          <t>I — Aplikacje i WordPress</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69" s="11" t="inlineStr">
        <is>
          <t>—</t>
        </is>
      </c>
      <c r="N69" s="11" t="inlineStr">
        <is>
          <t>Funkcja dostępna z panelu klienta bez wychodzenia do DirectAdmina; test uruchamiany w CI.</t>
        </is>
      </c>
      <c r="O69"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69" s="10" t="inlineStr">
        <is>
          <t>do zrobienia</t>
        </is>
      </c>
    </row>
    <row r="70">
      <c r="A70" s="10" t="inlineStr">
        <is>
          <t>X-31</t>
        </is>
      </c>
      <c r="B70" s="11" t="inlineStr">
        <is>
          <t>Kanał alertów daje znak życia (dead man's switch)</t>
        </is>
      </c>
      <c r="C70" s="10" t="inlineStr">
        <is>
          <t>audyt</t>
        </is>
      </c>
      <c r="D70" s="10" t="inlineStr">
        <is>
          <t>X — Infrastruktura jakości</t>
        </is>
      </c>
      <c r="E70" s="10" t="inlineStr">
        <is>
          <t>—</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0" s="11" t="inlineStr">
        <is>
          <t>—</t>
        </is>
      </c>
      <c r="N70" s="11" t="inlineStr">
        <is>
          <t>Funkcja dostępna z panelu klienta bez wychodzenia do DirectAdmina; test uruchamiany w CI.</t>
        </is>
      </c>
      <c r="O70"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0" s="10" t="inlineStr">
        <is>
          <t>do zrobienia</t>
        </is>
      </c>
    </row>
    <row r="71">
      <c r="A71" s="10" t="inlineStr">
        <is>
          <t>X-32</t>
        </is>
      </c>
      <c r="B71" s="11" t="inlineStr">
        <is>
          <t>Martwy job da się odrzucić z panelu, ze śladem w audycie</t>
        </is>
      </c>
      <c r="C71" s="10" t="inlineStr">
        <is>
          <t>audyt</t>
        </is>
      </c>
      <c r="D71" s="10" t="inlineStr">
        <is>
          <t>X — Infrastruktura jakości</t>
        </is>
      </c>
      <c r="E71" s="10" t="inlineStr">
        <is>
          <t>—</t>
        </is>
      </c>
      <c r="F71" s="10" t="n">
        <v>6</v>
      </c>
      <c r="G71" s="10" t="n">
        <v>13</v>
      </c>
      <c r="H71" s="10" t="inlineStr">
        <is>
          <t>Faza 2 — Odzyskanie funkcji-widm i luki pierwszego tygodnia</t>
        </is>
      </c>
      <c r="I71" s="10" t="inlineStr">
        <is>
          <t>2026-11-23</t>
        </is>
      </c>
      <c r="J71" s="10" t="inlineStr">
        <is>
          <t>2026-11-27</t>
        </is>
      </c>
      <c r="K71" s="10" t="inlineStr">
        <is>
          <t>DZIAŁA</t>
        </is>
      </c>
      <c r="L71"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1" s="11" t="inlineStr">
        <is>
          <t>—</t>
        </is>
      </c>
      <c r="N71" s="11" t="inlineStr">
        <is>
          <t>Funkcja dostępna z panelu klienta bez wychodzenia do DirectAdmina; test uruchamiany w CI.</t>
        </is>
      </c>
      <c r="O71"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1" s="10" t="inlineStr">
        <is>
          <t>do zrobienia</t>
        </is>
      </c>
    </row>
    <row r="72">
      <c r="A72" s="10" t="inlineStr">
        <is>
          <t>DEP-02</t>
        </is>
      </c>
      <c r="B72" s="11" t="inlineStr">
        <is>
          <t>W drzewie stoją dwa majory ESLinta naraz</t>
        </is>
      </c>
      <c r="C72" s="10" t="inlineStr">
        <is>
          <t>audyt</t>
        </is>
      </c>
      <c r="D72" s="10" t="inlineStr">
        <is>
          <t>X — Infrastruktura jakości</t>
        </is>
      </c>
      <c r="E72" s="10" t="inlineStr">
        <is>
          <t>ŚREDNIA</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2" s="11" t="inlineStr">
        <is>
          <t>—</t>
        </is>
      </c>
      <c r="N72" s="11" t="inlineStr">
        <is>
          <t>Funkcja dostępna z panelu klienta bez wychodzenia do DirectAdmina; test uruchamiany w CI.</t>
        </is>
      </c>
      <c r="O72"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2" s="10" t="inlineStr">
        <is>
          <t>do zrobienia</t>
        </is>
      </c>
    </row>
    <row r="73">
      <c r="A73" s="10" t="inlineStr">
        <is>
          <t>M-08</t>
        </is>
      </c>
      <c r="B73" s="11" t="inlineStr">
        <is>
          <t>Anulowanie faktury (VOID) z panelu</t>
        </is>
      </c>
      <c r="C73" s="10" t="inlineStr">
        <is>
          <t>audyt</t>
        </is>
      </c>
      <c r="D73" s="10" t="inlineStr">
        <is>
          <t>M — Rozliczenia</t>
        </is>
      </c>
      <c r="E73" s="10" t="inlineStr">
        <is>
          <t>WYSOKA</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billing/anulowanie.service.ts (POST /admin/invoices/:id/anuluj, BILLING_MANAGE); admin: invoices/void-button.tsx; test D2 anulowanie.service.spec.ts</t>
        </is>
      </c>
      <c r="M73" s="11" t="inlineStr">
        <is>
          <t>—</t>
        </is>
      </c>
      <c r="N73" s="11" t="inlineStr">
        <is>
          <t>Funkcja dostępna z panelu klienta bez wychodzenia do DirectAdmina; test uruchamiany w CI.</t>
        </is>
      </c>
      <c r="O73"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 | 2026-10-10: anulowanie, korekta, PDF i ponowienie KSeF także na nowej stronie faktury w adminie /invoices/[id] (f77359f5), z „Dokończ wystawienie” (POST /admin/invoices/:id/dokoncz) z Fali 1B (3185362e).</t>
        </is>
      </c>
      <c r="P73" s="10" t="inlineStr">
        <is>
          <t>do zrobienia</t>
        </is>
      </c>
    </row>
    <row r="74">
      <c r="A74" s="10" t="inlineStr">
        <is>
          <t>C-18</t>
        </is>
      </c>
      <c r="B74" s="11" t="inlineStr">
        <is>
          <t>Konto FTP — zmiana hasła</t>
        </is>
      </c>
      <c r="C74" s="10" t="inlineStr">
        <is>
          <t>audyt</t>
        </is>
      </c>
      <c r="D74" s="10" t="inlineStr">
        <is>
          <t>C — Pliki, FTP, SSH, Git</t>
        </is>
      </c>
      <c r="E74" s="10" t="inlineStr">
        <is>
          <t>WYSOKA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2026-09-23 D1: POST /services/:id/hosting-ftp/:username/password (ZmienHasloFtpDto) → directadmin.service changeHostingFtpPassword (action=modify, katalog zachowany) + audyt HOSTING_FTP_PASSWORD_CHANGED; UI FtpTab — kluczyk przy koncie; test servers/zmiana-hasla-ftp.spec.ts</t>
        </is>
      </c>
      <c r="M74" s="11" t="inlineStr">
        <is>
          <t>—</t>
        </is>
      </c>
      <c r="N74" s="11" t="inlineStr">
        <is>
          <t>Funkcja dostępna z panelu klienta bez wychodzenia do DirectAdmina; test uruchamiany w CI.</t>
        </is>
      </c>
      <c r="O74"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4" s="10" t="inlineStr">
        <is>
          <t>do zrobienia</t>
        </is>
      </c>
    </row>
    <row r="75">
      <c r="A75" s="10" t="inlineStr">
        <is>
          <t>A-11</t>
        </is>
      </c>
      <c r="B75" s="11" t="inlineStr">
        <is>
          <t>Wyszukiwarka wolnych domen</t>
        </is>
      </c>
      <c r="C75" s="10" t="inlineStr">
        <is>
          <t>audyt</t>
        </is>
      </c>
      <c r="D75" s="10" t="inlineStr">
        <is>
          <t>A — Domeny i konta</t>
        </is>
      </c>
      <c r="E75" s="10" t="inlineStr">
        <is>
          <t>WYSOKA</t>
        </is>
      </c>
      <c r="F75" s="10" t="n">
        <v>6</v>
      </c>
      <c r="G75" s="10" t="n">
        <v>14</v>
      </c>
      <c r="H75" s="10" t="inlineStr">
        <is>
          <t>Faza 2 — Odzyskanie funkcji-widm i luki pierwszego tygodnia</t>
        </is>
      </c>
      <c r="I75" s="10" t="inlineStr">
        <is>
          <t>2026-10-19</t>
        </is>
      </c>
      <c r="J75" s="10" t="inlineStr">
        <is>
          <t>2026-10-23</t>
        </is>
      </c>
      <c r="K75" s="10" t="inlineStr">
        <is>
          <t>DZIAŁA</t>
        </is>
      </c>
      <c r="L75" s="11" t="inlineStr">
        <is>
          <t>domains.controller.ts:54</t>
        </is>
      </c>
      <c r="M75" s="11" t="inlineStr">
        <is>
          <t>—</t>
        </is>
      </c>
      <c r="N75" s="11" t="inlineStr">
        <is>
          <t>Funkcja dostępna z panelu klienta bez wychodzenia do DirectAdmina; test uruchamiany w CI.</t>
        </is>
      </c>
      <c r="O75"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75" s="10" t="inlineStr">
        <is>
          <t>do zrobienia</t>
        </is>
      </c>
    </row>
    <row r="76">
      <c r="A76" s="10" t="inlineStr">
        <is>
          <t>C-11</t>
        </is>
      </c>
      <c r="B76" s="11" t="inlineStr">
        <is>
          <t>Spakowanie do archiwum</t>
        </is>
      </c>
      <c r="C76" s="10" t="inlineStr">
        <is>
          <t>audyt</t>
        </is>
      </c>
      <c r="D76" s="10" t="inlineStr">
        <is>
          <t>C — Pliki, FTP, SSH, Git</t>
        </is>
      </c>
      <c r="E76" s="10" t="inlineStr">
        <is>
          <t>—</t>
        </is>
      </c>
      <c r="F76" s="10" t="n">
        <v>6</v>
      </c>
      <c r="G76" s="10" t="n">
        <v>14</v>
      </c>
      <c r="H76" s="10" t="inlineStr">
        <is>
          <t>Faza 2 — Odzyskanie funkcji-widm i luki pierwszego tygodnia</t>
        </is>
      </c>
      <c r="I76" s="10" t="inlineStr">
        <is>
          <t>2026-10-19</t>
        </is>
      </c>
      <c r="J76" s="10" t="inlineStr">
        <is>
          <t>2026-10-23</t>
        </is>
      </c>
      <c r="K76" s="10" t="inlineStr">
        <is>
          <t>DZIAŁA</t>
        </is>
      </c>
      <c r="L76"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6" s="11" t="inlineStr">
        <is>
          <t>—</t>
        </is>
      </c>
      <c r="N76" s="11" t="inlineStr">
        <is>
          <t>Funkcja dostępna z panelu klienta bez wychodzenia do DirectAdmina; test uruchamiany w CI.</t>
        </is>
      </c>
      <c r="O76" s="11" t="inlineStr">
        <is>
          <t>standard we wszystkich panelach | OTWARTE do D3 (PB-21): format action=compress na żywym DA.</t>
        </is>
      </c>
      <c r="P76" s="10" t="inlineStr">
        <is>
          <t>do zrobienia</t>
        </is>
      </c>
    </row>
    <row r="77">
      <c r="A77" s="10" t="inlineStr">
        <is>
          <t>NODE-03</t>
        </is>
      </c>
      <c r="B77" s="11" t="inlineStr">
        <is>
          <t>Pojemność węzła nigdy się nie odświeża</t>
        </is>
      </c>
      <c r="C77" s="10" t="inlineStr">
        <is>
          <t>audyt</t>
        </is>
      </c>
      <c r="D77" s="10" t="inlineStr">
        <is>
          <t>Q — Przewaga</t>
        </is>
      </c>
      <c r="E77" s="10" t="inlineStr">
        <is>
          <t>ŚREDNIA</t>
        </is>
      </c>
      <c r="F77" s="10" t="n">
        <v>6</v>
      </c>
      <c r="G77" s="10" t="n">
        <v>14</v>
      </c>
      <c r="H77" s="10" t="inlineStr">
        <is>
          <t>Faza 2 — Odzyskanie funkcji-widm i luki pierwszego tygodnia</t>
        </is>
      </c>
      <c r="I77" s="10" t="inlineStr">
        <is>
          <t>2026-10-19</t>
        </is>
      </c>
      <c r="J77" s="10" t="inlineStr">
        <is>
          <t>2026-10-23</t>
        </is>
      </c>
      <c r="K77" s="10" t="inlineStr">
        <is>
          <t>DZIAŁA</t>
        </is>
      </c>
      <c r="L77" s="11" t="inlineStr">
        <is>
          <t>2026-09-23 D1: verris-lve.sh node_capacity (nproc, MemTotal, df /) w każdym raporcie, lve-agent/1.1; telemetry.dto NodeStatusDto.totalCpuCores/totalMemoryMb/totalDiskMb; telemetry.service aktualizuje Server; test telemetry/pojemnosc-wezla.spec.ts</t>
        </is>
      </c>
      <c r="M77" s="11" t="inlineStr">
        <is>
          <t>—</t>
        </is>
      </c>
      <c r="N77" s="11" t="inlineStr">
        <is>
          <t>Funkcja dostępna z panelu klienta bez wychodzenia do DirectAdmina; test uruchamiany w CI.</t>
        </is>
      </c>
      <c r="O7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7" s="10" t="inlineStr">
        <is>
          <t>do zrobienia</t>
        </is>
      </c>
    </row>
    <row r="78">
      <c r="A78" s="10" t="inlineStr">
        <is>
          <t>PB-40</t>
        </is>
      </c>
      <c r="B78" s="11" t="inlineStr">
        <is>
          <t>Beta wewnętrzna na węźle testowym t1</t>
        </is>
      </c>
      <c r="C78" s="10" t="inlineStr">
        <is>
          <t>poza audytem</t>
        </is>
      </c>
      <c r="D78" s="10" t="inlineStr">
        <is>
          <t>Praca spoza audytu</t>
        </is>
      </c>
      <c r="E78" s="10" t="inlineStr">
        <is>
          <t>WYSOKI</t>
        </is>
      </c>
      <c r="F78" s="10" t="n">
        <v>12</v>
      </c>
      <c r="G78" s="10" t="n">
        <v>14</v>
      </c>
      <c r="H78" s="10" t="inlineStr">
        <is>
          <t>Faza 2 — Odzyskanie funkcji-widm i luki pierwszego tygodnia</t>
        </is>
      </c>
      <c r="I78" s="10" t="inlineStr">
        <is>
          <t>2026-10-19</t>
        </is>
      </c>
      <c r="J78" s="10" t="inlineStr">
        <is>
          <t>2026-10-23</t>
        </is>
      </c>
      <c r="K78" s="10" t="inlineStr">
        <is>
          <t>—</t>
        </is>
      </c>
      <c r="L78" s="11" t="inlineStr">
        <is>
          <t>—</t>
        </is>
      </c>
      <c r="M78" s="11" t="inlineStr">
        <is>
          <t>—</t>
        </is>
      </c>
      <c r="N78" s="11" t="inlineStr">
        <is>
          <t>Wszystkie 8 scenariuszy przejście bez pomocy; zero otwartych błędów krytycznych (dane, pieniądze, dostęp); poprawki „przed AX102” zamknięte, reszta rozpisana na „przed GO” i „po starcie”.</t>
        </is>
      </c>
      <c r="O78" s="11" t="inlineStr">
        <is>
          <t>Przed zakupem AX102 właściciel i 2–3 zaufane osoby przechodzą scenariusze testerów z docs/ops/BETA_TESTY.md na t1 (decyzja 2026-09-29: otwarta beta dopiero po poprawnej wewnętrznej). Termin 19.10–6.11.2026. | 2026-10-06 PRÓBA BETY (Claude na koncie d3, przed testerami): scenariusz 3 (WordPress na poddomenie beta.d3.hvln.pl), 5 (poczta test@→import@ przez webmail SSO; telefon — nie), 6 (kopia na żądanie, odtworzenie pliku, eksport/import bazy, odświeżenie stagingu) i 7 (zgłoszenie, odpowiedź, zamknięcie, prośba o ocenę) przeszły; 1, 2, 4 — wcześniejsze testy D3 na t1; 8 (telefon) czeka na Dominika. Znalezione i poprawione przed testerami: webmail po angielsku i bez marki, strona 404 serwera z nazwą LiteSpeed, angielskie zdarzenia migracji, staging bez potwierdzenia, eskalacje migracji bez opiekuna/SLA, teksty zgłoszeń; przegląd agentów: egress strict, portfel EKO, WP na poddomenie, white label błędów. | 2026-10-10: przed betą 19.10 — Fala 1 audytu paneli operatora zamknięta (PB-50), Fala 2 idzie w trakcie bety (PB-51). Warunki dołożone 10.10: dowód odtwarzania odnowiony (PB-54 — H-20 wrócił do blokera, D4 z 23.08 wygasł) i pula sprzedażowa t1 (PB-55 — zapas 0 kont, dysk 100/75 GB; bez decyzji testerzy nie kupią hostingu po 18.10). Panele obsługi i admina tylko przez VPN — każdy, kto w becie gra rolę obsługi, potrzebuje konfiguracji WireGuard. Przejście ról L1–L4 na żywo przed betą (RBAC zostaje na D2).</t>
        </is>
      </c>
      <c r="P78" s="10" t="inlineStr">
        <is>
          <t>do zrobienia</t>
        </is>
      </c>
    </row>
    <row r="79">
      <c r="A79" s="10" t="inlineStr">
        <is>
          <t>PB-08</t>
        </is>
      </c>
      <c r="B79" s="11" t="inlineStr">
        <is>
          <t>Pomiar: Consent Mode v2 + GTM + dedup event_id</t>
        </is>
      </c>
      <c r="C79" s="10" t="inlineStr">
        <is>
          <t>poza audytem</t>
        </is>
      </c>
      <c r="D79" s="10" t="inlineStr">
        <is>
          <t>Praca spoza audytu</t>
        </is>
      </c>
      <c r="E79" s="10" t="inlineStr">
        <is>
          <t>ŚREDNI</t>
        </is>
      </c>
      <c r="F79" s="10" t="n">
        <v>16</v>
      </c>
      <c r="G79" s="10" t="n">
        <v>14</v>
      </c>
      <c r="H79" s="10" t="inlineStr">
        <is>
          <t>Faza 2 — Odzyskanie funkcji-widm i luki pierwszego tygodnia</t>
        </is>
      </c>
      <c r="I79" s="10" t="inlineStr">
        <is>
          <t>2026-10-19</t>
        </is>
      </c>
      <c r="J79" s="10" t="inlineStr">
        <is>
          <t>2026-10-23</t>
        </is>
      </c>
      <c r="K79" s="10" t="inlineStr">
        <is>
          <t>—</t>
        </is>
      </c>
      <c r="L79" s="11" t="inlineStr">
        <is>
          <t>—</t>
        </is>
      </c>
      <c r="M79" s="11" t="inlineStr">
        <is>
          <t>—</t>
        </is>
      </c>
      <c r="N79" s="11" t="inlineStr">
        <is>
          <t>Zdarzenie zakupu dociera raz, nie dwa. Consent Mode nie blokuje pomiaru po zgodzie. Zweryfikowane w GTM Preview i w raporcie.</t>
        </is>
      </c>
      <c r="O79"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79" s="10" t="inlineStr">
        <is>
          <t>do zrobienia</t>
        </is>
      </c>
    </row>
    <row r="80">
      <c r="A80" s="10" t="inlineStr">
        <is>
          <t>PB-27</t>
        </is>
      </c>
      <c r="B80" s="11" t="inlineStr">
        <is>
          <t>Indywidualne warunki usługi: cena i autoskalowanie</t>
        </is>
      </c>
      <c r="C80" s="10" t="inlineStr">
        <is>
          <t>poza audytem</t>
        </is>
      </c>
      <c r="D80" s="10" t="inlineStr">
        <is>
          <t>Praca spoza audytu</t>
        </is>
      </c>
      <c r="E80" s="10" t="inlineStr">
        <is>
          <t>WYSOKI</t>
        </is>
      </c>
      <c r="F80" s="10" t="n">
        <v>12</v>
      </c>
      <c r="G80" s="10" t="n">
        <v>14</v>
      </c>
      <c r="H80" s="10" t="inlineStr">
        <is>
          <t>Faza 2 — Odzyskanie funkcji-widm i luki pierwszego tygodnia</t>
        </is>
      </c>
      <c r="I80" s="10" t="inlineStr">
        <is>
          <t>2026-10-19</t>
        </is>
      </c>
      <c r="J80" s="10" t="inlineStr">
        <is>
          <t>2026-10-23</t>
        </is>
      </c>
      <c r="K80" s="10" t="inlineStr">
        <is>
          <t>—</t>
        </is>
      </c>
      <c r="L80" s="11" t="inlineStr">
        <is>
          <t>—</t>
        </is>
      </c>
      <c r="M80" s="11" t="inlineStr">
        <is>
          <t>—</t>
        </is>
      </c>
      <c r="N80" s="11" t="inlineStr">
        <is>
          <t>Operator zakłada usługę z własną ceną; odnowienie pobiera tę cenę; autoskalowanie liczone z rabatem; każda zmiana w dzienniku audytu z autorem i powodem; test na PostgreSQL.</t>
        </is>
      </c>
      <c r="O80"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 | 2026-10-07 ZNALEZISKO D3: cena 0 zł — „Załóż usługę” kończyło się „Amount must be positive”, a odnowienie z ceną 0 (albo kodem 100%) rzucałoby co godzinę bez przedłużenia; poprawione (5a5591bc, test na PostgreSQL). | 2026-10-08 PRODUKCJA (D3): odnowienie usługi d3.hvln.pl z ceną indywidualną 6 zł — 8.10 16:00 portfel −6,00 K (45,17 → 39,17 K), następne odnowienie 8.11.2026 dalej 6,00 zł/mies.; bez osobnej faktury zgodnie z M-34 (model przy_doladowaniu). Poprawione (f03ad56e): historia portfela pokazywała „Odnowienie miesięczne · verris hosting” (slug) — teraz nazwa pakietu z oferty. Zamknięte.</t>
        </is>
      </c>
      <c r="P80" s="10" t="inlineStr">
        <is>
          <t>do zrobienia</t>
        </is>
      </c>
    </row>
    <row r="81">
      <c r="A81" s="10" t="inlineStr">
        <is>
          <t>PB-28</t>
        </is>
      </c>
      <c r="B81" s="11" t="inlineStr">
        <is>
          <t>Rozliczenie poza Verris (całe konto)</t>
        </is>
      </c>
      <c r="C81" s="10" t="inlineStr">
        <is>
          <t>poza audytem</t>
        </is>
      </c>
      <c r="D81" s="10" t="inlineStr">
        <is>
          <t>Praca spoza audytu</t>
        </is>
      </c>
      <c r="E81" s="10" t="inlineStr">
        <is>
          <t>WYSOKI</t>
        </is>
      </c>
      <c r="F81" s="10" t="n">
        <v>10</v>
      </c>
      <c r="G81" s="10" t="n">
        <v>14</v>
      </c>
      <c r="H81" s="10" t="inlineStr">
        <is>
          <t>Faza 2 — Odzyskanie funkcji-widm i luki pierwszego tygodnia</t>
        </is>
      </c>
      <c r="I81" s="10" t="inlineStr">
        <is>
          <t>2026-10-19</t>
        </is>
      </c>
      <c r="J81" s="10" t="inlineStr">
        <is>
          <t>2026-10-23</t>
        </is>
      </c>
      <c r="K81" s="10" t="inlineStr">
        <is>
          <t>—</t>
        </is>
      </c>
      <c r="L81" s="11" t="inlineStr">
        <is>
          <t>—</t>
        </is>
      </c>
      <c r="M81" s="11" t="inlineStr">
        <is>
          <t>—</t>
        </is>
      </c>
      <c r="N81" s="11" t="inlineStr">
        <is>
          <t>Flaga na koncie ustawiana z panelu admina/obsługi; testy: brak obciążeń, przedłużanie okresu, brak maili, brak blokady, raport zużycia autoskalowania.</t>
        </is>
      </c>
      <c r="O81"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1" s="10" t="inlineStr">
        <is>
          <t>do zrobienia</t>
        </is>
      </c>
    </row>
    <row r="82">
      <c r="A82" s="10" t="inlineStr">
        <is>
          <t>PB-44</t>
        </is>
      </c>
      <c r="B82" s="11" t="inlineStr">
        <is>
          <t>Obsługa: zasoby, kopie i odtwarzanie, historia i migracja wewnętrzna w panelu staff</t>
        </is>
      </c>
      <c r="C82" s="10" t="inlineStr">
        <is>
          <t>poza audytem</t>
        </is>
      </c>
      <c r="D82" s="10" t="inlineStr">
        <is>
          <t>Praca spoza audytu</t>
        </is>
      </c>
      <c r="E82" s="10" t="inlineStr">
        <is>
          <t>ŚREDNI</t>
        </is>
      </c>
      <c r="F82" s="10" t="n">
        <v>10</v>
      </c>
      <c r="G82" s="10" t="n">
        <v>14</v>
      </c>
      <c r="H82" s="10" t="inlineStr">
        <is>
          <t>Faza 2 — Odzyskanie funkcji-widm i luki pierwszego tygodnia</t>
        </is>
      </c>
      <c r="I82" s="10" t="inlineStr">
        <is>
          <t>2026-10-19</t>
        </is>
      </c>
      <c r="J82" s="10" t="inlineStr">
        <is>
          <t>2026-10-23</t>
        </is>
      </c>
      <c r="K82" s="10" t="inlineStr">
        <is>
          <t>—</t>
        </is>
      </c>
      <c r="L82" s="11" t="inlineStr">
        <is>
          <t>—</t>
        </is>
      </c>
      <c r="M82" s="11" t="inlineStr">
        <is>
          <t>—</t>
        </is>
      </c>
      <c r="N82" s="11" t="inlineStr">
        <is>
          <t>Panel staff pokazuje zasoby, kopie z odtwarzaniem, historię migracji i migrację wewnętrzną zgodnie z uprawnieniami; testy panelu.</t>
        </is>
      </c>
      <c r="O82" s="11" t="inlineStr">
        <is>
          <t>Decyzja właściciela 2026-10-08: po rdzeniu, w trakcie bety. API już to obsługuje dla staff z SUBSCRIPTIONS_MANAGE (subscriptions.admin.controller.ts: usage, hosting-backups, hosting-restore, internal-migration, migrations) — brakuje UI w panelu staff. | 2026-10-08 KOD (pakiet obsługi): karta usługi w staff — zasoby, kopie z odtwarzaniem (powód operatora w dzienniku, nie u klienta), migracja wewnętrzna tylko na aktywny inny węzeł (drugi wniosek → 409), historia migracji; odczyt listy kopii w dzienniku. Testy D2. Zostaje: D3 — odtworzenie kopii i migracja wewnętrzna konta testowego na t1.</t>
        </is>
      </c>
      <c r="P82" s="10" t="inlineStr">
        <is>
          <t>do zrobienia</t>
        </is>
      </c>
    </row>
    <row r="83">
      <c r="A83" s="10" t="inlineStr">
        <is>
          <t>PB-45</t>
        </is>
      </c>
      <c r="B83" s="11" t="inlineStr">
        <is>
          <t>Obsługa: migracja w imieniu klienta z jego zgodą</t>
        </is>
      </c>
      <c r="C83" s="10" t="inlineStr">
        <is>
          <t>poza audytem</t>
        </is>
      </c>
      <c r="D83" s="10" t="inlineStr">
        <is>
          <t>Praca spoza audytu</t>
        </is>
      </c>
      <c r="E83" s="10" t="inlineStr">
        <is>
          <t>ŚREDNI</t>
        </is>
      </c>
      <c r="F83" s="10" t="n">
        <v>16</v>
      </c>
      <c r="G83" s="10" t="n">
        <v>14</v>
      </c>
      <c r="H83" s="10" t="inlineStr">
        <is>
          <t>Faza 2 — Odzyskanie funkcji-widm i luki pierwszego tygodnia</t>
        </is>
      </c>
      <c r="I83" s="10" t="inlineStr">
        <is>
          <t>2026-10-19</t>
        </is>
      </c>
      <c r="J83" s="10" t="inlineStr">
        <is>
          <t>2026-10-23</t>
        </is>
      </c>
      <c r="K83" s="10" t="inlineStr">
        <is>
          <t>—</t>
        </is>
      </c>
      <c r="L83" s="11" t="inlineStr">
        <is>
          <t>—</t>
        </is>
      </c>
      <c r="M83" s="11" t="inlineStr">
        <is>
          <t>—</t>
        </is>
      </c>
      <c r="N83" s="11" t="inlineStr">
        <is>
          <t>Staff zakłada migrację za klienta, klient dostaje prośbę o zgodę, start po zgodzie; bez zgody — nic nie rusza i dane źródła są usuwane po terminie; testy na PostgreSQL.</t>
        </is>
      </c>
      <c r="O83" s="11" t="inlineStr">
        <is>
          <t>Decyzja właściciela 2026-10-08: staff wypełnia kreator migracji za klienta (np. z danych ze zgłoszenia), migracja startuje dopiero po kliknięciu przez klienta „Zgadzam się” (upoważnienie RODO/DPA) w mailu lub panelu; do tego czasu dane źródła zaszyfrowane, link wygasa. W trakcie bety. | 2026-10-08 KOD (pakiet obsługi): obsługa zakłada migrację za klienta (staff/migrations/za-klienta, MIGRATIONS_MANAGE), start dopiero po zgodzie WŁAŚCICIELA — zgoda w sesji „Zaloguj jako klient” odrzucana (krytyczna luka z przeglądu, test na PostgreSQL), link z maila działa bez sesji (powrót na stronę zgody), jedna oczekująca prośba, etykiety zdarzeń zgody. Testy D2. Zostaje: D3 — migracja za d3 z Pleska właściciela, zgoda z maila. | 2026-10-09 KOD (ADMIN-MIGR): „Migracja za klienta” także w panelu admina — przycisk na karcie usługi (tylko z MIGRATIONS_MANAGE), formularz jak w obsłudze, w szczegółach migracji stan prośby o zgodę (oczekuje/zgoda/odmowa/wygasło/anulowana przez zespół — wspólna funkcja stanProsbyZgody dla obu paneli) i „Wycofaj prośbę i usuń dane”. Testy D2.</t>
        </is>
      </c>
      <c r="P83" s="10" t="inlineStr">
        <is>
          <t>do zrobienia</t>
        </is>
      </c>
    </row>
    <row r="84">
      <c r="A84" s="10" t="inlineStr">
        <is>
          <t>PB-46</t>
        </is>
      </c>
      <c r="B84" s="11" t="inlineStr">
        <is>
          <t>Obsługa: spójna karta klienta w staff i admin</t>
        </is>
      </c>
      <c r="C84" s="10" t="inlineStr">
        <is>
          <t>poza audytem</t>
        </is>
      </c>
      <c r="D84" s="10" t="inlineStr">
        <is>
          <t>Praca spoza audytu</t>
        </is>
      </c>
      <c r="E84" s="10" t="inlineStr">
        <is>
          <t>ŚREDNI</t>
        </is>
      </c>
      <c r="F84" s="10" t="n">
        <v>8</v>
      </c>
      <c r="G84" s="10" t="n">
        <v>14</v>
      </c>
      <c r="H84" s="10" t="inlineStr">
        <is>
          <t>Faza 2 — Odzyskanie funkcji-widm i luki pierwszego tygodnia</t>
        </is>
      </c>
      <c r="I84" s="10" t="inlineStr">
        <is>
          <t>2026-10-19</t>
        </is>
      </c>
      <c r="J84" s="10" t="inlineStr">
        <is>
          <t>2026-10-23</t>
        </is>
      </c>
      <c r="K84" s="10" t="inlineStr">
        <is>
          <t>—</t>
        </is>
      </c>
      <c r="L84" s="11" t="inlineStr">
        <is>
          <t>—</t>
        </is>
      </c>
      <c r="M84" s="11" t="inlineStr">
        <is>
          <t>—</t>
        </is>
      </c>
      <c r="N84" s="11" t="inlineStr">
        <is>
          <t>Obie karty klienta mają te same sekcje (różnią się tylko uprawnieniami); testy panelu.</t>
        </is>
      </c>
      <c r="O84" s="11" t="inlineStr">
        <is>
          <t>Decyzja właściciela 2026-10-08: notatka wewnętrzna w staff, diagnostyka DNS/TLS i ryzyko klienta w admin, operacje wrażliwe w staff według uprawnień, ta sama kolejność sekcji. W trakcie bety. | 2026-10-08 DECYZJE WŁAŚCICIELA po przeglądzie: (1) STAFF nie może przez PATCH admin/users/:id/operational ustawić isInternal („konto wewnętrzne”, wyłącza z MRR i churnu) — blokada w API; zamiast tego wniosek do uprawnionych (PB-48) i osobne uprawnienie w rolach (PB-47). (2) Każde otwarcie karty klienta przez operatora (profil 360°, z notatką) zapisuje się w dzienniku. | 2026-10-08 KOD (pakiet obsługi): ta sama karta klienta w staff i admin (zakładki i sekcje, różnice tylko wg uprawnień), notatka wewnętrzna (podgląd CUSTOMERS_VIEW, zapis CUSTOMERS_MANAGE), blokada logowania, formularz admina zapisuje tylko zmienione pola. Decyzje 08.10: flaga „konto wewnętrzne” wg PB-47/PB-48; każde otwarcie karty przez operatora w dzienniku (OPERATOR_CUSTOMER_CARD_VIEWED z zakładką; zakładka „Dziennik” na karcie ich nie liczy). Testy D2. Zostaje: D3 — otwarcie karty o05 w staff → wpis w dzienniku.</t>
        </is>
      </c>
      <c r="P84" s="10" t="inlineStr">
        <is>
          <t>do zrobienia</t>
        </is>
      </c>
    </row>
    <row r="85">
      <c r="A85" s="10" t="inlineStr">
        <is>
          <t>PB-47</t>
        </is>
      </c>
      <c r="B85" s="11" t="inlineStr">
        <is>
          <t>Role pracowników: szczeble L1–L4 i role funkcyjne z uprawnieniami</t>
        </is>
      </c>
      <c r="C85" s="10" t="inlineStr">
        <is>
          <t>poza audytem</t>
        </is>
      </c>
      <c r="D85" s="10" t="inlineStr">
        <is>
          <t>Praca spoza audytu</t>
        </is>
      </c>
      <c r="E85" s="10" t="inlineStr">
        <is>
          <t>WYSOKI</t>
        </is>
      </c>
      <c r="F85" s="10" t="n">
        <v>14</v>
      </c>
      <c r="G85" s="10" t="n">
        <v>14</v>
      </c>
      <c r="H85" s="10" t="inlineStr">
        <is>
          <t>Faza 2 — Odzyskanie funkcji-widm i luki pierwszego tygodnia</t>
        </is>
      </c>
      <c r="I85" s="10" t="inlineStr">
        <is>
          <t>2026-10-19</t>
        </is>
      </c>
      <c r="J85" s="10" t="inlineStr">
        <is>
          <t>2026-10-23</t>
        </is>
      </c>
      <c r="K85" s="10" t="inlineStr">
        <is>
          <t>—</t>
        </is>
      </c>
      <c r="L85" s="11" t="inlineStr">
        <is>
          <t>—</t>
        </is>
      </c>
      <c r="M85" s="11" t="inlineStr">
        <is>
          <t>—</t>
        </is>
      </c>
      <c r="N85" s="11" t="inlineStr">
        <is>
          <t>Role zdefiniowane w kodzie (idempotentny seed/migracja danych) i widoczne w panelu admina przy przypisywaniu operatora; nowe uprawnienia w katalogu i na endpointach; każde uprawnienie z katalogu przypisane do co najmniej jednej roli albo jawnie „tylko administrator”; test spójności katalogu i ról.</t>
        </is>
      </c>
      <c r="O85" s="11" t="inlineStr">
        <is>
          <t>Decyzja właściciela 2026-10-08: komplet ról pracowników z uprawnieniami, przygotowany zawczasu (szczeble L1–L4 zatwierdzone + role funkcyjne będące standardem w hostingu). Katalog: apps/api/src/staff-roles/staff-permissions.catalog.ts; nowe klucze: CUSTOMERS_INTERNAL_FLAG (flaga „konto wewnętrzne”), REQUESTS_APPROVE (akceptacja wniosków, PB-48). Szczeble (każdy ma wszystko z niższego): L1 Konsultant — DASHBOARD_VIEW, CUSTOMERS_VIEW, TICKETS_VIEW, TICKETS_MANAGE, BILLING_VIEW; L2 Specjalista techniczny — + ACCOUNT_DIAGNOSTICS_VIEW, SUBSCRIPTIONS_MANAGE, MIGRATIONS_MANAGE, CUSTOMERS_IMPERSONATE, NODES_VIEW; L3 Starszy specjalista — + CUSTOMERS_MANAGE, ABUSE_MANAGE, CUSTOM_TERMS_MANAGE, PROVISIONING_MANAGE; L4 Kierownik zmiany — + BILLING_MANAGE (faktury, korekty, portfel, kredyty — decyzja 08.10: dopiero od L4), NODES_MANAGE, PLANS_MANAGE, AUDIT_VIEW, COMPLIANCE_MANAGE, CUSTOMERS_INTERNAL_FLAG, REQUESTS_APPROVE. Role funkcyjne: Finanse i księgowość — DASHBOARD_VIEW, CUSTOMERS_VIEW, BILLING_VIEW, BILLING_MANAGE, TICKETS_VIEW, TICKETS_MANAGE; Sprzedaż i partnerzy (opiekun klienta, resellerzy) — DASHBOARD_VIEW, CUSTOMERS_VIEW, BILLING_VIEW, CUSTOM_TERMS_MANAGE, PROMO_MANAGE, TICKETS_VIEW, TICKETS_MANAGE; Marketing — DASHBOARD_VIEW, PROMO_MANAGE; Nadużycia i bezpieczeństwo — CUSTOMERS_VIEW, CUSTOMERS_MANAGE, ACCOUNT_DIAGNOSTICS_VIEW, ABUSE_MANAGE, AUDIT_VIEW, NODES_VIEW, TICKETS_VIEW, TICKETS_MANAGE; Inżynier infrastruktury (NOC/DevOps) — DASHBOARD_VIEW, NODES_VIEW, NODES_MANAGE, PROVISIONING_MANAGE, MIGRATIONS_MANAGE, SUBSCRIPTIONS_MANAGE, ACCOUNT_DIAGNOSTICS_VIEW, TICKETS_VIEW; Inspektor ochrony danych (IOD) — CUSTOMERS_VIEW, COMPLIANCE_MANAGE, AUDIT_VIEW, TICKETS_VIEW, TICKETS_MANAGE; Audytor (tylko podgląd) — DASHBOARD_VIEW, CUSTOMERS_VIEW, TICKETS_VIEW, BILLING_VIEW, NODES_VIEW, AUDIT_VIEW. Tylko administrator: SETTINGS_MANAGE, STAFF_MANAGE, zmiana e-maila i reset hasła klienta, usunięcie konta (RODO), odtworzenie na innym węźle. Operator może mieć kilka ról (suma uprawnień) — jeśli model ma jedną rolę, dopisać obsługę wielu albo role złożone. | 2026-10-08 KOD (implementacja, przegląd, poprawki, scalenie z pakietem): 11 ról systemowych z opisami wgrywanych przy starcie API (role-systemowe.ts, idempotentnie), wiele ról na operatora (StaffRoleAssignment, suma uprawnień liczona w jednym miejscu), nowe klucze CUSTOMERS_INTERNAL_FLAG i REQUESTS_APPROVE, BILLING_MANAGE od L4; zmiany ról i operatorów tylko ADMIN (STAFF_MANAGE = podgląd), STAFF nie podniesie sobie uprawnień; 5 starych działów zostaje jako role własne (bez flagi systemowej). Testy D2 (spójność katalogu i ról, wyścig zmian ról na PostgreSQL). Zostaje: D3 — przypisanie L1/L2/L4 operatorowi testowemu i sprawdzenie, co widzi. | 2026-10-11 D3: L1 i L2 przypisane operatorowi testowemu na żywo — menu i odmowy zgodne z rolą (L1: bez Migracji i Nadużyć; L2: Migracje, bez Nadużyć, /abuse → brak ABUSE_MANAGE). Zostaje L3/L4 na żywo oraz decyzja o 5 starych rolach własnych (staff@ dalej na „Wsparcie L1” sprzed PB-47, szerszej niż L1). | 2026-10-11 DECYZJA WŁAŚCICIELA: staff@ → systemowa „L1 Konsultant”, 5 starych ról własnych usunąć.</t>
        </is>
      </c>
      <c r="P85" s="10" t="inlineStr">
        <is>
          <t>do zrobienia</t>
        </is>
      </c>
    </row>
    <row r="86">
      <c r="A86" s="10" t="inlineStr">
        <is>
          <t>PB-48</t>
        </is>
      </c>
      <c r="B86" s="11" t="inlineStr">
        <is>
          <t>Wnioski o operację wymagającą wyższego uprawnienia</t>
        </is>
      </c>
      <c r="C86" s="10" t="inlineStr">
        <is>
          <t>poza audytem</t>
        </is>
      </c>
      <c r="D86" s="10" t="inlineStr">
        <is>
          <t>Praca spoza audytu</t>
        </is>
      </c>
      <c r="E86" s="10" t="inlineStr">
        <is>
          <t>ŚREDNI</t>
        </is>
      </c>
      <c r="F86" s="10" t="n">
        <v>16</v>
      </c>
      <c r="G86" s="10" t="n">
        <v>14</v>
      </c>
      <c r="H86" s="10" t="inlineStr">
        <is>
          <t>Faza 2 — Odzyskanie funkcji-widm i luki pierwszego tygodnia</t>
        </is>
      </c>
      <c r="I86" s="10" t="inlineStr">
        <is>
          <t>2026-10-19</t>
        </is>
      </c>
      <c r="J86" s="10" t="inlineStr">
        <is>
          <t>2026-10-23</t>
        </is>
      </c>
      <c r="K86" s="10" t="inlineStr">
        <is>
          <t>—</t>
        </is>
      </c>
      <c r="L86" s="11" t="inlineStr">
        <is>
          <t>—</t>
        </is>
      </c>
      <c r="M86" s="11" t="inlineStr">
        <is>
          <t>—</t>
        </is>
      </c>
      <c r="N86" s="11" t="inlineStr">
        <is>
          <t>Wniosek z panelu staff, powiadomienie dla uprawnionych, akceptacja wykonuje operację, odrzucenie z powodem; wszystko w dzienniku; testy na PostgreSQL.</t>
        </is>
      </c>
      <c r="O86" s="11" t="inlineStr">
        <is>
          <t>Decyzja właściciela 2026-10-08: gdy pracownik nie ma uprawnienia do operacji (np. oznaczenie konta jako wewnętrzne), zamiast ukrytego przycisku widzi „Wyślij wniosek” — trafia do admina albo pracownika z uprawnieniem (L3/L4), który akceptuje (operacja wykonuje się z jego uprawnieniem i oboma nazwiskami w dzienniku) albo odrzuca z powodem. | 2026-10-08 KOD (implementacja, przegląd, poprawki, scalenie): model OperatorRequest, rejestr operacji — CUSTOMER_INTERNAL_FLAG, WALLET_CREDIT, INVOICE_VOID (korekta faktury, kredyt SLA i zwrot Paynow świadomie poza zakresem — do decyzji); 403 WYMAGA_WNIOSKU → „Wyślij wniosek”; akceptacja atomowa (podwójna = jedno wykonanie), bez akceptacji własnego wniosku, duplikat oczekującego → 409, odrzucenie z powodem; powiadomienia uprawnionych; dziennik z wnioskującym i akceptującym; strony „Wnioski” w staff i admin. Testy D2. Zostaje: D3 — L1 wysyła wniosek o konto wewnętrzne, L4 akceptuje, wpisy w dzienniku.</t>
        </is>
      </c>
      <c r="P86" s="10" t="inlineStr">
        <is>
          <t>do zrobienia</t>
        </is>
      </c>
    </row>
    <row r="87">
      <c r="A87" s="10" t="inlineStr">
        <is>
          <t>PB-51.1</t>
        </is>
      </c>
      <c r="B87" s="11" t="inlineStr">
        <is>
          <t>F2.1 Panel operatora dla STAFF</t>
        </is>
      </c>
      <c r="C87" s="10" t="inlineStr">
        <is>
          <t>poza audytem</t>
        </is>
      </c>
      <c r="D87" s="10" t="inlineStr">
        <is>
          <t>Praca spoza audytu</t>
        </is>
      </c>
      <c r="E87" s="10" t="inlineStr">
        <is>
          <t>WYSOKI</t>
        </is>
      </c>
      <c r="F87" s="10" t="n">
        <v>14</v>
      </c>
      <c r="G87" s="10" t="n">
        <v>14</v>
      </c>
      <c r="H87" s="10" t="inlineStr">
        <is>
          <t>Faza 2 — Odzyskanie funkcji-widm i luki pierwszego tygodnia</t>
        </is>
      </c>
      <c r="I87" s="10" t="inlineStr">
        <is>
          <t>2026-10-19</t>
        </is>
      </c>
      <c r="J87" s="10" t="inlineStr">
        <is>
          <t>2026-10-23</t>
        </is>
      </c>
      <c r="K87" s="10" t="inlineStr">
        <is>
          <t>—</t>
        </is>
      </c>
      <c r="L87" s="11" t="inlineStr">
        <is>
          <t>—</t>
        </is>
      </c>
      <c r="M87" s="11" t="inlineStr">
        <is>
          <t>—</t>
        </is>
      </c>
      <c r="N87" s="11" t="inlineStr">
        <is>
          <t>Role L1–L4 przechodzą menu i strony na żywo; test macierzy menu ↔ strona ↔ API dla każdej roli systemowej (8ba6689f).</t>
        </is>
      </c>
      <c r="O87" s="11" t="inlineStr">
        <is>
          <t>Fala 2 (PB-51): admin otwarty dla STAFF z RBAC; menu, karty i działania filtrowane rejestrem akcji; egzekucja w API. || HISTORIA PB-51 (Fala 2, 134 h, rozbita 11.10): Plan rozbudowy paneli operatora, Fala 2 (19.10–6.11), w tej kolejności: F2.1 jeden panel operatora dla STAFF (decyzja D1, 14 h); F2.2 pasek akcji konta bez impersonacji — reset haseł skrzynki, FTP i użytkownika bazy, SSL, PHP, kopia teraz, skan malware, DNS (24 h; operator nie widzi hasła — decyzja D3); F2.3 zawieszenie przez obsługę i decyzja abuse → akcja (6 h); F2.4 listy i CRM — filtry, stronicowanie w API, CSV, wiele notatek z autorem, członkowie zespołu klienta (14 h); F2.5 helpdesk, rdzeń — notatki wewnętrzne, zgłoszenie w imieniu klienta, skrzynka ze stronicowaniem w API, tagi, eskalacja z powodem i cofnięciem (30 h); F2.6 zasoby i diagnoza „508” — faulty LVE, EP, NPROC, inody, wolne SQL i 5xx obok siebie (14 h); F2.7 domeny — lista i karta z operacjami (20 h; decyzja D8); F2.8 stan 61 harmonogramów (12 h). Decyzje z 10.10 dołożone do Fali 2: D9 (L1 widzi maile i logowania klienta), D10 (przełącznik wymuszenia 2FA zespołu), D11 (tablica migracji wg wzorca z Jiry), D12 (captcha w frame-src, sonda DNS rebinding vs control-plane, ukryć „Zmiana planu”, CSP z nonce na www — SEC-11). Poprawki z D3 10.10: Markdown w /knowledge obsługi, reset hasła w adminie pokazuje operatorowi hasło (N-18). Stan 10.10: Fala 2A (panel operatora + D9/D10, zawieszenie/abuse, listy i CRM, D12 + CSP www, stan harmonogramów) w realizacji; Fala 2B (akcje konta, helpdesk, diagnoza 508, domeny, tablica migracji) po niej. Blokada wysyłki i kolejka MTA wydzielone do PB-52. Prognoza pokrycia standardu po Fali 2: ~57%. | 2026-10-10 (przegląd): 134 h to wyłącznie F2.1–F2.8 z planu rozbudowy. Dołożone decyzje D9–D12 (bez CSP na www, które liczy SEC-11 w sprincie 16), tablica migracji D11 (w planie jako rozszerzenie F2.5) i poprawki z D3 10.10 nie mają osobnej wyceny — realny nakład Fali 2 jest wyższy niż 134 h, a przeciążenie sprintu 14 policzone w sprinty.csv jest dolną granicą. | 2026-10-11: rozbite na moduły PB-51.1–PB-51.8 (F2.1–F2.8) — postęp liczony per moduł; ten wiersz zamyka się, gdy zamknięte są wszystkie moduły i test „notatka nie wycieka”. || DoD PB-51: F2.1–F2.8 wdrożone z testami; test e2e L1–L4 × pozycje menu; test, że notatka wewnętrzna nie wycieka do klienta żadną ścieżką (API klienta, mail, auto-wiadomości, kontekst AI); przejście ról L1–L4 na żywo przez przełączenie roli konta staff (D3); poprawki z D3 10.10 zamknięte.</t>
        </is>
      </c>
      <c r="P87" s="10" t="inlineStr">
        <is>
          <t>do zrobienia</t>
        </is>
      </c>
    </row>
    <row r="88">
      <c r="A88" s="10" t="inlineStr">
        <is>
          <t>PB-51.2</t>
        </is>
      </c>
      <c r="B88" s="11" t="inlineStr">
        <is>
          <t>F2.2 Pasek akcji konta (operatorskie lustro tras klienta)</t>
        </is>
      </c>
      <c r="C88" s="10" t="inlineStr">
        <is>
          <t>poza audytem</t>
        </is>
      </c>
      <c r="D88" s="10" t="inlineStr">
        <is>
          <t>Praca spoza audytu</t>
        </is>
      </c>
      <c r="E88" s="10" t="inlineStr">
        <is>
          <t>WYSOKI</t>
        </is>
      </c>
      <c r="F88" s="10" t="n">
        <v>24</v>
      </c>
      <c r="G88" s="10" t="n">
        <v>14</v>
      </c>
      <c r="H88" s="10" t="inlineStr">
        <is>
          <t>Faza 2 — Odzyskanie funkcji-widm i luki pierwszego tygodnia</t>
        </is>
      </c>
      <c r="I88" s="10" t="inlineStr">
        <is>
          <t>2026-10-19</t>
        </is>
      </c>
      <c r="J88" s="10" t="inlineStr">
        <is>
          <t>2026-10-23</t>
        </is>
      </c>
      <c r="K88" s="10" t="inlineStr">
        <is>
          <t>—</t>
        </is>
      </c>
      <c r="L88" s="11" t="inlineStr">
        <is>
          <t>—</t>
        </is>
      </c>
      <c r="M88" s="11" t="inlineStr">
        <is>
          <t>—</t>
        </is>
      </c>
      <c r="N88" s="11" t="inlineStr">
        <is>
          <t>Każda akcja na koncie testowym na t1 z wpisem w dzienniku i bez wycieku błędów DA do klienta.</t>
        </is>
      </c>
      <c r="O88" s="11" t="inlineStr">
        <is>
          <t>Reset haseł, SSL ponownie, PHP, kopia teraz, skan malware, DNS — bez impersonacji, z powodem.</t>
        </is>
      </c>
      <c r="P88" s="10" t="inlineStr">
        <is>
          <t>do zrobienia</t>
        </is>
      </c>
    </row>
    <row r="89">
      <c r="A89" s="10" t="inlineStr">
        <is>
          <t>PB-51.3</t>
        </is>
      </c>
      <c r="B89" s="11" t="inlineStr">
        <is>
          <t>F2.3 Zawieszenie przez obsługę i abuse → akcja</t>
        </is>
      </c>
      <c r="C89" s="10" t="inlineStr">
        <is>
          <t>poza audytem</t>
        </is>
      </c>
      <c r="D89" s="10" t="inlineStr">
        <is>
          <t>Praca spoza audytu</t>
        </is>
      </c>
      <c r="E89" s="10" t="inlineStr">
        <is>
          <t>WYSOKI</t>
        </is>
      </c>
      <c r="F89" s="10" t="n">
        <v>6</v>
      </c>
      <c r="G89" s="10" t="n">
        <v>14</v>
      </c>
      <c r="H89" s="10" t="inlineStr">
        <is>
          <t>Faza 2 — Odzyskanie funkcji-widm i luki pierwszego tygodnia</t>
        </is>
      </c>
      <c r="I89" s="10" t="inlineStr">
        <is>
          <t>2026-10-19</t>
        </is>
      </c>
      <c r="J89" s="10" t="inlineStr">
        <is>
          <t>2026-10-23</t>
        </is>
      </c>
      <c r="K89" s="10" t="inlineStr">
        <is>
          <t>—</t>
        </is>
      </c>
      <c r="L89" s="11" t="inlineStr">
        <is>
          <t>—</t>
        </is>
      </c>
      <c r="M89" s="11" t="inlineStr">
        <is>
          <t>—</t>
        </is>
      </c>
      <c r="N89" s="11" t="inlineStr">
        <is>
          <t>Zawieszenie/odwieszenie z karty i z decyzji abuse na koncie testowym.</t>
        </is>
      </c>
      <c r="O89" s="11" t="inlineStr">
        <is>
          <t>Decyzja abuse zawiesza albo powiadamia.</t>
        </is>
      </c>
      <c r="P89" s="10" t="inlineStr">
        <is>
          <t>do zrobienia</t>
        </is>
      </c>
    </row>
    <row r="90">
      <c r="A90" s="10" t="inlineStr">
        <is>
          <t>PB-51.4</t>
        </is>
      </c>
      <c r="B90" s="11" t="inlineStr">
        <is>
          <t>F2.4 Listy i CRM</t>
        </is>
      </c>
      <c r="C90" s="10" t="inlineStr">
        <is>
          <t>poza audytem</t>
        </is>
      </c>
      <c r="D90" s="10" t="inlineStr">
        <is>
          <t>Praca spoza audytu</t>
        </is>
      </c>
      <c r="E90" s="10" t="inlineStr">
        <is>
          <t>WYSOKI</t>
        </is>
      </c>
      <c r="F90" s="10" t="n">
        <v>14</v>
      </c>
      <c r="G90" s="10" t="n">
        <v>14</v>
      </c>
      <c r="H90" s="10" t="inlineStr">
        <is>
          <t>Faza 2 — Odzyskanie funkcji-widm i luki pierwszego tygodnia</t>
        </is>
      </c>
      <c r="I90" s="10" t="inlineStr">
        <is>
          <t>2026-10-19</t>
        </is>
      </c>
      <c r="J90" s="10" t="inlineStr">
        <is>
          <t>2026-10-23</t>
        </is>
      </c>
      <c r="K90" s="10" t="inlineStr">
        <is>
          <t>—</t>
        </is>
      </c>
      <c r="L90" s="11" t="inlineStr">
        <is>
          <t>—</t>
        </is>
      </c>
      <c r="M90" s="11" t="inlineStr">
        <is>
          <t>—</t>
        </is>
      </c>
      <c r="N90" s="11" t="inlineStr">
        <is>
          <t>Filtry, stronicowanie, CSV i notatki na produkcji.</t>
        </is>
      </c>
      <c r="O90" s="11" t="inlineStr">
        <is>
          <t>Usługi i klienci z filtrami i stronicowaniem, CSV, notatki, IAM klienta.</t>
        </is>
      </c>
      <c r="P90" s="10" t="inlineStr">
        <is>
          <t>do zrobienia</t>
        </is>
      </c>
    </row>
    <row r="91">
      <c r="A91" s="10" t="inlineStr">
        <is>
          <t>PB-51.5</t>
        </is>
      </c>
      <c r="B91" s="11" t="inlineStr">
        <is>
          <t>F2.5 Helpdesk: rdzeń</t>
        </is>
      </c>
      <c r="C91" s="10" t="inlineStr">
        <is>
          <t>poza audytem</t>
        </is>
      </c>
      <c r="D91" s="10" t="inlineStr">
        <is>
          <t>Praca spoza audytu</t>
        </is>
      </c>
      <c r="E91" s="10" t="inlineStr">
        <is>
          <t>WYSOKI</t>
        </is>
      </c>
      <c r="F91" s="10" t="n">
        <v>30</v>
      </c>
      <c r="G91" s="10" t="n">
        <v>14</v>
      </c>
      <c r="H91" s="10" t="inlineStr">
        <is>
          <t>Faza 2 — Odzyskanie funkcji-widm i luki pierwszego tygodnia</t>
        </is>
      </c>
      <c r="I91" s="10" t="inlineStr">
        <is>
          <t>2026-10-19</t>
        </is>
      </c>
      <c r="J91" s="10" t="inlineStr">
        <is>
          <t>2026-10-23</t>
        </is>
      </c>
      <c r="K91" s="10" t="inlineStr">
        <is>
          <t>—</t>
        </is>
      </c>
      <c r="L91" s="11" t="inlineStr">
        <is>
          <t>—</t>
        </is>
      </c>
      <c r="M91" s="11" t="inlineStr">
        <is>
          <t>—</t>
        </is>
      </c>
      <c r="N91" s="11" t="inlineStr">
        <is>
          <t>Notatka wewnętrzna nie wycieka żadną ścieżką; zgłoszenie w imieniu na żywo.</t>
        </is>
      </c>
      <c r="O91" s="11" t="inlineStr">
        <is>
          <t>Notatki wewnętrzne, zgłoszenie w imieniu klienta, skrzynka z filtrami, tagi, eskalacja.</t>
        </is>
      </c>
      <c r="P91" s="10" t="inlineStr">
        <is>
          <t>do zrobienia</t>
        </is>
      </c>
    </row>
    <row r="92">
      <c r="A92" s="10" t="inlineStr">
        <is>
          <t>PB-51.6</t>
        </is>
      </c>
      <c r="B92" s="11" t="inlineStr">
        <is>
          <t>F2.6 Zasoby i diagnoza „508”</t>
        </is>
      </c>
      <c r="C92" s="10" t="inlineStr">
        <is>
          <t>poza audytem</t>
        </is>
      </c>
      <c r="D92" s="10" t="inlineStr">
        <is>
          <t>Praca spoza audytu</t>
        </is>
      </c>
      <c r="E92" s="10" t="inlineStr">
        <is>
          <t>WYSOKI</t>
        </is>
      </c>
      <c r="F92" s="10" t="n">
        <v>14</v>
      </c>
      <c r="G92" s="10" t="n">
        <v>14</v>
      </c>
      <c r="H92" s="10" t="inlineStr">
        <is>
          <t>Faza 2 — Odzyskanie funkcji-widm i luki pierwszego tygodnia</t>
        </is>
      </c>
      <c r="I92" s="10" t="inlineStr">
        <is>
          <t>2026-10-19</t>
        </is>
      </c>
      <c r="J92" s="10" t="inlineStr">
        <is>
          <t>2026-10-23</t>
        </is>
      </c>
      <c r="K92" s="10" t="inlineStr">
        <is>
          <t>—</t>
        </is>
      </c>
      <c r="L92" s="11" t="inlineStr">
        <is>
          <t>—</t>
        </is>
      </c>
      <c r="M92" s="11" t="inlineStr">
        <is>
          <t>—</t>
        </is>
      </c>
      <c r="N92" s="11" t="inlineStr">
        <is>
          <t>Na koncie testowym widać faulty LVE, inody, 5xx, SQL.</t>
        </is>
      </c>
      <c r="O92" s="11" t="inlineStr">
        <is>
          <t>Faulty LVE, EP, NPROC, inody, wolne SQL i 5xx obok siebie.</t>
        </is>
      </c>
      <c r="P92" s="10" t="inlineStr">
        <is>
          <t>do zrobienia</t>
        </is>
      </c>
    </row>
    <row r="93">
      <c r="A93" s="10" t="inlineStr">
        <is>
          <t>PB-51.7</t>
        </is>
      </c>
      <c r="B93" s="11" t="inlineStr">
        <is>
          <t>F2.7 Domeny: lista i karta z operacjami</t>
        </is>
      </c>
      <c r="C93" s="10" t="inlineStr">
        <is>
          <t>poza audytem</t>
        </is>
      </c>
      <c r="D93" s="10" t="inlineStr">
        <is>
          <t>Praca spoza audytu</t>
        </is>
      </c>
      <c r="E93" s="10" t="inlineStr">
        <is>
          <t>WYSOKI</t>
        </is>
      </c>
      <c r="F93" s="10" t="n">
        <v>20</v>
      </c>
      <c r="G93" s="10" t="n">
        <v>14</v>
      </c>
      <c r="H93" s="10" t="inlineStr">
        <is>
          <t>Faza 2 — Odzyskanie funkcji-widm i luki pierwszego tygodnia</t>
        </is>
      </c>
      <c r="I93" s="10" t="inlineStr">
        <is>
          <t>2026-10-19</t>
        </is>
      </c>
      <c r="J93" s="10" t="inlineStr">
        <is>
          <t>2026-10-23</t>
        </is>
      </c>
      <c r="K93" s="10" t="inlineStr">
        <is>
          <t>—</t>
        </is>
      </c>
      <c r="L93" s="11" t="inlineStr">
        <is>
          <t>—</t>
        </is>
      </c>
      <c r="M93" s="11" t="inlineStr">
        <is>
          <t>—</t>
        </is>
      </c>
      <c r="N93" s="11" t="inlineStr">
        <is>
          <t>Operacje na domenie testowej w sandboxie/produkcji.</t>
        </is>
      </c>
      <c r="O93" s="11" t="inlineStr">
        <is>
          <t>Lista domen platformy, karta z lock/NS/EPP/odnowieniem.</t>
        </is>
      </c>
      <c r="P93" s="10" t="inlineStr">
        <is>
          <t>do zrobienia</t>
        </is>
      </c>
    </row>
    <row r="94">
      <c r="A94" s="10" t="inlineStr">
        <is>
          <t>PB-51.8</t>
        </is>
      </c>
      <c r="B94" s="11" t="inlineStr">
        <is>
          <t>F2.8 Stan harmonogramów</t>
        </is>
      </c>
      <c r="C94" s="10" t="inlineStr">
        <is>
          <t>poza audytem</t>
        </is>
      </c>
      <c r="D94" s="10" t="inlineStr">
        <is>
          <t>Praca spoza audytu</t>
        </is>
      </c>
      <c r="E94" s="10" t="inlineStr">
        <is>
          <t>WYSOKI</t>
        </is>
      </c>
      <c r="F94" s="10" t="n">
        <v>12</v>
      </c>
      <c r="G94" s="10" t="n">
        <v>14</v>
      </c>
      <c r="H94" s="10" t="inlineStr">
        <is>
          <t>Faza 2 — Odzyskanie funkcji-widm i luki pierwszego tygodnia</t>
        </is>
      </c>
      <c r="I94" s="10" t="inlineStr">
        <is>
          <t>2026-10-19</t>
        </is>
      </c>
      <c r="J94" s="10" t="inlineStr">
        <is>
          <t>2026-10-23</t>
        </is>
      </c>
      <c r="K94" s="10" t="inlineStr">
        <is>
          <t>—</t>
        </is>
      </c>
      <c r="L94" s="11" t="inlineStr">
        <is>
          <t>—</t>
        </is>
      </c>
      <c r="M94" s="11" t="inlineStr">
        <is>
          <t>—</t>
        </is>
      </c>
      <c r="N94" s="11" t="inlineStr">
        <is>
          <t>Widok zadań w tle na produkcji bez fałszywych błędów.</t>
        </is>
      </c>
      <c r="O94" s="11" t="inlineStr">
        <is>
          <t>Zadania w tle: ostatnie uruchomienie, błąd, następne, alert.</t>
        </is>
      </c>
      <c r="P94" s="10" t="inlineStr">
        <is>
          <t>do zrobienia</t>
        </is>
      </c>
    </row>
    <row r="95">
      <c r="A95" s="10" t="inlineStr">
        <is>
          <t>X-41</t>
        </is>
      </c>
      <c r="B95" s="11" t="inlineStr">
        <is>
          <t>Hardening egressu wisi w łańcuchu OUTPUT, a ruch kontenerów idzie przez FORWARD</t>
        </is>
      </c>
      <c r="C95" s="10" t="inlineStr">
        <is>
          <t>audyt</t>
        </is>
      </c>
      <c r="D95" s="10" t="inlineStr">
        <is>
          <t>X — Infrastruktura jakości</t>
        </is>
      </c>
      <c r="E95" s="10" t="inlineStr">
        <is>
          <t>WYSOKA</t>
        </is>
      </c>
      <c r="F95" s="10" t="n">
        <v>16</v>
      </c>
      <c r="G95" s="10" t="n">
        <v>15</v>
      </c>
      <c r="H95" s="10" t="inlineStr">
        <is>
          <t>Faza 3 — Wejście na rynek</t>
        </is>
      </c>
      <c r="I95" s="10" t="inlineStr">
        <is>
          <t>2026-10-05</t>
        </is>
      </c>
      <c r="J95" s="10" t="inlineStr">
        <is>
          <t>2026-10-09</t>
        </is>
      </c>
      <c r="K95" s="10" t="inlineStr">
        <is>
          <t>DZIAŁA</t>
        </is>
      </c>
      <c r="L95" s="11" t="inlineStr">
        <is>
          <t>obserwacja wpięta w DOCKER-USER, 1674 pakiety zliczone, 0 DROP/REJECT</t>
        </is>
      </c>
      <c r="M95" s="11" t="inlineStr">
        <is>
          <t>—</t>
        </is>
      </c>
      <c r="N95" s="11" t="inlineStr">
        <is>
          <t>Funkcja dostępna z panelu klienta bez wychodzenia do DirectAdmina; test uruchamiany w CI.</t>
        </is>
      </c>
      <c r="O95"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 | 2026-10-12 D3 PROD (control-plane, Dominik): raport --kontenery-raport po 4 d pomiaru — VERRIS-FWD-SKAN/SMTP/IOC: 0, skok FORWARD→DOCKER-USER jest, werdykt „nic by nie odcięło”; --kontenery-egzekwuj kod 0 (10:09:34Z); egzekwuj w egress-kontenery-tryb, DROP w VERRIS_FWD_SKAN i VERRIS_FWD_SMTP, VERRIS_FWD_EGZEKW wpięty w DOCKER-USER; z kontenera api: Paynow/Stripe/KSeF/Turnstile/Hetzner/OpenProvider odpowiadają kodem HTTP, metadane 169.254.169.254 → ECONNREFUSED; po włączeniu panel operatora czyta konto d3 z węzła (poczta, bazy — 10:10Z). Powrót: --kontenery-pomiar (runbook docs/ops/RUNBOOK_X41_EGRESS_KONTENEROW.md).</t>
        </is>
      </c>
      <c r="P95" s="10" t="inlineStr">
        <is>
          <t>do zrobienia</t>
        </is>
      </c>
    </row>
    <row r="96">
      <c r="A96" s="10" t="inlineStr">
        <is>
          <t>SEC-03</t>
        </is>
      </c>
      <c r="B96" s="11" t="inlineStr">
        <is>
          <t>Ruch poza TCP/80 i TCP/443 — DNS (UDP/53), SMTP — nie jest objęty ani obserwacją z X-41, ani trybem strict</t>
        </is>
      </c>
      <c r="C96" s="10" t="inlineStr">
        <is>
          <t>audyt</t>
        </is>
      </c>
      <c r="D96" s="10" t="inlineStr">
        <is>
          <t>G — SSL i bezpieczeństwo</t>
        </is>
      </c>
      <c r="E96" s="10" t="inlineStr">
        <is>
          <t>WYSOKA</t>
        </is>
      </c>
      <c r="F96" s="10" t="n">
        <v>16</v>
      </c>
      <c r="G96" s="10" t="n">
        <v>15</v>
      </c>
      <c r="H96" s="10" t="inlineStr">
        <is>
          <t>Faza 3 — Wejście na rynek</t>
        </is>
      </c>
      <c r="I96" s="10" t="inlineStr">
        <is>
          <t>2026-10-05</t>
        </is>
      </c>
      <c r="J96" s="10" t="inlineStr">
        <is>
          <t>2026-10-09</t>
        </is>
      </c>
      <c r="K96" s="10" t="inlineStr">
        <is>
          <t>DZIAŁA</t>
        </is>
      </c>
      <c r="L96"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96" s="11" t="inlineStr">
        <is>
          <t>—</t>
        </is>
      </c>
      <c r="N96" s="11" t="inlineStr">
        <is>
          <t>Funkcja dostępna z panelu klienta bez wychodzenia do DirectAdmina; test uruchamiany w CI.</t>
        </is>
      </c>
      <c r="O96"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c r="P96" s="10" t="inlineStr">
        <is>
          <t>do zrobienia</t>
        </is>
      </c>
    </row>
    <row r="97">
      <c r="A97" s="10" t="inlineStr">
        <is>
          <t>PB-22</t>
        </is>
      </c>
      <c r="B97" s="11" t="inlineStr">
        <is>
          <t>Badge na stronę v2 — interaktywne i użyteczne dla klienta</t>
        </is>
      </c>
      <c r="C97" s="10" t="inlineStr">
        <is>
          <t>poza audytem</t>
        </is>
      </c>
      <c r="D97" s="10" t="inlineStr">
        <is>
          <t>Praca spoza audytu</t>
        </is>
      </c>
      <c r="E97" s="10" t="inlineStr">
        <is>
          <t>ŚREDNI</t>
        </is>
      </c>
      <c r="F97" s="10" t="n">
        <v>20</v>
      </c>
      <c r="G97" s="10" t="n">
        <v>15</v>
      </c>
      <c r="H97" s="10" t="inlineStr">
        <is>
          <t>Faza 3 — Wejście na rynek</t>
        </is>
      </c>
      <c r="I97" s="10" t="inlineStr">
        <is>
          <t>2026-10-05</t>
        </is>
      </c>
      <c r="J97" s="10" t="inlineStr">
        <is>
          <t>2026-10-09</t>
        </is>
      </c>
      <c r="K97" s="10" t="inlineStr">
        <is>
          <t>—</t>
        </is>
      </c>
      <c r="L97" s="11" t="inlineStr">
        <is>
          <t>—</t>
        </is>
      </c>
      <c r="M97" s="11" t="inlineStr">
        <is>
          <t>—</t>
        </is>
      </c>
      <c r="N97" s="11" t="inlineStr">
        <is>
          <t>Badge widoczne na prod na domenie klienta; pieczęć znika przy niespełnionych warunkach; kliknięcia polecenia liczone; testy D2 zielone.</t>
        </is>
      </c>
      <c r="O97"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97" s="10" t="inlineStr">
        <is>
          <t>do zrobienia</t>
        </is>
      </c>
    </row>
    <row r="98">
      <c r="A98" s="10" t="inlineStr">
        <is>
          <t>PB-49</t>
        </is>
      </c>
      <c r="B98" s="11" t="inlineStr">
        <is>
          <t>Porządki panelu admina (12 patchy)</t>
        </is>
      </c>
      <c r="C98" s="10" t="inlineStr">
        <is>
          <t>poza audytem</t>
        </is>
      </c>
      <c r="D98" s="10" t="inlineStr">
        <is>
          <t>Praca spoza audytu</t>
        </is>
      </c>
      <c r="E98" s="10" t="inlineStr">
        <is>
          <t>WYSOKI</t>
        </is>
      </c>
      <c r="F98" s="10" t="n">
        <v>88</v>
      </c>
      <c r="G98" s="10" t="n">
        <v>15</v>
      </c>
      <c r="H98" s="10" t="inlineStr">
        <is>
          <t>Faza 3 — Wejście na rynek</t>
        </is>
      </c>
      <c r="I98" s="10" t="inlineStr">
        <is>
          <t>2026-10-05</t>
        </is>
      </c>
      <c r="J98" s="10" t="inlineStr">
        <is>
          <t>2026-10-09</t>
        </is>
      </c>
      <c r="K98" s="10" t="inlineStr">
        <is>
          <t>—</t>
        </is>
      </c>
      <c r="L98" s="11" t="inlineStr">
        <is>
          <t>—</t>
        </is>
      </c>
      <c r="M98" s="11" t="inlineStr">
        <is>
          <t>—</t>
        </is>
      </c>
      <c r="N98" s="11" t="inlineStr">
        <is>
          <t>12 patchy wdrożonych na produkcji; bramki (lint, typecheck, testy admina, obsługi, klienta i API) i integracja API zielone; przejście na produkcji przez VPN: karta węzła t1 z Działaniami, karta klienta, Cmd+K.</t>
        </is>
      </c>
      <c r="O98" s="11" t="inlineStr">
        <is>
          <t>Plan z audytu nawigacji admina (10.10, claude/admin-nawigacja-propozycja.md) zaakceptowany przez właściciela 10.10 razem z decyzjami: Cmd+K prowadzi do karty, akcja bez uprawnień jest wyszarzona i ma „Wyślij wniosek”, asystent dostaje słownik i wybrane runbooki, kreator służy tylko do nowego węzła. Zakres: menu w 7 grupach; karty węzła, usługi i klienta z sekcją „Działania” z rejestru akcji (lib/akcje/*.ts) i ikonkami „?”; Cmd+K (węzły, zgłoszenia, migracje; tryb obiekt → działanie); pływający asystent STAFF z kontekstem strony; strona faktury /invoices/[id] (PDF, korekta, anulowanie, ponowienie KSeF, płatności); karta operatora i „Twoje konto” (2FA, passkey, break-glass); kopie offsite w Ustawieniach; kreator nie miesza węzłów; uprawnienia fail-closed. 25 commitów, 135 plików, bez migracji bazy; każdy pakiet przejrzany adwersaryjnie (m.in. akceptacja węzła w kreatorze tylko dla admina, potwierdzenie wycofania węzła, runbooki poza bazą wiedzy klienta). Godziny: szacunek z rozmiarów 12 patchy w propozycji (S≈4, S–M≈6, M≈12 h), nie pomiar. Wdrożone 10.10 ok. 12:30. D3 10.10 ok. 13:00: karta węzła t1 (Działania, prognoza, gotowość: onboard 10.10 00:02, offsite 10.10 03:51) działa. ŚWIADOMIE ZOSTAJE: akcje węzła bez „Wyślij wniosek” (rejestr wniosków zna tylko operacje klienta i finansów).</t>
        </is>
      </c>
      <c r="P98" s="10" t="inlineStr">
        <is>
          <t>do zrobienia</t>
        </is>
      </c>
    </row>
    <row r="99">
      <c r="A99" s="10" t="inlineStr">
        <is>
          <t>PB-50</t>
        </is>
      </c>
      <c r="B99" s="11" t="inlineStr">
        <is>
          <t>Fala 1 audytu paneli operatora (1A + 1B)</t>
        </is>
      </c>
      <c r="C99" s="10" t="inlineStr">
        <is>
          <t>poza audytem</t>
        </is>
      </c>
      <c r="D99" s="10" t="inlineStr">
        <is>
          <t>Praca spoza audytu</t>
        </is>
      </c>
      <c r="E99" s="10" t="inlineStr">
        <is>
          <t>WYSOKI</t>
        </is>
      </c>
      <c r="F99" s="10" t="n">
        <v>39</v>
      </c>
      <c r="G99" s="10" t="n">
        <v>15</v>
      </c>
      <c r="H99" s="10" t="inlineStr">
        <is>
          <t>Faza 3 — Wejście na rynek</t>
        </is>
      </c>
      <c r="I99" s="10" t="inlineStr">
        <is>
          <t>2026-10-05</t>
        </is>
      </c>
      <c r="J99" s="10" t="inlineStr">
        <is>
          <t>2026-10-09</t>
        </is>
      </c>
      <c r="K99" s="10" t="inlineStr">
        <is>
          <t>—</t>
        </is>
      </c>
      <c r="L99" s="11" t="inlineStr">
        <is>
          <t>—</t>
        </is>
      </c>
      <c r="M99" s="11" t="inlineStr">
        <is>
          <t>—</t>
        </is>
      </c>
      <c r="N99" s="11" t="inlineStr">
        <is>
          <t>Blokery operatora B1 i B2 zamknięte testem; pozycje 3a–3d planu rozbudowy wdrożone (poz. 16 skorygowana); bramki i integracja zielone; przejście na produkcji przez VPN.</t>
        </is>
      </c>
      <c r="O99" s="11" t="inlineStr">
        <is>
          <t>Audyt paneli operatora z 10.10 (VERRIS_AUDYT_PANELI_OPERATORA_2026-10-10, claude/audyt-paneli-operatora.md): wobec WHMCS, Blesta, HostBill, Upmind, WHM, Plesk, DirectAdmin i helpdesków pokrycie standardu rynku 41%, plan trzech fal ~397 h → ~75%. Fala 1 przed betą wewnętrzną. 1A (11 commitów): B1 kody promocyjne PATCH + „Wyłącz”/„Edytuj” (M-23), B2 zapis bazy wiedzy tylko z KB_MANAGE (N-04), menu obsługi wg uprawnień (fail-closed), martwe uprawnienia AUDIT_VIEW, COMPLIANCE_MANAGE i PLANS_MANAGE podpięte (O-10), /knowledge w obsłudze pokazuje artykuły, „Zaloguj jako klient” tylko z uprawnieniem (A-28), RBL przy timeoucie „nieznany” + alert, bez SORBS (E-18). 1B (26 commitów): karta klienta — Komunikacja (maile z maskowaniem tokenów), historia logowań, „Kto oglądał”, dane nabywcy (N-18); faktura — UPO i „Dokończ wystawienie” (M-15); Flota → Kopie z próbami odtworzenia (H-20); szczegół kampanii; zawieś/wznów skrzynkę pracownika; „Nie udało się wczytać” zamiast pustych list (X-39); menu, Cmd+K i przyciski wg uprawnień; SSO do DA z Cmd+K; stan 2FA zespołu (O-11). Korekta planu: zwalnianie kordonu zostaje tylko dla ADMIN (poz. 16 planu była błędna). Testy: bramki 15/15, integracja API 351/351. Wdrożone 10.10 ok. 12:30; D3 10.10 ok. 13:00: kody promocyjne z przyciskami, karta klienta d3 (Komunikacja, Dostępy), /knowledge (bez renderowania Markdown — poprawka w PB-51).</t>
        </is>
      </c>
      <c r="P99" s="10" t="inlineStr">
        <is>
          <t>do zrobienia</t>
        </is>
      </c>
    </row>
    <row r="100">
      <c r="A100" s="10" t="inlineStr">
        <is>
          <t>SEC-05</t>
        </is>
      </c>
      <c r="B100" s="11" t="inlineStr">
        <is>
          <t>Log egressu jest próbką, nie zapisem</t>
        </is>
      </c>
      <c r="C100" s="10" t="inlineStr">
        <is>
          <t>audyt</t>
        </is>
      </c>
      <c r="D100" s="10" t="inlineStr">
        <is>
          <t>G — SSL i bezpieczeństwo</t>
        </is>
      </c>
      <c r="E100" s="10" t="inlineStr">
        <is>
          <t>WYSOKA</t>
        </is>
      </c>
      <c r="F100" s="10" t="n">
        <v>6</v>
      </c>
      <c r="G100" s="10" t="n">
        <v>16</v>
      </c>
      <c r="H100" s="10" t="inlineStr">
        <is>
          <t>Faza 3 — Wejście na rynek</t>
        </is>
      </c>
      <c r="I100" s="10" t="inlineStr">
        <is>
          <t>2026-10-12</t>
        </is>
      </c>
      <c r="J100" s="10" t="inlineStr">
        <is>
          <t>2026-10-16</t>
        </is>
      </c>
      <c r="K100" s="10" t="inlineStr">
        <is>
          <t>DZIAŁA</t>
        </is>
      </c>
      <c r="L100"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100" s="11" t="inlineStr">
        <is>
          <t>—</t>
        </is>
      </c>
      <c r="N100" s="11" t="inlineStr">
        <is>
          <t>Funkcja dostępna z panelu klienta bez wychodzenia do DirectAdmina; test uruchamiany w CI.</t>
        </is>
      </c>
      <c r="O100"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100" s="10" t="inlineStr">
        <is>
          <t>do zrobienia</t>
        </is>
      </c>
    </row>
    <row r="101">
      <c r="A101" s="10" t="inlineStr">
        <is>
          <t>SEC-04</t>
        </is>
      </c>
      <c r="B101" s="11" t="inlineStr">
        <is>
          <t>Host rozmawia z kontenerami przez OUTPUT — ruch wewnętrzny liczony jako egress</t>
        </is>
      </c>
      <c r="C101" s="10" t="inlineStr">
        <is>
          <t>audyt</t>
        </is>
      </c>
      <c r="D101" s="10" t="inlineStr">
        <is>
          <t>G — SSL i bezpieczeństwo</t>
        </is>
      </c>
      <c r="E101" s="10" t="inlineStr">
        <is>
          <t>WYSOKA</t>
        </is>
      </c>
      <c r="F101" s="10" t="n">
        <v>6</v>
      </c>
      <c r="G101" s="10" t="n">
        <v>16</v>
      </c>
      <c r="H101" s="10" t="inlineStr">
        <is>
          <t>Faza 3 — Wejście na rynek</t>
        </is>
      </c>
      <c r="I101" s="10" t="inlineStr">
        <is>
          <t>2026-10-12</t>
        </is>
      </c>
      <c r="J101" s="10" t="inlineStr">
        <is>
          <t>2026-10-16</t>
        </is>
      </c>
      <c r="K101" s="10" t="inlineStr">
        <is>
          <t>DZIAŁA</t>
        </is>
      </c>
      <c r="L101" s="11" t="inlineStr">
        <is>
          <t>security-control-plane-egress.sh — RETURN dla -o lo/docker0/br-+ w VERRIS_EGRESS_STRICT i br-+ w VERRIS_EGRESS_BOGON przed DROP; test apps/api/src/test/egress-strict-naprawde-blokuje.spec.ts</t>
        </is>
      </c>
      <c r="M101" s="11" t="inlineStr">
        <is>
          <t>—</t>
        </is>
      </c>
      <c r="N101" s="11" t="inlineStr">
        <is>
          <t>Funkcja dostępna z panelu klienta bez wychodzenia do DirectAdmina; test uruchamiany w CI.</t>
        </is>
      </c>
      <c r="O10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101" s="10" t="inlineStr">
        <is>
          <t>do zrobienia</t>
        </is>
      </c>
    </row>
    <row r="102">
      <c r="A102" s="10" t="inlineStr">
        <is>
          <t>SEC-01</t>
        </is>
      </c>
      <c r="B102" s="11" t="inlineStr">
        <is>
          <t>Tryb `--strict` jest atrapą</t>
        </is>
      </c>
      <c r="C102" s="10" t="inlineStr">
        <is>
          <t>audyt</t>
        </is>
      </c>
      <c r="D102" s="10" t="inlineStr">
        <is>
          <t>G — SSL i bezpieczeństwo</t>
        </is>
      </c>
      <c r="E102" s="10" t="inlineStr">
        <is>
          <t>WYSOKA</t>
        </is>
      </c>
      <c r="F102" s="10" t="n">
        <v>16</v>
      </c>
      <c r="G102" s="10" t="n">
        <v>16</v>
      </c>
      <c r="H102" s="10" t="inlineStr">
        <is>
          <t>Faza 3 — Wejście na rynek</t>
        </is>
      </c>
      <c r="I102" s="10" t="inlineStr">
        <is>
          <t>2026-10-12</t>
        </is>
      </c>
      <c r="J102" s="10" t="inlineStr">
        <is>
          <t>2026-10-16</t>
        </is>
      </c>
      <c r="K102" s="10" t="inlineStr">
        <is>
          <t>DZIAŁA</t>
        </is>
      </c>
      <c r="L102"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102" s="11" t="inlineStr">
        <is>
          <t>—</t>
        </is>
      </c>
      <c r="N102" s="11" t="inlineStr">
        <is>
          <t>Funkcja dostępna z panelu klienta bez wychodzenia do DirectAdmina; test uruchamiany w CI.</t>
        </is>
      </c>
      <c r="O10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c r="P102" s="10" t="inlineStr">
        <is>
          <t>do zrobienia</t>
        </is>
      </c>
    </row>
    <row r="103">
      <c r="A103" s="10" t="inlineStr">
        <is>
          <t>SEC-06</t>
        </is>
      </c>
      <c r="B103" s="11" t="inlineStr">
        <is>
          <t>Allowlista pokrywa to, o czym ktoś pomyślał, nie to, co host robi</t>
        </is>
      </c>
      <c r="C103" s="10" t="inlineStr">
        <is>
          <t>audyt</t>
        </is>
      </c>
      <c r="D103" s="10" t="inlineStr">
        <is>
          <t>G — SSL i bezpieczeństwo</t>
        </is>
      </c>
      <c r="E103" s="10" t="inlineStr">
        <is>
          <t>WYSOKA</t>
        </is>
      </c>
      <c r="F103" s="10" t="n">
        <v>16</v>
      </c>
      <c r="G103" s="10" t="n">
        <v>16</v>
      </c>
      <c r="H103" s="10" t="inlineStr">
        <is>
          <t>Faza 3 — Wejście na rynek</t>
        </is>
      </c>
      <c r="I103" s="10" t="inlineStr">
        <is>
          <t>2026-10-12</t>
        </is>
      </c>
      <c r="J103" s="10" t="inlineStr">
        <is>
          <t>2026-10-16</t>
        </is>
      </c>
      <c r="K103" s="10" t="inlineStr">
        <is>
          <t>DZIAŁA</t>
        </is>
      </c>
      <c r="L103" s="11" t="inlineStr">
        <is>
          <t>verris-egress-odswiez.timer (co 15 s) → security-control-plane-egress.sh --odswiez; Panel 06.10: timer active, „Odświeżenie: 12 nowych adresów”</t>
        </is>
      </c>
      <c r="M103" s="11" t="inlineStr">
        <is>
          <t>—</t>
        </is>
      </c>
      <c r="N103" s="11" t="inlineStr">
        <is>
          <t>Funkcja dostępna z panelu klienta bez wychodzenia do DirectAdmina; test uruchamiany w CI.</t>
        </is>
      </c>
      <c r="O103"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c r="P103" s="10" t="inlineStr">
        <is>
          <t>do zrobienia</t>
        </is>
      </c>
    </row>
    <row r="104">
      <c r="A104" s="10" t="inlineStr">
        <is>
          <t>SEC-02</t>
        </is>
      </c>
      <c r="B104" s="11" t="inlineStr">
        <is>
          <t>Stripe jest w allowliście wyłącznie po nazwie, a ipset powstaje z rozwiązania nazw</t>
        </is>
      </c>
      <c r="C104" s="10" t="inlineStr">
        <is>
          <t>audyt</t>
        </is>
      </c>
      <c r="D104" s="10" t="inlineStr">
        <is>
          <t>G — SSL i bezpieczeństwo</t>
        </is>
      </c>
      <c r="E104" s="10" t="inlineStr">
        <is>
          <t>ŚREDNIA</t>
        </is>
      </c>
      <c r="F104" s="10" t="n">
        <v>6</v>
      </c>
      <c r="G104" s="10" t="n">
        <v>16</v>
      </c>
      <c r="H104" s="10" t="inlineStr">
        <is>
          <t>Faza 3 — Wejście na rynek</t>
        </is>
      </c>
      <c r="I104" s="10" t="inlineStr">
        <is>
          <t>2026-10-12</t>
        </is>
      </c>
      <c r="J104" s="10" t="inlineStr">
        <is>
          <t>2026-10-16</t>
        </is>
      </c>
      <c r="K104" s="10" t="inlineStr">
        <is>
          <t>DZIAŁA</t>
        </is>
      </c>
      <c r="L104" s="11" t="inlineStr">
        <is>
          <t>pomiar --pomiar 2026-10-06 (host 14 d): zero połączeń hosta do Stripe; Stripe tylko z kontenera API (FORWARD)</t>
        </is>
      </c>
      <c r="M104" s="11" t="inlineStr">
        <is>
          <t>—</t>
        </is>
      </c>
      <c r="N104" s="11" t="inlineStr">
        <is>
          <t>Funkcja dostępna z panelu klienta bez wychodzenia do DirectAdmina; test uruchamiany w CI.</t>
        </is>
      </c>
      <c r="O104"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c r="P104" s="10" t="inlineStr">
        <is>
          <t>do zrobienia</t>
        </is>
      </c>
    </row>
    <row r="105">
      <c r="A105" s="10" t="inlineStr">
        <is>
          <t>NODE-02</t>
        </is>
      </c>
      <c r="B105" s="11" t="inlineStr">
        <is>
          <t>`main()` nie sprawdza kodów powrotu</t>
        </is>
      </c>
      <c r="C105" s="10" t="inlineStr">
        <is>
          <t>audyt</t>
        </is>
      </c>
      <c r="D105" s="10" t="inlineStr">
        <is>
          <t>Q — Przewaga</t>
        </is>
      </c>
      <c r="E105" s="10" t="inlineStr">
        <is>
          <t>WYSOKA</t>
        </is>
      </c>
      <c r="F105" s="10" t="n">
        <v>6</v>
      </c>
      <c r="G105" s="10" t="n">
        <v>16</v>
      </c>
      <c r="H105" s="10" t="inlineStr">
        <is>
          <t>Faza 3 — Wejście na rynek</t>
        </is>
      </c>
      <c r="I105" s="10" t="inlineStr">
        <is>
          <t>2026-10-12</t>
        </is>
      </c>
      <c r="J105" s="10" t="inlineStr">
        <is>
          <t>2026-10-16</t>
        </is>
      </c>
      <c r="K105" s="10" t="inlineStr">
        <is>
          <t>CZĘŚCIOWE</t>
        </is>
      </c>
      <c r="L105"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5" s="11" t="inlineStr">
        <is>
          <t>—</t>
        </is>
      </c>
      <c r="N105" s="11" t="inlineStr">
        <is>
          <t>Ograniczenie opisane w uwagach macierzy zniknęło; test potwierdza zachowanie także w scenariuszu awaryjnym.</t>
        </is>
      </c>
      <c r="O105"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5" s="10" t="inlineStr">
        <is>
          <t>do zrobienia</t>
        </is>
      </c>
    </row>
    <row r="106">
      <c r="A106" s="10" t="inlineStr">
        <is>
          <t>H-20</t>
        </is>
      </c>
      <c r="B106" s="11" t="inlineStr">
        <is>
          <t>Test odtworzeniowy z datą ostatniego wykonania (część)</t>
        </is>
      </c>
      <c r="C106" s="10" t="inlineStr">
        <is>
          <t>audyt</t>
        </is>
      </c>
      <c r="D106" s="10" t="inlineStr">
        <is>
          <t>H — Backup i odtwarzanie</t>
        </is>
      </c>
      <c r="E106" s="10" t="inlineStr">
        <is>
          <t>WYSOKA</t>
        </is>
      </c>
      <c r="F106" s="10" t="n">
        <v>2</v>
      </c>
      <c r="G106" s="10" t="n">
        <v>16</v>
      </c>
      <c r="H106" s="10" t="inlineStr">
        <is>
          <t>Faza 3 — Wejście na rynek</t>
        </is>
      </c>
      <c r="I106" s="10" t="inlineStr">
        <is>
          <t>2026-10-12</t>
        </is>
      </c>
      <c r="J106" s="10" t="inlineStr">
        <is>
          <t>2026-10-16</t>
        </is>
      </c>
      <c r="K106" s="10" t="inlineStr">
        <is>
          <t>DZIAŁA</t>
        </is>
      </c>
      <c r="L10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 | 2026-10-10: admin Flota → Kopie (nodes/kopie/page.tsx:22 → GET /admin/live-readiness/proby-odtworzenia, live-readiness.admin.controller.ts:32; test kopie.spec.tsx) — ostatnia udana próba nadal z 2026-08-22/23 | 2026-10-11 D4: ops/scripts/restore-drill-isolated.sh na control-plane (właściciel Dominik Kowalski) — latest.sql.gz.age 03:17 UTC, suma i age OK, wiersze Invoice 5 / Plan 5 / Account 7 / User 15 / Subscription 15, 11 s, wpis RestoreDrill wynik=OK; konto d3 na t1 z kopii off-site (user.admin.ovsekucx.tar.zst 11.10 16:18:57, 367 MB) przez panel klienta (pobranie) + admin „Odtworzenie konta z kopii” (pliki+bazy+poczta, kopia bezpieczeństwa) 17:11:56→17:14:04, strona i 3 skrzynki działają</t>
        </is>
      </c>
      <c r="M106" s="11" t="inlineStr">
        <is>
          <t>PB-02 (drill wykonujemy na węźle #1)</t>
        </is>
      </c>
      <c r="N106" s="11" t="inlineStr">
        <is>
          <t>Funkcja dostępna z panelu klienta bez wychodzenia do DirectAdmina; test uruchamiany w CI.</t>
        </is>
      </c>
      <c r="O10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 | 2026-10-10: DOWÓD WYGASŁ. Ostatnia udana próba odtworzenia to nadal 2026-08-22 23:19 (bazy platformy) — odczyt na produkcji 10.10 ok. 13:00 (Flota → Kopie). Ważność 30 dni minęła 2026-09-21, więc D4 przestał obowiązywać (README: dowód starszy niż 30 dni wraca do D0; backupy i DR — wyłącznie D4). Mechanizm, przypomnienie i strona w panelu zostają D2. Stan DZIAŁA → CZĘŚCIOWE, werdykt PARYTET → CZĘŚCIOWY, flaga BLOKER STARTU wraca — zdjęto ją 2026-09-19 wyłącznie dlatego, że był D4, a live-readiness restore_drill jest blocking. Odnowienie: PB-54 (próba bazy platformy + odtworzenie jednego konta na t1, z datą i właścicielem) w sprincie 16, przed betą 19.10; potem cykl 30 dni. | 2026-10-10 (przegląd): przypomnienie o próbie (proba-odtworzenia.scheduler.ts:41, codziennie 08:30, od 7 dni przed terminem, czyli od ok. 14.09) nie przełożyło się na próbę przez ponad 3 tygodnie. Nie sprawdzono, czy maile przypomnień dotarły — do sprawdzenia przy PB-54, bo przypomnienie, które nie wywołuje działania, to ten sam rodzaj usterki co alert z H-24. | 2026-10-11: PB-54 wykonane (D4) — flaga BLOKER STARTU zdjęta. Następna próba: do 2026-11-10 (cykl 30 dni, przypomnienie proba-odtworzenia.scheduler.ts).</t>
        </is>
      </c>
      <c r="P106" s="10" t="inlineStr">
        <is>
          <t>do zrobienia</t>
        </is>
      </c>
    </row>
    <row r="107">
      <c r="A107" s="10" t="inlineStr">
        <is>
          <t>SEC-11</t>
        </is>
      </c>
      <c r="B107" s="11" t="inlineStr">
        <is>
          <t>CSP z nonce w panelach i na www — bez 'unsafe-inline' w script-src</t>
        </is>
      </c>
      <c r="C107" s="10" t="inlineStr">
        <is>
          <t>audyt</t>
        </is>
      </c>
      <c r="D107" s="10" t="inlineStr">
        <is>
          <t>G — SSL i bezpieczeństwo</t>
        </is>
      </c>
      <c r="E107" s="10" t="inlineStr">
        <is>
          <t>WYSOKA</t>
        </is>
      </c>
      <c r="F107" s="10" t="n">
        <v>6</v>
      </c>
      <c r="G107" s="10" t="n">
        <v>16</v>
      </c>
      <c r="H107" s="10" t="inlineStr">
        <is>
          <t>Faza 3 — Wejście na rynek</t>
        </is>
      </c>
      <c r="I107" s="10" t="inlineStr">
        <is>
          <t>2026-10-12</t>
        </is>
      </c>
      <c r="J107" s="10" t="inlineStr">
        <is>
          <t>2026-10-16</t>
        </is>
      </c>
      <c r="K107" s="10" t="inlineStr">
        <is>
          <t>DZIAŁA</t>
        </is>
      </c>
      <c r="L107" s="11" t="inlineStr">
        <is>
          <t>2026-10-09 (4d7a8b08): libs/ui/src/csp.ts:41-84 (nowyNonce, cspPanelu: script-src 'nonce-…' 'strict-dynamic', naglowkiCsp); admin-panel/src/proxy.ts:11-13, staff-panel/src/proxy.ts, client-panel/src/middleware.ts:14-16; ops/caddy/Caddyfile (panel_headers bez CSP z 'unsafe-inline'); testy proxy.spec.ts (admin, obsługa), middleware.spec.ts, analytics-scripts.spec.ts, wdrozenie-caddy.spec.ts</t>
        </is>
      </c>
      <c r="M107" s="11" t="inlineStr">
        <is>
          <t>—</t>
        </is>
      </c>
      <c r="N107" s="11" t="inlineStr">
        <is>
          <t>Funkcja dostępna z panelu klienta bez wychodzenia do DirectAdmina; test uruchamiany w CI.</t>
        </is>
      </c>
      <c r="O107" s="11" t="inlineStr">
        <is>
          <t>2026-10-10: z audytu bezpieczeństwa 09.10 — CSP paneli dawał Caddy ze script-src 'unsafe-inline', więc każdy wstrzyknięty &lt;script&gt; by się wykonał. Panele klienta, obsługi i admina mają od 09.10 CSP z nonce per żądanie (style-src zostaje z 'unsafe-inline' — atrybuty style w React i biblioteki wstrzykujące &lt;style&gt;; styl nie wykonuje kodu). Wdrożone 10.10; panele admina i obsługi działają po wdrożeniu (obserwacja 10.10 ok. 13:00, nagłówka CSP nie odczytywano). ZOSTAJE: www (verris.pl) — decyzja D12 z 10.10: CSP z nonce na www teraz, razem z captcha w frame-src (Fala 2A). Stan CZĘŚCIOWE do wdrożenia na www i odczytu nagłówków na produkcji. | 2026-10-12 D3 PROD (odczyt nagłówków, bez zmian): verris.pl /, /cennik, /hosting, panel.verris.pl, admin.verris.pl i staff.verris.pl — dokładnie jeden nagłówek Content-Security-Policy, script-src 'nonce-…' 'strict-dynamic' 'self' + domeny analityki/płatności, bez 'unsafe-inline' w script-src; nonce inny przy każdym z dwóch kolejnych pobrań; wszystkie &lt;script&gt; w HTML mają nonce poza application/ld+json (dane, nie kod). Konsola panelu klienta (karta d3, kopie) bez naruszeń CSP. style-src z 'unsafe-inline' zostaje świadomie (opis wyżej).</t>
        </is>
      </c>
      <c r="P107" s="10" t="inlineStr">
        <is>
          <t>do zrobienia</t>
        </is>
      </c>
    </row>
    <row r="108">
      <c r="A108" s="10" t="inlineStr">
        <is>
          <t>PB-23</t>
        </is>
      </c>
      <c r="B108" s="11" t="inlineStr">
        <is>
          <t>Każdy widok osiągalny z menu (klient, admin, staff)</t>
        </is>
      </c>
      <c r="C108" s="10" t="inlineStr">
        <is>
          <t>poza audytem</t>
        </is>
      </c>
      <c r="D108" s="10" t="inlineStr">
        <is>
          <t>Praca spoza audytu</t>
        </is>
      </c>
      <c r="E108" s="10" t="inlineStr">
        <is>
          <t>ŚREDNI</t>
        </is>
      </c>
      <c r="F108" s="10" t="n">
        <v>10</v>
      </c>
      <c r="G108" s="10" t="n">
        <v>16</v>
      </c>
      <c r="H108" s="10" t="inlineStr">
        <is>
          <t>Faza 3 — Wejście na rynek</t>
        </is>
      </c>
      <c r="I108" s="10" t="inlineStr">
        <is>
          <t>2026-10-12</t>
        </is>
      </c>
      <c r="J108" s="10" t="inlineStr">
        <is>
          <t>2026-10-16</t>
        </is>
      </c>
      <c r="K108" s="10" t="inlineStr">
        <is>
          <t>—</t>
        </is>
      </c>
      <c r="L108" s="11" t="inlineStr">
        <is>
          <t>—</t>
        </is>
      </c>
      <c r="M108" s="11" t="inlineStr">
        <is>
          <t>—</t>
        </is>
      </c>
      <c r="N108" s="11" t="inlineStr">
        <is>
          <t>Lista tras vs menu dla trzech paneli bez luk; test-strażnik czerwony po dodaniu trasy bez wejścia w nawigacji.</t>
        </is>
      </c>
      <c r="O108"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108" s="10" t="inlineStr">
        <is>
          <t>do zrobienia</t>
        </is>
      </c>
    </row>
    <row r="109">
      <c r="A109" s="10" t="inlineStr">
        <is>
          <t>PB-30</t>
        </is>
      </c>
      <c r="B109" s="11" t="inlineStr">
        <is>
          <t>Jeden plik wersji dla floty + test zgodności</t>
        </is>
      </c>
      <c r="C109" s="10" t="inlineStr">
        <is>
          <t>poza audytem</t>
        </is>
      </c>
      <c r="D109" s="10" t="inlineStr">
        <is>
          <t>Praca spoza audytu</t>
        </is>
      </c>
      <c r="E109" s="10" t="inlineStr">
        <is>
          <t>WYSOKI</t>
        </is>
      </c>
      <c r="F109" s="10" t="n">
        <v>12</v>
      </c>
      <c r="G109" s="10" t="n">
        <v>16</v>
      </c>
      <c r="H109" s="10" t="inlineStr">
        <is>
          <t>Faza 3 — Wejście na rynek</t>
        </is>
      </c>
      <c r="I109" s="10" t="inlineStr">
        <is>
          <t>2026-10-12</t>
        </is>
      </c>
      <c r="J109" s="10" t="inlineStr">
        <is>
          <t>2026-10-16</t>
        </is>
      </c>
      <c r="K109" s="10" t="inlineStr">
        <is>
          <t>—</t>
        </is>
      </c>
      <c r="L109" s="11" t="inlineStr">
        <is>
          <t>—</t>
        </is>
      </c>
      <c r="M109" s="11" t="inlineStr">
        <is>
          <t>—</t>
        </is>
      </c>
      <c r="N109" s="11" t="inlineStr">
        <is>
          <t>Dwa węzły z tego samego manifestu dają identyczny raport wersji; różnica widoczna w panelu.</t>
        </is>
      </c>
      <c r="O109"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09" s="10" t="inlineStr">
        <is>
          <t>do zrobienia</t>
        </is>
      </c>
    </row>
    <row r="110">
      <c r="A110" s="10" t="inlineStr">
        <is>
          <t>PB-31</t>
        </is>
      </c>
      <c r="B110" s="11" t="inlineStr">
        <is>
          <t>Pełna automatyzacja kreatora węzła</t>
        </is>
      </c>
      <c r="C110" s="10" t="inlineStr">
        <is>
          <t>poza audytem</t>
        </is>
      </c>
      <c r="D110" s="10" t="inlineStr">
        <is>
          <t>Praca spoza audytu</t>
        </is>
      </c>
      <c r="E110" s="10" t="inlineStr">
        <is>
          <t>WYSOKI</t>
        </is>
      </c>
      <c r="F110" s="10" t="n">
        <v>20</v>
      </c>
      <c r="G110" s="10" t="n">
        <v>16</v>
      </c>
      <c r="H110" s="10" t="inlineStr">
        <is>
          <t>Faza 3 — Wejście na rynek</t>
        </is>
      </c>
      <c r="I110" s="10" t="inlineStr">
        <is>
          <t>2026-10-12</t>
        </is>
      </c>
      <c r="J110" s="10" t="inlineStr">
        <is>
          <t>2026-10-16</t>
        </is>
      </c>
      <c r="K110" s="10" t="inlineStr">
        <is>
          <t>—</t>
        </is>
      </c>
      <c r="L110" s="11" t="inlineStr">
        <is>
          <t>—</t>
        </is>
      </c>
      <c r="M110" s="11" t="inlineStr">
        <is>
          <t>—</t>
        </is>
      </c>
      <c r="N110" s="11" t="inlineStr">
        <is>
          <t>Węzeł testowy od czystego AlmaLinux do zielonego raportu bez SSH ręcznie.</t>
        </is>
      </c>
      <c r="O110"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0" s="10" t="inlineStr">
        <is>
          <t>do zrobienia</t>
        </is>
      </c>
    </row>
    <row r="111">
      <c r="A111" s="10" t="inlineStr">
        <is>
          <t>PB-32</t>
        </is>
      </c>
      <c r="B111" s="11" t="inlineStr">
        <is>
          <t>Aktualizacje węzłów falami</t>
        </is>
      </c>
      <c r="C111" s="10" t="inlineStr">
        <is>
          <t>poza audytem</t>
        </is>
      </c>
      <c r="D111" s="10" t="inlineStr">
        <is>
          <t>Praca spoza audytu</t>
        </is>
      </c>
      <c r="E111" s="10" t="inlineStr">
        <is>
          <t>ŚREDNI</t>
        </is>
      </c>
      <c r="F111" s="10" t="n">
        <v>8</v>
      </c>
      <c r="G111" s="10" t="n">
        <v>16</v>
      </c>
      <c r="H111" s="10" t="inlineStr">
        <is>
          <t>Faza 3 — Wejście na rynek</t>
        </is>
      </c>
      <c r="I111" s="10" t="inlineStr">
        <is>
          <t>2026-10-12</t>
        </is>
      </c>
      <c r="J111" s="10" t="inlineStr">
        <is>
          <t>2026-10-16</t>
        </is>
      </c>
      <c r="K111" s="10" t="inlineStr">
        <is>
          <t>—</t>
        </is>
      </c>
      <c r="L111" s="11" t="inlineStr">
        <is>
          <t>—</t>
        </is>
      </c>
      <c r="M111" s="11" t="inlineStr">
        <is>
          <t>—</t>
        </is>
      </c>
      <c r="N111" s="11" t="inlineStr">
        <is>
          <t>Fala zatrzymuje się na pierwszym błędzie; status w panelu zgodny z logiem.</t>
        </is>
      </c>
      <c r="O111"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1" s="10" t="inlineStr">
        <is>
          <t>do zrobienia</t>
        </is>
      </c>
    </row>
    <row r="112">
      <c r="A112" s="10" t="inlineStr">
        <is>
          <t>PB-33</t>
        </is>
      </c>
      <c r="B112" s="11" t="inlineStr">
        <is>
          <t>Wersje stosu floty w panelu + wyrównanie falą</t>
        </is>
      </c>
      <c r="C112" s="10" t="inlineStr">
        <is>
          <t>poza audytem</t>
        </is>
      </c>
      <c r="D112" s="10" t="inlineStr">
        <is>
          <t>Praca spoza audytu</t>
        </is>
      </c>
      <c r="E112" s="10" t="inlineStr">
        <is>
          <t>WYSOKI</t>
        </is>
      </c>
      <c r="F112" s="10" t="n">
        <v>12</v>
      </c>
      <c r="G112" s="10" t="n">
        <v>16</v>
      </c>
      <c r="H112" s="10" t="inlineStr">
        <is>
          <t>Faza 3 — Wejście na rynek</t>
        </is>
      </c>
      <c r="I112" s="10" t="inlineStr">
        <is>
          <t>2026-10-12</t>
        </is>
      </c>
      <c r="J112" s="10" t="inlineStr">
        <is>
          <t>2026-10-16</t>
        </is>
      </c>
      <c r="K112" s="10" t="inlineStr">
        <is>
          <t>—</t>
        </is>
      </c>
      <c r="L112" s="11" t="inlineStr">
        <is>
          <t>—</t>
        </is>
      </c>
      <c r="M112" s="11" t="inlineStr">
        <is>
          <t>—</t>
        </is>
      </c>
      <c r="N112" s="11" t="inlineStr">
        <is>
          <t>Zmiana wersji w panelu → nowy węzeł instaluje ją, istniejące wyrównane falą; audyt zgodności zielony.</t>
        </is>
      </c>
      <c r="O112"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2" s="10" t="inlineStr">
        <is>
          <t>do zrobienia</t>
        </is>
      </c>
    </row>
    <row r="113">
      <c r="A113" s="10" t="inlineStr">
        <is>
          <t>PB-35</t>
        </is>
      </c>
      <c r="B113" s="11" t="inlineStr">
        <is>
          <t>Automatyczna fala aktualizacji węzłów co tydzień</t>
        </is>
      </c>
      <c r="C113" s="10" t="inlineStr">
        <is>
          <t>poza audytem</t>
        </is>
      </c>
      <c r="D113" s="10" t="inlineStr">
        <is>
          <t>Praca spoza audytu</t>
        </is>
      </c>
      <c r="E113" s="10" t="inlineStr">
        <is>
          <t>WYSOKI</t>
        </is>
      </c>
      <c r="F113" s="10" t="n">
        <v>3</v>
      </c>
      <c r="G113" s="10" t="n">
        <v>16</v>
      </c>
      <c r="H113" s="10" t="inlineStr">
        <is>
          <t>Faza 3 — Wejście na rynek</t>
        </is>
      </c>
      <c r="I113" s="10" t="inlineStr">
        <is>
          <t>2026-10-12</t>
        </is>
      </c>
      <c r="J113" s="10" t="inlineStr">
        <is>
          <t>2026-10-16</t>
        </is>
      </c>
      <c r="K113" s="10" t="inlineStr">
        <is>
          <t>—</t>
        </is>
      </c>
      <c r="L113" s="11" t="inlineStr">
        <is>
          <t>—</t>
        </is>
      </c>
      <c r="M113" s="11" t="inlineStr">
        <is>
          <t>—</t>
        </is>
      </c>
      <c r="N113" s="11" t="inlineStr">
        <is>
          <t>Fala startuje sama w oknie; zatrzymanie widoczne w powiadomieniach admina.</t>
        </is>
      </c>
      <c r="O113"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 | 2026-10-06 D3 NA PRODUKCJI: fala ruszyła sama we wtorek 06.10 o 04:00 (zdarzenie „Uruchomiono falę aktualizacji floty”) i zakończyła się o 04:20 („Fala aktualizacji floty zakończona”) — pulpit admina, Ostatnie zdarzenia. Zatrzymanie fali z powiadomieniem adminów: D2 (test na PostgreSQL); na żywo przy pierwszym błędzie fali. ZAMKNIĘTE.</t>
        </is>
      </c>
      <c r="P113" s="10" t="inlineStr">
        <is>
          <t>do zrobienia</t>
        </is>
      </c>
    </row>
    <row r="114">
      <c r="A114" s="10" t="inlineStr">
        <is>
          <t>PB-41</t>
        </is>
      </c>
      <c r="B114" s="11" t="inlineStr">
        <is>
          <t>Obsługa: „Zaloguj jako klient” dla pracownika z uprawnieniem</t>
        </is>
      </c>
      <c r="C114" s="10" t="inlineStr">
        <is>
          <t>poza audytem</t>
        </is>
      </c>
      <c r="D114" s="10" t="inlineStr">
        <is>
          <t>Praca spoza audytu</t>
        </is>
      </c>
      <c r="E114" s="10" t="inlineStr">
        <is>
          <t>WYSOKI</t>
        </is>
      </c>
      <c r="F114" s="10" t="n">
        <v>4</v>
      </c>
      <c r="G114" s="10" t="n">
        <v>16</v>
      </c>
      <c r="H114" s="10" t="inlineStr">
        <is>
          <t>Faza 3 — Wejście na rynek</t>
        </is>
      </c>
      <c r="I114" s="10" t="inlineStr">
        <is>
          <t>2026-10-12</t>
        </is>
      </c>
      <c r="J114" s="10" t="inlineStr">
        <is>
          <t>2026-10-16</t>
        </is>
      </c>
      <c r="K114" s="10" t="inlineStr">
        <is>
          <t>—</t>
        </is>
      </c>
      <c r="L114" s="11" t="inlineStr">
        <is>
          <t>—</t>
        </is>
      </c>
      <c r="M114" s="11" t="inlineStr">
        <is>
          <t>—</t>
        </is>
      </c>
      <c r="N114" s="11" t="inlineStr">
        <is>
          <t>Pracownik z uprawnieniem wchodzi na konto klienta z panelu staff, bez uprawnienia — odmowa z komunikatem; powód i czas w dzienniku obu stron; testy guardu i kontrolera.</t>
        </is>
      </c>
      <c r="O114" s="11" t="inlineStr">
        <is>
          <t>Decyzja właściciela 2026-10-08: staff wchodzi na konto klienta z osobnym uprawnieniem, obowiązkowym powodem (np. numer zgłoszenia), sesją 30 min i wpisem w dzienniku klienta i staff — jak admin. Stan 2026-10-08: panel staff ma przycisk (crm/actions.ts), serwis dopuszcza staff (users.admin.service.ts), a endpoint ma @Roles(ADMIN) (users.admin.controller.ts) — staff dostaje 403. | 2026-10-08 KOD (zob. commit „PB-41”): uprawnienie CUSTOMERS_IMPERSONATE, endpoint dla ADMIN + STAFF z uprawnieniem; przy okazji zakończenie impersonacji było odrzucane 403 (brak USER_IMPERSONATION_STOPPED w dzienniku) — naprawione. Testy D2. Zostaje: D3 — rola staff z uprawnieniem, wejście na o05 i zakończenie, START i STOP w dzienniku.</t>
        </is>
      </c>
      <c r="P114" s="10" t="inlineStr">
        <is>
          <t>do zrobienia</t>
        </is>
      </c>
    </row>
    <row r="115">
      <c r="A115" s="10" t="inlineStr">
        <is>
          <t>PB-42</t>
        </is>
      </c>
      <c r="B115" s="11" t="inlineStr">
        <is>
          <t>Obsługa: podgląd konta klienta (DNS, domeny, poczta, bazy, PHP, SSL, cron, logi, zasoby, kopie)</t>
        </is>
      </c>
      <c r="C115" s="10" t="inlineStr">
        <is>
          <t>poza audytem</t>
        </is>
      </c>
      <c r="D115" s="10" t="inlineStr">
        <is>
          <t>Praca spoza audytu</t>
        </is>
      </c>
      <c r="E115" s="10" t="inlineStr">
        <is>
          <t>WYSOKI</t>
        </is>
      </c>
      <c r="F115" s="10" t="n">
        <v>30</v>
      </c>
      <c r="G115" s="10" t="n">
        <v>16</v>
      </c>
      <c r="H115" s="10" t="inlineStr">
        <is>
          <t>Faza 3 — Wejście na rynek</t>
        </is>
      </c>
      <c r="I115" s="10" t="inlineStr">
        <is>
          <t>2026-10-12</t>
        </is>
      </c>
      <c r="J115" s="10" t="inlineStr">
        <is>
          <t>2026-10-16</t>
        </is>
      </c>
      <c r="K115" s="10" t="inlineStr">
        <is>
          <t>—</t>
        </is>
      </c>
      <c r="L115" s="11" t="inlineStr">
        <is>
          <t>—</t>
        </is>
      </c>
      <c r="M115" s="11" t="inlineStr">
        <is>
          <t>—</t>
        </is>
      </c>
      <c r="N115" s="11" t="inlineStr">
        <is>
          <t>W panelu staff i admin karta usługi pokazuje wymienione sekcje z żywego węzła; odczyt wymaga uprawnienia i trafia do dziennika; testy kontrolera (uprawnienia, cudza usługa) i panelu; sprawdzone na t1 na koncie d3.</t>
        </is>
      </c>
      <c r="O115" s="11" t="inlineStr">
        <is>
          <t>Decyzja właściciela 2026-10-08: rdzeń przed betą — testerzy zgłaszają problemy, obsługa musi je widzieć bez wchodzenia na serwer. Karta usługi w staff i admin: domeny dodatkowe i poddomeny, rekordy DNS, skrzynki z rozmiarami i przekierowania, bazy z rozmiarami, wersja PHP, SSL (wystawca, ważność), cron, logi błędów i dostępu WWW, log poczty, zużycie zasobów, kopie zapasowe. Tylko odczyt, z uprawnieniem i wpisem w dzienniku; white label jak u klienta. Stan 2026-10-08: API klienta ma te dane (services.controller.ts), panele obsługi — nie. | 2026-10-08 KOD (pakiet obsługi: implementacja, przegląd adwersaryjny, poprawki, scalenie): GET admin/subscriptions/:id/konto/{domeny,dns,poczta,bazy,php,ssl,cron,logi,logi-poczty} za ACCOUNT_DIAGNOSTICS_VIEW, właściciel zawsze z bazy, każdy odczyt w dzienniku (OPERATOR_ACCOUNT_VIEWED, klient nie widzi); maskowanie poświadczeń w poleceniach crona (MYSQL_PWD, -u user:hasło, user:hasło@, klucze w adresie); sekcje ładowane na żądanie w staff i admin. Testy D2. Zostaje: D3 — operator z L2 otwiera sekcje konta d3 na t1, wpisy w dzienniku.</t>
        </is>
      </c>
      <c r="P115" s="10" t="inlineStr">
        <is>
          <t>do zrobienia</t>
        </is>
      </c>
    </row>
    <row r="116">
      <c r="A116" s="10" t="inlineStr">
        <is>
          <t>PB-43</t>
        </is>
      </c>
      <c r="B116" s="11" t="inlineStr">
        <is>
          <t>Obsługa: zgłoszenie powiązane z usługą + diagnostyka z poziomu zgłoszenia</t>
        </is>
      </c>
      <c r="C116" s="10" t="inlineStr">
        <is>
          <t>poza audytem</t>
        </is>
      </c>
      <c r="D116" s="10" t="inlineStr">
        <is>
          <t>Praca spoza audytu</t>
        </is>
      </c>
      <c r="E116" s="10" t="inlineStr">
        <is>
          <t>WYSOKI</t>
        </is>
      </c>
      <c r="F116" s="10" t="n">
        <v>12</v>
      </c>
      <c r="G116" s="10" t="n">
        <v>16</v>
      </c>
      <c r="H116" s="10" t="inlineStr">
        <is>
          <t>Faza 3 — Wejście na rynek</t>
        </is>
      </c>
      <c r="I116" s="10" t="inlineStr">
        <is>
          <t>2026-10-12</t>
        </is>
      </c>
      <c r="J116" s="10" t="inlineStr">
        <is>
          <t>2026-10-16</t>
        </is>
      </c>
      <c r="K116" s="10" t="inlineStr">
        <is>
          <t>—</t>
        </is>
      </c>
      <c r="L116" s="11" t="inlineStr">
        <is>
          <t>—</t>
        </is>
      </c>
      <c r="M116" s="11" t="inlineStr">
        <is>
          <t>—</t>
        </is>
      </c>
      <c r="N116" s="11" t="inlineStr">
        <is>
          <t>Zgłoszenie zapisuje usługę (migracja bazy), panel klienta pozwala ją wybrać, staff widzi diagnostykę i kartę usługi przy rozmowie; testy na PostgreSQL.</t>
        </is>
      </c>
      <c r="O116" s="11" t="inlineStr">
        <is>
          <t>Decyzja właściciela 2026-10-08: rdzeń przed betą. Zgłoszenie ma usługę (wybór klienta przy tworzeniu, zmiana przez obsługę), obok rozmowy diagnostyka tej usługi i skrót do karty usługi; runbooki z szablonami dla najczęstszych spraw (strona nie działa, poczta, SSL, migracja). Stan 2026-10-08: Ticket nie ma subscriptionId, diagnostyki nie da się uruchomić ze zgłoszenia, runbook ma dwa szablony. | 2026-10-08 KOD (pakiet obsługi): Ticket.subscriptionId (migracja), wybór usługi w nowym zgłoszeniu (panel klienta), usługa i diagnostyka przy rozmowie w staff (TICKETS_MANAGE, w dzienniku), zmiana powiązania warunkowa (409 przy wyścigu), subkonto nie widzi usługi spoza zakresu, runbooki. Testy D2. Zostaje: D3 — zgłoszenie d3 z usługą, diagnostyka z rozmowy w staff. | 2026-10-09 KOD (L1-KARTA): L1 Konsultant otwiera kartę usługi w trybie podglądu (dekorator @StaffPermAny: GET karty za CUSTOMERS_VIEW lub SUBSCRIPTIONS_MANAGE; diagnostyka z karty też za TICKETS_MANAGE jak z rozmowy, w dzienniku OPERATOR_ACCOUNT_VIEWED sekcja 'diagnostyka'). Zmiana planu, kopie, migracje, podgląd konta PB-42 nadal wg uprawnień (L2+). Naprawiony błąd: brak uprawnienia do subskrypcji wywracał całą kartę (eligible-plans 403) — teraz komunikat w sekcji. Przegląd adwersaryjny: @StaffPermAny na klasie otwierał trasę bez sprawdzania — zawężone do dekoratora metody. Testy D2.</t>
        </is>
      </c>
      <c r="P116" s="10" t="inlineStr">
        <is>
          <t>do zrobienia</t>
        </is>
      </c>
    </row>
    <row r="117">
      <c r="A117" s="10" t="inlineStr">
        <is>
          <t>PB-54</t>
        </is>
      </c>
      <c r="B117" s="11" t="inlineStr">
        <is>
          <t>Odtworzenie z kopii na żywo przed betą (bazy platformy + konto na t1)</t>
        </is>
      </c>
      <c r="C117" s="10" t="inlineStr">
        <is>
          <t>poza audytem</t>
        </is>
      </c>
      <c r="D117" s="10" t="inlineStr">
        <is>
          <t>Praca spoza audytu</t>
        </is>
      </c>
      <c r="E117" s="10" t="inlineStr">
        <is>
          <t>KRYTYCZNY</t>
        </is>
      </c>
      <c r="F117" s="10" t="n">
        <v>4</v>
      </c>
      <c r="G117" s="10" t="n">
        <v>16</v>
      </c>
      <c r="H117" s="10" t="inlineStr">
        <is>
          <t>Faza 3 — Wejście na rynek</t>
        </is>
      </c>
      <c r="I117" s="10" t="inlineStr">
        <is>
          <t>2026-10-12</t>
        </is>
      </c>
      <c r="J117" s="10" t="inlineStr">
        <is>
          <t>2026-10-16</t>
        </is>
      </c>
      <c r="K117" s="10" t="inlineStr">
        <is>
          <t>—</t>
        </is>
      </c>
      <c r="L117" s="11" t="inlineStr">
        <is>
          <t>—</t>
        </is>
      </c>
      <c r="M117" s="11" t="inlineStr">
        <is>
          <t>—</t>
        </is>
      </c>
      <c r="N117" s="11" t="inlineStr">
        <is>
          <t>Wiersz RestoreDrill z wynikiem OK, datą i właścicielem nie starszy niż 30 dni w dniu startu bety (19.10); zapis odtworzenia konta na t1 z datą, czasem i wynikiem; H-20 → DZIAŁA (D4), flaga BLOKER zdjęta; termin kolejnej próby w kalendarzu.</t>
        </is>
      </c>
      <c r="O117" s="11" t="inlineStr">
        <is>
          <t>Dowód D4 odtwarzania wygasł: ostatnia udana próba (bazy platformy) jest z 2026-08-22/23 — odczyt na produkcji 10.10 ok. 13:00 (Flota → Kopie); ważność 30 dni minęła 21.09, więc H-20 wrócił do CZĘŚCIOWE i do blokerów startu. Zakres: (1) próba odtworzenia bazy platformy (restore-drill-isolated.sh, wiersz w RestoreDrill) — liczona w macierzy jako H-20:2 w tym samym sprincie; (2) tutaj: odtworzenie jednego konta hostingowego na t1 z kopii off-site (pliki, baza, poczta) wg ops/docs/OFFSITE_RESTORE_RUNBOOK.md, z datą, czasem i wynikiem, oraz termin kolejnej próby (cykl 30 dni; przypomnienie już istnieje). Godziny: szacunek, nie z planu rozbudowy. | 2026-10-11: zaplanowane — odtworzenie konta d3 z kopii off-site na t1 (11.10) + drill bazy platformy na CP (Dominik). | 2026-10-11 ZROBIONE: drill bazy platformy OK (11 s) + odtworzenie d3 z kopii off-site (ok. 2 min). Następna próba do 2026-11-10.</t>
        </is>
      </c>
      <c r="P117" s="10" t="inlineStr">
        <is>
          <t>do zrobienia</t>
        </is>
      </c>
    </row>
    <row r="118">
      <c r="A118" s="10" t="inlineStr">
        <is>
          <t>PB-55</t>
        </is>
      </c>
      <c r="B118" s="11" t="inlineStr">
        <is>
          <t>Pula sprzedażowa t1 przed wznowieniem nowych kont (18.10)</t>
        </is>
      </c>
      <c r="C118" s="10" t="inlineStr">
        <is>
          <t>poza audytem</t>
        </is>
      </c>
      <c r="D118" s="10" t="inlineStr">
        <is>
          <t>Praca spoza audytu</t>
        </is>
      </c>
      <c r="E118" s="10" t="inlineStr">
        <is>
          <t>WYSOKI</t>
        </is>
      </c>
      <c r="F118" s="10" t="n">
        <v>2</v>
      </c>
      <c r="G118" s="10" t="n">
        <v>16</v>
      </c>
      <c r="H118" s="10" t="inlineStr">
        <is>
          <t>Faza 3 — Wejście na rynek</t>
        </is>
      </c>
      <c r="I118" s="10" t="inlineStr">
        <is>
          <t>2026-10-12</t>
        </is>
      </c>
      <c r="J118" s="10" t="inlineStr">
        <is>
          <t>2026-10-16</t>
        </is>
      </c>
      <c r="K118" s="10" t="inlineStr">
        <is>
          <t>—</t>
        </is>
      </c>
      <c r="L118" s="11" t="inlineStr">
        <is>
          <t>—</t>
        </is>
      </c>
      <c r="M118" s="11" t="inlineStr">
        <is>
          <t>—</t>
        </is>
      </c>
      <c r="N118" s="11" t="inlineStr">
        <is>
          <t>Decyzja zapisana; karta węzła t1 pokazuje zapas kont co najmniej równy liczbie testerów bety; próbny zakup hostingu z konta testowego przechodzi przez selektor przed 18.10.</t>
        </is>
      </c>
      <c r="O118" s="11" t="inlineStr">
        <is>
          <t>D3 10.10 ok. 13:00 (karta węzła TEST-NRB-01): pula sprzedażowa wyczerpana przez dysk — przydzielone kontom 100 GB na 75 GB, zapas 0 kont. Po wznowieniu nowych kont 18.10 testerzy bety nie kupią hostingu. Decyzja właściciela (w toku): zmiana nadsubskrypcji dysku na t1 albo zmniejszenie przydziałów (np. usunięcie kont próbnych). Bramka handlowa (Z-12) działa zgodnie z kodem — to decyzja konfiguracyjna, nie błąd. Godziny: szacunek. | 2026-10-11 DECYZJA WŁAŚCICIELA: usunąć konta próbne na t1 (nie zmieniać nadsubskrypcji). | 2026-10-11 wieczorem: konto próbne o05 usunięte (Dominik); dla 2–3 testerów DECYZJA WŁAŚCICIELA: NADSUBSKRYPCJA t1 dysk ×3, CPU ×2, RAM ×5 → zapas ~3 konta.</t>
        </is>
      </c>
      <c r="P118" s="10" t="inlineStr">
        <is>
          <t>do zrobienia</t>
        </is>
      </c>
    </row>
    <row r="119">
      <c r="A119" s="10" t="inlineStr">
        <is>
          <t>P-15</t>
        </is>
      </c>
      <c r="B119" s="11" t="inlineStr">
        <is>
          <t>Podpisane DPA z subprocesorami (część)</t>
        </is>
      </c>
      <c r="C119" s="10" t="inlineStr">
        <is>
          <t>audyt</t>
        </is>
      </c>
      <c r="D119" s="10" t="inlineStr">
        <is>
          <t>P — Zgodność</t>
        </is>
      </c>
      <c r="E119" s="10" t="inlineStr">
        <is>
          <t>BLOKER STARTU</t>
        </is>
      </c>
      <c r="F119" s="10" t="n">
        <v>6</v>
      </c>
      <c r="G119" s="10" t="n">
        <v>17</v>
      </c>
      <c r="H119" s="10" t="inlineStr">
        <is>
          <t>Faza 3 — Wejście na rynek</t>
        </is>
      </c>
      <c r="I119" s="10" t="inlineStr">
        <is>
          <t>2026-11-23</t>
        </is>
      </c>
      <c r="J119" s="10" t="inlineStr">
        <is>
          <t>2026-11-27</t>
        </is>
      </c>
      <c r="K119" s="10" t="inlineStr">
        <is>
          <t>DZIAŁA</t>
        </is>
      </c>
      <c r="L119" s="11" t="inlineStr">
        <is>
          <t>docs/legal/dpa-subprocessors-tracking.md — tabela statusow po korekcie 2026-09-19. Stripe i AWS: DPA obowiazuje z mocy umowy glownej. Hetzner i Openprovider: akceptacja w panelu, jeszcze nie wykonana. Cloudflare: mechanizm do potwierdzenia.</t>
        </is>
      </c>
      <c r="M119" s="11" t="inlineStr">
        <is>
          <t>—</t>
        </is>
      </c>
      <c r="N119" s="11" t="inlineStr">
        <is>
          <t>Funkcja dostępna z panelu klienta bez wychodzenia do DirectAdmina; test uruchamiany w CI.</t>
        </is>
      </c>
      <c r="O119"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119" s="10" t="inlineStr">
        <is>
          <t>do zrobienia</t>
        </is>
      </c>
    </row>
    <row r="120">
      <c r="A120" s="10" t="inlineStr">
        <is>
          <t>N-14</t>
        </is>
      </c>
      <c r="B120" s="11" t="inlineStr">
        <is>
          <t>Cordon wysyłki poczty (auto-blokada spamu)</t>
        </is>
      </c>
      <c r="C120" s="10" t="inlineStr">
        <is>
          <t>audyt</t>
        </is>
      </c>
      <c r="D120" s="10" t="inlineStr">
        <is>
          <t>N — Wsparcie i ops</t>
        </is>
      </c>
      <c r="E120" s="10" t="inlineStr">
        <is>
          <t>WYSOKA</t>
        </is>
      </c>
      <c r="F120" s="10" t="n">
        <v>6</v>
      </c>
      <c r="G120" s="10" t="n">
        <v>17</v>
      </c>
      <c r="H120" s="10" t="inlineStr">
        <is>
          <t>Faza 3 — Wejście na rynek</t>
        </is>
      </c>
      <c r="I120" s="10" t="inlineStr">
        <is>
          <t>2026-11-23</t>
        </is>
      </c>
      <c r="J120" s="10" t="inlineStr">
        <is>
          <t>2026-11-27</t>
        </is>
      </c>
      <c r="K120" s="10" t="inlineStr">
        <is>
          <t>DZIAŁA</t>
        </is>
      </c>
      <c r="L120" s="11" t="inlineStr">
        <is>
          <t>2026-09-23: admin-panel /deliverability (Blokady wysyłki poczty, link w menu) → GET/POST /admin/deliverability/cordons; lista z e-mailem i nazwą klienta | 2026-10-10 (audyt paneli operatora, OC-10): kordon sprawdzany wyłącznie w module e-mail marketingu — email-marketing.service.ts:551,642 to jedyne wywołania assertNotCordoned/isCordoned; flaga w Redis (outbound-abuse.guard.ts:73-91) nie trafia do Exima ani do DA | 2026-10-11 D3: poczta-konta-operatora.service.ts:89 (zablokuj), :118 (zwolnij); test int poczta-konta-operatora.int-spec.ts; t1 d3.hvln.pl: mail() z PHP przed blokadą true (15:43:45), po „Zablokuj wysyłkę” false (15:45:24), kolejka konta i węzła 0 (15:46:15), po „Zwolnij” true (15:47:33); dziennik HOSTING_MAIL_SENDING_BLOCKED/UNBLOCKED + OUTBOUND_CORDON_APPLIED</t>
        </is>
      </c>
      <c r="M120" s="11" t="inlineStr">
        <is>
          <t>—</t>
        </is>
      </c>
      <c r="N120" s="11" t="inlineStr">
        <is>
          <t>Funkcja dostępna z panelu klienta bez wychodzenia do DirectAdmina; test uruchamiany w CI.</t>
        </is>
      </c>
      <c r="O120" s="11" t="inlineStr">
        <is>
          <t>mechanizm działa, operator nie może go zobaczyć ani zdjąć | Operator widzi kogo i dlaczego zablokowano oraz zdejmuje blokadę (ADMIN, z potwierdzeniem, audyt po stronie API). | 2026-10-10: DEGRADACJA (pass adwersaryjny audytu paneli operatora, OC-10 + OG-01): kordon zatrzymuje tylko kampanie z panelu; mail() z PHP i SMTP konta wysyłają dalej, a to, co już jest w kolejce Exima, i tak wychodzi. Na wspólnym IP węzła jedno konto psuje reputację wszystkim; zatrzymać spam z konta można dziś tylko zawieszeniem całej usługi. DECYZJA WŁAŚCICIELA D4 (10.10): blokada wysyłki konta + kolejka MTA to bloker przed otwartą betą 7.12. Warunek zamknięcia: „Zablokuj wysyłkę konta” / „Zwolnij” (limit DA albo blokada w Eximie per użytkownik) i „Usuń wiadomości konta z kolejki”; test na t1: mail() z PHP zablokowanego konta odrzucony, kolejka czysta. Realizacja: N-14 + PB-52 w sprincie 17. Zwalnianie kordonu zostaje tylko dla ADMIN. | 2026-10-11: warunek zamknięcia z D4 spełniony na t1 (PB-52) — flaga BLOKER STARTU zdjęta. Limit wysyłki 5/dobę i kolejka konta/węzła też sprawdzone na żywo.</t>
        </is>
      </c>
      <c r="P120" s="10" t="inlineStr">
        <is>
          <t>do zrobienia</t>
        </is>
      </c>
    </row>
    <row r="121">
      <c r="A121" s="10" t="inlineStr">
        <is>
          <t>PB-03</t>
        </is>
      </c>
      <c r="B121" s="11" t="inlineStr">
        <is>
          <t>Finalizacja dokumentów prawnych 1.0.0</t>
        </is>
      </c>
      <c r="C121" s="10" t="inlineStr">
        <is>
          <t>poza audytem</t>
        </is>
      </c>
      <c r="D121" s="10" t="inlineStr">
        <is>
          <t>Praca spoza audytu</t>
        </is>
      </c>
      <c r="E121" s="10" t="inlineStr">
        <is>
          <t>BLOKER BIZNESOWY</t>
        </is>
      </c>
      <c r="F121" s="10" t="n">
        <v>16</v>
      </c>
      <c r="G121" s="10" t="n">
        <v>17</v>
      </c>
      <c r="H121" s="10" t="inlineStr">
        <is>
          <t>Faza 3 — Wejście na rynek</t>
        </is>
      </c>
      <c r="I121" s="10" t="inlineStr">
        <is>
          <t>2026-11-23</t>
        </is>
      </c>
      <c r="J121" s="10" t="inlineStr">
        <is>
          <t>2026-11-27</t>
        </is>
      </c>
      <c r="K121" s="10" t="inlineStr">
        <is>
          <t>—</t>
        </is>
      </c>
      <c r="L121" s="11" t="inlineStr">
        <is>
          <t>—</t>
        </is>
      </c>
      <c r="M121" s="11" t="inlineStr">
        <is>
          <t>—</t>
        </is>
      </c>
      <c r="N121" s="11" t="inlineStr">
        <is>
          <t>Wszystkie dokumenty w statusie opublikowanym z numerem wersji i datą. Panel /legal nie pokazuje ani jednego „Dokument w przygotowaniu”.</t>
        </is>
      </c>
      <c r="O121"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 | 2026-10-06 OPUBLIKOWANE (prod-legal-publish-live.sh, właściciel): TERMS, PRIVACY, COOKIES, DPA v1.1.0 → isCurrent, obowiązują od 6.10.2026; panel /legal pokazuje cztery dokumenty z wersją i datą, żadnego „w przygotowaniu”; ponowna akceptacja przy wejściu działa (P-05). Po publikacji AI dla wszystkich (L-11/L-12). Zostaje po starcie: ClouDNS (zmiana z 30-dniowym powiadomieniem). ZAMKNIĘTE.</t>
        </is>
      </c>
      <c r="P121" s="10" t="inlineStr">
        <is>
          <t>do zrobienia</t>
        </is>
      </c>
    </row>
    <row r="122">
      <c r="A122" s="10" t="inlineStr">
        <is>
          <t>PB-04</t>
        </is>
      </c>
      <c r="B122" s="11" t="inlineStr">
        <is>
          <t>Procedura obsługi nadużyć (abuse) — dokument</t>
        </is>
      </c>
      <c r="C122" s="10" t="inlineStr">
        <is>
          <t>poza audytem</t>
        </is>
      </c>
      <c r="D122" s="10" t="inlineStr">
        <is>
          <t>Praca spoza audytu</t>
        </is>
      </c>
      <c r="E122" s="10" t="inlineStr">
        <is>
          <t>WYSOKI</t>
        </is>
      </c>
      <c r="F122" s="10" t="n">
        <v>8</v>
      </c>
      <c r="G122" s="10" t="n">
        <v>17</v>
      </c>
      <c r="H122" s="10" t="inlineStr">
        <is>
          <t>Faza 3 — Wejście na rynek</t>
        </is>
      </c>
      <c r="I122" s="10" t="inlineStr">
        <is>
          <t>2026-11-23</t>
        </is>
      </c>
      <c r="J122" s="10" t="inlineStr">
        <is>
          <t>2026-11-27</t>
        </is>
      </c>
      <c r="K122" s="10" t="inlineStr">
        <is>
          <t>—</t>
        </is>
      </c>
      <c r="L122" s="11" t="inlineStr">
        <is>
          <t>—</t>
        </is>
      </c>
      <c r="M122" s="11" t="inlineStr">
        <is>
          <t>—</t>
        </is>
      </c>
      <c r="N122" s="11" t="inlineStr">
        <is>
          <t>Dokument w ops/docs z właścicielem i czasami reakcji. Test: zgłoszenie wysłane na abuse@ trafia do kogoś i ma odpowiedź w deklarowanym czasie.</t>
        </is>
      </c>
      <c r="O122"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122" s="10" t="inlineStr">
        <is>
          <t>do zrobienia</t>
        </is>
      </c>
    </row>
    <row r="123">
      <c r="A123" s="10" t="inlineStr">
        <is>
          <t>PB-52</t>
        </is>
      </c>
      <c r="B123" s="11" t="inlineStr">
        <is>
          <t>Blokada wysyłki konta i kolejka MTA (bloker B3, decyzja D4)</t>
        </is>
      </c>
      <c r="C123" s="10" t="inlineStr">
        <is>
          <t>poza audytem</t>
        </is>
      </c>
      <c r="D123" s="10" t="inlineStr">
        <is>
          <t>Praca spoza audytu</t>
        </is>
      </c>
      <c r="E123" s="10" t="inlineStr">
        <is>
          <t>KRYTYCZNY</t>
        </is>
      </c>
      <c r="F123" s="10" t="n">
        <v>24</v>
      </c>
      <c r="G123" s="10" t="n">
        <v>17</v>
      </c>
      <c r="H123" s="10" t="inlineStr">
        <is>
          <t>Faza 3 — Wejście na rynek</t>
        </is>
      </c>
      <c r="I123" s="10" t="inlineStr">
        <is>
          <t>2026-11-23</t>
        </is>
      </c>
      <c r="J123" s="10" t="inlineStr">
        <is>
          <t>2026-11-27</t>
        </is>
      </c>
      <c r="K123" s="10" t="inlineStr">
        <is>
          <t>—</t>
        </is>
      </c>
      <c r="L123" s="11" t="inlineStr">
        <is>
          <t>—</t>
        </is>
      </c>
      <c r="M123" s="11" t="inlineStr">
        <is>
          <t>—</t>
        </is>
      </c>
      <c r="N123" s="11" t="inlineStr">
        <is>
          <t>Test na t1: mail() z PHP zablokowanego konta jest odrzucany, po „Usuń wiadomości konta” kolejka węzła jest czysta, „Zwolnij” przywraca wysyłkę; wpisy w dzienniku; N-14 → DZIAŁA z D3, flaga BLOKER zdjęta.</t>
        </is>
      </c>
      <c r="O123" s="11" t="inlineStr">
        <is>
          <t>Bloker operatora B3 z audytu paneli operatora (OC-10 + OG-01): kordon wysyłki działa tylko w module e-mail marketingu (email-marketing.service.ts:551,642), mail() z PHP i SMTP konta wysyłają dalej, a kolejka Exima i tak wychodzi; na wspólnym IP węzła jedno konto psuje reputację wszystkim. Decyzja właściciela D4 (10.10): bloker przed otwartą betą 7.12, bo wtedy na węźle pojawiają się cudze strony. Zakres F3.1 planu rozbudowy (30 h, z czego 6 h liczy pozycja N-14 w macierzy): „Zablokuj wysyłkę konta” / „Zwolnij” (limit DA albo blokada w Eximie per użytkownik), kolejka MTA węzła i konta (podgląd nagłówków, szukaj, usuń, wypchnij), limity wysyłki per konto, najwięksi nadawcy i odrzucenia, RBL na żądanie. Usunięcie wiadomości jest nieodwracalne — zawsze z podglądem i potwierdzeniem; treść maila tylko dla ADMIN z powodem. Uprawnienia: L2 kolejka konta, L3 blokada, NOC węzeł. TERMIN: przed otwartą betą 7.12. | 2026-10-11 D3 na t1: DoD spełnione (mail() zablokowanego konta odrzucony, kolejka czysta, zwolnienie przywraca wysyłkę, dziennik) — N-14 DZIAŁA, bloker zdjęty.</t>
        </is>
      </c>
      <c r="P123" s="10" t="inlineStr">
        <is>
          <t>do zrobienia</t>
        </is>
      </c>
    </row>
    <row r="124">
      <c r="A124" s="10" t="inlineStr">
        <is>
          <t>N-16</t>
        </is>
      </c>
      <c r="B124" s="11" t="inlineStr">
        <is>
          <t>SLA z zapisanymi kredytami</t>
        </is>
      </c>
      <c r="C124" s="10" t="inlineStr">
        <is>
          <t>audyt</t>
        </is>
      </c>
      <c r="D124" s="10" t="inlineStr">
        <is>
          <t>N — Wsparcie i ops</t>
        </is>
      </c>
      <c r="E124" s="10" t="inlineStr">
        <is>
          <t>WYSOKA</t>
        </is>
      </c>
      <c r="F124" s="10" t="n">
        <v>6</v>
      </c>
      <c r="G124" s="10" t="n">
        <v>18</v>
      </c>
      <c r="H124" s="10" t="inlineStr">
        <is>
          <t>Faza 3 — Wejście na rynek</t>
        </is>
      </c>
      <c r="I124" s="10" t="inlineStr">
        <is>
          <t>2026-11-30</t>
        </is>
      </c>
      <c r="J124" s="10" t="inlineStr">
        <is>
          <t>2026-12-04</t>
        </is>
      </c>
      <c r="K124" s="10" t="inlineStr">
        <is>
          <t>DZIAŁA</t>
        </is>
      </c>
      <c r="L124"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124" s="11" t="inlineStr">
        <is>
          <t>PB-03 (kredyty SLA muszą być zgodne z opublikowanym regulaminem)</t>
        </is>
      </c>
      <c r="N124" s="11" t="inlineStr">
        <is>
          <t>Funkcja dostępna z panelu klienta bez wychodzenia do DirectAdmina; test uruchamiany w CI.</t>
        </is>
      </c>
      <c r="O124"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124" s="10" t="inlineStr">
        <is>
          <t>do zrobienia</t>
        </is>
      </c>
    </row>
    <row r="125">
      <c r="A125" s="10" t="inlineStr">
        <is>
          <t>A-11</t>
        </is>
      </c>
      <c r="B125" s="11" t="inlineStr">
        <is>
          <t>Wyszukiwarka wolnych domen</t>
        </is>
      </c>
      <c r="C125" s="10" t="inlineStr">
        <is>
          <t>audyt</t>
        </is>
      </c>
      <c r="D125" s="10" t="inlineStr">
        <is>
          <t>A — Domeny i konta</t>
        </is>
      </c>
      <c r="E125" s="10" t="inlineStr">
        <is>
          <t>WYSOKA</t>
        </is>
      </c>
      <c r="F125" s="10" t="n">
        <v>6</v>
      </c>
      <c r="G125" s="10" t="n">
        <v>18</v>
      </c>
      <c r="H125" s="10" t="inlineStr">
        <is>
          <t>Faza 3 — Wejście na rynek</t>
        </is>
      </c>
      <c r="I125" s="10" t="inlineStr">
        <is>
          <t>2026-11-30</t>
        </is>
      </c>
      <c r="J125" s="10" t="inlineStr">
        <is>
          <t>2026-12-04</t>
        </is>
      </c>
      <c r="K125" s="10" t="inlineStr">
        <is>
          <t>DZIAŁA</t>
        </is>
      </c>
      <c r="L125" s="11" t="inlineStr">
        <is>
          <t>domains.controller.ts:54</t>
        </is>
      </c>
      <c r="M125" s="11" t="inlineStr">
        <is>
          <t>—</t>
        </is>
      </c>
      <c r="N125" s="11" t="inlineStr">
        <is>
          <t>Funkcja dostępna z panelu klienta bez wychodzenia do DirectAdmina; test uruchamiany w CI.</t>
        </is>
      </c>
      <c r="O125"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125" s="10" t="inlineStr">
        <is>
          <t>do zrobienia</t>
        </is>
      </c>
    </row>
    <row r="126">
      <c r="A126" s="10" t="inlineStr">
        <is>
          <t>PB-07</t>
        </is>
      </c>
      <c r="B126" s="11" t="inlineStr">
        <is>
          <t>Treści i cennik na verris.pl</t>
        </is>
      </c>
      <c r="C126" s="10" t="inlineStr">
        <is>
          <t>poza audytem</t>
        </is>
      </c>
      <c r="D126" s="10" t="inlineStr">
        <is>
          <t>Praca spoza audytu</t>
        </is>
      </c>
      <c r="E126" s="10" t="inlineStr">
        <is>
          <t>WYSOKI</t>
        </is>
      </c>
      <c r="F126" s="10" t="n">
        <v>16</v>
      </c>
      <c r="G126" s="10" t="n">
        <v>18</v>
      </c>
      <c r="H126" s="10" t="inlineStr">
        <is>
          <t>Faza 3 — Wejście na rynek</t>
        </is>
      </c>
      <c r="I126" s="10" t="inlineStr">
        <is>
          <t>2026-11-30</t>
        </is>
      </c>
      <c r="J126" s="10" t="inlineStr">
        <is>
          <t>2026-12-04</t>
        </is>
      </c>
      <c r="K126" s="10" t="inlineStr">
        <is>
          <t>—</t>
        </is>
      </c>
      <c r="L126" s="11" t="inlineStr">
        <is>
          <t>—</t>
        </is>
      </c>
      <c r="M126" s="11" t="inlineStr">
        <is>
          <t>PB-01 (cennik zależy od unit economics)</t>
        </is>
      </c>
      <c r="N126" s="11" t="inlineStr">
        <is>
          <t>Cennik zgodny z wynikiem PB-01. Specyfikacja techniczna publiczna, jak u cyber_Folks — to jest element zaufania, którego rynek oczekuje.</t>
        </is>
      </c>
      <c r="O126"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126" s="10" t="inlineStr">
        <is>
          <t>do zrobienia</t>
        </is>
      </c>
    </row>
    <row r="127">
      <c r="A127" s="10" t="inlineStr">
        <is>
          <t>PB-11</t>
        </is>
      </c>
      <c r="B127" s="11" t="inlineStr">
        <is>
          <t>Bus factor: drugi kanał alertów i procedura zastępstwa</t>
        </is>
      </c>
      <c r="C127" s="10" t="inlineStr">
        <is>
          <t>poza audytem</t>
        </is>
      </c>
      <c r="D127" s="10" t="inlineStr">
        <is>
          <t>Praca spoza audytu</t>
        </is>
      </c>
      <c r="E127" s="10" t="inlineStr">
        <is>
          <t>WYSOKI</t>
        </is>
      </c>
      <c r="F127" s="10" t="n">
        <v>8</v>
      </c>
      <c r="G127" s="10" t="n">
        <v>18</v>
      </c>
      <c r="H127" s="10" t="inlineStr">
        <is>
          <t>Faza 3 — Wejście na rynek</t>
        </is>
      </c>
      <c r="I127" s="10" t="inlineStr">
        <is>
          <t>2026-11-30</t>
        </is>
      </c>
      <c r="J127" s="10" t="inlineStr">
        <is>
          <t>2026-12-04</t>
        </is>
      </c>
      <c r="K127" s="10" t="inlineStr">
        <is>
          <t>—</t>
        </is>
      </c>
      <c r="L127" s="11" t="inlineStr">
        <is>
          <t>—</t>
        </is>
      </c>
      <c r="M127" s="11" t="inlineStr">
        <is>
          <t>—</t>
        </is>
      </c>
      <c r="N127" s="11" t="inlineStr">
        <is>
          <t>Alert testowy dociera dwoma kanałami. Dokument zastępstwa zawiera dostęp awaryjny i listę rzeczy, które muszą się dziać codziennie.</t>
        </is>
      </c>
      <c r="O127"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127" s="10" t="inlineStr">
        <is>
          <t>do zrobienia</t>
        </is>
      </c>
    </row>
    <row r="128">
      <c r="A128" s="10" t="inlineStr">
        <is>
          <t>PB-21</t>
        </is>
      </c>
      <c r="B128" s="11" t="inlineStr">
        <is>
          <t>DNS platformy i poczty na serwerze testowym</t>
        </is>
      </c>
      <c r="C128" s="10" t="inlineStr">
        <is>
          <t>poza audytem</t>
        </is>
      </c>
      <c r="D128" s="10" t="inlineStr">
        <is>
          <t>Praca spoza audytu</t>
        </is>
      </c>
      <c r="E128" s="10" t="inlineStr">
        <is>
          <t>WYSOKI</t>
        </is>
      </c>
      <c r="F128" s="10" t="n">
        <v>6</v>
      </c>
      <c r="G128" s="10" t="n">
        <v>18</v>
      </c>
      <c r="H128" s="10" t="inlineStr">
        <is>
          <t>Faza 3 — Wejście na rynek</t>
        </is>
      </c>
      <c r="I128" s="10" t="inlineStr">
        <is>
          <t>2026-11-30</t>
        </is>
      </c>
      <c r="J128" s="10" t="inlineStr">
        <is>
          <t>2026-12-04</t>
        </is>
      </c>
      <c r="K128" s="10" t="inlineStr">
        <is>
          <t>—</t>
        </is>
      </c>
      <c r="L128" s="11" t="inlineStr">
        <is>
          <t>—</t>
        </is>
      </c>
      <c r="M128" s="11" t="inlineStr">
        <is>
          <t>—</t>
        </is>
      </c>
      <c r="N128"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128"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 | ZAMKNIĘTE 2026-10-04 (D3 t1): NS platformy ns3/ns4.verris.pl (delegacja d3.hvln.pl, „Tryb NS: poprawny”); rekord dodany/usunięty bez duplikatu (F-01/F-02 30.09, usunięcie _dmarc 04.10 — serial strefy 2026100401); rozmiar skrzynki bez zmiany hasła (E-05); DKIM ze strefy, SPF/DMARC z kreatora (E-15/16/17); verris.pl jeden DMARC (p=none usunięty w OVH przez właściciela); decyzja: bez _spf.verris.pl (docs/VERRIS.md, 8bb0ea30). Przy okazji: raport poczty czytał strefę z cache resolvera (TTL 3600) — poprawka e7b47f48; naprawa asystenta (PB-17) do powtórki po wdrożeniu.</t>
        </is>
      </c>
      <c r="P128" s="10" t="inlineStr">
        <is>
          <t>do zrobienia</t>
        </is>
      </c>
    </row>
    <row r="129">
      <c r="A129" s="10" t="inlineStr">
        <is>
          <t>PB-24</t>
        </is>
      </c>
      <c r="B129" s="11" t="inlineStr">
        <is>
          <t>KSC/NIS2: wpis do wykazu podmiotów kluczowych</t>
        </is>
      </c>
      <c r="C129" s="10" t="inlineStr">
        <is>
          <t>poza audytem</t>
        </is>
      </c>
      <c r="D129" s="10" t="inlineStr">
        <is>
          <t>Praca spoza audytu</t>
        </is>
      </c>
      <c r="E129" s="10" t="inlineStr">
        <is>
          <t>WYSOKI</t>
        </is>
      </c>
      <c r="F129" s="10" t="n">
        <v>3</v>
      </c>
      <c r="G129" s="10" t="n">
        <v>18</v>
      </c>
      <c r="H129" s="10" t="inlineStr">
        <is>
          <t>Faza 3 — Wejście na rynek</t>
        </is>
      </c>
      <c r="I129" s="10" t="inlineStr">
        <is>
          <t>2026-11-30</t>
        </is>
      </c>
      <c r="J129" s="10" t="inlineStr">
        <is>
          <t>2026-12-04</t>
        </is>
      </c>
      <c r="K129" s="10" t="inlineStr">
        <is>
          <t>—</t>
        </is>
      </c>
      <c r="L129" s="11" t="inlineStr">
        <is>
          <t>—</t>
        </is>
      </c>
      <c r="M129" s="11" t="inlineStr">
        <is>
          <t>—</t>
        </is>
      </c>
      <c r="N129" s="11" t="inlineStr">
        <is>
          <t>Wpis w wykazie przed upływem 6 miesięcy od pierwszej domeny/DNS dla klienta; termin zapisany w tym zadaniu z datą.</t>
        </is>
      </c>
      <c r="O129"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29" s="10" t="inlineStr">
        <is>
          <t>do zrobienia</t>
        </is>
      </c>
    </row>
    <row r="130">
      <c r="A130" s="10" t="inlineStr">
        <is>
          <t>PB-25</t>
        </is>
      </c>
      <c r="B130" s="11" t="inlineStr">
        <is>
          <t>White label na węźle — klient nie widzi DirectAdmina</t>
        </is>
      </c>
      <c r="C130" s="10" t="inlineStr">
        <is>
          <t>poza audytem</t>
        </is>
      </c>
      <c r="D130" s="10" t="inlineStr">
        <is>
          <t>Praca spoza audytu</t>
        </is>
      </c>
      <c r="E130" s="10" t="inlineStr">
        <is>
          <t>WYSOKI</t>
        </is>
      </c>
      <c r="F130" s="10" t="n">
        <v>8</v>
      </c>
      <c r="G130" s="10" t="n">
        <v>18</v>
      </c>
      <c r="H130" s="10" t="inlineStr">
        <is>
          <t>Faza 3 — Wejście na rynek</t>
        </is>
      </c>
      <c r="I130" s="10" t="inlineStr">
        <is>
          <t>2026-11-30</t>
        </is>
      </c>
      <c r="J130" s="10" t="inlineStr">
        <is>
          <t>2026-12-04</t>
        </is>
      </c>
      <c r="K130" s="10" t="inlineStr">
        <is>
          <t>—</t>
        </is>
      </c>
      <c r="L130" s="11" t="inlineStr">
        <is>
          <t>—</t>
        </is>
      </c>
      <c r="M130" s="11" t="inlineStr">
        <is>
          <t>—</t>
        </is>
      </c>
      <c r="N130" s="11" t="inlineStr">
        <is>
          <t>Na węźle #1: logowanie do panelu hostingowego, phpMyAdmin i webmaila z panelu klienta nie pokazuje nazwy ani portu DirectAdmina; nowa domena i konto zawieszone pokazują strony Verris; zrzuty w dowodzie.</t>
        </is>
      </c>
      <c r="O130"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 | ZAMKNIĘTE 2026-10-04 (D3 na węźle testowym t1; na węźle #1 to samo przychodzi z profilu — kontrola w PB-02): phpMyAdmin z panelu (jednorazowy link) i webmail bez nazwy/portu DirectAdmina; linki do panelu DA puste z API; zawieszone konto → „Strona tymczasowo niedostępna” (verris-suspended-page), odwieszenie bez obciążenia; nowa poddomena wl3.d3.hvln.pl → „Witamy na stronie … hosting verris” po haku subdomain_create_post (b2ead35 + 0f7f032 dla układu DA 1.710). Uwaga: adres phpMyAdmin/webmaila to nazwa węzła (t1.verris.pl). | 2026-10-09: white label także w metodologii raportu EKO i e-mailu o zmianie planu — bez nazw oprogramowania węzła (414d4937, test biala-etykieta-teksty-klienta.spec.ts).</t>
        </is>
      </c>
      <c r="P130" s="10" t="inlineStr">
        <is>
          <t>do zrobienia</t>
        </is>
      </c>
    </row>
    <row r="131">
      <c r="A131" s="10" t="inlineStr">
        <is>
          <t>PB-06</t>
        </is>
      </c>
      <c r="B131" s="11" t="inlineStr">
        <is>
          <t>Landing /przenies-strone</t>
        </is>
      </c>
      <c r="C131" s="10" t="inlineStr">
        <is>
          <t>poza audytem</t>
        </is>
      </c>
      <c r="D131" s="10" t="inlineStr">
        <is>
          <t>Praca spoza audytu</t>
        </is>
      </c>
      <c r="E131" s="10" t="inlineStr">
        <is>
          <t>WYSOKI</t>
        </is>
      </c>
      <c r="F131" s="10" t="n">
        <v>16</v>
      </c>
      <c r="G131" s="10" t="n">
        <v>19</v>
      </c>
      <c r="H131" s="10" t="inlineStr">
        <is>
          <t>Faza 3 — Wejście na rynek</t>
        </is>
      </c>
      <c r="I131" s="10" t="inlineStr">
        <is>
          <t>2026-11-30</t>
        </is>
      </c>
      <c r="J131" s="10" t="inlineStr">
        <is>
          <t>2026-12-04</t>
        </is>
      </c>
      <c r="K131" s="10" t="inlineStr">
        <is>
          <t>—</t>
        </is>
      </c>
      <c r="L131" s="11" t="inlineStr">
        <is>
          <t>—</t>
        </is>
      </c>
      <c r="M131" s="11" t="inlineStr">
        <is>
          <t>PB-07 (landing korzysta z ustalonego cennika)</t>
        </is>
      </c>
      <c r="N131" s="11" t="inlineStr">
        <is>
          <t>Strona opublikowana, pomiar działa, formularz i CTA prowadzą do rejestracji. Żadne twierdzenie na stronie nie jest oznaczone w macierzy jako LUKA lub ATRAPA.</t>
        </is>
      </c>
      <c r="O131"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31" s="10" t="inlineStr">
        <is>
          <t>do zrobienia</t>
        </is>
      </c>
    </row>
    <row r="132">
      <c r="A132" s="10" t="inlineStr">
        <is>
          <t>PB-09</t>
        </is>
      </c>
      <c r="B132" s="11" t="inlineStr">
        <is>
          <t>Baza wiedzy — 20 artykułów startowych</t>
        </is>
      </c>
      <c r="C132" s="10" t="inlineStr">
        <is>
          <t>poza audytem</t>
        </is>
      </c>
      <c r="D132" s="10" t="inlineStr">
        <is>
          <t>Praca spoza audytu</t>
        </is>
      </c>
      <c r="E132" s="10" t="inlineStr">
        <is>
          <t>ŚREDNI</t>
        </is>
      </c>
      <c r="F132" s="10" t="n">
        <v>16</v>
      </c>
      <c r="G132" s="10" t="n">
        <v>19</v>
      </c>
      <c r="H132" s="10" t="inlineStr">
        <is>
          <t>Faza 3 — Wejście na rynek</t>
        </is>
      </c>
      <c r="I132" s="10" t="inlineStr">
        <is>
          <t>2026-11-30</t>
        </is>
      </c>
      <c r="J132" s="10" t="inlineStr">
        <is>
          <t>2026-12-04</t>
        </is>
      </c>
      <c r="K132" s="10" t="inlineStr">
        <is>
          <t>—</t>
        </is>
      </c>
      <c r="L132" s="11" t="inlineStr">
        <is>
          <t>—</t>
        </is>
      </c>
      <c r="M132" s="11" t="inlineStr">
        <is>
          <t>—</t>
        </is>
      </c>
      <c r="N132" s="11" t="inlineStr">
        <is>
          <t>20 artykułów opublikowanych i zaindeksowanych do asystenta AI. Każdy opisuje funkcję, która w macierzy ma status DZIAŁA.</t>
        </is>
      </c>
      <c r="O132"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32" s="10" t="inlineStr">
        <is>
          <t>do zrobienia</t>
        </is>
      </c>
    </row>
    <row r="133">
      <c r="A133" s="10" t="inlineStr">
        <is>
          <t>PB-19</t>
        </is>
      </c>
      <c r="B133" s="11" t="inlineStr">
        <is>
          <t>Widok strony: ruch, TTFB, błędy 5xx, technologia i logi z węzła</t>
        </is>
      </c>
      <c r="C133" s="10" t="inlineStr">
        <is>
          <t>poza audytem</t>
        </is>
      </c>
      <c r="D133" s="10" t="inlineStr">
        <is>
          <t>Praca spoza audytu</t>
        </is>
      </c>
      <c r="E133" s="10" t="inlineStr">
        <is>
          <t>ŚREDNI</t>
        </is>
      </c>
      <c r="F133" s="10" t="n">
        <v>24</v>
      </c>
      <c r="G133" s="10" t="n">
        <v>19</v>
      </c>
      <c r="H133" s="10" t="inlineStr">
        <is>
          <t>Faza 3 — Wejście na rynek</t>
        </is>
      </c>
      <c r="I133" s="10" t="inlineStr">
        <is>
          <t>2026-11-30</t>
        </is>
      </c>
      <c r="J133" s="10" t="inlineStr">
        <is>
          <t>2026-12-04</t>
        </is>
      </c>
      <c r="K133" s="10" t="inlineStr">
        <is>
          <t>—</t>
        </is>
      </c>
      <c r="L133" s="11" t="inlineStr">
        <is>
          <t>—</t>
        </is>
      </c>
      <c r="M133" s="11" t="inlineStr">
        <is>
          <t>—</t>
        </is>
      </c>
      <c r="N133" s="11" t="inlineStr">
        <is>
          <t>Na działającym węźle produkcyjnym: widok strony pokazuje ruch 7 dni, TTFB i 5xx z prawdziwych logów, wykrytą technologię i zakładkę „Logi”; brak danych = „—”, nie zero; testy parsera logów i detekcji technologii w CI; sprawdzone na D3 (serwer).</t>
        </is>
      </c>
      <c r="O133"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33" s="10" t="inlineStr">
        <is>
          <t>do zrobienia</t>
        </is>
      </c>
    </row>
    <row r="134">
      <c r="A134" s="10" t="inlineStr">
        <is>
          <t>PB-12</t>
        </is>
      </c>
      <c r="B134" s="11" t="inlineStr">
        <is>
          <t>Runbook startu i decyzja GO</t>
        </is>
      </c>
      <c r="C134" s="10" t="inlineStr">
        <is>
          <t>poza audytem</t>
        </is>
      </c>
      <c r="D134" s="10" t="inlineStr">
        <is>
          <t>Praca spoza audytu</t>
        </is>
      </c>
      <c r="E134" s="10" t="inlineStr">
        <is>
          <t>BLOKER BIZNESOWY</t>
        </is>
      </c>
      <c r="F134" s="10" t="n">
        <v>8</v>
      </c>
      <c r="G134" s="10" t="n">
        <v>20</v>
      </c>
      <c r="H134" s="10" t="inlineStr"/>
      <c r="I134" s="10" t="inlineStr">
        <is>
          <t>2027-01-04</t>
        </is>
      </c>
      <c r="J134" s="10" t="inlineStr">
        <is>
          <t>2027-01-08</t>
        </is>
      </c>
      <c r="K134" s="10" t="inlineStr">
        <is>
          <t>—</t>
        </is>
      </c>
      <c r="L134" s="11" t="inlineStr">
        <is>
          <t>—</t>
        </is>
      </c>
      <c r="M134" s="11" t="inlineStr">
        <is>
          <t>PB-05 (decyzja GO po przejściu ścieżki na produkcji)</t>
        </is>
      </c>
      <c r="N134" s="11" t="inlineStr">
        <is>
          <t>Każdy z 11 blokerów ma wpis: co zrobiono, gdzie jest dowód, kto potwierdził. Bez formuły „warunkowe GO”.</t>
        </is>
      </c>
      <c r="O134" s="11" t="inlineStr">
        <is>
          <t>Domknięcie: przegląd wszystkich blokerów z dowodem zamknięcia, decyzja GO/NO-GO zapisana z datą.</t>
        </is>
      </c>
      <c r="P134" s="10" t="inlineStr">
        <is>
          <t>do zrobienia</t>
        </is>
      </c>
    </row>
    <row r="135">
      <c r="A135" s="10" t="inlineStr">
        <is>
          <t>PB-10</t>
        </is>
      </c>
      <c r="B135" s="11" t="inlineStr">
        <is>
          <t>Kampania gads-search-hosting-202607 — uruchomienie</t>
        </is>
      </c>
      <c r="C135" s="10" t="inlineStr">
        <is>
          <t>poza audytem</t>
        </is>
      </c>
      <c r="D135" s="10" t="inlineStr">
        <is>
          <t>Praca spoza audytu</t>
        </is>
      </c>
      <c r="E135" s="10" t="inlineStr">
        <is>
          <t>ŚREDNI</t>
        </is>
      </c>
      <c r="F135" s="10" t="n">
        <v>8</v>
      </c>
      <c r="G135" s="10" t="n">
        <v>20</v>
      </c>
      <c r="H135" s="10" t="inlineStr"/>
      <c r="I135" s="10" t="inlineStr">
        <is>
          <t>2027-01-04</t>
        </is>
      </c>
      <c r="J135" s="10" t="inlineStr">
        <is>
          <t>2027-01-08</t>
        </is>
      </c>
      <c r="K135" s="10" t="inlineStr">
        <is>
          <t>—</t>
        </is>
      </c>
      <c r="L135" s="11" t="inlineStr">
        <is>
          <t>—</t>
        </is>
      </c>
      <c r="M135" s="11" t="inlineStr">
        <is>
          <t>PB-06 (kampania kieruje na landing)</t>
        </is>
      </c>
      <c r="N135" s="11" t="inlineStr">
        <is>
          <t>Kampania utworzona wstrzymana, konwersje podpięte, budżet i stawki ustawione. Start dopiero po PB-05.</t>
        </is>
      </c>
      <c r="O135" s="11" t="inlineStr">
        <is>
          <t>Konfiguracja kampanii wyszukiwarkowej, budżet 500–1000 zł/mies., oś przekazu: migracja bez przestoju.</t>
        </is>
      </c>
      <c r="P135" s="10" t="inlineStr">
        <is>
          <t>do zrobienia</t>
        </is>
      </c>
    </row>
    <row r="136">
      <c r="A136" s="10" t="inlineStr">
        <is>
          <t>Z-18</t>
        </is>
      </c>
      <c r="B136" s="11" t="inlineStr">
        <is>
          <t>Prawdziwa przyczyna błędu provisioningu nie ginie po drodze (część)</t>
        </is>
      </c>
      <c r="C136" s="10" t="inlineStr">
        <is>
          <t>audyt</t>
        </is>
      </c>
      <c r="D136" s="10" t="inlineStr">
        <is>
          <t>Z — Pass adwersaryjny</t>
        </is>
      </c>
      <c r="E136" s="10" t="inlineStr">
        <is>
          <t>BLOKER STARTU</t>
        </is>
      </c>
      <c r="F136" s="10" t="n">
        <v>2</v>
      </c>
      <c r="G136" s="10" t="n">
        <v>21</v>
      </c>
      <c r="H136" s="10" t="inlineStr"/>
      <c r="I136" s="10" t="inlineStr">
        <is>
          <t>2026-11-09</t>
        </is>
      </c>
      <c r="J136" s="10" t="inlineStr">
        <is>
          <t>2026-11-13</t>
        </is>
      </c>
      <c r="K136" s="10" t="inlineStr">
        <is>
          <t>DZIAŁA</t>
        </is>
      </c>
      <c r="L13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36" s="11" t="inlineStr">
        <is>
          <t>—</t>
        </is>
      </c>
      <c r="N136" s="11" t="inlineStr">
        <is>
          <t>Funkcja dostępna z panelu klienta bez wychodzenia do DirectAdmina; test uruchamiany w CI.</t>
        </is>
      </c>
      <c r="O13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c r="P136" s="10" t="inlineStr">
        <is>
          <t>do zrobienia</t>
        </is>
      </c>
    </row>
    <row r="137">
      <c r="A137" s="10" t="inlineStr">
        <is>
          <t>J-01</t>
        </is>
      </c>
      <c r="B137" s="11" t="inlineStr">
        <is>
          <t>LiteSpeed / serwer o wysokiej wydajności</t>
        </is>
      </c>
      <c r="C137" s="10" t="inlineStr">
        <is>
          <t>audyt</t>
        </is>
      </c>
      <c r="D137" s="10" t="inlineStr">
        <is>
          <t>J — Wydajność i cache</t>
        </is>
      </c>
      <c r="E137" s="10" t="inlineStr">
        <is>
          <t>WYSOKA</t>
        </is>
      </c>
      <c r="F137" s="10" t="n">
        <v>6</v>
      </c>
      <c r="G137" s="10" t="n">
        <v>21</v>
      </c>
      <c r="H137" s="10" t="inlineStr"/>
      <c r="I137" s="10" t="inlineStr">
        <is>
          <t>2026-11-09</t>
        </is>
      </c>
      <c r="J137" s="10" t="inlineStr">
        <is>
          <t>2026-11-13</t>
        </is>
      </c>
      <c r="K137" s="10" t="inlineStr">
        <is>
          <t>DZIAŁA</t>
        </is>
      </c>
      <c r="L137" s="11" t="inlineStr">
        <is>
          <t>decyzja infrastrukturalna, poza kodem panelu; D3 t1 29.09 (panel klienta, d3.hvln.pl): LiteSpeed Enterprise (Server: LiteSpeed), CacheRoot z profilu [OK], strona główna WordPressa z x-litespeed-cache: hit</t>
        </is>
      </c>
      <c r="M137" s="11" t="inlineStr">
        <is>
          <t>—</t>
        </is>
      </c>
      <c r="N137" s="11" t="inlineStr">
        <is>
          <t>Funkcja dostępna z panelu klienta bez wychodzenia do DirectAdmina; test uruchamiany w CI.</t>
        </is>
      </c>
      <c r="O137"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37" s="10" t="inlineStr">
        <is>
          <t>do zrobienia</t>
        </is>
      </c>
    </row>
    <row r="138">
      <c r="A138" s="10" t="inlineStr">
        <is>
          <t>J-04</t>
        </is>
      </c>
      <c r="B138" s="11" t="inlineStr">
        <is>
          <t>HTTP/3</t>
        </is>
      </c>
      <c r="C138" s="10" t="inlineStr">
        <is>
          <t>audyt</t>
        </is>
      </c>
      <c r="D138" s="10" t="inlineStr">
        <is>
          <t>J — Wydajność i cache</t>
        </is>
      </c>
      <c r="E138" s="10" t="inlineStr">
        <is>
          <t>ŚREDNIA</t>
        </is>
      </c>
      <c r="F138" s="10" t="n">
        <v>6</v>
      </c>
      <c r="G138" s="10" t="n">
        <v>21</v>
      </c>
      <c r="H138" s="10" t="inlineStr"/>
      <c r="I138" s="10" t="inlineStr">
        <is>
          <t>2026-11-09</t>
        </is>
      </c>
      <c r="J138" s="10" t="inlineStr">
        <is>
          <t>2026-11-13</t>
        </is>
      </c>
      <c r="K138" s="10" t="inlineStr">
        <is>
          <t>DZIAŁA</t>
        </is>
      </c>
      <c r="L138"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38" s="11" t="inlineStr">
        <is>
          <t>—</t>
        </is>
      </c>
      <c r="N138" s="11" t="inlineStr">
        <is>
          <t>Funkcja dostępna z panelu klienta bez wychodzenia do DirectAdmina; test uruchamiany w CI.</t>
        </is>
      </c>
      <c r="O138"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38" s="10" t="inlineStr">
        <is>
          <t>do zrobienia</t>
        </is>
      </c>
    </row>
    <row r="139">
      <c r="A139" s="10" t="inlineStr">
        <is>
          <t>B-01</t>
        </is>
      </c>
      <c r="B139" s="11" t="inlineStr">
        <is>
          <t>Zmiana wersji PHP dla całego konta</t>
        </is>
      </c>
      <c r="C139" s="10" t="inlineStr">
        <is>
          <t>audyt</t>
        </is>
      </c>
      <c r="D139" s="10" t="inlineStr">
        <is>
          <t>B — Runtime WWW</t>
        </is>
      </c>
      <c r="E139" s="10" t="inlineStr">
        <is>
          <t>—</t>
        </is>
      </c>
      <c r="F139" s="10" t="n">
        <v>6</v>
      </c>
      <c r="G139" s="10" t="n">
        <v>21</v>
      </c>
      <c r="H139" s="10" t="inlineStr"/>
      <c r="I139" s="10" t="inlineStr">
        <is>
          <t>2026-11-09</t>
        </is>
      </c>
      <c r="J139" s="10" t="inlineStr">
        <is>
          <t>2026-11-13</t>
        </is>
      </c>
      <c r="K139" s="10" t="inlineStr">
        <is>
          <t>DZIAŁA</t>
        </is>
      </c>
      <c r="L139"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39" s="11" t="inlineStr">
        <is>
          <t>—</t>
        </is>
      </c>
      <c r="N139" s="11" t="inlineStr">
        <is>
          <t>Funkcja dostępna z panelu klienta bez wychodzenia do DirectAdmina; test uruchamiany w CI.</t>
        </is>
      </c>
      <c r="O139"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39" s="10" t="inlineStr">
        <is>
          <t>do zrobienia</t>
        </is>
      </c>
    </row>
    <row r="140">
      <c r="A140" s="10" t="inlineStr">
        <is>
          <t>PB-02</t>
        </is>
      </c>
      <c r="B140" s="11" t="inlineStr">
        <is>
          <t>Onboarding produkcyjnego węzła #1 (Hetzner AX102)</t>
        </is>
      </c>
      <c r="C140" s="10" t="inlineStr">
        <is>
          <t>poza audytem</t>
        </is>
      </c>
      <c r="D140" s="10" t="inlineStr">
        <is>
          <t>Praca spoza audytu</t>
        </is>
      </c>
      <c r="E140" s="10" t="inlineStr">
        <is>
          <t>WYSOKI</t>
        </is>
      </c>
      <c r="F140" s="10" t="n">
        <v>16</v>
      </c>
      <c r="G140" s="10" t="n">
        <v>21</v>
      </c>
      <c r="H140" s="10" t="inlineStr"/>
      <c r="I140" s="10" t="inlineStr">
        <is>
          <t>2026-11-09</t>
        </is>
      </c>
      <c r="J140" s="10" t="inlineStr">
        <is>
          <t>2026-11-13</t>
        </is>
      </c>
      <c r="K140" s="10" t="inlineStr">
        <is>
          <t>—</t>
        </is>
      </c>
      <c r="L140" s="11" t="inlineStr">
        <is>
          <t>—</t>
        </is>
      </c>
      <c r="M140" s="11" t="inlineStr">
        <is>
          <t>—</t>
        </is>
      </c>
      <c r="N140" s="11" t="inlineStr">
        <is>
          <t>Węzeł przechodzi wszystkie 14 checków live-readiness. /etc/verris-backup.conf istnieje, pierwszy backup off-site wykonany i zaraportowany do control-plane.</t>
        </is>
      </c>
      <c r="O140" s="11" t="inlineStr">
        <is>
          <t>Pełny przebieg node-onboard-live.sh na docelowym serwerze, z konfiguracją backupu off-site jako krokiem obowiązkowym.</t>
        </is>
      </c>
      <c r="P140" s="10" t="inlineStr">
        <is>
          <t>do zrobienia</t>
        </is>
      </c>
    </row>
    <row r="141">
      <c r="A141" s="10" t="inlineStr">
        <is>
          <t>PB-29</t>
        </is>
      </c>
      <c r="B141" s="11" t="inlineStr">
        <is>
          <t>Węzeł: blokery bezpieczeństwa i stabilności</t>
        </is>
      </c>
      <c r="C141" s="10" t="inlineStr">
        <is>
          <t>poza audytem</t>
        </is>
      </c>
      <c r="D141" s="10" t="inlineStr">
        <is>
          <t>Praca spoza audytu</t>
        </is>
      </c>
      <c r="E141" s="10" t="inlineStr">
        <is>
          <t>KRYTYCZNY</t>
        </is>
      </c>
      <c r="F141" s="10" t="n">
        <v>12</v>
      </c>
      <c r="G141" s="10" t="n">
        <v>21</v>
      </c>
      <c r="H141" s="10" t="inlineStr"/>
      <c r="I141" s="10" t="inlineStr">
        <is>
          <t>2026-11-09</t>
        </is>
      </c>
      <c r="J141" s="10" t="inlineStr">
        <is>
          <t>2026-11-13</t>
        </is>
      </c>
      <c r="K141" s="10" t="inlineStr">
        <is>
          <t>—</t>
        </is>
      </c>
      <c r="L141" s="11" t="inlineStr">
        <is>
          <t>—</t>
        </is>
      </c>
      <c r="M141" s="11" t="inlineStr">
        <is>
          <t>—</t>
        </is>
      </c>
      <c r="N141" s="11" t="inlineStr">
        <is>
          <t>Nowy węzeł nie dostaje kont przed zieloną weryfikacją; skrypty przechodzą test na węźle testowym (D3).</t>
        </is>
      </c>
      <c r="O141"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41" s="10" t="inlineStr">
        <is>
          <t>do zrobienia</t>
        </is>
      </c>
    </row>
    <row r="142">
      <c r="A142" s="10" t="inlineStr">
        <is>
          <t>PB-36</t>
        </is>
      </c>
      <c r="B142" s="11" t="inlineStr">
        <is>
          <t>Podpisane skrypty węzła i klucz SSH ograniczony do control-plane</t>
        </is>
      </c>
      <c r="C142" s="10" t="inlineStr">
        <is>
          <t>poza audytem</t>
        </is>
      </c>
      <c r="D142" s="10" t="inlineStr">
        <is>
          <t>Praca spoza audytu</t>
        </is>
      </c>
      <c r="E142" s="10" t="inlineStr">
        <is>
          <t>KRYTYCZNY</t>
        </is>
      </c>
      <c r="F142" s="10" t="n">
        <v>10</v>
      </c>
      <c r="G142" s="10" t="n">
        <v>21</v>
      </c>
      <c r="H142" s="10" t="inlineStr"/>
      <c r="I142" s="10" t="inlineStr">
        <is>
          <t>2026-11-09</t>
        </is>
      </c>
      <c r="J142" s="10" t="inlineStr">
        <is>
          <t>2026-11-13</t>
        </is>
      </c>
      <c r="K142" s="10" t="inlineStr">
        <is>
          <t>—</t>
        </is>
      </c>
      <c r="L142" s="11" t="inlineStr">
        <is>
          <t>—</t>
        </is>
      </c>
      <c r="M142" s="11" t="inlineStr">
        <is>
          <t>—</t>
        </is>
      </c>
      <c r="N142" s="11" t="inlineStr">
        <is>
          <t>Niepodpisany/zmieniony skrypt odrzucony przez węzeł; authorized_keys zawiera tylko aktualny klucz z ograniczeniem IP.</t>
        </is>
      </c>
      <c r="O142"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42" s="10" t="inlineStr">
        <is>
          <t>do zrobienia</t>
        </is>
      </c>
    </row>
    <row r="143">
      <c r="A143" s="10" t="inlineStr">
        <is>
          <t>PB-53.2</t>
        </is>
      </c>
      <c r="B143" s="11" t="inlineStr">
        <is>
          <t>F3.2 Bezpieczeństwo węzła</t>
        </is>
      </c>
      <c r="C143" s="10" t="inlineStr">
        <is>
          <t>poza audytem</t>
        </is>
      </c>
      <c r="D143" s="10" t="inlineStr">
        <is>
          <t>Praca spoza audytu</t>
        </is>
      </c>
      <c r="E143" s="10" t="inlineStr">
        <is>
          <t>WYSOKI</t>
        </is>
      </c>
      <c r="F143" s="10" t="n">
        <v>28</v>
      </c>
      <c r="G143" s="10" t="n">
        <v>21</v>
      </c>
      <c r="H143" s="10" t="inlineStr"/>
      <c r="I143" s="10" t="inlineStr">
        <is>
          <t>2026-11-09</t>
        </is>
      </c>
      <c r="J143" s="10" t="inlineStr">
        <is>
          <t>2026-11-13</t>
        </is>
      </c>
      <c r="K143" s="10" t="inlineStr">
        <is>
          <t>—</t>
        </is>
      </c>
      <c r="L143" s="11" t="inlineStr">
        <is>
          <t>—</t>
        </is>
      </c>
      <c r="M143" s="11" t="inlineStr">
        <is>
          <t>—</t>
        </is>
      </c>
      <c r="N143" s="11" t="inlineStr">
        <is>
          <t>Na t1: lista blokad, biała lista, sprawdzenie IP, trafienia WAF.</t>
        </is>
      </c>
      <c r="O143" s="11" t="inlineStr">
        <is>
          <t>Blokady fail2ban z odblokowaniem i białą listą, malware floty, trafienia WAF. || HISTORIA PB-53 (Fala 3, 194 h, rozbita 11.10): Plan rozbudowy paneli operatora, Fala 3 (9.11–8.01), łącznie ~224 h, z czego F3.1 (poczta konta i węzła, 30 h) jest wydzielone jako PB-52 + N-14; tutaj 194 h: F3.2 ★ bezpieczeństwo węzła — blokady fail2ban z odblokowaniem i białą listą, malware floty z kwarantanną, trafienia WAF (28 h; decyzja D5: zostajemy przy fail2ban); F3.3 ★ kopie floty i polityka (10 h); F3.4 usługi i logi węzła (18 h); F3.5 pełny cykl życia usługi — anulacja na koniec okresu, data odnowienia, obietnica zapłaty, zmiana właściciela, dodatki, limity custom (30 h); F3.6 rozliczenia: obieg i windykacja — proforma z linkiem do płatności (decyzja D7), zaksięgowanie przelewu, portfel ±, zwrot Stripe, nieudane płatności, przypomnienia (34 h); F3.7 helpdesk II — poczta przychodząca do zgłoszeń przez IMAP (decyzja D6), makra, scalanie, działy, SLA, raporty (50 h); F3.8 komunikacja operacyjna (12 h); F3.9 pulpity per rola (12 h). ★ = przed otwartą betą 7.12. Przed 11.01 muszą być: F3.2 (co najmniej odblokowanie IP), F3.3, F3.5 (anulacja, obietnica zapłaty, daty), F3.6 (obieg wpłaty, nieudane płatności), F3.7 (poczta przychodząca, SLA); mogą zejść po starcie: F3.4, F3.8 (poza mailem serwisowym do klientów węzła) i F3.9. Prognoza pokrycia standardu po Fali 3: ~75%. | 2026-10-11 wdrożone na produkcję (deploy #351) i sprawdzone w panelach: Kopie floty, Złośliwe pliki, Poczta bez klienta (import wyłączony — brak skrzynki), Raporty, Nieudane płatności, Windykacja, SLA 1/8–24/120, komunikaty serwisowe z filtrem white label, pulpity per rola; F3.5 anulacja/cofnięcie na żywo. Poprawki z weryfikacji w paczce poprawki4 (WAF v3, data, Select, „2 2 dni”). | 2026-10-11: rozbite na moduły PB-53.2–PB-53.9 (F3.2–F3.9; F3.1 = PB-52, zamknięte) — postęp liczony per moduł. || DoD PB-53: F3.2 i F3.3 wdrożone przed 7.12, pozostałe obowiązkowe moduły przed 11.01 — z testami i dowodem D3 na t1 albo AX102; moduły przesunięte po starcie zapisane w planie z decyzją właściciela.</t>
        </is>
      </c>
      <c r="P143" s="10" t="inlineStr">
        <is>
          <t>do zrobienia</t>
        </is>
      </c>
    </row>
    <row r="144">
      <c r="A144" s="10" t="inlineStr">
        <is>
          <t>PB-53.3</t>
        </is>
      </c>
      <c r="B144" s="11" t="inlineStr">
        <is>
          <t>F3.3 Kopie floty i polityka</t>
        </is>
      </c>
      <c r="C144" s="10" t="inlineStr">
        <is>
          <t>poza audytem</t>
        </is>
      </c>
      <c r="D144" s="10" t="inlineStr">
        <is>
          <t>Praca spoza audytu</t>
        </is>
      </c>
      <c r="E144" s="10" t="inlineStr">
        <is>
          <t>WYSOKI</t>
        </is>
      </c>
      <c r="F144" s="10" t="n">
        <v>10</v>
      </c>
      <c r="G144" s="10" t="n">
        <v>21</v>
      </c>
      <c r="H144" s="10" t="inlineStr"/>
      <c r="I144" s="10" t="inlineStr">
        <is>
          <t>2026-11-09</t>
        </is>
      </c>
      <c r="J144" s="10" t="inlineStr">
        <is>
          <t>2026-11-13</t>
        </is>
      </c>
      <c r="K144" s="10" t="inlineStr">
        <is>
          <t>—</t>
        </is>
      </c>
      <c r="L144" s="11" t="inlineStr">
        <is>
          <t>—</t>
        </is>
      </c>
      <c r="M144" s="11" t="inlineStr">
        <is>
          <t>—</t>
        </is>
      </c>
      <c r="N144" s="11" t="inlineStr">
        <is>
          <t>Raport per konto na t1 i widok floty.</t>
        </is>
      </c>
      <c r="O144" s="11" t="inlineStr">
        <is>
          <t>Ostatnia kopia per konto i węzeł, nieudane, off-site, próby odtworzenia.</t>
        </is>
      </c>
      <c r="P144" s="10" t="inlineStr">
        <is>
          <t>do zrobienia</t>
        </is>
      </c>
    </row>
    <row r="145">
      <c r="A145" s="10" t="inlineStr">
        <is>
          <t>PB-53.4</t>
        </is>
      </c>
      <c r="B145" s="11" t="inlineStr">
        <is>
          <t>F3.4 Usługi i logi węzła</t>
        </is>
      </c>
      <c r="C145" s="10" t="inlineStr">
        <is>
          <t>poza audytem</t>
        </is>
      </c>
      <c r="D145" s="10" t="inlineStr">
        <is>
          <t>Praca spoza audytu</t>
        </is>
      </c>
      <c r="E145" s="10" t="inlineStr">
        <is>
          <t>ŚREDNI</t>
        </is>
      </c>
      <c r="F145" s="10" t="n">
        <v>18</v>
      </c>
      <c r="G145" s="10" t="n">
        <v>21</v>
      </c>
      <c r="H145" s="10" t="inlineStr"/>
      <c r="I145" s="10" t="inlineStr">
        <is>
          <t>2026-11-09</t>
        </is>
      </c>
      <c r="J145" s="10" t="inlineStr">
        <is>
          <t>2026-11-13</t>
        </is>
      </c>
      <c r="K145" s="10" t="inlineStr">
        <is>
          <t>—</t>
        </is>
      </c>
      <c r="L145" s="11" t="inlineStr">
        <is>
          <t>—</t>
        </is>
      </c>
      <c r="M145" s="11" t="inlineStr">
        <is>
          <t>—</t>
        </is>
      </c>
      <c r="N145" s="11" t="inlineStr">
        <is>
          <t>Stan, logi i watchdog na t1; restart z potwierdzeniem.</t>
        </is>
      </c>
      <c r="O145" s="11" t="inlineStr">
        <is>
          <t>Stan i restart usług z białej listy, watchdog, logi.</t>
        </is>
      </c>
      <c r="P145" s="10" t="inlineStr">
        <is>
          <t>do zrobienia</t>
        </is>
      </c>
    </row>
    <row r="146">
      <c r="A146" s="10" t="inlineStr">
        <is>
          <t>PB-53.5</t>
        </is>
      </c>
      <c r="B146" s="11" t="inlineStr">
        <is>
          <t>F3.5 Pełny cykl życia usługi</t>
        </is>
      </c>
      <c r="C146" s="10" t="inlineStr">
        <is>
          <t>poza audytem</t>
        </is>
      </c>
      <c r="D146" s="10" t="inlineStr">
        <is>
          <t>Praca spoza audytu</t>
        </is>
      </c>
      <c r="E146" s="10" t="inlineStr">
        <is>
          <t>WYSOKI</t>
        </is>
      </c>
      <c r="F146" s="10" t="n">
        <v>30</v>
      </c>
      <c r="G146" s="10" t="n">
        <v>21</v>
      </c>
      <c r="H146" s="10" t="inlineStr"/>
      <c r="I146" s="10" t="inlineStr">
        <is>
          <t>2026-11-09</t>
        </is>
      </c>
      <c r="J146" s="10" t="inlineStr">
        <is>
          <t>2026-11-13</t>
        </is>
      </c>
      <c r="K146" s="10" t="inlineStr">
        <is>
          <t>—</t>
        </is>
      </c>
      <c r="L146" s="11" t="inlineStr">
        <is>
          <t>—</t>
        </is>
      </c>
      <c r="M146" s="11" t="inlineStr">
        <is>
          <t>—</t>
        </is>
      </c>
      <c r="N146" s="11" t="inlineStr">
        <is>
          <t>Każda operacja na koncie testowym.</t>
        </is>
      </c>
      <c r="O146" s="11" t="inlineStr">
        <is>
          <t>Anulacja na koniec okresu, daty, obietnica zapłaty, zmiana właściciela, dodatki, limity custom.</t>
        </is>
      </c>
      <c r="P146" s="10" t="inlineStr">
        <is>
          <t>do zrobienia</t>
        </is>
      </c>
    </row>
    <row r="147">
      <c r="A147" s="10" t="inlineStr">
        <is>
          <t>PB-53.6</t>
        </is>
      </c>
      <c r="B147" s="11" t="inlineStr">
        <is>
          <t>F3.6 Rozliczenia: obieg i windykacja</t>
        </is>
      </c>
      <c r="C147" s="10" t="inlineStr">
        <is>
          <t>poza audytem</t>
        </is>
      </c>
      <c r="D147" s="10" t="inlineStr">
        <is>
          <t>Praca spoza audytu</t>
        </is>
      </c>
      <c r="E147" s="10" t="inlineStr">
        <is>
          <t>WYSOKI</t>
        </is>
      </c>
      <c r="F147" s="10" t="n">
        <v>34</v>
      </c>
      <c r="G147" s="10" t="n">
        <v>21</v>
      </c>
      <c r="H147" s="10" t="inlineStr"/>
      <c r="I147" s="10" t="inlineStr">
        <is>
          <t>2026-11-09</t>
        </is>
      </c>
      <c r="J147" s="10" t="inlineStr">
        <is>
          <t>2026-11-13</t>
        </is>
      </c>
      <c r="K147" s="10" t="inlineStr">
        <is>
          <t>—</t>
        </is>
      </c>
      <c r="L147" s="11" t="inlineStr">
        <is>
          <t>—</t>
        </is>
      </c>
      <c r="M147" s="11" t="inlineStr">
        <is>
          <t>—</t>
        </is>
      </c>
      <c r="N147" s="11" t="inlineStr">
        <is>
          <t>Operacje na koncie testowym (kwoty &lt; 10 zł, odwrócone).</t>
        </is>
      </c>
      <c r="O147" s="11" t="inlineStr">
        <is>
          <t>Proforma z linkiem, zaksięgowanie przelewu, portfel ±, zwrot, nieudane płatności, przypomnienia.</t>
        </is>
      </c>
      <c r="P147" s="10" t="inlineStr">
        <is>
          <t>do zrobienia</t>
        </is>
      </c>
    </row>
    <row r="148">
      <c r="A148" s="10" t="inlineStr">
        <is>
          <t>PB-53.7</t>
        </is>
      </c>
      <c r="B148" s="11" t="inlineStr">
        <is>
          <t>F3.7 Helpdesk II</t>
        </is>
      </c>
      <c r="C148" s="10" t="inlineStr">
        <is>
          <t>poza audytem</t>
        </is>
      </c>
      <c r="D148" s="10" t="inlineStr">
        <is>
          <t>Praca spoza audytu</t>
        </is>
      </c>
      <c r="E148" s="10" t="inlineStr">
        <is>
          <t>WYSOKI</t>
        </is>
      </c>
      <c r="F148" s="10" t="n">
        <v>50</v>
      </c>
      <c r="G148" s="10" t="n">
        <v>21</v>
      </c>
      <c r="H148" s="10" t="inlineStr"/>
      <c r="I148" s="10" t="inlineStr">
        <is>
          <t>2026-11-09</t>
        </is>
      </c>
      <c r="J148" s="10" t="inlineStr">
        <is>
          <t>2026-11-13</t>
        </is>
      </c>
      <c r="K148" s="10" t="inlineStr">
        <is>
          <t>—</t>
        </is>
      </c>
      <c r="L148" s="11" t="inlineStr">
        <is>
          <t>—</t>
        </is>
      </c>
      <c r="M148" s="11" t="inlineStr">
        <is>
          <t>—</t>
        </is>
      </c>
      <c r="N148" s="11" t="inlineStr">
        <is>
          <t>Na produkcji z prawdziwą skrzynką.</t>
        </is>
      </c>
      <c r="O148" s="11" t="inlineStr">
        <is>
          <t>Poczta przychodząca do zgłoszeń, makra, scalanie, działy, SLA, raporty.</t>
        </is>
      </c>
      <c r="P148" s="10" t="inlineStr">
        <is>
          <t>do zrobienia</t>
        </is>
      </c>
    </row>
    <row r="149">
      <c r="A149" s="10" t="inlineStr">
        <is>
          <t>PB-53.8</t>
        </is>
      </c>
      <c r="B149" s="11" t="inlineStr">
        <is>
          <t>F3.8 Komunikacja operacyjna</t>
        </is>
      </c>
      <c r="C149" s="10" t="inlineStr">
        <is>
          <t>poza audytem</t>
        </is>
      </c>
      <c r="D149" s="10" t="inlineStr">
        <is>
          <t>Praca spoza audytu</t>
        </is>
      </c>
      <c r="E149" s="10" t="inlineStr">
        <is>
          <t>ŚREDNI</t>
        </is>
      </c>
      <c r="F149" s="10" t="n">
        <v>12</v>
      </c>
      <c r="G149" s="10" t="n">
        <v>21</v>
      </c>
      <c r="H149" s="10" t="inlineStr"/>
      <c r="I149" s="10" t="inlineStr">
        <is>
          <t>2026-11-09</t>
        </is>
      </c>
      <c r="J149" s="10" t="inlineStr">
        <is>
          <t>2026-11-13</t>
        </is>
      </c>
      <c r="K149" s="10" t="inlineStr">
        <is>
          <t>—</t>
        </is>
      </c>
      <c r="L149" s="11" t="inlineStr">
        <is>
          <t>—</t>
        </is>
      </c>
      <c r="M149" s="11" t="inlineStr">
        <is>
          <t>—</t>
        </is>
      </c>
      <c r="N149" s="11" t="inlineStr">
        <is>
          <t>Wysyłka komunikatu do konta testowego.</t>
        </is>
      </c>
      <c r="O149" s="11" t="inlineStr">
        <is>
          <t>Mail z szablonu, komunikat do klientów węzła/planu, incydenty.</t>
        </is>
      </c>
      <c r="P149" s="10" t="inlineStr">
        <is>
          <t>do zrobienia</t>
        </is>
      </c>
    </row>
    <row r="150">
      <c r="A150" s="10" t="inlineStr">
        <is>
          <t>PB-53.9</t>
        </is>
      </c>
      <c r="B150" s="11" t="inlineStr">
        <is>
          <t>F3.9 Pulpity per rola</t>
        </is>
      </c>
      <c r="C150" s="10" t="inlineStr">
        <is>
          <t>poza audytem</t>
        </is>
      </c>
      <c r="D150" s="10" t="inlineStr">
        <is>
          <t>Praca spoza audytu</t>
        </is>
      </c>
      <c r="E150" s="10" t="inlineStr">
        <is>
          <t>ŚREDNI</t>
        </is>
      </c>
      <c r="F150" s="10" t="n">
        <v>12</v>
      </c>
      <c r="G150" s="10" t="n">
        <v>21</v>
      </c>
      <c r="H150" s="10" t="inlineStr"/>
      <c r="I150" s="10" t="inlineStr">
        <is>
          <t>2026-11-09</t>
        </is>
      </c>
      <c r="J150" s="10" t="inlineStr">
        <is>
          <t>2026-11-13</t>
        </is>
      </c>
      <c r="K150" s="10" t="inlineStr">
        <is>
          <t>—</t>
        </is>
      </c>
      <c r="L150" s="11" t="inlineStr">
        <is>
          <t>—</t>
        </is>
      </c>
      <c r="M150" s="11" t="inlineStr">
        <is>
          <t>—</t>
        </is>
      </c>
      <c r="N150" s="11" t="inlineStr">
        <is>
          <t>Pulpity ADMIN, L4, L1 na żywo.</t>
        </is>
      </c>
      <c r="O150" s="11" t="inlineStr">
        <is>
          <t>L1: moje zgłoszenia i SLA; NOC: flota; Finanse; Admin.</t>
        </is>
      </c>
      <c r="P150" s="10" t="inlineStr">
        <is>
          <t>do zrobienia</t>
        </is>
      </c>
    </row>
    <row r="151">
      <c r="A151" s="10" t="inlineStr">
        <is>
          <t>PB-26</t>
        </is>
      </c>
      <c r="B151" s="11" t="inlineStr">
        <is>
          <t>Otwarte testy (beta) z zaproszonymi użytkownikami</t>
        </is>
      </c>
      <c r="C151" s="10" t="inlineStr">
        <is>
          <t>poza audytem</t>
        </is>
      </c>
      <c r="D151" s="10" t="inlineStr">
        <is>
          <t>Praca spoza audytu</t>
        </is>
      </c>
      <c r="E151" s="10" t="inlineStr">
        <is>
          <t>WYSOKI</t>
        </is>
      </c>
      <c r="F151" s="10" t="n">
        <v>12</v>
      </c>
      <c r="G151" s="10" t="n">
        <v>22</v>
      </c>
      <c r="H151" s="10" t="inlineStr"/>
      <c r="I151" s="10" t="inlineStr">
        <is>
          <t>2026-12-07</t>
        </is>
      </c>
      <c r="J151" s="10" t="inlineStr">
        <is>
          <t>2026-12-11</t>
        </is>
      </c>
      <c r="K151" s="10" t="inlineStr">
        <is>
          <t>—</t>
        </is>
      </c>
      <c r="L151" s="11" t="inlineStr">
        <is>
          <t>—</t>
        </is>
      </c>
      <c r="M151" s="11" t="inlineStr">
        <is>
          <t>—</t>
        </is>
      </c>
      <c r="N151" s="11" t="inlineStr">
        <is>
          <t>Minimum 7 dni od pierwszej aktywnej usługi; zero otwartych błędów krytycznych (dane, pieniądze, dostęp); ≥ 80% testerów z działającą stroną bez pomocy wsparcia; poprawki „przed GO” zamknięte. Dopiero potem PB-12.</t>
        </is>
      </c>
      <c r="O151"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51" s="10" t="inlineStr">
        <is>
          <t>do zrobienia</t>
        </is>
      </c>
    </row>
    <row r="152">
      <c r="A152" s="10" t="inlineStr">
        <is>
          <t>PB-05</t>
        </is>
      </c>
      <c r="B152" s="11" t="inlineStr">
        <is>
          <t>Test end-to-end „pierwszy klient”</t>
        </is>
      </c>
      <c r="C152" s="10" t="inlineStr">
        <is>
          <t>poza audytem</t>
        </is>
      </c>
      <c r="D152" s="10" t="inlineStr">
        <is>
          <t>Praca spoza audytu</t>
        </is>
      </c>
      <c r="E152" s="10" t="inlineStr">
        <is>
          <t>BLOKER BIZNESOWY</t>
        </is>
      </c>
      <c r="F152" s="10" t="n">
        <v>16</v>
      </c>
      <c r="G152" s="10" t="n">
        <v>22</v>
      </c>
      <c r="H152" s="10" t="inlineStr"/>
      <c r="I152" s="10" t="inlineStr">
        <is>
          <t>2026-12-07</t>
        </is>
      </c>
      <c r="J152" s="10" t="inlineStr">
        <is>
          <t>2026-12-11</t>
        </is>
      </c>
      <c r="K152" s="10" t="inlineStr">
        <is>
          <t>—</t>
        </is>
      </c>
      <c r="L152" s="11" t="inlineStr">
        <is>
          <t>—</t>
        </is>
      </c>
      <c r="M152" s="11" t="inlineStr">
        <is>
          <t>wszystkie blokery zamknięte (sprint 8)</t>
        </is>
      </c>
      <c r="N152" s="11" t="inlineStr">
        <is>
          <t>Zapisany przebieg z timestampami dla każdego kroku — to jest dowód poziomu D3, jedyny w całym projekcie. Każdy nieudany krok wraca do backlogu jako bloker.</t>
        </is>
      </c>
      <c r="O152" s="11" t="inlineStr">
        <is>
          <t>Przejście całej ścieżki na produkcji jako realny klient: rejestracja, zakup, płatność, provisioning, migracja strony, wystawienie faktury, KSeF, backup, odtworzenie.</t>
        </is>
      </c>
      <c r="P152" s="10" t="inlineStr">
        <is>
          <t>do zrobienia</t>
        </is>
      </c>
    </row>
  </sheetData>
  <autoFilter ref="A1:P152"/>
  <conditionalFormatting sqref="E2:E152">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52">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startu'!$G$2:$G$152,A2)</f>
        <v/>
      </c>
      <c r="G2" s="10">
        <f>SUMIF('Backlog do startu'!$G$2:$G$152,A2,'Backlog do startu'!$F$2:$F$152)</f>
        <v/>
      </c>
      <c r="H2" s="10" t="n">
        <v>65</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startu'!$G$2:$G$152,A3)</f>
        <v/>
      </c>
      <c r="G3" s="10">
        <f>SUMIF('Backlog do startu'!$G$2:$G$152,A3,'Backlog do startu'!$F$2:$F$152)</f>
        <v/>
      </c>
      <c r="H3" s="10" t="n">
        <v>65</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 | 2026-10-10: H-20 przeniesione do sprintu 16 — dowód D4 z 2026-08-23 wygasł po 30 dniach (21.09), pozycja wróciła do CZĘŚCIOWE i do blokerów startu. Praca wykonana w tym sprincie zostaje opisana w macierzy; odnowienie dowodu to PB-54.</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startu'!$G$2:$G$152,A4)</f>
        <v/>
      </c>
      <c r="G4" s="10">
        <f>SUMIF('Backlog do startu'!$G$2:$G$152,A4,'Backlog do startu'!$F$2:$F$152)</f>
        <v/>
      </c>
      <c r="H4" s="10" t="n">
        <v>65</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startu'!$G$2:$G$152,A5)</f>
        <v/>
      </c>
      <c r="G5" s="10">
        <f>SUMIF('Backlog do startu'!$G$2:$G$152,A5,'Backlog do startu'!$F$2:$F$152)</f>
        <v/>
      </c>
      <c r="H5" s="10" t="n">
        <v>65</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startu'!$G$2:$G$152,A6)</f>
        <v/>
      </c>
      <c r="G6" s="10">
        <f>SUMIF('Backlog do startu'!$G$2:$G$152,A6,'Backlog do startu'!$F$2:$F$152)</f>
        <v/>
      </c>
      <c r="H6" s="10" t="n">
        <v>65</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startu'!$G$2:$G$152,A7)</f>
        <v/>
      </c>
      <c r="G7" s="10">
        <f>SUMIF('Backlog do startu'!$G$2:$G$152,A7,'Backlog do startu'!$F$2:$F$152)</f>
        <v/>
      </c>
      <c r="H7" s="10" t="n">
        <v>65</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startu'!$G$2:$G$152,A8)</f>
        <v/>
      </c>
      <c r="G8" s="10">
        <f>SUMIF('Backlog do startu'!$G$2:$G$152,A8,'Backlog do startu'!$F$2:$F$152)</f>
        <v/>
      </c>
      <c r="H8" s="10" t="n">
        <v>65</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startu'!$G$2:$G$152,A9)</f>
        <v/>
      </c>
      <c r="G9" s="10">
        <f>SUMIF('Backlog do startu'!$G$2:$G$152,A9,'Backlog do startu'!$F$2:$F$152)</f>
        <v/>
      </c>
      <c r="H9" s="10" t="n">
        <v>65</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startu'!$G$2:$G$152,A10)</f>
        <v/>
      </c>
      <c r="G10" s="10">
        <f>SUMIF('Backlog do startu'!$G$2:$G$152,A10,'Backlog do startu'!$F$2:$F$152)</f>
        <v/>
      </c>
      <c r="H10" s="10" t="n">
        <v>65</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startu'!$G$2:$G$152,A11)</f>
        <v/>
      </c>
      <c r="G11" s="10">
        <f>SUMIF('Backlog do startu'!$G$2:$G$152,A11,'Backlog do startu'!$F$2:$F$152)</f>
        <v/>
      </c>
      <c r="H11" s="10" t="n">
        <v>65</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startu'!$G$2:$G$152,A12)</f>
        <v/>
      </c>
      <c r="G12" s="10">
        <f>SUMIF('Backlog do startu'!$G$2:$G$152,A12,'Backlog do startu'!$F$2:$F$152)</f>
        <v/>
      </c>
      <c r="H12" s="10" t="n">
        <v>65</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 | 2026-10-10: N-14 przeniesione do sprintu 17 — audyt paneli operatora (OC-10) wykazał, że kordon działa tylko w module marketingu; decyzja D4: blokada wysyłki konta i kolejka MTA to bloker przed otwartą betą 7.12 (PB-52).</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startu'!$G$2:$G$152,A13)</f>
        <v/>
      </c>
      <c r="G13" s="10">
        <f>SUMIF('Backlog do startu'!$G$2:$G$152,A13,'Backlog do startu'!$F$2:$F$152)</f>
        <v/>
      </c>
      <c r="H13" s="10" t="n">
        <v>65</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startu'!$G$2:$G$152,A14)</f>
        <v/>
      </c>
      <c r="G14" s="10">
        <f>SUMIF('Backlog do startu'!$G$2:$G$152,A14,'Backlog do startu'!$F$2:$F$152)</f>
        <v/>
      </c>
      <c r="H14" s="10" t="n">
        <v>65</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2026-10-19</t>
        </is>
      </c>
      <c r="C15" s="10" t="inlineStr">
        <is>
          <t>2026-10-23</t>
        </is>
      </c>
      <c r="D15" s="11" t="inlineStr">
        <is>
          <t>Faza 2 — Odzyskanie funkcji-widm i luki pierwszego tygodnia</t>
        </is>
      </c>
      <c r="E15" s="11" t="inlineStr">
        <is>
          <t>Beta wewnętrzna na t1, rozliczenia klienta i pomiar</t>
        </is>
      </c>
      <c r="F15" s="10">
        <f>COUNTIF('Backlog do startu'!$G$2:$G$152,A15)</f>
        <v/>
      </c>
      <c r="G15" s="10">
        <f>SUMIF('Backlog do startu'!$G$2:$G$152,A15,'Backlog do startu'!$F$2:$F$152)</f>
        <v/>
      </c>
      <c r="H15" s="10" t="n">
        <v>65</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 | 2026-10-04 HARMONOGRAM STARTU (wariant A, decyzja właściciela): beta wewnętrzna na t1 19.10–6.11 (PB-40); w tym oknie wypadają testy PB-27 (22.10) i PB-28 (odnowienie d3 28.10). | 2026-10-10 PRZECIĄŻENIE ŚWIADOME: PB-51 (Fala 2 paneli operatora, 134 h) idzie w trakcie bety wewnętrznej 19.10–6.11. Sprint 14 jest jedynym sprintem w tym oknie (następny, 21, ma datę 9.11), więc realnie to ok. 3 tygodnie, a nie 65 h; przy 60–70 h tygodniowo dzielonych z betą (PB-40) i jej poprawkami ok. 184 h otwartej pracy to granica. Kolejność: Fala 2A (panel operatora D1, D9/D10, zawieszenie i CRM, D12 + CSP www, harmonogramy), potem 2B. Ryzyko: błędy z bety wypchną Falę 2B na pierwszy tydzień sprintu 21 i zderzą ją z AX102.</t>
        </is>
      </c>
    </row>
    <row r="16">
      <c r="A16" s="10" t="n">
        <v>15</v>
      </c>
      <c r="B16" s="10" t="inlineStr">
        <is>
          <t>2026-10-05</t>
        </is>
      </c>
      <c r="C16" s="10" t="inlineStr">
        <is>
          <t>2026-10-09</t>
        </is>
      </c>
      <c r="D16" s="11" t="inlineStr">
        <is>
          <t>Faza 3 — Wejście na rynek</t>
        </is>
      </c>
      <c r="E16" s="11" t="inlineStr">
        <is>
          <t>Egress: pelne pokrycie ruchu (control-plane)</t>
        </is>
      </c>
      <c r="F16" s="10">
        <f>COUNTIF('Backlog do startu'!$G$2:$G$152,A16)</f>
        <v/>
      </c>
      <c r="G16" s="10">
        <f>SUMIF('Backlog do startu'!$G$2:$G$152,A16,'Backlog do startu'!$F$2:$F$152)</f>
        <v/>
      </c>
      <c r="H16" s="10" t="n">
        <v>65</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 | 2026-10-10: dołożone i zamknięte poza planem (noc 9/10.10 i rano 10.10): PB-49 — porządki panelu admina (12 patchy) i PB-50 — Fala 1 audytu paneli operatora (39 h). Wdrożone 10.10 ok. 12:30, sprawdzone na żywo przez VPN ok. 13:00.</t>
        </is>
      </c>
    </row>
    <row r="17">
      <c r="A17" s="10" t="n">
        <v>16</v>
      </c>
      <c r="B17" s="10" t="inlineStr">
        <is>
          <t>2026-10-12</t>
        </is>
      </c>
      <c r="C17" s="10" t="inlineStr">
        <is>
          <t>2026-10-16</t>
        </is>
      </c>
      <c r="D17" s="11" t="inlineStr">
        <is>
          <t>Faza 3 — Wejście na rynek</t>
        </is>
      </c>
      <c r="E17" s="11" t="inlineStr">
        <is>
          <t>Strict egress na control-plane</t>
        </is>
      </c>
      <c r="F17" s="10">
        <f>COUNTIF('Backlog do startu'!$G$2:$G$152,A17)</f>
        <v/>
      </c>
      <c r="G17" s="10">
        <f>SUMIF('Backlog do startu'!$G$2:$G$152,A17,'Backlog do startu'!$F$2:$F$152)</f>
        <v/>
      </c>
      <c r="H17" s="10" t="n">
        <v>65</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 | 2026-10-04 DECYZJA WŁAŚCICIELA: drugi węzeł testowy t2 (Hetzner Cloud, czysty AlmaLinux 10) teraz — kreator od zera (PB-31, NODE-02), flota na t1 + t2 (PB-30/32/33/35), H-16 między t1 a t2. AX102 w sprincie 21 już tylko PB-02. | 2026-10-10 PRZECIĄŻENIE: przed betą 19.10 dochodzą H-20:2 + PB-54 (odnowienie dowodu D4 odtwarzania — bez tego bloker), PB-55 (decyzja o puli sprzedażowej t1 przed 18.10) i SEC-11 (CSP z nonce na www — decyzja D12 „teraz”). Sprint ma 72 h otwartej pracy przy 65 h. Nadwyżkę pokrywają pozycje, które i tak czekają na węzeł, nie na kod (PB-31, PB-32, PB-33, NODE-02 — wezel.csv: czeka; dwa węzły dopiero z AX102) — przy braku czasu schodzą one, nie PB-54 i PB-55.</t>
        </is>
      </c>
    </row>
    <row r="18">
      <c r="A18" s="10" t="n">
        <v>17</v>
      </c>
      <c r="B18" s="10" t="inlineStr">
        <is>
          <t>2026-11-23</t>
        </is>
      </c>
      <c r="C18" s="10" t="inlineStr">
        <is>
          <t>2026-11-27</t>
        </is>
      </c>
      <c r="D18" s="11" t="inlineStr">
        <is>
          <t>Faza 3 — Wejście na rynek</t>
        </is>
      </c>
      <c r="E18" s="11" t="inlineStr">
        <is>
          <t>Dokumenty prawne, DPA i naduzycia</t>
        </is>
      </c>
      <c r="F18" s="10">
        <f>COUNTIF('Backlog do startu'!$G$2:$G$152,A18)</f>
        <v/>
      </c>
      <c r="G18" s="10">
        <f>SUMIF('Backlog do startu'!$G$2:$G$152,A18,'Backlog do startu'!$F$2:$F$152)</f>
        <v/>
      </c>
      <c r="H18" s="10" t="n">
        <v>65</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 | 2026-10-04 HARMONOGRAM STARTU (wariant A, decyzja właściciela): 23.11 — dokumenty przed otwartą betą (testerzy są zwykłymi klientami); równolegle migracja kilku stron właściciela na AX102. | 2026-10-10: N-14 + PB-52 — blokada wysyłki konta i kolejka MTA (bloker B3, decyzja D4) przed otwartą betą 7.12; dowód: test na t1 (mail() z PHP zablokowanego konta odrzucony, kolejka czysta). 30 h mieści się, bo dokumenty z tego bloku są już zamknięte (PB-03, PB-04); zostaje P-15.</t>
        </is>
      </c>
    </row>
    <row r="19">
      <c r="A19" s="10" t="n">
        <v>18</v>
      </c>
      <c r="B19" s="10" t="inlineStr">
        <is>
          <t>2026-11-30</t>
        </is>
      </c>
      <c r="C19" s="10" t="inlineStr">
        <is>
          <t>2026-12-04</t>
        </is>
      </c>
      <c r="D19" s="11" t="inlineStr">
        <is>
          <t>Faza 3 — Wejście na rynek</t>
        </is>
      </c>
      <c r="E19" s="11" t="inlineStr">
        <is>
          <t>Cennik, SLA i zastepstwo</t>
        </is>
      </c>
      <c r="F19" s="10">
        <f>COUNTIF('Backlog do startu'!$G$2:$G$152,A19)</f>
        <v/>
      </c>
      <c r="G19" s="10">
        <f>SUMIF('Backlog do startu'!$G$2:$G$152,A19,'Backlog do startu'!$F$2:$F$152)</f>
        <v/>
      </c>
      <c r="H19" s="10" t="n">
        <v>65</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 | 2026-10-04 HARMONOGRAM STARTU (wariant A, decyzja właściciela): 30.11; dane OpenProvidera przełączone na produkcyjne przed PB-05.</t>
        </is>
      </c>
    </row>
    <row r="20">
      <c r="A20" s="10" t="n">
        <v>19</v>
      </c>
      <c r="B20" s="10" t="inlineStr">
        <is>
          <t>2026-11-30</t>
        </is>
      </c>
      <c r="C20" s="10" t="inlineStr">
        <is>
          <t>2026-12-04</t>
        </is>
      </c>
      <c r="D20" s="11" t="inlineStr">
        <is>
          <t>Faza 3 — Wejście na rynek</t>
        </is>
      </c>
      <c r="E20" s="11" t="inlineStr">
        <is>
          <t>Landing i baza wiedzy</t>
        </is>
      </c>
      <c r="F20" s="10">
        <f>COUNTIF('Backlog do startu'!$G$2:$G$152,A20)</f>
        <v/>
      </c>
      <c r="G20" s="10">
        <f>SUMIF('Backlog do startu'!$G$2:$G$152,A20,'Backlog do startu'!$F$2:$F$152)</f>
        <v/>
      </c>
      <c r="H20" s="10" t="n">
        <v>65</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2027-01-04</t>
        </is>
      </c>
      <c r="C21" s="10" t="inlineStr">
        <is>
          <t>2027-01-08</t>
        </is>
      </c>
      <c r="D21" s="11" t="inlineStr"/>
      <c r="E21" s="11" t="inlineStr">
        <is>
          <t>Decyzja GO i start sprzedaży</t>
        </is>
      </c>
      <c r="F21" s="10">
        <f>COUNTIF('Backlog do startu'!$G$2:$G$152,A21)</f>
        <v/>
      </c>
      <c r="G21" s="10">
        <f>SUMIF('Backlog do startu'!$G$2:$G$152,A21,'Backlog do startu'!$F$2:$F$152)</f>
        <v/>
      </c>
      <c r="H21" s="10" t="n">
        <v>65</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 | 2026-10-04 HARMONOGRAM STARTU (wariant A, decyzja właściciela): decyzja GO 4–8.01.2027 (PB-12), start sprzedaży i kampanii 11.01.2027 (PB-10).</t>
        </is>
      </c>
    </row>
    <row r="22">
      <c r="A22" s="10" t="n">
        <v>21</v>
      </c>
      <c r="B22" s="10" t="inlineStr">
        <is>
          <t>2026-11-09</t>
        </is>
      </c>
      <c r="C22" s="10" t="inlineStr">
        <is>
          <t>2026-11-13</t>
        </is>
      </c>
      <c r="D22" s="11" t="inlineStr"/>
      <c r="E22" s="11" t="inlineStr">
        <is>
          <t>Wezel produkcyjny #1 (Hetzner AX102)</t>
        </is>
      </c>
      <c r="F22" s="10">
        <f>COUNTIF('Backlog do startu'!$G$2:$G$152,A22)</f>
        <v/>
      </c>
      <c r="G22" s="10">
        <f>SUMIF('Backlog do startu'!$G$2:$G$152,A22,'Backlog do startu'!$F$2:$F$152)</f>
        <v/>
      </c>
      <c r="H22" s="10" t="n">
        <v>65</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 | 2026-10-04 HARMONOGRAM STARTU (wariant A, decyzja właściciela): zakup AX102 9.11 zamiast 18.01 — serwer od razu przyjmuje strony właściciela; t1 + AX102 = dwa węzły dla PB-30/32/33 i H-16. | 2026-10-10 PRZECIĄŻENIE ŚWIADOME: PB-53 (Fala 3 paneli operatora, 194 h) rozciąga się na 9.11–8.01; zadanie PB ma jedną liczbę godzin i nie dzieli się na sprinty, więc stoi tu w całości, w sprincie zakupu i onboardingu AX102. Kolejność: moduły ★ (bezpieczeństwo węzła, kopie floty) przed otwartą betą 7.12; cykl życia usługi, obieg wpłat i helpdesk II przed 11.01; usługi i logi węzła, komunikacja i pulpity mogą zejść po starcie. Przy 60–70 h tygodniowo dzielonych z AX102, betą zewnętrzną i KSeF to 4–5 tygodni pracy — jeśli Fala 2 zjedzie do listopada, zagrożony jest termin startu 11.01.</t>
        </is>
      </c>
    </row>
    <row r="23">
      <c r="A23" s="10" t="n">
        <v>22</v>
      </c>
      <c r="B23" s="10" t="inlineStr">
        <is>
          <t>2026-12-07</t>
        </is>
      </c>
      <c r="C23" s="10" t="inlineStr">
        <is>
          <t>2026-12-11</t>
        </is>
      </c>
      <c r="D23" s="11" t="inlineStr"/>
      <c r="E23" s="11" t="inlineStr">
        <is>
          <t>Beta zewnętrzna i ścieżka pierwszego klienta</t>
        </is>
      </c>
      <c r="F23" s="10">
        <f>COUNTIF('Backlog do startu'!$G$2:$G$152,A23)</f>
        <v/>
      </c>
      <c r="G23" s="10">
        <f>SUMIF('Backlog do startu'!$G$2:$G$152,A23,'Backlog do startu'!$F$2:$F$152)</f>
        <v/>
      </c>
      <c r="H23" s="10" t="n">
        <v>65</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 | 2026-10-04 HARMONOGRAM STARTU (wariant A, decyzja właściciela): otwarta beta na AX102 7–20.12 (min. 7 dni), PB-05 na prawdziwych pieniądzach i domenie w jej trakcie; 21.12–3.01 zamrożenie świąteczne, tylko poprawki „przed GO”.</t>
        </is>
      </c>
    </row>
    <row r="24">
      <c r="A24" s="10" t="n">
        <v>23</v>
      </c>
      <c r="B24" s="10" t="inlineStr">
        <is>
          <t>2027-01-11</t>
        </is>
      </c>
      <c r="C24" s="10" t="inlineStr">
        <is>
          <t>2027-01-15</t>
        </is>
      </c>
      <c r="D24" s="11" t="inlineStr"/>
      <c r="E24" s="11" t="inlineStr">
        <is>
          <t>Po starcie — odłożone decyzją właściciela</t>
        </is>
      </c>
      <c r="F24" s="10">
        <f>COUNTIF('Backlog do startu'!$G$2:$G$152,A24)</f>
        <v/>
      </c>
      <c r="G24" s="10">
        <f>SUMIF('Backlog do startu'!$G$2:$G$152,A24,'Backlog do startu'!$F$2:$F$152)</f>
        <v/>
      </c>
      <c r="H24" s="10" t="n">
        <v>65</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 | 2026-10-04 HARMONOGRAM STARTU (wariant A, decyzja właściciela): po starcie od 11.01.2027.</t>
        </is>
      </c>
    </row>
  </sheetData>
  <autoFilter ref="A1:J24"/>
  <conditionalFormatting sqref="G2:G24">
    <cfRule type="dataBar" priority="1">
      <dataBar>
        <cfvo type="num" val="0"/>
        <cfvo type="num" val="65"/>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9"/>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J-05</t>
        </is>
      </c>
      <c r="B3" s="10" t="inlineStr">
        <is>
          <t>E-02</t>
        </is>
      </c>
      <c r="C3" s="11" t="inlineStr">
        <is>
          <t>Wydajność: cache i skalowanie</t>
        </is>
      </c>
      <c r="D3" s="10" t="inlineStr">
        <is>
          <t>Q1 2027</t>
        </is>
      </c>
      <c r="E3" s="10" t="inlineStr">
        <is>
          <t>WYSOKI</t>
        </is>
      </c>
      <c r="F3" s="11" t="inlineStr">
        <is>
          <t>CDN</t>
        </is>
      </c>
      <c r="G3" s="10" t="inlineStr">
        <is>
          <t>J — Wydajność i cache</t>
        </is>
      </c>
      <c r="H3" s="10" t="inlineStr">
        <is>
          <t>NISKA</t>
        </is>
      </c>
      <c r="I3" s="10" t="n">
        <v>40</v>
      </c>
      <c r="J3" s="10" t="inlineStr">
        <is>
          <t>BRAK</t>
        </is>
      </c>
      <c r="K3" s="11" t="inlineStr">
        <is>
          <t>na rynku PL płatny dodatek</t>
        </is>
      </c>
    </row>
    <row r="4">
      <c r="A4" s="10" t="inlineStr">
        <is>
          <t>J-07</t>
        </is>
      </c>
      <c r="B4" s="10" t="inlineStr">
        <is>
          <t>E-02</t>
        </is>
      </c>
      <c r="C4" s="11" t="inlineStr">
        <is>
          <t>Wydajność: cache i skalowanie</t>
        </is>
      </c>
      <c r="D4" s="10" t="inlineStr">
        <is>
          <t>Q1 2027</t>
        </is>
      </c>
      <c r="E4" s="10" t="inlineStr">
        <is>
          <t>WYSOKI</t>
        </is>
      </c>
      <c r="F4" s="11" t="inlineStr">
        <is>
          <t>Dedykowany adres IP</t>
        </is>
      </c>
      <c r="G4" s="10" t="inlineStr">
        <is>
          <t>J — Wydajność i cache</t>
        </is>
      </c>
      <c r="H4" s="10" t="inlineStr">
        <is>
          <t>ŚREDNIA</t>
        </is>
      </c>
      <c r="I4" s="10" t="n">
        <v>6</v>
      </c>
      <c r="J4" s="10" t="inlineStr">
        <is>
          <t>CZĘŚCIOWE</t>
        </is>
      </c>
      <c r="K4" s="11" t="inlineStr">
        <is>
          <t>addons — jako dodatek typu workorder</t>
        </is>
      </c>
    </row>
    <row r="5">
      <c r="A5" s="10" t="inlineStr">
        <is>
          <t>H-16</t>
        </is>
      </c>
      <c r="B5" s="10" t="inlineStr">
        <is>
          <t>E-12</t>
        </is>
      </c>
      <c r="C5" s="11" t="inlineStr">
        <is>
          <t>Backup: granularność i retencja</t>
        </is>
      </c>
      <c r="D5" s="10" t="inlineStr">
        <is>
          <t>Q1 2027</t>
        </is>
      </c>
      <c r="E5" s="10" t="inlineStr">
        <is>
          <t>WYSOKI</t>
        </is>
      </c>
      <c r="F5" s="11" t="inlineStr">
        <is>
          <t>ODTWORZENIE KONTA NA INNY WĘZEŁ</t>
        </is>
      </c>
      <c r="G5" s="10" t="inlineStr">
        <is>
          <t>H — Backup i odtwarzanie</t>
        </is>
      </c>
      <c r="H5" s="10" t="inlineStr">
        <is>
          <t>WYSOKA</t>
        </is>
      </c>
      <c r="I5" s="10" t="n">
        <v>40</v>
      </c>
      <c r="J5" s="10" t="inlineStr">
        <is>
          <t>CZĘŚCIOWE</t>
        </is>
      </c>
      <c r="K5"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6">
      <c r="A6" s="10" t="inlineStr">
        <is>
          <t>M-33</t>
        </is>
      </c>
      <c r="B6" s="10" t="inlineStr">
        <is>
          <t>E-14</t>
        </is>
      </c>
      <c r="C6" s="11" t="inlineStr">
        <is>
          <t>Rozliczenia: dokończenie</t>
        </is>
      </c>
      <c r="D6" s="10" t="inlineStr">
        <is>
          <t>Q1 2027</t>
        </is>
      </c>
      <c r="E6" s="10" t="inlineStr">
        <is>
          <t>WYSOKI</t>
        </is>
      </c>
      <c r="F6" s="11" t="inlineStr">
        <is>
          <t>Dodatki płatne (IP, wsparcie priorytetowe)</t>
        </is>
      </c>
      <c r="G6" s="10" t="inlineStr">
        <is>
          <t>M — Rozliczenia</t>
        </is>
      </c>
      <c r="H6" s="10" t="inlineStr">
        <is>
          <t>NISKA</t>
        </is>
      </c>
      <c r="I6" s="10" t="n">
        <v>16</v>
      </c>
      <c r="J6" s="10" t="inlineStr">
        <is>
          <t>CZĘŚCIOWE</t>
        </is>
      </c>
      <c r="K6" s="11" t="inlineStr">
        <is>
          <t>addon.service.ts:120 — 2 z 3 to workorder do BOK</t>
        </is>
      </c>
    </row>
    <row r="7">
      <c r="A7" s="10" t="inlineStr">
        <is>
          <t>N-21</t>
        </is>
      </c>
      <c r="B7" s="10" t="inlineStr">
        <is>
          <t>E-15</t>
        </is>
      </c>
      <c r="C7" s="11" t="inlineStr">
        <is>
          <t>Wsparcie i ops: kolejka abuse</t>
        </is>
      </c>
      <c r="D7" s="10" t="inlineStr">
        <is>
          <t>Q1 2027</t>
        </is>
      </c>
      <c r="E7" s="10" t="inlineStr">
        <is>
          <t>WYSOKI</t>
        </is>
      </c>
      <c r="F7" s="11" t="inlineStr">
        <is>
          <t>Wsparcie telefoniczne</t>
        </is>
      </c>
      <c r="G7" s="10" t="inlineStr">
        <is>
          <t>N — Wsparcie i ops</t>
        </is>
      </c>
      <c r="H7" s="10" t="inlineStr">
        <is>
          <t>ŚREDNIA</t>
        </is>
      </c>
      <c r="I7" s="10" t="n">
        <v>6</v>
      </c>
      <c r="J7" s="10" t="inlineStr">
        <is>
          <t>BRAK</t>
        </is>
      </c>
      <c r="K7" s="11" t="inlineStr">
        <is>
          <t>poza produktem</t>
        </is>
      </c>
    </row>
    <row r="8">
      <c r="A8" s="10" t="inlineStr">
        <is>
          <t>PROD-01</t>
        </is>
      </c>
      <c r="B8" s="10" t="inlineStr">
        <is>
          <t>E-15</t>
        </is>
      </c>
      <c r="C8" s="11" t="inlineStr">
        <is>
          <t>Wsparcie i ops: kolejka abuse</t>
        </is>
      </c>
      <c r="D8" s="10" t="inlineStr">
        <is>
          <t>Q1 2027</t>
        </is>
      </c>
      <c r="E8" s="10" t="inlineStr">
        <is>
          <t>WYSOKI</t>
        </is>
      </c>
      <c r="F8" s="11" t="inlineStr">
        <is>
          <t>Instalator węzła bez udziału administratora</t>
        </is>
      </c>
      <c r="G8" s="10" t="inlineStr">
        <is>
          <t>N — Wsparcie i ops</t>
        </is>
      </c>
      <c r="H8" s="10" t="inlineStr">
        <is>
          <t>WYSOKA</t>
        </is>
      </c>
      <c r="I8" s="10" t="n">
        <v>40</v>
      </c>
      <c r="J8" s="10" t="inlineStr">
        <is>
          <t>CZĘŚCIOWE</t>
        </is>
      </c>
      <c r="K8" s="11" t="inlineStr">
        <is>
          <t>docs/archiwum/zadania/PROD-01-instalator-wezla-bez-czlowieka.md; stan: bootstrap v2 + kreator węzła (Q-14) — kroki CloudLinux/DA/LiteSpeed nadal ręczne</t>
        </is>
      </c>
    </row>
    <row r="9">
      <c r="A9" s="10" t="inlineStr">
        <is>
          <t>A-09</t>
        </is>
      </c>
      <c r="B9" s="10" t="inlineStr">
        <is>
          <t>E-04</t>
        </is>
      </c>
      <c r="C9" s="11" t="inlineStr">
        <is>
          <t>Domeny jako produkt</t>
        </is>
      </c>
      <c r="D9" s="10" t="inlineStr">
        <is>
          <t>Q2 2027</t>
        </is>
      </c>
      <c r="E9" s="10" t="inlineStr">
        <is>
          <t>WYSOKI</t>
        </is>
      </c>
      <c r="F9" s="11" t="inlineStr">
        <is>
          <t>Transfer domeny (kod authinfo)</t>
        </is>
      </c>
      <c r="G9" s="10" t="inlineStr">
        <is>
          <t>A — Domeny i konta</t>
        </is>
      </c>
      <c r="H9" s="10" t="inlineStr">
        <is>
          <t>WYSOKA</t>
        </is>
      </c>
      <c r="I9" s="10" t="n">
        <v>16</v>
      </c>
      <c r="J9" s="10" t="inlineStr">
        <is>
          <t>CZĘŚCIOWE</t>
        </is>
      </c>
      <c r="K9"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10">
      <c r="A10" s="10" t="inlineStr">
        <is>
          <t>E-24</t>
        </is>
      </c>
      <c r="B10" s="10" t="inlineStr">
        <is>
          <t>E-10</t>
        </is>
      </c>
      <c r="C10" s="11" t="inlineStr">
        <is>
          <t>Poczta: filtry, kalendarz, limity</t>
        </is>
      </c>
      <c r="D10" s="10" t="inlineStr">
        <is>
          <t>Q2 2027</t>
        </is>
      </c>
      <c r="E10" s="10" t="inlineStr">
        <is>
          <t>ŚREDNI</t>
        </is>
      </c>
      <c r="F10" s="11" t="inlineStr">
        <is>
          <t>2FA dla webmaila</t>
        </is>
      </c>
      <c r="G10" s="10" t="inlineStr">
        <is>
          <t>E — Poczta</t>
        </is>
      </c>
      <c r="H10" s="10" t="inlineStr">
        <is>
          <t>NISKA</t>
        </is>
      </c>
      <c r="I10" s="10" t="n">
        <v>16</v>
      </c>
      <c r="J10" s="10" t="inlineStr">
        <is>
          <t>BRAK</t>
        </is>
      </c>
      <c r="K10" s="11" t="inlineStr">
        <is>
          <t>cyber_Folks ma nawet 2FA dla IMAP/SMTP | 2026-10-08 DECYZJA WŁAŚCICIELA: po starcie — na start webmail przez logowanie z panelu (SSO) za 2FA panelu; osobne 2FA w Roundcube jako nowa funkcja po 11.01.2027.</t>
        </is>
      </c>
    </row>
    <row r="11">
      <c r="A11" s="10" t="inlineStr">
        <is>
          <t>G-08</t>
        </is>
      </c>
      <c r="B11" s="10" t="inlineStr">
        <is>
          <t>E-06</t>
        </is>
      </c>
      <c r="C11" s="11" t="inlineStr">
        <is>
          <t>Bezpieczeństwo jako funkcja</t>
        </is>
      </c>
      <c r="D11" s="10" t="inlineStr">
        <is>
          <t>Q3 2027</t>
        </is>
      </c>
      <c r="E11" s="10" t="inlineStr">
        <is>
          <t>ŚREDNI</t>
        </is>
      </c>
      <c r="F11" s="11" t="inlineStr">
        <is>
          <t>Sprzedaż certyfikatów DV/OV/EV</t>
        </is>
      </c>
      <c r="G11" s="10" t="inlineStr">
        <is>
          <t>G — SSL i bezpieczeństwo</t>
        </is>
      </c>
      <c r="H11" s="10" t="inlineStr">
        <is>
          <t>NISKA</t>
        </is>
      </c>
      <c r="I11" s="10" t="n">
        <v>16</v>
      </c>
      <c r="J11" s="10" t="inlineStr">
        <is>
          <t>DZIAŁA</t>
        </is>
      </c>
      <c r="K11" s="11" t="inlineStr">
        <is>
          <t>apps/api/src/ssl/ssl.service.ts (zamówienie, klucz+CSR na serwerze, szyfrowany), registrar.provider.ts /v1/ssl/*, SslOrder (migracja 20261006090000_certyfikaty_ssl); client SslPlatne.tsx; admin ssl-prices-form.tsx</t>
        </is>
      </c>
    </row>
    <row r="12">
      <c r="A12" s="10" t="inlineStr">
        <is>
          <t>G-21</t>
        </is>
      </c>
      <c r="B12" s="10" t="inlineStr">
        <is>
          <t>E-06</t>
        </is>
      </c>
      <c r="C12" s="11" t="inlineStr">
        <is>
          <t>Bezpieczeństwo jako funkcja</t>
        </is>
      </c>
      <c r="D12" s="10" t="inlineStr">
        <is>
          <t>Q3 2027</t>
        </is>
      </c>
      <c r="E12" s="10" t="inlineStr">
        <is>
          <t>ŚREDNI</t>
        </is>
      </c>
      <c r="F12" s="11" t="inlineStr">
        <is>
          <t>Anty-DDoS</t>
        </is>
      </c>
      <c r="G12" s="10" t="inlineStr">
        <is>
          <t>G — SSL i bezpieczeństwo</t>
        </is>
      </c>
      <c r="H12" s="10" t="inlineStr">
        <is>
          <t>ŚREDNIA</t>
        </is>
      </c>
      <c r="I12" s="10" t="n">
        <v>40</v>
      </c>
      <c r="J12" s="10" t="inlineStr">
        <is>
          <t>DZIAŁA</t>
        </is>
      </c>
      <c r="K12" s="11" t="inlineStr">
        <is>
          <t>ops/docs/DDOS.md; Hetzner DDoS Protection (L3/L4, w cenie); RateLimitGuard + Turnstile (L7 panel/API); LiteSpeed Per-Client Throttling (węzeł, onboarding)</t>
        </is>
      </c>
    </row>
    <row r="13">
      <c r="A13" s="10" t="inlineStr">
        <is>
          <t>O-05</t>
        </is>
      </c>
      <c r="B13" s="10" t="inlineStr">
        <is>
          <t>E-07</t>
        </is>
      </c>
      <c r="C13" s="11" t="inlineStr">
        <is>
          <t>Reseller jako produkt</t>
        </is>
      </c>
      <c r="D13" s="10" t="inlineStr">
        <is>
          <t>Q3 2027</t>
        </is>
      </c>
      <c r="E13" s="10" t="inlineStr">
        <is>
          <t>ŚREDNI</t>
        </is>
      </c>
      <c r="F13" s="11" t="inlineStr">
        <is>
          <t>Reseller — przegląd klientów</t>
        </is>
      </c>
      <c r="G13" s="10" t="inlineStr">
        <is>
          <t>O — Multi-user i reseller</t>
        </is>
      </c>
      <c r="H13" s="10" t="inlineStr">
        <is>
          <t>ŚREDNIA</t>
        </is>
      </c>
      <c r="I13" s="10" t="n">
        <v>40</v>
      </c>
      <c r="J13" s="10" t="inlineStr">
        <is>
          <t>DZIAŁA</t>
        </is>
      </c>
      <c r="K13" s="11" t="inlineStr">
        <is>
          <t>reseller-klienci.service.ts + reseller.controller.ts (5 tras), reseller-klient.tsx; reseller-klienci.int-spec.ts (6 testów na PostgreSQL)</t>
        </is>
      </c>
    </row>
    <row r="14">
      <c r="A14" s="10" t="inlineStr">
        <is>
          <t>O-07</t>
        </is>
      </c>
      <c r="B14" s="10" t="inlineStr">
        <is>
          <t>E-07</t>
        </is>
      </c>
      <c r="C14" s="11" t="inlineStr">
        <is>
          <t>Reseller jako produkt</t>
        </is>
      </c>
      <c r="D14" s="10" t="inlineStr">
        <is>
          <t>Q3 2027</t>
        </is>
      </c>
      <c r="E14" s="10" t="inlineStr">
        <is>
          <t>ŚREDNI</t>
        </is>
      </c>
      <c r="F14" s="11" t="inlineStr">
        <is>
          <t>Reseller — ustawianie własnej marży</t>
        </is>
      </c>
      <c r="G14" s="10" t="inlineStr">
        <is>
          <t>O — Multi-user i reseller</t>
        </is>
      </c>
      <c r="H14" s="10" t="inlineStr">
        <is>
          <t>NISKA</t>
        </is>
      </c>
      <c r="I14" s="10" t="n">
        <v>16</v>
      </c>
      <c r="J14" s="10" t="inlineStr">
        <is>
          <t>CZĘŚCIOWE</t>
        </is>
      </c>
      <c r="K14" s="11" t="inlineStr">
        <is>
          <t>reseller.controller.ts POST me/markup → reseller.service.ts setMarkup (0–300%, audyt RESELLER_MARKUP_CHANGED); reseller-client.tsx „Twój narzut”; test reseller.apply.spec.ts</t>
        </is>
      </c>
    </row>
    <row r="15">
      <c r="A15" s="10" t="inlineStr">
        <is>
          <t>P-12</t>
        </is>
      </c>
      <c r="B15" s="10" t="inlineStr">
        <is>
          <t>E-08</t>
        </is>
      </c>
      <c r="C15" s="11" t="inlineStr">
        <is>
          <t>Dostępność i zgodność w produkcie</t>
        </is>
      </c>
      <c r="D15" s="10" t="inlineStr">
        <is>
          <t>Q3 2027</t>
        </is>
      </c>
      <c r="E15" s="10" t="inlineStr">
        <is>
          <t>ŚREDNI</t>
        </is>
      </c>
      <c r="F15" s="11" t="inlineStr">
        <is>
          <t>Dostępność panelu wg WCAG 2.1 AA (EAA)</t>
        </is>
      </c>
      <c r="G15" s="10" t="inlineStr">
        <is>
          <t>P — Zgodność</t>
        </is>
      </c>
      <c r="H15" s="10" t="inlineStr">
        <is>
          <t>ŚREDNIA</t>
        </is>
      </c>
      <c r="I15" s="10" t="n">
        <v>40</v>
      </c>
      <c r="J15" s="10" t="inlineStr">
        <is>
          <t>DZIAŁA</t>
        </is>
      </c>
      <c r="K15" s="11" t="inlineStr">
        <is>
          <t>eslint.config.mjs w 4 aplikacjach: jsx-a11y recommended jako błędy (34 reguły); 76 → 0 znalezisk (client 52, admin 17, staff 6, www 1); client-panel/src/lib/kontrast-tokenow.spec.ts; ops/qa/a11y-nazwy-kontrolek.js</t>
        </is>
      </c>
    </row>
    <row r="16">
      <c r="A16" s="10" t="inlineStr">
        <is>
          <t>P-14</t>
        </is>
      </c>
      <c r="B16" s="10" t="inlineStr">
        <is>
          <t>E-08</t>
        </is>
      </c>
      <c r="C16" s="11" t="inlineStr">
        <is>
          <t>Dostępność i zgodność w produkcie</t>
        </is>
      </c>
      <c r="D16" s="10" t="inlineStr">
        <is>
          <t>Q3 2027</t>
        </is>
      </c>
      <c r="E16" s="10" t="inlineStr">
        <is>
          <t>ŚREDNI</t>
        </is>
      </c>
      <c r="F16" s="11" t="inlineStr">
        <is>
          <t>Certyfikacja ISO 27001</t>
        </is>
      </c>
      <c r="G16" s="10" t="inlineStr">
        <is>
          <t>P — Zgodność</t>
        </is>
      </c>
      <c r="H16" s="10" t="inlineStr">
        <is>
          <t>NISKA</t>
        </is>
      </c>
      <c r="I16" s="10" t="n">
        <v>40</v>
      </c>
      <c r="J16" s="10" t="inlineStr">
        <is>
          <t>BRAK</t>
        </is>
      </c>
      <c r="K16" s="11" t="inlineStr">
        <is>
          <t>home.pl i nazwa.pl mają — element przetargowy w B2B</t>
        </is>
      </c>
    </row>
    <row r="17">
      <c r="A17" s="10" t="inlineStr">
        <is>
          <t>F-12</t>
        </is>
      </c>
      <c r="B17" s="10" t="inlineStr">
        <is>
          <t>E-11</t>
        </is>
      </c>
      <c r="C17" s="11" t="inlineStr">
        <is>
          <t>DNS: DNSSEC i zarządzanie strefą</t>
        </is>
      </c>
      <c r="D17" s="10" t="inlineStr">
        <is>
          <t>Q3 2027</t>
        </is>
      </c>
      <c r="E17" s="10" t="inlineStr">
        <is>
          <t>ŚREDNI</t>
        </is>
      </c>
      <c r="F17" s="11" t="inlineStr">
        <is>
          <t>Anycast DNS</t>
        </is>
      </c>
      <c r="G17" s="10" t="inlineStr">
        <is>
          <t>F — DNS</t>
        </is>
      </c>
      <c r="H17" s="10" t="inlineStr">
        <is>
          <t>NISKA</t>
        </is>
      </c>
      <c r="I17" s="10" t="n">
        <v>40</v>
      </c>
      <c r="J17" s="10" t="inlineStr">
        <is>
          <t>BRAK</t>
        </is>
      </c>
      <c r="K17" s="11" t="inlineStr">
        <is>
          <t>tylko nazwa.pl na rynku PL</t>
        </is>
      </c>
    </row>
    <row r="18">
      <c r="A18" s="10" t="inlineStr">
        <is>
          <t>NODE-01</t>
        </is>
      </c>
      <c r="B18" s="10" t="inlineStr">
        <is>
          <t>E-16</t>
        </is>
      </c>
      <c r="C18" s="11" t="inlineStr">
        <is>
          <t>Rozszerzenia oferty</t>
        </is>
      </c>
      <c r="D18" s="10" t="inlineStr">
        <is>
          <t>Q4 2027</t>
        </is>
      </c>
      <c r="E18" s="10" t="inlineStr">
        <is>
          <t>NISKI</t>
        </is>
      </c>
      <c r="F18" s="11" t="inlineStr">
        <is>
          <t>Dwie niepołączone ścieżki dodania węzła w tym samym panelu</t>
        </is>
      </c>
      <c r="G18" s="10" t="inlineStr">
        <is>
          <t>Q — Przewaga</t>
        </is>
      </c>
      <c r="H18" s="10" t="inlineStr">
        <is>
          <t>ŚREDNIA</t>
        </is>
      </c>
      <c r="I18" s="10" t="n">
        <v>16</v>
      </c>
      <c r="J18" s="10" t="inlineStr">
        <is>
          <t>DZIAŁA</t>
        </is>
      </c>
      <c r="K18" s="11" t="inlineStr">
        <is>
          <t>node-wizard.tsx (krok „Instalacja (bootstrap v2)” z NodeBootstrapProgress), /nodes/init → przekierowanie, NODE_ONBOARD_RUNBOOK.md jedynym runbookiem</t>
        </is>
      </c>
    </row>
    <row r="19">
      <c r="A19" s="10" t="inlineStr">
        <is>
          <t>Q-05</t>
        </is>
      </c>
      <c r="B19" s="10" t="inlineStr">
        <is>
          <t>E-16</t>
        </is>
      </c>
      <c r="C19" s="11" t="inlineStr">
        <is>
          <t>Rozszerzenia oferty</t>
        </is>
      </c>
      <c r="D19" s="10" t="inlineStr">
        <is>
          <t>Q4 2027</t>
        </is>
      </c>
      <c r="E19" s="10" t="inlineStr">
        <is>
          <t>NISKI</t>
        </is>
      </c>
      <c r="F19" s="11" t="inlineStr">
        <is>
          <t>E-mail marketing wbudowany w panel</t>
        </is>
      </c>
      <c r="G19" s="10" t="inlineStr">
        <is>
          <t>Q — Przewaga</t>
        </is>
      </c>
      <c r="H19" s="10" t="inlineStr">
        <is>
          <t>—</t>
        </is>
      </c>
      <c r="I19" s="10" t="n">
        <v>0</v>
      </c>
      <c r="J19" s="10" t="inlineStr">
        <is>
          <t>CZĘŚCIOWE</t>
        </is>
      </c>
      <c r="K19" s="11" t="inlineStr">
        <is>
          <t>email-marketing.controller.ts:36,81,119,139</t>
        </is>
      </c>
    </row>
  </sheetData>
  <autoFilter ref="A1:K1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 | 2026-10-10: Fala 1B — przycisk „Pobierz UPO” na stronie faktury, stan ENDPOINT BEZ UI → DZIAŁA (kod, D2). Werdykt bez zmian: własny moduł KSeF zamrożony (PB-13), UPO pojawi się dopiero przy integracji po starcie. | 2026-10-10 (przegląd): DZIAŁA → CZĘŚCIOWE. Przycisk „Pobierz UPO” pokazuje się tylko dla faktury ze statusem KSeF ACCEPTED albo nieznanym (admin-panel lib/akcje/faktura.ts:77), a własny moduł KSeF jest zamrożony (PB-13), więc na produkcji ścieżka nie ma na czym zadziałać. Definicja ukończenia dla ENDPOINT BEZ UI wymaga też wpisu w dzienniku i testu guardu API — test route.spec.ts sprawdza proxy Next.js (401 bez sesji, 404 z API), nie guard @Roles(ADMIN) w ksef.admin.controller.ts:20-21; pobranie UPO nie zostawia wpisu. Kod przycisku jest (D2); DZIAŁA dopiero przy integracji KSeF po starcie, z pobraniem UPO prawdziwej faktury (D3). Werdykt bez zmian.</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2026-10-12T13:13:25Z</dcterms:created>
  <dcterms:modified xmlns:dcterms="http://purl.org/dc/terms/" xmlns:xsi="http://www.w3.org/2001/XMLSchema-instance" xsi:type="dcterms:W3CDTF">2026-10-12T13:13:25Z</dcterms:modified>
</cp:coreProperties>
</file>