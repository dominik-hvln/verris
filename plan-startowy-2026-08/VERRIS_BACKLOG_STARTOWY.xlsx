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startu'!$A$1:$P$65</definedName>
    <definedName name="_xlnm._FilterDatabase" localSheetId="2" hidden="1">'Sprinty'!$A$1:$J$21</definedName>
    <definedName name="_xlnm._FilterDatabase" localSheetId="3" hidden="1">'Po starcie'!$A$1:$K$146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startu'!$A$2:$A$65)</f>
        <v/>
      </c>
    </row>
    <row r="7">
      <c r="A7" s="4" t="inlineStr">
        <is>
          <t>Godzin w planie</t>
        </is>
      </c>
      <c r="B7" s="5">
        <f>SUM('Backlog do startu'!$F$2:$F$65)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startu'!$E$2:$E$65,"BLOKER STARTU")+COUNTIF('Backlog do startu'!$E$2:$E$65,"BLOKER BIZNESOWY")</f>
        <v/>
      </c>
    </row>
    <row r="11">
      <c r="A11" s="4" t="inlineStr">
        <is>
          <t>Zadań zrobionych</t>
        </is>
      </c>
      <c r="B11" s="5">
        <f>COUNTIF('Backlog do startu'!$P$2:$P$65,"zrobione")</f>
        <v/>
      </c>
    </row>
    <row r="12">
      <c r="A12" s="4" t="inlineStr">
        <is>
          <t>Godzin zrobionych</t>
        </is>
      </c>
      <c r="B12" s="5">
        <f>SUMIF('Backlog do startu'!$P$2:$P$65,"zrobione",'Backlog do startu'!$F$2:$F$65)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145</v>
      </c>
    </row>
    <row r="17">
      <c r="A17" s="4" t="inlineStr">
        <is>
          <t>Godzin</t>
        </is>
      </c>
      <c r="B17" s="5" t="n">
        <v>2270</v>
      </c>
    </row>
    <row r="18">
      <c r="A18" s="4" t="inlineStr">
        <is>
          <t>Sprintów po tyle godzin</t>
        </is>
      </c>
      <c r="B18" s="5" t="n">
        <v>75.7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Arkusz z kosztem miesięcznym węzła, liczbą kont na węzeł, marżą jednostkową i progiem rentowności. Decyzja: cena zostaje albo się zmienia — zapisana w repo.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—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9" s="10" t="inlineStr">
        <is>
          <t>do zrobienia</t>
        </is>
      </c>
    </row>
    <row r="10">
      <c r="A10" s="10" t="inlineStr">
        <is>
          <t>Z-12</t>
        </is>
      </c>
      <c r="B10" s="11" t="inlineStr">
        <is>
          <t>Placement kont nadsubskrybuje zasoby węzła zamiast rezerwować pełne limity planu</t>
        </is>
      </c>
      <c r="C10" s="10" t="inlineStr">
        <is>
          <t>audyt</t>
        </is>
      </c>
      <c r="D10" s="10" t="inlineStr">
        <is>
          <t>K — Statystyki, logi, limity</t>
        </is>
      </c>
      <c r="E10" s="10" t="inlineStr">
        <is>
          <t>—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DZIAŁA</t>
        </is>
      </c>
      <c r="L10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10" s="10" t="inlineStr">
        <is>
          <t>do zrobienia</t>
        </is>
      </c>
    </row>
    <row r="11">
      <c r="A11" s="10" t="inlineStr">
        <is>
          <t>Z-13</t>
        </is>
      </c>
      <c r="B11" s="11" t="inlineStr">
        <is>
          <t>Pakiet sprzedawany na stronie istnieje jako plan w bazie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—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DZIAŁA</t>
        </is>
      </c>
      <c r="L11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11" s="10" t="inlineStr">
        <is>
          <t>do zrobienia</t>
        </is>
      </c>
    </row>
    <row r="12">
      <c r="A12" s="10" t="inlineStr">
        <is>
          <t>Z-16</t>
        </is>
      </c>
      <c r="B12" s="11" t="inlineStr">
        <is>
          <t>Autoskalowanie pyta węzeł o pojemność i dowozi sufit obiecany w ofercie</t>
        </is>
      </c>
      <c r="C12" s="10" t="inlineStr">
        <is>
          <t>audyt</t>
        </is>
      </c>
      <c r="D12" s="10" t="inlineStr">
        <is>
          <t>J — Wydajność i cache</t>
        </is>
      </c>
      <c r="E12" s="10" t="inlineStr">
        <is>
          <t>—</t>
        </is>
      </c>
      <c r="F12" s="10" t="n">
        <v>16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DZIAŁA</t>
        </is>
      </c>
      <c r="L12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12" s="10" t="inlineStr">
        <is>
          <t>do zrobienia</t>
        </is>
      </c>
    </row>
    <row r="13">
      <c r="A13" s="10" t="inlineStr">
        <is>
          <t>PB-14</t>
        </is>
      </c>
      <c r="B13" s="11" t="inlineStr">
        <is>
          <t>Wybór dostawcy i lokalizacji węzła produkcyjnego #1</t>
        </is>
      </c>
      <c r="C13" s="10" t="inlineStr">
        <is>
          <t>poza audytem</t>
        </is>
      </c>
      <c r="D13" s="10" t="inlineStr">
        <is>
          <t>Praca spoza audytu</t>
        </is>
      </c>
      <c r="E13" s="10" t="inlineStr">
        <is>
          <t>WYSOKI</t>
        </is>
      </c>
      <c r="F13" s="10" t="n">
        <v>6</v>
      </c>
      <c r="G13" s="10" t="n">
        <v>3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—</t>
        </is>
      </c>
      <c r="L13" s="11" t="inlineStr">
        <is>
          <t>—</t>
        </is>
      </c>
      <c r="M13" s="11" t="inlineStr">
        <is>
          <t>—</t>
        </is>
      </c>
      <c r="N13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13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13" s="10" t="inlineStr">
        <is>
          <t>do zrobienia</t>
        </is>
      </c>
    </row>
    <row r="14">
      <c r="A14" s="10" t="inlineStr">
        <is>
          <t>Z-05</t>
        </is>
      </c>
      <c r="B14" s="11" t="inlineStr">
        <is>
          <t>Odporność webhooka płatności na błąd w trakcie obsługi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—</t>
        </is>
      </c>
      <c r="F14" s="10" t="n">
        <v>16</v>
      </c>
      <c r="G14" s="10" t="n">
        <v>4</v>
      </c>
      <c r="H14" s="10" t="inlineStr">
        <is>
          <t>Faza 1 — Rozliczenia i dowód odtworzenia</t>
        </is>
      </c>
      <c r="I14" s="10" t="inlineStr">
        <is>
          <t>2026-09-14</t>
        </is>
      </c>
      <c r="J14" s="10" t="inlineStr">
        <is>
          <t>2026-09-18</t>
        </is>
      </c>
      <c r="K14" s="10" t="inlineStr">
        <is>
          <t>DZIAŁA</t>
        </is>
      </c>
      <c r="L14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14" s="10" t="inlineStr">
        <is>
          <t>do zrobienia</t>
        </is>
      </c>
    </row>
    <row r="15">
      <c r="A15" s="10" t="inlineStr">
        <is>
          <t>M-08</t>
        </is>
      </c>
      <c r="B15" s="11" t="inlineStr">
        <is>
          <t>Anulowanie faktury (VOID) z panelu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WYSOKA</t>
        </is>
      </c>
      <c r="F15" s="10" t="n">
        <v>6</v>
      </c>
      <c r="G15" s="10" t="n">
        <v>4</v>
      </c>
      <c r="H15" s="10" t="inlineStr">
        <is>
          <t>Faza 1 — Rozliczenia i dowód odtworzenia</t>
        </is>
      </c>
      <c r="I15" s="10" t="inlineStr">
        <is>
          <t>2026-09-14</t>
        </is>
      </c>
      <c r="J15" s="10" t="inlineStr">
        <is>
          <t>2026-09-18</t>
        </is>
      </c>
      <c r="K15" s="10" t="inlineStr">
        <is>
          <t>BRAK</t>
        </is>
      </c>
      <c r="L15" s="11" t="inlineStr">
        <is>
          <t>InvoiceStatus.VOID w schema.prisma:1354 nigdy nie ustawiany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/>
      <c r="P15" s="10" t="inlineStr">
        <is>
          <t>do zrobienia</t>
        </is>
      </c>
    </row>
    <row r="16">
      <c r="A16" s="10" t="inlineStr">
        <is>
          <t>C-18</t>
        </is>
      </c>
      <c r="B16" s="11" t="inlineStr">
        <is>
          <t>Konto FTP — zmiana hasła</t>
        </is>
      </c>
      <c r="C16" s="10" t="inlineStr">
        <is>
          <t>audyt</t>
        </is>
      </c>
      <c r="D16" s="10" t="inlineStr">
        <is>
          <t>C — Pliki, FTP, SSH, Git</t>
        </is>
      </c>
      <c r="E16" s="10" t="inlineStr">
        <is>
          <t>WYSOKA</t>
        </is>
      </c>
      <c r="F16" s="10" t="n">
        <v>6</v>
      </c>
      <c r="G16" s="10" t="n">
        <v>4</v>
      </c>
      <c r="H16" s="10" t="inlineStr">
        <is>
          <t>Faza 1 — Rozliczenia i dowód odtworzenia</t>
        </is>
      </c>
      <c r="I16" s="10" t="inlineStr">
        <is>
          <t>2026-09-14</t>
        </is>
      </c>
      <c r="J16" s="10" t="inlineStr">
        <is>
          <t>2026-09-18</t>
        </is>
      </c>
      <c r="K16" s="10" t="inlineStr">
        <is>
          <t>BRAK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brak jakiejkolwiek ścieżki edycji istniejącego konta</t>
        </is>
      </c>
      <c r="P16" s="10" t="inlineStr">
        <is>
          <t>do zrobienia</t>
        </is>
      </c>
    </row>
    <row r="17">
      <c r="A17" s="10" t="inlineStr">
        <is>
          <t>Z-01</t>
        </is>
      </c>
      <c r="B17" s="11" t="inlineStr">
        <is>
          <t>Faktura VAT dla płatności portfelem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—</t>
        </is>
      </c>
      <c r="F17" s="10" t="n">
        <v>30</v>
      </c>
      <c r="G17" s="10" t="n">
        <v>5</v>
      </c>
      <c r="H17" s="10" t="inlineStr">
        <is>
          <t>Faza 1 — Rozliczenia i dowód odtworzenia</t>
        </is>
      </c>
      <c r="I17" s="10" t="inlineStr">
        <is>
          <t>2026-09-21</t>
        </is>
      </c>
      <c r="J17" s="10" t="inlineStr">
        <is>
          <t>2026-09-25</t>
        </is>
      </c>
      <c r="K17" s="10" t="inlineStr">
        <is>
          <t>DZIAŁA</t>
        </is>
      </c>
      <c r="L17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17" s="11" t="inlineStr">
        <is>
          <t>X-01 (bez CI nie ma jak potwierdzić tej zmiany)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17" s="10" t="inlineStr">
        <is>
          <t>do zrobienia</t>
        </is>
      </c>
    </row>
    <row r="18">
      <c r="A18" s="10" t="inlineStr">
        <is>
          <t>Z-01</t>
        </is>
      </c>
      <c r="B18" s="11" t="inlineStr">
        <is>
          <t>Faktura VAT dla płatności portfelem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—</t>
        </is>
      </c>
      <c r="F18" s="10" t="n">
        <v>10</v>
      </c>
      <c r="G18" s="10" t="n">
        <v>6</v>
      </c>
      <c r="H18" s="10" t="inlineStr">
        <is>
          <t>Faza 1 — Rozliczenia i dowód odtworzenia</t>
        </is>
      </c>
      <c r="I18" s="10" t="inlineStr">
        <is>
          <t>2026-09-28</t>
        </is>
      </c>
      <c r="J18" s="10" t="inlineStr">
        <is>
          <t>2026-10-02</t>
        </is>
      </c>
      <c r="K18" s="10" t="inlineStr">
        <is>
          <t>DZIAŁA</t>
        </is>
      </c>
      <c r="L18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18" s="11" t="inlineStr">
        <is>
          <t>X-01 (bez CI nie ma jak potwierdzić tej zmiany)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18" s="10" t="inlineStr">
        <is>
          <t>do zrobienia</t>
        </is>
      </c>
    </row>
    <row r="19">
      <c r="A19" s="10" t="inlineStr">
        <is>
          <t>P-15</t>
        </is>
      </c>
      <c r="B19" s="11" t="inlineStr">
        <is>
          <t>Podpisane DPA z subprocesorami (część)</t>
        </is>
      </c>
      <c r="C19" s="10" t="inlineStr">
        <is>
          <t>audyt</t>
        </is>
      </c>
      <c r="D19" s="10" t="inlineStr">
        <is>
          <t>P — Zgodność</t>
        </is>
      </c>
      <c r="E19" s="10" t="inlineStr">
        <is>
          <t>BLOKER STARTU</t>
        </is>
      </c>
      <c r="F19" s="10" t="n">
        <v>8</v>
      </c>
      <c r="G19" s="10" t="n">
        <v>6</v>
      </c>
      <c r="H19" s="10" t="inlineStr">
        <is>
          <t>Faza 1 — Rozliczenia i dowód odtworzenia</t>
        </is>
      </c>
      <c r="I19" s="10" t="inlineStr">
        <is>
          <t>2026-09-28</t>
        </is>
      </c>
      <c r="J19" s="10" t="inlineStr">
        <is>
          <t>2026-10-02</t>
        </is>
      </c>
      <c r="K19" s="10" t="inlineStr">
        <is>
          <t>BRAK</t>
        </is>
      </c>
      <c r="L19" s="11" t="inlineStr">
        <is>
          <t>docs/legal/dpa-subprocessors-tracking.md — wszystkie pozycje w statusie „do podpisania” lub „do akceptacji”, kolumna Data pusta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9" s="10" t="inlineStr">
        <is>
          <t>do zrobienia</t>
        </is>
      </c>
    </row>
    <row r="20">
      <c r="A20" s="10" t="inlineStr">
        <is>
          <t>PB-04</t>
        </is>
      </c>
      <c r="B20" s="11" t="inlineStr">
        <is>
          <t>Procedura obsługi nadużyć (abuse) — dokument</t>
        </is>
      </c>
      <c r="C20" s="10" t="inlineStr">
        <is>
          <t>poza audytem</t>
        </is>
      </c>
      <c r="D20" s="10" t="inlineStr">
        <is>
          <t>Praca spoza audytu</t>
        </is>
      </c>
      <c r="E20" s="10" t="inlineStr">
        <is>
          <t>WYSOKI</t>
        </is>
      </c>
      <c r="F20" s="10" t="n">
        <v>8</v>
      </c>
      <c r="G20" s="10" t="n">
        <v>6</v>
      </c>
      <c r="H20" s="10" t="inlineStr">
        <is>
          <t>Faza 1 — Rozliczenia i dowód odtworzenia</t>
        </is>
      </c>
      <c r="I20" s="10" t="inlineStr">
        <is>
          <t>2026-09-28</t>
        </is>
      </c>
      <c r="J20" s="10" t="inlineStr">
        <is>
          <t>2026-10-02</t>
        </is>
      </c>
      <c r="K20" s="10" t="inlineStr">
        <is>
          <t>—</t>
        </is>
      </c>
      <c r="L20" s="11" t="inlineStr">
        <is>
          <t>—</t>
        </is>
      </c>
      <c r="M20" s="11" t="inlineStr">
        <is>
          <t>—</t>
        </is>
      </c>
      <c r="N20" s="11" t="inlineStr">
        <is>
          <t>Dokument w ops/docs z właścicielem i czasami reakcji. Test: zgłoszenie wysłane na abuse@ trafia do kogoś i ma odpowiedź w deklarowanym czasie.</t>
        </is>
      </c>
      <c r="O20" s="11" t="inlineStr">
        <is>
          <t>Adres abuse@ obsługiwany, ścieżka od zgłoszenia do reakcji, czasy reakcji, kto decyduje o zawieszeniu, wzory odpowiedzi do CERT i rejestratorów.</t>
        </is>
      </c>
      <c r="P20" s="10" t="inlineStr">
        <is>
          <t>do zrobienia</t>
        </is>
      </c>
    </row>
    <row r="21">
      <c r="A21" s="10" t="inlineStr">
        <is>
          <t>M-06</t>
        </is>
      </c>
      <c r="B21" s="11" t="inlineStr">
        <is>
          <t>FAKTURA KORYGUJĄCA (część)</t>
        </is>
      </c>
      <c r="C21" s="10" t="inlineStr">
        <is>
          <t>audyt</t>
        </is>
      </c>
      <c r="D21" s="10" t="inlineStr">
        <is>
          <t>M — Rozliczenia</t>
        </is>
      </c>
      <c r="E21" s="10" t="inlineStr">
        <is>
          <t>—</t>
        </is>
      </c>
      <c r="F21" s="10" t="n">
        <v>30</v>
      </c>
      <c r="G21" s="10" t="n">
        <v>7</v>
      </c>
      <c r="H21" s="10" t="inlineStr">
        <is>
          <t>Faza 1 — Rozliczenia i dowód odtworzenia</t>
        </is>
      </c>
      <c r="I21" s="10" t="inlineStr">
        <is>
          <t>2026-10-05</t>
        </is>
      </c>
      <c r="J21" s="10" t="inlineStr">
        <is>
          <t>2026-10-09</t>
        </is>
      </c>
      <c r="K21" s="10" t="inlineStr">
        <is>
          <t>DZIAŁA</t>
        </is>
      </c>
      <c r="L21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21" s="11" t="inlineStr">
        <is>
          <t>Z-01 (korekta korzysta z tej samej ścieżki wystawiania)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21" s="10" t="inlineStr">
        <is>
          <t>do zrobienia</t>
        </is>
      </c>
    </row>
    <row r="22">
      <c r="A22" s="10" t="inlineStr">
        <is>
          <t>M-06</t>
        </is>
      </c>
      <c r="B22" s="11" t="inlineStr">
        <is>
          <t>FAKTURA KORYGUJĄCA (część)</t>
        </is>
      </c>
      <c r="C22" s="10" t="inlineStr">
        <is>
          <t>audyt</t>
        </is>
      </c>
      <c r="D22" s="10" t="inlineStr">
        <is>
          <t>M — Rozliczenia</t>
        </is>
      </c>
      <c r="E22" s="10" t="inlineStr">
        <is>
          <t>—</t>
        </is>
      </c>
      <c r="F22" s="10" t="n">
        <v>10</v>
      </c>
      <c r="G22" s="10" t="n">
        <v>8</v>
      </c>
      <c r="H22" s="10" t="inlineStr">
        <is>
          <t>Faza 1 — Rozliczenia i dowód odtworzenia</t>
        </is>
      </c>
      <c r="I22" s="10" t="inlineStr">
        <is>
          <t>2026-10-12</t>
        </is>
      </c>
      <c r="J22" s="10" t="inlineStr">
        <is>
          <t>2026-10-16</t>
        </is>
      </c>
      <c r="K22" s="10" t="inlineStr">
        <is>
          <t>DZIAŁA</t>
        </is>
      </c>
      <c r="L22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22" s="11" t="inlineStr">
        <is>
          <t>Z-01 (korekta korzysta z tej samej ścieżki wystawiania)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22" s="10" t="inlineStr">
        <is>
          <t>do zrobienia</t>
        </is>
      </c>
    </row>
    <row r="23">
      <c r="A23" s="10" t="inlineStr">
        <is>
          <t>PB-02</t>
        </is>
      </c>
      <c r="B23" s="11" t="inlineStr">
        <is>
          <t>Onboarding produkcyjnego węzła #1 (EX63)</t>
        </is>
      </c>
      <c r="C23" s="10" t="inlineStr">
        <is>
          <t>poza audytem</t>
        </is>
      </c>
      <c r="D23" s="10" t="inlineStr">
        <is>
          <t>Praca spoza audytu</t>
        </is>
      </c>
      <c r="E23" s="10" t="inlineStr">
        <is>
          <t>WYSOKI</t>
        </is>
      </c>
      <c r="F23" s="10" t="n">
        <v>16</v>
      </c>
      <c r="G23" s="10" t="n">
        <v>8</v>
      </c>
      <c r="H23" s="10" t="inlineStr">
        <is>
          <t>Faza 1 — Rozliczenia i dowód odtworzenia</t>
        </is>
      </c>
      <c r="I23" s="10" t="inlineStr">
        <is>
          <t>2026-10-12</t>
        </is>
      </c>
      <c r="J23" s="10" t="inlineStr">
        <is>
          <t>2026-10-16</t>
        </is>
      </c>
      <c r="K23" s="10" t="inlineStr">
        <is>
          <t>—</t>
        </is>
      </c>
      <c r="L23" s="11" t="inlineStr">
        <is>
          <t>—</t>
        </is>
      </c>
      <c r="M23" s="11" t="inlineStr">
        <is>
          <t>—</t>
        </is>
      </c>
      <c r="N23" s="11" t="inlineStr">
        <is>
          <t>Węzeł przechodzi wszystkie 14 checków live-readiness. /etc/verris-backup.conf istnieje, pierwszy backup off-site wykonany i zaraportowany do control-plane.</t>
        </is>
      </c>
      <c r="O23" s="11" t="inlineStr">
        <is>
          <t>Pełny przebieg node-onboard-live.sh na docelowym serwerze, z konfiguracją backupu off-site jako krokiem obowiązkowym.</t>
        </is>
      </c>
      <c r="P23" s="10" t="inlineStr">
        <is>
          <t>do zrobienia</t>
        </is>
      </c>
    </row>
    <row r="24">
      <c r="A24" s="10" t="inlineStr">
        <is>
          <t>H-20</t>
        </is>
      </c>
      <c r="B24" s="11" t="inlineStr">
        <is>
          <t>Test odtworzeniowy z datą ostatniego wykonania</t>
        </is>
      </c>
      <c r="C24" s="10" t="inlineStr">
        <is>
          <t>audyt</t>
        </is>
      </c>
      <c r="D24" s="10" t="inlineStr">
        <is>
          <t>H — Backup i odtwarzanie</t>
        </is>
      </c>
      <c r="E24" s="10" t="inlineStr">
        <is>
          <t>BLOKER STARTU</t>
        </is>
      </c>
      <c r="F24" s="10" t="n">
        <v>16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CZĘŚCIOWE</t>
        </is>
      </c>
      <c r="L24" s="11" t="inlineStr">
        <is>
          <t>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 + zapis śladu; migracja 20260823000000_proba_odtworzenia (tabela RestoreDrill + 2 CHECK); ops/docs/OFFSITE_RESTORE_RUNBOOK.md — procedura z właścicielem i cyklem 30 dni; proba-odtworzenia.spec.ts (20) + test/integration/proba-odtworzenia.int-spec.ts (8). BRAK: ani jednego wiersza w RestoreDrill — nikt jeszcze nie odtworzył bazy z kopii.</t>
        </is>
      </c>
      <c r="M24" s="11" t="inlineStr">
        <is>
          <t>PB-02 (drill wykonujemy na węźle #1)</t>
        </is>
      </c>
      <c r="N24" s="11" t="inlineStr">
        <is>
          <t>Ograniczenie opisane w uwagach macierzy zniknęło; test potwierdza zachowanie także w scenariuszu awaryjnym.</t>
        </is>
      </c>
      <c r="O24" s="11" t="inlineStr">
        <is>
          <t>Stan 2026-08-22: MECHANIZM ZAMKNIĘTY (D2), POZYCJA NADAL OTWARTA. Zrobione wszystko poza jedną rzeczą, której nie da się zrobić za kogoś: nikt nadal nie odtworzył bazy z kopii. Reguła audytu wymaga dla DR poziomu D4 — data, wynik, właściciel — a zapis powstaje dopiero przy uruchomieniu drilla. Pusta tabela znaczy dokładnie to samo co przed zmianą: nie wiemy, czy potrafimy odtworzyć bazę. Oznaczenie tej pozycji jako DZIAŁA byłoby rozumowaniem zakazanym w tym projekcie pod nazwą „warunkowe GO": mamy narzędzie, więc uznajmy, że mamy wynik. | CO SIĘ REALNIE ZMIENIŁO: blokada przestała być notatką w runbooku i stała się bramką w kodzie. Wcześniej można było wystartować sprzedaż bez drilla i nikt by nie zauważył; teraz gotowość do startu zwraca go: false, dopóki próby nie ma. | JAK ZAMKNĄĆ: jedno polecenie na control-plane — `cd /opt/verris &amp;&amp; ./ops/scripts/restore-drill-isolated.sh --owner "Dominik Kowalski"`. Skrypt sam zapisze wynik. | DWIE CICHE WADY SKRYPTU, które naprawiłem przy okazji: (1) LICZYŁ I NIE SPRAWDZAŁ — wykonywał SELECT COUNT(*) FROM "User" i tylko logował wynik, po czym i tak drukował RESTORE DRILL OK; psql kończy się zerem także wtedy, gdy wgrał pusty plik, więc odtworzenie NICZEGO meldowało sukces (ta sama klasa co X-14: kontrola istnieje, ale niczego nie bramkuje); (2) PATRZYŁ NA JEDNĄ TABELĘ — sam User nie mówi nic o tym, czy przetrwały faktury i subskrypcje, a to one bolą przy utracie. Teraz progi na pięciu tabelach i przerwanie z konkretnym komunikatem. | ŚLAD: tabela RestoreDrill z czasem trwania (to jest REALNE RTO — liczba, którą trzeba znać przed awarią, nie w jej trakcie), właścicielem i liczbami wierszy. Zapis idzie do bazy PRODUKCYJNEJ i powstaje RÓWNIEŻ przy niepowodzeniu, łącznie z pułapką na przerwanie w połowie: brak wpisu nie może znaczyć jednocześnie „nigdy nie było" i „padło". Dwa CHECK w bazie: durationSec &gt; 0 (zero sekund to zapis, nie pomiar) i niepusty owner (D4 wymaga właściciela; pusty napis spełniałby NOT NULL i nie spełniałby reguły). | BRAMKA, NIE OSTRZEŻENIE: blocking: true. Ostrzeżenie zamiast bramki to TRZECIE wystąpienie tego błędu — macierz wytknęła je przy H-19, naprawiałem w X-23 przy jobie bezpieczeństwa, tu wracało. | Ocena patrzy na OSTATNIĄ próbę, nie na ostatnią udaną: gdyby patrzyła tylko na udane, wczorajsza awaria odtwarzania byłaby niewidoczna, a raport pokazywałby zieloną próbę sprzed dwóch tygodni. Dowód się starzeje — odtworzenie sprzed roku nie mówi nic o dzisiejszej kopii, bo schemat się zmienił i migracje doszły; stąd termin 30 dni. | TEST, KTÓRY NAJPIERW NIC NIE DOWODZIŁ (drugi raz po Z-01): pierwsza wersja sprawdzała raport.go === false, a w środowisku testowym `go` jest fałszem niezależnie od tej pozycji — asercja przechodziła także po zdjęciu blokady. Zamiana bramki na ostrzeżenie zapalała wtedy JEDEN test zamiast trzech. Poprawione na check.blocking &amp;&amp; check.status === 'fail'. | Czerwieni się na starym kodzie: brak sprawdzenia → 5 z 8 integracyjnych; blocking: false → 3 z 8; skrypt bez asercji progów → 4 z 20 jednostkowych. | CZEGO NIE ROBI: nie odtwarza konta hostingowego (pliki, poczta, bazy klienta — osobna ścieżka w runbooku); nie mierzy RTO na maszynie zastępczej (drill biegnie na tym samym hoście, więc czas to DOLNE oszacowanie); nie sprawdza poprawności danych ponad to, że tabele nie są puste; nie uruchamia się sam — świadomie, bo drill zajmuje zasoby control-plane i kasuje bazę drillową. Przypomina, nie wykonuje. Dokumentacja: docs/zadania/H-20-proba-odtworzenia.md</t>
        </is>
      </c>
      <c r="P24" s="10" t="inlineStr">
        <is>
          <t>do zrobienia</t>
        </is>
      </c>
    </row>
    <row r="25">
      <c r="A25" s="10" t="inlineStr">
        <is>
          <t>P-15</t>
        </is>
      </c>
      <c r="B25" s="11" t="inlineStr">
        <is>
          <t>Podpisane DPA z subprocesorami (część)</t>
        </is>
      </c>
      <c r="C25" s="10" t="inlineStr">
        <is>
          <t>audyt</t>
        </is>
      </c>
      <c r="D25" s="10" t="inlineStr">
        <is>
          <t>P — Zgodność</t>
        </is>
      </c>
      <c r="E25" s="10" t="inlineStr">
        <is>
          <t>BLOKER STARTU</t>
        </is>
      </c>
      <c r="F25" s="10" t="n">
        <v>8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BRAK</t>
        </is>
      </c>
      <c r="L25" s="11" t="inlineStr">
        <is>
          <t>docs/legal/dpa-subprocessors-tracking.md — wszystkie pozycje w statusie „do podpisania” lub „do akceptacji”, kolumna Data pusta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5" s="10" t="inlineStr">
        <is>
          <t>do zrobienia</t>
        </is>
      </c>
    </row>
    <row r="26">
      <c r="A26" s="10" t="inlineStr">
        <is>
          <t>D-04</t>
        </is>
      </c>
      <c r="B26" s="11" t="inlineStr">
        <is>
          <t>Dodatkowy użytkownik bazy — utworzenie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10</v>
      </c>
      <c r="H26" s="10" t="inlineStr">
        <is>
          <t>Faza 2 — Odzyskanie funkcji-widm i luki pierwszego tygodnia</t>
        </is>
      </c>
      <c r="I26" s="10" t="inlineStr">
        <is>
          <t>2026-10-26</t>
        </is>
      </c>
      <c r="J26" s="10" t="inlineStr">
        <is>
          <t>2026-10-30</t>
        </is>
      </c>
      <c r="K26" s="10" t="inlineStr">
        <is>
          <t>DZIAŁA</t>
        </is>
      </c>
      <c r="L26" s="11" t="inlineStr">
        <is>
          <t>services.controller.ts — POST /services/:id/hosting-db-users; serwis directadmin.service.ts:1900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D-05</t>
        </is>
      </c>
      <c r="B27" s="11" t="inlineStr">
        <is>
          <t>Użytkownik bazy — usunięcie</t>
        </is>
      </c>
      <c r="C27" s="10" t="inlineStr">
        <is>
          <t>audyt</t>
        </is>
      </c>
      <c r="D27" s="10" t="inlineStr">
        <is>
          <t>D — Bazy danych</t>
        </is>
      </c>
      <c r="E27" s="10" t="inlineStr">
        <is>
          <t>—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DZIAŁA</t>
        </is>
      </c>
      <c r="L27" s="11" t="inlineStr">
        <is>
          <t>services.controller.ts — POST /services/:id/hosting-db-users/remove; serwis directadmin.service.ts:1925</t>
        </is>
      </c>
      <c r="M27" s="11" t="inlineStr">
        <is>
          <t>D-04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7" s="10" t="inlineStr">
        <is>
          <t>do zrobienia</t>
        </is>
      </c>
    </row>
    <row r="28">
      <c r="A28" s="10" t="inlineStr">
        <is>
          <t>D-06</t>
        </is>
      </c>
      <c r="B28" s="11" t="inlineStr">
        <is>
          <t>Użytkownik bazy — zmiana hasła</t>
        </is>
      </c>
      <c r="C28" s="10" t="inlineStr">
        <is>
          <t>audyt</t>
        </is>
      </c>
      <c r="D28" s="10" t="inlineStr">
        <is>
          <t>D — Bazy danych</t>
        </is>
      </c>
      <c r="E28" s="10" t="inlineStr">
        <is>
          <t>—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DZIAŁA</t>
        </is>
      </c>
      <c r="L28" s="11" t="inlineStr">
        <is>
          <t>services.controller.ts — POST /services/:id/hosting-db-users/password; serwis directadmin.service.ts:1945</t>
        </is>
      </c>
      <c r="M28" s="11" t="inlineStr">
        <is>
          <t>D-04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8" s="10" t="inlineStr">
        <is>
          <t>do zrobienia</t>
        </is>
      </c>
    </row>
    <row r="29">
      <c r="A29" s="10" t="inlineStr">
        <is>
          <t>D-07</t>
        </is>
      </c>
      <c r="B29" s="11" t="inlineStr">
        <is>
          <t>Użytkownik bazy — lista</t>
        </is>
      </c>
      <c r="C29" s="10" t="inlineStr">
        <is>
          <t>audyt</t>
        </is>
      </c>
      <c r="D29" s="10" t="inlineStr">
        <is>
          <t>D — Bazy danych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GET /services/:id/hosting-db-users</t>
        </is>
      </c>
      <c r="M29" s="11" t="inlineStr">
        <is>
          <t>D-04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D-11</t>
        </is>
      </c>
      <c r="B30" s="11" t="inlineStr">
        <is>
          <t>phpMyAdmin — auto-logowanie (SSO)</t>
        </is>
      </c>
      <c r="C30" s="10" t="inlineStr">
        <is>
          <t>audyt</t>
        </is>
      </c>
      <c r="D30" s="10" t="inlineStr">
        <is>
          <t>D — Bazy danych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POST /services/:id/hosting-sso-url; directadmin.service.ts:1977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F-01</t>
        </is>
      </c>
      <c r="B31" s="11" t="inlineStr">
        <is>
          <t>Edytor rekordów DNS (A/CNAME/MX/TXT)</t>
        </is>
      </c>
      <c r="C31" s="10" t="inlineStr">
        <is>
          <t>audyt</t>
        </is>
      </c>
      <c r="D31" s="10" t="inlineStr">
        <is>
          <t>F — DNS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ATRAPA</t>
        </is>
      </c>
      <c r="L31" s="11" t="inlineStr">
        <is>
          <t>dns-manager.tsx:79,91 — komponent osierocony; dns/page.tsx:15 przekierowuje gdzie indziej</t>
        </is>
      </c>
      <c r="M31" s="11" t="inlineStr">
        <is>
          <t>—</t>
        </is>
      </c>
      <c r="N31" s="11" t="inlineStr">
        <is>
          <t>Kontroler rejestruje trasę, którą woła panel; kliknięcie kończy się realnym efektem, nie 404. Test pokrywa ścieżkę UI→API→zasób.</t>
        </is>
      </c>
      <c r="O31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31" s="10" t="inlineStr">
        <is>
          <t>do zrobienia</t>
        </is>
      </c>
    </row>
    <row r="32">
      <c r="A32" s="10" t="inlineStr">
        <is>
          <t>F-02</t>
        </is>
      </c>
      <c r="B32" s="11" t="inlineStr">
        <is>
          <t>Rekordy SRV / CAA</t>
        </is>
      </c>
      <c r="C32" s="10" t="inlineStr">
        <is>
          <t>audyt</t>
        </is>
      </c>
      <c r="D32" s="10" t="inlineStr">
        <is>
          <t>F — DNS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ATRAPA</t>
        </is>
      </c>
      <c r="L32" s="11" t="inlineStr">
        <is>
          <t>j.w.</t>
        </is>
      </c>
      <c r="M32" s="11" t="inlineStr">
        <is>
          <t>F-01 (ten sam edytor)</t>
        </is>
      </c>
      <c r="N32" s="11" t="inlineStr">
        <is>
          <t>Kontroler rejestruje trasę, którą woła panel; kliknięcie kończy się realnym efektem, nie 404. Test pokrywa ścieżkę UI→API→zasób.</t>
        </is>
      </c>
      <c r="O32" s="11" t="inlineStr"/>
      <c r="P32" s="10" t="inlineStr">
        <is>
          <t>do zrobienia</t>
        </is>
      </c>
    </row>
    <row r="33">
      <c r="A33" s="10" t="inlineStr">
        <is>
          <t>E-14</t>
        </is>
      </c>
      <c r="B33" s="11" t="inlineStr">
        <is>
          <t>Webmail — auto-logowanie (SSO)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—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DZIAŁA</t>
        </is>
      </c>
      <c r="L33" s="11" t="inlineStr">
        <is>
          <t>services.controller.ts — POST /services/:id/hosting-sso-url (wspólna trasa z D-11); MailTab.tsx:68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33" s="10" t="inlineStr">
        <is>
          <t>do zrobienia</t>
        </is>
      </c>
    </row>
    <row r="34">
      <c r="A34" s="10" t="inlineStr">
        <is>
          <t>B-02</t>
        </is>
      </c>
      <c r="B34" s="11" t="inlineStr">
        <is>
          <t>Zmiana wersji PHP per domena</t>
        </is>
      </c>
      <c r="C34" s="10" t="inlineStr">
        <is>
          <t>audyt</t>
        </is>
      </c>
      <c r="D34" s="10" t="inlineStr">
        <is>
          <t>B — Runtime WWW</t>
        </is>
      </c>
      <c r="E34" s="10" t="inlineStr">
        <is>
          <t>—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DZIAŁA</t>
        </is>
      </c>
      <c r="L34" s="11" t="inlineStr">
        <is>
          <t>services.controller.ts — GET/POST /services/:id/hosting-domain-php; directadmin.service.ts:2058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4" s="10" t="inlineStr">
        <is>
          <t>do zrobienia</t>
        </is>
      </c>
    </row>
    <row r="35">
      <c r="A35" s="10" t="inlineStr">
        <is>
          <t>E-15</t>
        </is>
      </c>
      <c r="B35" s="11" t="inlineStr">
        <is>
          <t>Rekordy SPF — kreator</t>
        </is>
      </c>
      <c r="C35" s="10" t="inlineStr">
        <is>
          <t>audyt</t>
        </is>
      </c>
      <c r="D35" s="10" t="inlineStr">
        <is>
          <t>E — Poczta</t>
        </is>
      </c>
      <c r="E35" s="10" t="inlineStr">
        <is>
          <t>WYSOKA</t>
        </is>
      </c>
      <c r="F35" s="10" t="n">
        <v>6</v>
      </c>
      <c r="G35" s="10" t="n">
        <v>12</v>
      </c>
      <c r="H35" s="10" t="inlineStr">
        <is>
          <t>Faza 2 — Odzyskanie funkcji-widm i luki pierwszego tygodnia</t>
        </is>
      </c>
      <c r="I35" s="10" t="inlineStr">
        <is>
          <t>2026-11-09</t>
        </is>
      </c>
      <c r="J35" s="10" t="inlineStr">
        <is>
          <t>2026-11-13</t>
        </is>
      </c>
      <c r="K35" s="10" t="inlineStr">
        <is>
          <t>ENDPOINT BEZ UI</t>
        </is>
      </c>
      <c r="L35" s="11" t="inlineStr">
        <is>
          <t>services.controller.ts:114</t>
        </is>
      </c>
      <c r="M35" s="11" t="inlineStr">
        <is>
          <t>—</t>
        </is>
      </c>
      <c r="N35" s="11" t="inlineStr">
        <is>
          <t>Panel wywołuje istniejący endpoint; akcja zostawia wpis w logu audytu. Test potwierdza, że guard nadal blokuje nieuprawnionych.</t>
        </is>
      </c>
      <c r="O35" s="11" t="inlineStr">
        <is>
          <t>deliverability-panel.tsx:26 to komponent osierocony — nikt go nie importuje</t>
        </is>
      </c>
      <c r="P35" s="10" t="inlineStr">
        <is>
          <t>do zrobienia</t>
        </is>
      </c>
    </row>
    <row r="36">
      <c r="A36" s="10" t="inlineStr">
        <is>
          <t>E-16</t>
        </is>
      </c>
      <c r="B36" s="11" t="inlineStr">
        <is>
          <t>Rekordy DKIM — konfiguracja</t>
        </is>
      </c>
      <c r="C36" s="10" t="inlineStr">
        <is>
          <t>audyt</t>
        </is>
      </c>
      <c r="D36" s="10" t="inlineStr">
        <is>
          <t>E — Poczta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services.controller.ts:114</t>
        </is>
      </c>
      <c r="M36" s="11" t="inlineStr">
        <is>
          <t>E-15 (ten sam panel dostarczalności)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j.w.</t>
        </is>
      </c>
      <c r="P36" s="10" t="inlineStr">
        <is>
          <t>do zrobienia</t>
        </is>
      </c>
    </row>
    <row r="37">
      <c r="A37" s="10" t="inlineStr">
        <is>
          <t>E-17</t>
        </is>
      </c>
      <c r="B37" s="11" t="inlineStr">
        <is>
          <t>Rekord DMARC — konfiguracja</t>
        </is>
      </c>
      <c r="C37" s="10" t="inlineStr">
        <is>
          <t>audyt</t>
        </is>
      </c>
      <c r="D37" s="10" t="inlineStr">
        <is>
          <t>E — Poczta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services.controller.ts:114</t>
        </is>
      </c>
      <c r="M37" s="11" t="inlineStr">
        <is>
          <t>E-15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j.w.</t>
        </is>
      </c>
      <c r="P37" s="10" t="inlineStr">
        <is>
          <t>do zrobienia</t>
        </is>
      </c>
    </row>
    <row r="38">
      <c r="A38" s="10" t="inlineStr">
        <is>
          <t>E-05</t>
        </is>
      </c>
      <c r="B38" s="11" t="inlineStr">
        <is>
          <t>Zmiana quoty ISTNIEJĄCEJ skrzynki</t>
        </is>
      </c>
      <c r="C38" s="10" t="inlineStr">
        <is>
          <t>audyt</t>
        </is>
      </c>
      <c r="D38" s="10" t="inlineStr">
        <is>
          <t>E — Poczta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BRAK</t>
        </is>
      </c>
      <c r="L38" s="11" t="inlineStr">
        <is>
          <t>hosting-email-actions.ts:41 zachowuje starą quotę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brak jakiejkolwiek ścieżki edycji — klient musi usunąć i odtworzyć skrzynkę</t>
        </is>
      </c>
      <c r="P38" s="10" t="inlineStr">
        <is>
          <t>do zrobienia</t>
        </is>
      </c>
    </row>
    <row r="39">
      <c r="A39" s="10" t="inlineStr">
        <is>
          <t>M-26</t>
        </is>
      </c>
      <c r="B39" s="11" t="inlineStr">
        <is>
          <t>Usunięcie zapisanej karty przez klienta</t>
        </is>
      </c>
      <c r="C39" s="10" t="inlineStr">
        <is>
          <t>audyt</t>
        </is>
      </c>
      <c r="D39" s="10" t="inlineStr">
        <is>
          <t>M — Rozliczenia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BRAK</t>
        </is>
      </c>
      <c r="L39" s="11" t="inlineStr">
        <is>
          <t>billing.controller.ts:38 tylko GET, brak DELETE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wymóg konsumencki</t>
        </is>
      </c>
      <c r="P39" s="10" t="inlineStr">
        <is>
          <t>do zrobienia</t>
        </is>
      </c>
    </row>
    <row r="40">
      <c r="A40" s="10" t="inlineStr">
        <is>
          <t>A-25</t>
        </is>
      </c>
      <c r="B40" s="11" t="inlineStr">
        <is>
          <t>Ręczne zawieszenie usługi przez operatora</t>
        </is>
      </c>
      <c r="C40" s="10" t="inlineStr">
        <is>
          <t>audyt</t>
        </is>
      </c>
      <c r="D40" s="10" t="inlineStr">
        <is>
          <t>A — Domeny i konta</t>
        </is>
      </c>
      <c r="E40" s="10" t="inlineStr">
        <is>
          <t>WYSOKA</t>
        </is>
      </c>
      <c r="F40" s="10" t="n">
        <v>6</v>
      </c>
      <c r="G40" s="10" t="n">
        <v>13</v>
      </c>
      <c r="H40" s="10" t="inlineStr">
        <is>
          <t>Faza 2 — Odzyskanie funkcji-widm i luki pierwszego tygodnia</t>
        </is>
      </c>
      <c r="I40" s="10" t="inlineStr">
        <is>
          <t>2026-11-16</t>
        </is>
      </c>
      <c r="J40" s="10" t="inlineStr">
        <is>
          <t>2026-11-20</t>
        </is>
      </c>
      <c r="K40" s="10" t="inlineStr">
        <is>
          <t>ENDPOINT BEZ UI</t>
        </is>
      </c>
      <c r="L40" s="11" t="inlineStr">
        <is>
          <t>subscriptions.admin.controller.ts:192</t>
        </is>
      </c>
      <c r="M40" s="11" t="inlineStr">
        <is>
          <t>—</t>
        </is>
      </c>
      <c r="N40" s="11" t="inlineStr">
        <is>
          <t>Panel wywołuje istniejący endpoint; akcja zostawia wpis w logu audytu. Test potwierdza, że guard nadal blokuje nieuprawnionych.</t>
        </is>
      </c>
      <c r="O40" s="11" t="inlineStr">
        <is>
          <t>Skorygowane: endpoint działa i jest osiągalny (curl + DirectAdmin), auto-suspend za brak płatności działa. Brakuje UI, nie możliwości zatrzymania szkody.</t>
        </is>
      </c>
      <c r="P40" s="10" t="inlineStr">
        <is>
          <t>do zrobienia</t>
        </is>
      </c>
    </row>
    <row r="41">
      <c r="A41" s="10" t="inlineStr">
        <is>
          <t>A-26</t>
        </is>
      </c>
      <c r="B41" s="11" t="inlineStr">
        <is>
          <t>Ręczne odwieszenie usługi przez operatora</t>
        </is>
      </c>
      <c r="C41" s="10" t="inlineStr">
        <is>
          <t>audyt</t>
        </is>
      </c>
      <c r="D41" s="10" t="inlineStr">
        <is>
          <t>A — Domeny i konta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ENDPOINT BEZ UI</t>
        </is>
      </c>
      <c r="L41" s="11" t="inlineStr">
        <is>
          <t>subscriptions.admin.controller.ts:210</t>
        </is>
      </c>
      <c r="M41" s="11" t="inlineStr">
        <is>
          <t>A-25 (ten sam widok)</t>
        </is>
      </c>
      <c r="N41" s="11" t="inlineStr">
        <is>
          <t>Panel wywołuje istniejący endpoint; akcja zostawia wpis w logu audytu. Test potwierdza, że guard nadal blokuje nieuprawnionych.</t>
        </is>
      </c>
      <c r="O41" s="11" t="inlineStr">
        <is>
          <t>Skorygowane: jak A-25, endpoint subscriptions.admin.controller.ts:210 działa z chargeRenewal.</t>
        </is>
      </c>
      <c r="P41" s="10" t="inlineStr">
        <is>
          <t>do zrobienia</t>
        </is>
      </c>
    </row>
    <row r="42">
      <c r="A42" s="10" t="inlineStr">
        <is>
          <t>N-07</t>
        </is>
      </c>
      <c r="B42" s="11" t="inlineStr">
        <is>
          <t>Ręczne tworzenie incydentu na status page</t>
        </is>
      </c>
      <c r="C42" s="10" t="inlineStr">
        <is>
          <t>audyt</t>
        </is>
      </c>
      <c r="D42" s="10" t="inlineStr">
        <is>
          <t>N — Wsparcie i ops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ENDPOINT BEZ UI</t>
        </is>
      </c>
      <c r="L42" s="11" t="inlineStr">
        <is>
          <t>product-ops.admin.controller.ts:371; brak UI tworzenia</t>
        </is>
      </c>
      <c r="M42" s="11" t="inlineStr">
        <is>
          <t>—</t>
        </is>
      </c>
      <c r="N42" s="11" t="inlineStr">
        <is>
          <t>Panel wywołuje istniejący endpoint; akcja zostawia wpis w logu audytu. Test potwierdza, że guard nadal blokuje nieuprawnionych.</t>
        </is>
      </c>
      <c r="O42" s="11" t="inlineStr">
        <is>
          <t>w kryzysie nie ma jak zakomunikować awarii</t>
        </is>
      </c>
      <c r="P42" s="10" t="inlineStr">
        <is>
          <t>do zrobienia</t>
        </is>
      </c>
    </row>
    <row r="43">
      <c r="A43" s="10" t="inlineStr">
        <is>
          <t>N-14</t>
        </is>
      </c>
      <c r="B43" s="11" t="inlineStr">
        <is>
          <t>Cordon wysyłki poczty (auto-blokada spamu)</t>
        </is>
      </c>
      <c r="C43" s="10" t="inlineStr">
        <is>
          <t>audyt</t>
        </is>
      </c>
      <c r="D43" s="10" t="inlineStr">
        <is>
          <t>N — Wsparcie i ops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ENDPOINT BEZ UI</t>
        </is>
      </c>
      <c r="L43" s="11" t="inlineStr">
        <is>
          <t>outbound-cordon.admin.controller.ts:20,25,32; zero „cordon” w admin-panel</t>
        </is>
      </c>
      <c r="M43" s="11" t="inlineStr">
        <is>
          <t>—</t>
        </is>
      </c>
      <c r="N43" s="11" t="inlineStr">
        <is>
          <t>Panel wywołuje istniejący endpoint; akcja zostawia wpis w logu audytu. Test potwierdza, że guard nadal blokuje nieuprawnionych.</t>
        </is>
      </c>
      <c r="O43" s="11" t="inlineStr">
        <is>
          <t>mechanizm działa, operator nie może go zobaczyć ani zdjąć</t>
        </is>
      </c>
      <c r="P43" s="10" t="inlineStr">
        <is>
          <t>do zrobienia</t>
        </is>
      </c>
    </row>
    <row r="44">
      <c r="A44" s="10" t="inlineStr">
        <is>
          <t>H-22</t>
        </is>
      </c>
      <c r="B44" s="11" t="inlineStr">
        <is>
          <t>Panel odtwarzania w widocznym miejscu</t>
        </is>
      </c>
      <c r="C44" s="10" t="inlineStr">
        <is>
          <t>audyt</t>
        </is>
      </c>
      <c r="D44" s="10" t="inlineStr">
        <is>
          <t>H — Backup i odtwarzanie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panel off-site siedzi w zakładce „Usage”, nie „Kopie zapasowe” (page.tsx:74,128,313,319)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klient w kryzysie tego nie znajdzie</t>
        </is>
      </c>
      <c r="P44" s="10" t="inlineStr">
        <is>
          <t>do zrobienia</t>
        </is>
      </c>
    </row>
    <row r="45">
      <c r="A45" s="10" t="inlineStr">
        <is>
          <t>H-09</t>
        </is>
      </c>
      <c r="B45" s="11" t="inlineStr">
        <is>
          <t>Kopia bezpieczeństwa przed odtworzeniem</t>
        </is>
      </c>
      <c r="C45" s="10" t="inlineStr">
        <is>
          <t>audyt</t>
        </is>
      </c>
      <c r="D45" s="10" t="inlineStr">
        <is>
          <t>H — Backup i odtwarzanie</t>
        </is>
      </c>
      <c r="E45" s="10" t="inlineStr">
        <is>
          <t>WYSOKA</t>
        </is>
      </c>
      <c r="F45" s="10" t="n">
        <v>6</v>
      </c>
      <c r="G45" s="10" t="n">
        <v>14</v>
      </c>
      <c r="H45" s="10" t="inlineStr">
        <is>
          <t>Faza 2 — Odzyskanie funkcji-widm i luki pierwszego tygodnia</t>
        </is>
      </c>
      <c r="I45" s="10" t="inlineStr">
        <is>
          <t>2026-11-23</t>
        </is>
      </c>
      <c r="J45" s="10" t="inlineStr">
        <is>
          <t>2026-11-27</t>
        </is>
      </c>
      <c r="K45" s="10" t="inlineStr">
        <is>
          <t>CZĘŚCIOWE</t>
        </is>
      </c>
      <c r="L45" s="11" t="inlineStr">
        <is>
          <t>hosting-restore.service.ts:167</t>
        </is>
      </c>
      <c r="M45" s="11" t="inlineStr">
        <is>
          <t>—</t>
        </is>
      </c>
      <c r="N45" s="11" t="inlineStr">
        <is>
          <t>Ograniczenie opisane w uwagach macierzy zniknęło; test potwierdza zachowanie także w scenariuszu awaryjnym.</t>
        </is>
      </c>
      <c r="O45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5" s="10" t="inlineStr">
        <is>
          <t>do zrobienia</t>
        </is>
      </c>
    </row>
    <row r="46">
      <c r="A46" s="10" t="inlineStr">
        <is>
          <t>H-17</t>
        </is>
      </c>
      <c r="B46" s="11" t="inlineStr">
        <is>
          <t>Tryb restore skryptu odtwarzającego osiągalny z produktu</t>
        </is>
      </c>
      <c r="C46" s="10" t="inlineStr">
        <is>
          <t>audyt</t>
        </is>
      </c>
      <c r="D46" s="10" t="inlineStr">
        <is>
          <t>H — Backup i odtwarzanie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BRAK</t>
        </is>
      </c>
      <c r="L46" s="11" t="inlineStr">
        <is>
          <t>node-account-restore.sh:82-99 ma tryb restore; offsite-restore.service.ts:94 przyjmuje wyłącznie list|fetch</t>
        </is>
      </c>
      <c r="M46" s="11" t="inlineStr">
        <is>
          <t>H-20 (najpierw potwierdzone odtworzenie, potem wystawienie trybu w produkcie)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Skorygowane: tryb restore jest martwy z poziomu produktu, ale żywy z CLI (node-account-restore.sh:120-124) i udokumentowany w runbooku.</t>
        </is>
      </c>
      <c r="P46" s="10" t="inlineStr">
        <is>
          <t>do zrobienia</t>
        </is>
      </c>
    </row>
    <row r="47">
      <c r="A47" s="10" t="inlineStr">
        <is>
          <t>G-20</t>
        </is>
      </c>
      <c r="B47" s="11" t="inlineStr">
        <is>
          <t>Ochrona przed atakiem słownikowym na panel</t>
        </is>
      </c>
      <c r="C47" s="10" t="inlineStr">
        <is>
          <t>audyt</t>
        </is>
      </c>
      <c r="D47" s="10" t="inlineStr">
        <is>
          <t>G — SSL i bezpieczeństwo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CZĘŚCIOWE</t>
        </is>
      </c>
      <c r="L47" s="11" t="inlineStr">
        <is>
          <t>rate-limit.guard.ts — ZERO testów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brak dowodu D2 na krytycznym guardzie</t>
        </is>
      </c>
      <c r="P47" s="10" t="inlineStr">
        <is>
          <t>do zrobienia</t>
        </is>
      </c>
    </row>
    <row r="48">
      <c r="A48" s="10" t="inlineStr">
        <is>
          <t>I-11</t>
        </is>
      </c>
      <c r="B48" s="11" t="inlineStr">
        <is>
          <t>Staging — publikacja na produkcję</t>
        </is>
      </c>
      <c r="C48" s="10" t="inlineStr">
        <is>
          <t>audyt</t>
        </is>
      </c>
      <c r="D48" s="10" t="inlineStr">
        <is>
          <t>I — Aplikacje i WordPress</t>
        </is>
      </c>
      <c r="E48" s="10" t="inlineStr">
        <is>
          <t>WYSOKA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CZĘŚCIOWE</t>
        </is>
      </c>
      <c r="L48" s="11" t="inlineStr">
        <is>
          <t>services.controller.ts:187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8" s="10" t="inlineStr">
        <is>
          <t>do zrobienia</t>
        </is>
      </c>
    </row>
    <row r="49">
      <c r="A49" s="10" t="inlineStr">
        <is>
          <t>PB-13</t>
        </is>
      </c>
      <c r="B49" s="11" t="inlineStr">
        <is>
          <t>Decyzja: własny KSeF czy integracja z programem księgowym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BLOKER BIZNESOWY</t>
        </is>
      </c>
      <c r="F49" s="10" t="n">
        <v>6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9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9" s="10" t="inlineStr">
        <is>
          <t>do zrobienia</t>
        </is>
      </c>
    </row>
    <row r="50">
      <c r="A50" s="10" t="inlineStr">
        <is>
          <t>N-16</t>
        </is>
      </c>
      <c r="B50" s="11" t="inlineStr">
        <is>
          <t>SLA z zapisanymi kredytami</t>
        </is>
      </c>
      <c r="C50" s="10" t="inlineStr">
        <is>
          <t>audyt</t>
        </is>
      </c>
      <c r="D50" s="10" t="inlineStr">
        <is>
          <t>N — Wsparcie i ops</t>
        </is>
      </c>
      <c r="E50" s="10" t="inlineStr">
        <is>
          <t>WYSOKA</t>
        </is>
      </c>
      <c r="F50" s="10" t="n">
        <v>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FLAGA</t>
        </is>
      </c>
      <c r="L50" s="11" t="inlineStr">
        <is>
          <t>sla-credit.scheduler.ts:79 — if (!policy.enabled) return; SLA_CREDITS_ENABLED default '0' (platform-settings.keys.ts:116)</t>
        </is>
      </c>
      <c r="M50" s="11" t="inlineStr">
        <is>
          <t>PB-03 (kredyty SLA muszą być zgodne z opublikowanym regulaminem)</t>
        </is>
      </c>
      <c r="N50" s="11" t="inlineStr">
        <is>
          <t>Wartość domyślna włączona albo check w live-readiness pilnuje konfiguracji — flaga nie może po cichu wyłączyć funkcji.</t>
        </is>
      </c>
      <c r="O50" s="11" t="inlineStr">
        <is>
          <t>OSŁABIONE: funkcja jest domyślnie martwa, a live-readiness nie ma checka SLA — flaga może zostać wyłączona bez żadnego sygnału. Regulamin obiecuje kredyty, kod ich nie nalicza.</t>
        </is>
      </c>
      <c r="P50" s="10" t="inlineStr">
        <is>
          <t>do zrobienia</t>
        </is>
      </c>
    </row>
    <row r="51">
      <c r="A51" s="10" t="inlineStr">
        <is>
          <t>A-11</t>
        </is>
      </c>
      <c r="B51" s="11" t="inlineStr">
        <is>
          <t>Wyszukiwarka wolnych domen</t>
        </is>
      </c>
      <c r="C51" s="10" t="inlineStr">
        <is>
          <t>audyt</t>
        </is>
      </c>
      <c r="D51" s="10" t="inlineStr">
        <is>
          <t>A — Domeny i konta</t>
        </is>
      </c>
      <c r="E51" s="10" t="inlineStr">
        <is>
          <t>WYSOKA</t>
        </is>
      </c>
      <c r="F51" s="10" t="n">
        <v>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FLAGA</t>
        </is>
      </c>
      <c r="L51" s="11" t="inlineStr">
        <is>
          <t>domains.controller.ts:54</t>
        </is>
      </c>
      <c r="M51" s="11" t="inlineStr">
        <is>
          <t>—</t>
        </is>
      </c>
      <c r="N51" s="11" t="inlineStr">
        <is>
          <t>Wartość domyślna włączona albo check w live-readiness pilnuje konfiguracji — flaga nie może po cichu wyłączyć funkcji.</t>
        </is>
      </c>
      <c r="O51" s="11" t="inlineStr"/>
      <c r="P51" s="10" t="inlineStr">
        <is>
          <t>do zrobienia</t>
        </is>
      </c>
    </row>
    <row r="52">
      <c r="A52" s="10" t="inlineStr">
        <is>
          <t>C-11</t>
        </is>
      </c>
      <c r="B52" s="11" t="inlineStr">
        <is>
          <t>Spakowanie do archiwum</t>
        </is>
      </c>
      <c r="C52" s="10" t="inlineStr">
        <is>
          <t>audyt</t>
        </is>
      </c>
      <c r="D52" s="10" t="inlineStr">
        <is>
          <t>C — Pliki, FTP, SSH, Git</t>
        </is>
      </c>
      <c r="E52" s="10" t="inlineStr">
        <is>
          <t>ŚREDNIA</t>
        </is>
      </c>
      <c r="F52" s="10" t="n">
        <v>6</v>
      </c>
      <c r="G52" s="10" t="n">
        <v>15</v>
      </c>
      <c r="H52" s="10" t="inlineStr">
        <is>
          <t>Faza 3 — Wejście na rynek</t>
        </is>
      </c>
      <c r="I52" s="10" t="inlineStr">
        <is>
          <t>2026-11-30</t>
        </is>
      </c>
      <c r="J52" s="10" t="inlineStr">
        <is>
          <t>2026-12-04</t>
        </is>
      </c>
      <c r="K52" s="10" t="inlineStr">
        <is>
          <t>BRAK</t>
        </is>
      </c>
      <c r="L52" s="11" t="inlineStr">
        <is>
          <t>files.service.ts:320 — tylko extract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standard we wszystkich panelach</t>
        </is>
      </c>
      <c r="P52" s="10" t="inlineStr">
        <is>
          <t>do zrobienia</t>
        </is>
      </c>
    </row>
    <row r="53">
      <c r="A53" s="10" t="inlineStr">
        <is>
          <t>PB-11</t>
        </is>
      </c>
      <c r="B53" s="11" t="inlineStr">
        <is>
          <t>Bus factor: drugi kanał alertów i procedura zastępstwa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WYSOKI</t>
        </is>
      </c>
      <c r="F53" s="10" t="n">
        <v>8</v>
      </c>
      <c r="G53" s="10" t="n">
        <v>15</v>
      </c>
      <c r="H53" s="10" t="inlineStr">
        <is>
          <t>Faza 3 — Wejście na rynek</t>
        </is>
      </c>
      <c r="I53" s="10" t="inlineStr">
        <is>
          <t>2026-11-30</t>
        </is>
      </c>
      <c r="J53" s="10" t="inlineStr">
        <is>
          <t>2026-12-04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Alert testowy dociera dwoma kanałami. Dokument zastępstwa zawiera dostęp awaryjny i listę rzeczy, które muszą się dziać codziennie.</t>
        </is>
      </c>
      <c r="O53" s="11" t="inlineStr">
        <is>
          <t>Alerty na więcej niż jeden adres, przetestowane. Dokument: co robi ktoś inny, gdy Ciebie nie ma przez tydzień.</t>
        </is>
      </c>
      <c r="P53" s="10" t="inlineStr">
        <is>
          <t>do zrobienia</t>
        </is>
      </c>
    </row>
    <row r="54">
      <c r="A54" s="10" t="inlineStr">
        <is>
          <t>PB-03</t>
        </is>
      </c>
      <c r="B54" s="11" t="inlineStr">
        <is>
          <t>Finalizacja dokumentów prawnych 1.0.0</t>
        </is>
      </c>
      <c r="C54" s="10" t="inlineStr">
        <is>
          <t>poza audytem</t>
        </is>
      </c>
      <c r="D54" s="10" t="inlineStr">
        <is>
          <t>Praca spoza audytu</t>
        </is>
      </c>
      <c r="E54" s="10" t="inlineStr">
        <is>
          <t>BLOKER BIZNESOWY</t>
        </is>
      </c>
      <c r="F54" s="10" t="n">
        <v>16</v>
      </c>
      <c r="G54" s="10" t="n">
        <v>16</v>
      </c>
      <c r="H54" s="10" t="inlineStr">
        <is>
          <t>Faza 3 — Wejście na rynek</t>
        </is>
      </c>
      <c r="I54" s="10" t="inlineStr">
        <is>
          <t>2026-12-07</t>
        </is>
      </c>
      <c r="J54" s="10" t="inlineStr">
        <is>
          <t>2026-12-11</t>
        </is>
      </c>
      <c r="K54" s="10" t="inlineStr">
        <is>
          <t>—</t>
        </is>
      </c>
      <c r="L54" s="11" t="inlineStr">
        <is>
          <t>—</t>
        </is>
      </c>
      <c r="M54" s="11" t="inlineStr">
        <is>
          <t>—</t>
        </is>
      </c>
      <c r="N54" s="11" t="inlineStr">
        <is>
          <t>Wszystkie dokumenty w statusie opublikowanym z numerem wersji i datą. Panel /legal nie pokazuje ani jednego „Dokument w przygotowaniu”.</t>
        </is>
      </c>
      <c r="O54" s="11" t="inlineStr">
        <is>
          <t>Regulamin, polityka prywatności, SLA, DPA, polityka cookies — wyjście z DRAFT-u, wersjonowanie i publikacja w panelu.</t>
        </is>
      </c>
      <c r="P54" s="10" t="inlineStr">
        <is>
          <t>do zrobienia</t>
        </is>
      </c>
    </row>
    <row r="55">
      <c r="A55" s="10" t="inlineStr">
        <is>
          <t>PB-07</t>
        </is>
      </c>
      <c r="B55" s="11" t="inlineStr">
        <is>
          <t>Treści i cennik na verris.pl</t>
        </is>
      </c>
      <c r="C55" s="10" t="inlineStr">
        <is>
          <t>poza audytem</t>
        </is>
      </c>
      <c r="D55" s="10" t="inlineStr">
        <is>
          <t>Praca spoza audytu</t>
        </is>
      </c>
      <c r="E55" s="10" t="inlineStr">
        <is>
          <t>WYSOKI</t>
        </is>
      </c>
      <c r="F55" s="10" t="n">
        <v>16</v>
      </c>
      <c r="G55" s="10" t="n">
        <v>16</v>
      </c>
      <c r="H55" s="10" t="inlineStr">
        <is>
          <t>Faza 3 — Wejście na rynek</t>
        </is>
      </c>
      <c r="I55" s="10" t="inlineStr">
        <is>
          <t>2026-12-07</t>
        </is>
      </c>
      <c r="J55" s="10" t="inlineStr">
        <is>
          <t>2026-12-11</t>
        </is>
      </c>
      <c r="K55" s="10" t="inlineStr">
        <is>
          <t>—</t>
        </is>
      </c>
      <c r="L55" s="11" t="inlineStr">
        <is>
          <t>—</t>
        </is>
      </c>
      <c r="M55" s="11" t="inlineStr">
        <is>
          <t>PB-01 (cennik zależy od unit economics)</t>
        </is>
      </c>
      <c r="N55" s="11" t="inlineStr">
        <is>
          <t>Cennik zgodny z wynikiem PB-01. Specyfikacja techniczna publiczna, jak u cyber_Folks — to jest element zaufania, którego rynek oczekuje.</t>
        </is>
      </c>
      <c r="O55" s="11" t="inlineStr">
        <is>
          <t>Strona główna, cennik, specyfikacja techniczna pakietu, strona SLA. Narracja: cena stała, bez skoku po roku.</t>
        </is>
      </c>
      <c r="P55" s="10" t="inlineStr">
        <is>
          <t>do zrobienia</t>
        </is>
      </c>
    </row>
    <row r="56">
      <c r="A56" s="10" t="inlineStr">
        <is>
          <t>PB-06</t>
        </is>
      </c>
      <c r="B56" s="11" t="inlineStr">
        <is>
          <t>Landing /przenies-strone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16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PB-07 (landing korzysta z ustalonego cennika)</t>
        </is>
      </c>
      <c r="N56" s="11" t="inlineStr">
        <is>
          <t>Strona opublikowana, pomiar działa, formularz i CTA prowadzą do rejestracji. Żadne twierdzenie na stronie nie jest oznaczone w macierzy jako LUKA lub ATRAPA.</t>
        </is>
      </c>
      <c r="O56" s="11" t="inlineStr">
        <is>
          <t>Strona docelowa kampanii Google Ads na osi migracji. Treść oparta na realnych przewagach z audytu, nie na obietnicach.</t>
        </is>
      </c>
      <c r="P56" s="10" t="inlineStr">
        <is>
          <t>do zrobienia</t>
        </is>
      </c>
    </row>
    <row r="57">
      <c r="A57" s="10" t="inlineStr">
        <is>
          <t>PB-08</t>
        </is>
      </c>
      <c r="B57" s="11" t="inlineStr">
        <is>
          <t>Pomiar: Consent Mode v2 + GTM + dedup event_id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ŚREDNI</t>
        </is>
      </c>
      <c r="F57" s="10" t="n">
        <v>16</v>
      </c>
      <c r="G57" s="10" t="n">
        <v>17</v>
      </c>
      <c r="H57" s="10" t="inlineStr">
        <is>
          <t>Faza 3 — Wejście na rynek</t>
        </is>
      </c>
      <c r="I57" s="10" t="inlineStr">
        <is>
          <t>2026-12-14</t>
        </is>
      </c>
      <c r="J57" s="10" t="inlineStr">
        <is>
          <t>2026-12-18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Zdarzenie zakupu dociera raz, nie dwa. Consent Mode nie blokuje pomiaru po zgodzie. Zweryfikowane w GTM Preview i w raporcie.</t>
        </is>
      </c>
      <c r="O57" s="11" t="inlineStr">
        <is>
          <t>Wdrożenie ustaleń z audytu pomiaru: www linkuje, panel działa, deduplikacja po event_id, cookie Domain=.verris.pl.</t>
        </is>
      </c>
      <c r="P57" s="10" t="inlineStr">
        <is>
          <t>do zrobienia</t>
        </is>
      </c>
    </row>
    <row r="58">
      <c r="A58" s="10" t="inlineStr">
        <is>
          <t>M-17</t>
        </is>
      </c>
      <c r="B58" s="11" t="inlineStr">
        <is>
          <t>KSeF — walidacja XSD przed wysyłką</t>
        </is>
      </c>
      <c r="C58" s="10" t="inlineStr">
        <is>
          <t>audyt</t>
        </is>
      </c>
      <c r="D58" s="10" t="inlineStr">
        <is>
          <t>M — Rozliczenia</t>
        </is>
      </c>
      <c r="E58" s="10" t="inlineStr">
        <is>
          <t>BLOKER STARTU</t>
        </is>
      </c>
      <c r="F58" s="10" t="n">
        <v>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BRAK</t>
        </is>
      </c>
      <c r="L58" s="11" t="inlineStr">
        <is>
          <t>fa3-xml.builder.ts składa XML stringowo; komentarz ksef-v2.client.ts:61-62 sam to wskazuje</t>
        </is>
      </c>
      <c r="M58" s="11" t="inlineStr">
        <is>
          <t>M-16 (najpierw obsługa awarii, potem walidacja schematu)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smoke na api-test MF nie został wykonany</t>
        </is>
      </c>
      <c r="P58" s="10" t="inlineStr">
        <is>
          <t>do zrobienia</t>
        </is>
      </c>
    </row>
    <row r="59">
      <c r="A59" s="10" t="inlineStr">
        <is>
          <t>M-16</t>
        </is>
      </c>
      <c r="B59" s="11" t="inlineStr">
        <is>
          <t>KSeF — tryb offline/awaryjny</t>
        </is>
      </c>
      <c r="C59" s="10" t="inlineStr">
        <is>
          <t>audyt</t>
        </is>
      </c>
      <c r="D59" s="10" t="inlineStr">
        <is>
          <t>M — Rozliczenia</t>
        </is>
      </c>
      <c r="E59" s="10" t="inlineStr">
        <is>
          <t>BLOKER STARTU</t>
        </is>
      </c>
      <c r="F59" s="10" t="n">
        <v>16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BRAK</t>
        </is>
      </c>
      <c r="L59" s="11" t="inlineStr">
        <is>
          <t>KsefStatus.OFFLINE w schema.prisma:1432 nigdy nie ustawiany</t>
        </is>
      </c>
      <c r="M59" s="11" t="inlineStr">
        <is>
          <t>PB-13 (zakres zależy od kierunku fakturowania)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awaria KSeF zostawia fakturę w PENDING, bez kodu QR offline</t>
        </is>
      </c>
      <c r="P59" s="10" t="inlineStr">
        <is>
          <t>do zrobienia</t>
        </is>
      </c>
    </row>
    <row r="60">
      <c r="A60" s="10" t="inlineStr">
        <is>
          <t>M-15</t>
        </is>
      </c>
      <c r="B60" s="11" t="inlineStr">
        <is>
          <t>KSeF — pobranie UPO przez operatora</t>
        </is>
      </c>
      <c r="C60" s="10" t="inlineStr">
        <is>
          <t>audyt</t>
        </is>
      </c>
      <c r="D60" s="10" t="inlineStr">
        <is>
          <t>M — Rozliczenia</t>
        </is>
      </c>
      <c r="E60" s="10" t="inlineStr">
        <is>
          <t>ŚREDNIA</t>
        </is>
      </c>
      <c r="F60" s="10" t="n">
        <v>6</v>
      </c>
      <c r="G60" s="10" t="n">
        <v>18</v>
      </c>
      <c r="H60" s="10" t="inlineStr">
        <is>
          <t>Faza 3 — Wejście na rynek</t>
        </is>
      </c>
      <c r="I60" s="10" t="inlineStr">
        <is>
          <t>2026-12-21</t>
        </is>
      </c>
      <c r="J60" s="10" t="inlineStr">
        <is>
          <t>2026-12-25</t>
        </is>
      </c>
      <c r="K60" s="10" t="inlineStr">
        <is>
          <t>ENDPOINT BEZ UI</t>
        </is>
      </c>
      <c r="L60" s="11" t="inlineStr">
        <is>
          <t>ksef.admin.controller.ts:38; zero wystąpień UPO w admin-panel</t>
        </is>
      </c>
      <c r="M60" s="11" t="inlineStr">
        <is>
          <t>PB-13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Skorygowane: UPO jest dostępne w portalu MF, więc warunek dokumentu księgowego nie jest naruszony. Brakuje wygody.</t>
        </is>
      </c>
      <c r="P60" s="10" t="inlineStr">
        <is>
          <t>do zrobienia</t>
        </is>
      </c>
    </row>
    <row r="61">
      <c r="A61" s="10" t="inlineStr">
        <is>
          <t>M-14</t>
        </is>
      </c>
      <c r="B61" s="11" t="inlineStr">
        <is>
          <t>KSeF — numer i UPO widoczne dla klienta</t>
        </is>
      </c>
      <c r="C61" s="10" t="inlineStr">
        <is>
          <t>audyt</t>
        </is>
      </c>
      <c r="D61" s="10" t="inlineStr">
        <is>
          <t>M — Rozliczenia</t>
        </is>
      </c>
      <c r="E61" s="10" t="inlineStr">
        <is>
          <t>WYSOKA</t>
        </is>
      </c>
      <c r="F61" s="10" t="n">
        <v>6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BRAK</t>
        </is>
      </c>
      <c r="L61" s="11" t="inlineStr">
        <is>
          <t>zero wystąpień „ksef” w apps/client-panel</t>
        </is>
      </c>
      <c r="M61" s="11" t="inlineStr">
        <is>
          <t>M-17 (numer KSeF pokazujemy dopiero po potwierdzonej wysyłce)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dhosting pokazuje numer KSeF i QR na fakturze</t>
        </is>
      </c>
      <c r="P61" s="10" t="inlineStr">
        <is>
          <t>do zrobienia</t>
        </is>
      </c>
    </row>
    <row r="62">
      <c r="A62" s="10" t="inlineStr">
        <is>
          <t>PB-09</t>
        </is>
      </c>
      <c r="B62" s="11" t="inlineStr">
        <is>
          <t>Baza wiedzy — 20 artykułów startowych</t>
        </is>
      </c>
      <c r="C62" s="10" t="inlineStr">
        <is>
          <t>poza audytem</t>
        </is>
      </c>
      <c r="D62" s="10" t="inlineStr">
        <is>
          <t>Praca spoza audytu</t>
        </is>
      </c>
      <c r="E62" s="10" t="inlineStr">
        <is>
          <t>ŚREDNI</t>
        </is>
      </c>
      <c r="F62" s="10" t="n">
        <v>16</v>
      </c>
      <c r="G62" s="10" t="n">
        <v>19</v>
      </c>
      <c r="H62" s="10" t="inlineStr">
        <is>
          <t>Faza 3 — Wejście na rynek</t>
        </is>
      </c>
      <c r="I62" s="10" t="inlineStr">
        <is>
          <t>2026-12-28</t>
        </is>
      </c>
      <c r="J62" s="10" t="inlineStr">
        <is>
          <t>2027-01-01</t>
        </is>
      </c>
      <c r="K62" s="10" t="inlineStr">
        <is>
          <t>—</t>
        </is>
      </c>
      <c r="L62" s="11" t="inlineStr">
        <is>
          <t>—</t>
        </is>
      </c>
      <c r="M62" s="11" t="inlineStr">
        <is>
          <t>—</t>
        </is>
      </c>
      <c r="N62" s="11" t="inlineStr">
        <is>
          <t>20 artykułów opublikowanych i zaindeksowanych do asystenta AI. Każdy opisuje funkcję, która w macierzy ma status DZIAŁA.</t>
        </is>
      </c>
      <c r="O62" s="11" t="inlineStr">
        <is>
          <t>Artykuły pokrywające najczęstsze pytania pierwszego tygodnia: skierowanie domeny, SSL, poczta, FTP, backup, migracja, faktury.</t>
        </is>
      </c>
      <c r="P62" s="10" t="inlineStr">
        <is>
          <t>do zrobienia</t>
        </is>
      </c>
    </row>
    <row r="63">
      <c r="A63" s="10" t="inlineStr">
        <is>
          <t>PB-10</t>
        </is>
      </c>
      <c r="B63" s="11" t="inlineStr">
        <is>
          <t>Kampania gads-search-hosting-202607 — uruchomienie</t>
        </is>
      </c>
      <c r="C63" s="10" t="inlineStr">
        <is>
          <t>poza audytem</t>
        </is>
      </c>
      <c r="D63" s="10" t="inlineStr">
        <is>
          <t>Praca spoza audytu</t>
        </is>
      </c>
      <c r="E63" s="10" t="inlineStr">
        <is>
          <t>ŚREDNI</t>
        </is>
      </c>
      <c r="F63" s="10" t="n">
        <v>8</v>
      </c>
      <c r="G63" s="10" t="n">
        <v>19</v>
      </c>
      <c r="H63" s="10" t="inlineStr">
        <is>
          <t>Faza 3 — Wejście na rynek</t>
        </is>
      </c>
      <c r="I63" s="10" t="inlineStr">
        <is>
          <t>2026-12-28</t>
        </is>
      </c>
      <c r="J63" s="10" t="inlineStr">
        <is>
          <t>2027-01-01</t>
        </is>
      </c>
      <c r="K63" s="10" t="inlineStr">
        <is>
          <t>—</t>
        </is>
      </c>
      <c r="L63" s="11" t="inlineStr">
        <is>
          <t>—</t>
        </is>
      </c>
      <c r="M63" s="11" t="inlineStr">
        <is>
          <t>PB-06 (kampania kieruje na landing)</t>
        </is>
      </c>
      <c r="N63" s="11" t="inlineStr">
        <is>
          <t>Kampania utworzona wstrzymana, konwersje podpięte, budżet i stawki ustawione. Start dopiero po PB-05.</t>
        </is>
      </c>
      <c r="O63" s="11" t="inlineStr">
        <is>
          <t>Konfiguracja kampanii wyszukiwarkowej, budżet 500–1000 zł/mies., oś przekazu: migracja bez przestoju.</t>
        </is>
      </c>
      <c r="P63" s="10" t="inlineStr">
        <is>
          <t>do zrobienia</t>
        </is>
      </c>
    </row>
    <row r="64">
      <c r="A64" s="10" t="inlineStr">
        <is>
          <t>PB-05</t>
        </is>
      </c>
      <c r="B64" s="11" t="inlineStr">
        <is>
          <t>Test end-to-end „pierwszy klient”</t>
        </is>
      </c>
      <c r="C64" s="10" t="inlineStr">
        <is>
          <t>poza audytem</t>
        </is>
      </c>
      <c r="D64" s="10" t="inlineStr">
        <is>
          <t>Praca spoza audytu</t>
        </is>
      </c>
      <c r="E64" s="10" t="inlineStr">
        <is>
          <t>BLOKER BIZNESOWY</t>
        </is>
      </c>
      <c r="F64" s="10" t="n">
        <v>16</v>
      </c>
      <c r="G64" s="10" t="n">
        <v>20</v>
      </c>
      <c r="H64" s="10" t="inlineStr"/>
      <c r="I64" s="10" t="inlineStr">
        <is>
          <t>2027-01-04</t>
        </is>
      </c>
      <c r="J64" s="10" t="inlineStr">
        <is>
          <t>2027-01-08</t>
        </is>
      </c>
      <c r="K64" s="10" t="inlineStr">
        <is>
          <t>—</t>
        </is>
      </c>
      <c r="L64" s="11" t="inlineStr">
        <is>
          <t>—</t>
        </is>
      </c>
      <c r="M64" s="11" t="inlineStr">
        <is>
          <t>wszystkie blokery zamknięte (sprint 8)</t>
        </is>
      </c>
      <c r="N64" s="11" t="inlineStr">
        <is>
          <t>Zapisany przebieg z timestampami dla każdego kroku — to jest dowód poziomu D3, jedyny w całym projekcie. Każdy nieudany krok wraca do backlogu jako bloker.</t>
        </is>
      </c>
      <c r="O64" s="11" t="inlineStr">
        <is>
          <t>Przejście całej ścieżki na produkcji jako realny klient: rejestracja, zakup, płatność, provisioning, migracja strony, wystawienie faktury, KSeF, backup, odtworzenie.</t>
        </is>
      </c>
      <c r="P64" s="10" t="inlineStr">
        <is>
          <t>do zrobienia</t>
        </is>
      </c>
    </row>
    <row r="65">
      <c r="A65" s="10" t="inlineStr">
        <is>
          <t>PB-12</t>
        </is>
      </c>
      <c r="B65" s="11" t="inlineStr">
        <is>
          <t>Runbook startu i decyzja GO</t>
        </is>
      </c>
      <c r="C65" s="10" t="inlineStr">
        <is>
          <t>poza audytem</t>
        </is>
      </c>
      <c r="D65" s="10" t="inlineStr">
        <is>
          <t>Praca spoza audytu</t>
        </is>
      </c>
      <c r="E65" s="10" t="inlineStr">
        <is>
          <t>BLOKER BIZNESOWY</t>
        </is>
      </c>
      <c r="F65" s="10" t="n">
        <v>8</v>
      </c>
      <c r="G65" s="10" t="n">
        <v>20</v>
      </c>
      <c r="H65" s="10" t="inlineStr"/>
      <c r="I65" s="10" t="inlineStr">
        <is>
          <t>2027-01-04</t>
        </is>
      </c>
      <c r="J65" s="10" t="inlineStr">
        <is>
          <t>2027-01-08</t>
        </is>
      </c>
      <c r="K65" s="10" t="inlineStr">
        <is>
          <t>—</t>
        </is>
      </c>
      <c r="L65" s="11" t="inlineStr">
        <is>
          <t>—</t>
        </is>
      </c>
      <c r="M65" s="11" t="inlineStr">
        <is>
          <t>PB-05 (decyzja GO po przejściu ścieżki na produkcji)</t>
        </is>
      </c>
      <c r="N65" s="11" t="inlineStr">
        <is>
          <t>Każdy z 11 blokerów ma wpis: co zrobiono, gdzie jest dowód, kto potwierdził. Bez formuły „warunkowe GO”.</t>
        </is>
      </c>
      <c r="O65" s="11" t="inlineStr">
        <is>
          <t>Domknięcie: przegląd wszystkich blokerów z dowodem zamknięcia, decyzja GO/NO-GO zapisana z datą.</t>
        </is>
      </c>
      <c r="P65" s="10" t="inlineStr">
        <is>
          <t>do zrobienia</t>
        </is>
      </c>
    </row>
  </sheetData>
  <autoFilter ref="A1:P65"/>
  <conditionalFormatting sqref="E2:E6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startu'!$G$2:$G$65,A2)</f>
        <v/>
      </c>
      <c r="G2" s="10">
        <f>SUMIF('Backlog do startu'!$G$2:$G$65,A2,'Backlog do startu'!$F$2:$F$65)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startu'!$G$2:$G$65,A3)</f>
        <v/>
      </c>
      <c r="G3" s="10">
        <f>SUMIF('Backlog do startu'!$G$2:$G$65,A3,'Backlog do startu'!$F$2:$F$65)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startu'!$G$2:$G$65,A4)</f>
        <v/>
      </c>
      <c r="G4" s="10">
        <f>SUMIF('Backlog do startu'!$G$2:$G$65,A4,'Backlog do startu'!$F$2:$F$65)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startu'!$G$2:$G$65,A5)</f>
        <v/>
      </c>
      <c r="G5" s="10">
        <f>SUMIF('Backlog do startu'!$G$2:$G$65,A5,'Backlog do startu'!$F$2:$F$65)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startu'!$G$2:$G$65,A6)</f>
        <v/>
      </c>
      <c r="G6" s="10">
        <f>SUMIF('Backlog do startu'!$G$2:$G$65,A6,'Backlog do startu'!$F$2:$F$65)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startu'!$G$2:$G$65,A7)</f>
        <v/>
      </c>
      <c r="G7" s="10">
        <f>SUMIF('Backlog do startu'!$G$2:$G$65,A7,'Backlog do startu'!$F$2:$F$65)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startu'!$G$2:$G$65,A8)</f>
        <v/>
      </c>
      <c r="G8" s="10">
        <f>SUMIF('Backlog do startu'!$G$2:$G$65,A8,'Backlog do startu'!$F$2:$F$65)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startu'!$G$2:$G$65,A9)</f>
        <v/>
      </c>
      <c r="G9" s="10">
        <f>SUMIF('Backlog do startu'!$G$2:$G$65,A9,'Backlog do startu'!$F$2:$F$65)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Dowód odtworzenia kopii i domknięcie DPA</t>
        </is>
      </c>
      <c r="F10" s="10">
        <f>COUNTIF('Backlog do startu'!$G$2:$G$65,A10)</f>
        <v/>
      </c>
      <c r="G10" s="10">
        <f>SUMIF('Backlog do startu'!$G$2:$G$65,A10,'Backlog do startu'!$F$2:$F$65)</f>
        <v/>
      </c>
      <c r="H10" s="10" t="n">
        <v>30</v>
      </c>
      <c r="I10" s="12">
        <f>IFERROR(G10/H10,0)</f>
        <v/>
      </c>
      <c r="J10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startu'!$G$2:$G$65,A11)</f>
        <v/>
      </c>
      <c r="G11" s="10">
        <f>SUMIF('Backlog do startu'!$G$2:$G$65,A11,'Backlog do startu'!$F$2:$F$65)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startu'!$G$2:$G$65,A12)</f>
        <v/>
      </c>
      <c r="G12" s="10">
        <f>SUMIF('Backlog do startu'!$G$2:$G$65,A12,'Backlog do startu'!$F$2:$F$65)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startu'!$G$2:$G$65,A13)</f>
        <v/>
      </c>
      <c r="G13" s="10">
        <f>SUMIF('Backlog do startu'!$G$2:$G$65,A13,'Backlog do startu'!$F$2:$F$65)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startu'!$G$2:$G$65,A14)</f>
        <v/>
      </c>
      <c r="G14" s="10">
        <f>SUMIF('Backlog do startu'!$G$2:$G$65,A14,'Backlog do startu'!$F$2:$F$65)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startu'!$G$2:$G$65,A15)</f>
        <v/>
      </c>
      <c r="G15" s="10">
        <f>SUMIF('Backlog do startu'!$G$2:$G$65,A15,'Backlog do startu'!$F$2:$F$65)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startu'!$G$2:$G$65,A16)</f>
        <v/>
      </c>
      <c r="G16" s="10">
        <f>SUMIF('Backlog do startu'!$G$2:$G$65,A16,'Backlog do startu'!$F$2:$F$65)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startu'!$G$2:$G$65,A17)</f>
        <v/>
      </c>
      <c r="G17" s="10">
        <f>SUMIF('Backlog do startu'!$G$2:$G$65,A17,'Backlog do startu'!$F$2:$F$65)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startu'!$G$2:$G$65,A18)</f>
        <v/>
      </c>
      <c r="G18" s="10">
        <f>SUMIF('Backlog do startu'!$G$2:$G$65,A18,'Backlog do startu'!$F$2:$F$65)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startu'!$G$2:$G$65,A19)</f>
        <v/>
      </c>
      <c r="G19" s="10">
        <f>SUMIF('Backlog do startu'!$G$2:$G$65,A19,'Backlog do startu'!$F$2:$F$65)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startu'!$G$2:$G$65,A20)</f>
        <v/>
      </c>
      <c r="G20" s="10">
        <f>SUMIF('Backlog do startu'!$G$2:$G$65,A20,'Backlog do startu'!$F$2:$F$65)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startu'!$G$2:$G$65,A21)</f>
        <v/>
      </c>
      <c r="G21" s="10">
        <f>SUMIF('Backlog do startu'!$G$2:$G$65,A21,'Backlog do startu'!$F$2:$F$65)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M-34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Model prepaid potwierdzony z księgową — doładowanie bez faktury zaliczkowej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6</v>
      </c>
      <c r="J59" s="10" t="inlineStr">
        <is>
          <t>b.d.</t>
        </is>
      </c>
      <c r="K59" s="11" t="inlineStr">
        <is>
          <t>faktura-za-portfel.ts — TYPY_SPRZEDAZY nie obejmuje TOPUP; billing.service.ts:handleCheckoutCompleted — doładowanie kredytuje portfel i nie tworzy dokumentu</t>
        </is>
      </c>
    </row>
    <row r="60">
      <c r="A60" s="10" t="inlineStr">
        <is>
          <t>Z-07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Ponowienie płatności portfelem w okresie karencji</t>
        </is>
      </c>
      <c r="G60" s="10" t="inlineStr">
        <is>
          <t>M — Rozliczenia</t>
        </is>
      </c>
      <c r="H60" s="10" t="inlineStr">
        <is>
          <t>WYSOKA</t>
        </is>
      </c>
      <c r="I60" s="10" t="n">
        <v>16</v>
      </c>
      <c r="J60" s="10" t="inlineStr">
        <is>
          <t>BRAK</t>
        </is>
      </c>
      <c r="K60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1">
      <c r="A61" s="10" t="inlineStr">
        <is>
          <t>Z-08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istniejących subskrypcji MANUAL założonych przez klientów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6</v>
      </c>
      <c r="J61" s="10" t="inlineStr">
        <is>
          <t>BRAK</t>
        </is>
      </c>
      <c r="K61" s="11" t="inlineStr">
        <is>
          <t>brak jakiegokolwiek zapytania/raportu; luka Z-02 była otwarta do 2026-08-21</t>
        </is>
      </c>
    </row>
    <row r="62">
      <c r="A62" s="10" t="inlineStr">
        <is>
          <t>Z-11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Przegląd wszystkich kluczy idempotencji pod kątem poprawności</t>
        </is>
      </c>
      <c r="G62" s="10" t="inlineStr">
        <is>
          <t>M — Rozliczenia</t>
        </is>
      </c>
      <c r="H62" s="10" t="inlineStr">
        <is>
          <t>ŚREDNIA</t>
        </is>
      </c>
      <c r="I62" s="10" t="n">
        <v>16</v>
      </c>
      <c r="J62" s="10" t="inlineStr">
        <is>
          <t>b.d.</t>
        </is>
      </c>
      <c r="K62" s="11" t="inlineStr">
        <is>
          <t>brak przeglądu; sprawdzone tylko wystąpienia Date.now() w kluczach</t>
        </is>
      </c>
    </row>
    <row r="63">
      <c r="A63" s="10" t="inlineStr">
        <is>
          <t>N-05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Podpowiedzi artykułów przy zgłoszeniu</t>
        </is>
      </c>
      <c r="G63" s="10" t="inlineStr">
        <is>
          <t>N — Wsparcie i ops</t>
        </is>
      </c>
      <c r="H63" s="10" t="inlineStr">
        <is>
          <t>NISKA</t>
        </is>
      </c>
      <c r="I63" s="10" t="n">
        <v>6</v>
      </c>
      <c r="J63" s="10" t="inlineStr">
        <is>
          <t>FLAGA</t>
        </is>
      </c>
      <c r="K63" s="11" t="inlineStr">
        <is>
          <t>ai.controller.ts:53 — AI_API_KEY</t>
        </is>
      </c>
    </row>
    <row r="64">
      <c r="A64" s="10" t="inlineStr">
        <is>
          <t>N-10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Preferencje powiadomień e-mail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CZĘŚCIOWE</t>
        </is>
      </c>
      <c r="K64" s="11" t="inlineStr">
        <is>
          <t>notifications-tab.tsx:70 — sekcja „Zawsze włączone” to statyczny tekst bez backendu</t>
        </is>
      </c>
    </row>
    <row r="65">
      <c r="A65" s="10" t="inlineStr">
        <is>
          <t>N-11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Ogłoszenia i okna serwisowe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16</v>
      </c>
      <c r="J65" s="10" t="inlineStr">
        <is>
          <t>ENDPOINT BEZ UI</t>
        </is>
      </c>
      <c r="K65" s="11" t="inlineStr">
        <is>
          <t>product-ops.admin.controller.ts:281,307,342,427; product-ops/data.ts:78-85 to same GET-y</t>
        </is>
      </c>
    </row>
    <row r="66">
      <c r="A66" s="10" t="inlineStr">
        <is>
          <t>N-12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Feature flagi z panelu operatora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ENDPOINT BEZ UI</t>
        </is>
      </c>
      <c r="K66" s="11" t="inlineStr">
        <is>
          <t>product-ops.admin.controller.ts:342</t>
        </is>
      </c>
    </row>
    <row r="67">
      <c r="A67" s="10" t="inlineStr">
        <is>
          <t>N-13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KOLEJKA OBSŁUGI NADUŻYĆ (ABUSE)</t>
        </is>
      </c>
      <c r="G67" s="10" t="inlineStr">
        <is>
          <t>N — Wsparcie i ops</t>
        </is>
      </c>
      <c r="H67" s="10" t="inlineStr">
        <is>
          <t>WYSOKA</t>
        </is>
      </c>
      <c r="I67" s="10" t="n">
        <v>40</v>
      </c>
      <c r="J67" s="10" t="inlineStr">
        <is>
          <t>BRAK</t>
        </is>
      </c>
      <c r="K67" s="11" t="inlineStr">
        <is>
          <t>brak modułu, encji i trasy; jest tylko outbound-abuse.guard.ts:7-18 bez UI</t>
        </is>
      </c>
    </row>
    <row r="68">
      <c r="A68" s="10" t="inlineStr">
        <is>
          <t>N-20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Link ze zgłoszenia do szczegółu (admin)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ATRAPA</t>
        </is>
      </c>
      <c r="K68" s="11" t="inlineStr">
        <is>
          <t>tickets/page.tsx:24 → /tickets/${id}; trasa nie istnieje w admin-panel</t>
        </is>
      </c>
    </row>
    <row r="69">
      <c r="A69" s="10" t="inlineStr">
        <is>
          <t>N-21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Wsparcie telefoniczne</t>
        </is>
      </c>
      <c r="G69" s="10" t="inlineStr">
        <is>
          <t>N — Wsparcie i ops</t>
        </is>
      </c>
      <c r="H69" s="10" t="inlineStr">
        <is>
          <t>ŚREDNIA</t>
        </is>
      </c>
      <c r="I69" s="10" t="n">
        <v>0</v>
      </c>
      <c r="J69" s="10" t="inlineStr">
        <is>
          <t>BRAK</t>
        </is>
      </c>
      <c r="K69" s="11" t="inlineStr">
        <is>
          <t>poza produktem</t>
        </is>
      </c>
    </row>
    <row r="70">
      <c r="A70" s="10" t="inlineStr">
        <is>
          <t>I-04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Automatyczne aktualizacje WordPressa</t>
        </is>
      </c>
      <c r="G70" s="10" t="inlineStr">
        <is>
          <t>I — Aplikacje i WordPress</t>
        </is>
      </c>
      <c r="H70" s="10" t="inlineStr">
        <is>
          <t>WYSOKA</t>
        </is>
      </c>
      <c r="I70" s="10" t="n">
        <v>16</v>
      </c>
      <c r="J70" s="10" t="inlineStr">
        <is>
          <t>BRAK</t>
        </is>
      </c>
      <c r="K70" s="11" t="inlineStr">
        <is>
          <t>4 z 5 hostingów PL to ma</t>
        </is>
      </c>
    </row>
    <row r="71">
      <c r="A71" s="10" t="inlineStr">
        <is>
          <t>I-05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Aktualizacje wtyczek i motywów z panelu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I-07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Skanowanie podatności WordPressa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40</v>
      </c>
      <c r="J72" s="10" t="inlineStr">
        <is>
          <t>BRAK</t>
        </is>
      </c>
      <c r="K72" s="11" t="inlineStr">
        <is>
          <t>Plesk używa Patchstack</t>
        </is>
      </c>
    </row>
    <row r="73">
      <c r="A73" s="10" t="inlineStr">
        <is>
          <t>I-08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Hardening WordPressa (checklist)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I-13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Klonowanie strony między domenami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16</v>
      </c>
      <c r="J74" s="10" t="inlineStr">
        <is>
          <t>BRAK</t>
        </is>
      </c>
      <c r="K74" s="11" t="inlineStr"/>
    </row>
    <row r="75">
      <c r="A75" s="10" t="inlineStr">
        <is>
          <t>I-14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Masowe zarządzanie wieloma instalacjami WP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40</v>
      </c>
      <c r="J75" s="10" t="inlineStr">
        <is>
          <t>BRAK</t>
        </is>
      </c>
      <c r="K75" s="11" t="inlineStr">
        <is>
          <t>realna przewaga dla agencji</t>
        </is>
      </c>
    </row>
    <row r="76">
      <c r="A76" s="10" t="inlineStr">
        <is>
          <t>I-15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Tryb konserwacji WordPressa</t>
        </is>
      </c>
      <c r="G76" s="10" t="inlineStr">
        <is>
          <t>I — Aplikacje i WordPress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/>
    </row>
    <row r="77">
      <c r="A77" s="10" t="inlineStr">
        <is>
          <t>I-16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WP-CLI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używane wewnętrznie przy WP_INSTALL</t>
        </is>
      </c>
    </row>
    <row r="78">
      <c r="A78" s="10" t="inlineStr">
        <is>
          <t>I-18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test poświadczeń (preflight)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services.controller.ts:1001</t>
        </is>
      </c>
    </row>
    <row r="79">
      <c r="A79" s="10" t="inlineStr">
        <is>
          <t>I-22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Migracja — cockpit operatora</t>
        </is>
      </c>
      <c r="G79" s="10" t="inlineStr">
        <is>
          <t>I — Aplikacje i WordPress</t>
        </is>
      </c>
      <c r="H79" s="10" t="inlineStr">
        <is>
          <t>ŚREDNIA</t>
        </is>
      </c>
      <c r="I79" s="10" t="n">
        <v>6</v>
      </c>
      <c r="J79" s="10" t="inlineStr">
        <is>
          <t>CZĘŚCIOWE</t>
        </is>
      </c>
      <c r="K79" s="11" t="inlineStr">
        <is>
          <t>migrations.staff.controller.ts:75,90,126</t>
        </is>
      </c>
    </row>
    <row r="80">
      <c r="A80" s="10" t="inlineStr">
        <is>
          <t>A-06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document root domeny</t>
        </is>
      </c>
      <c r="G80" s="10" t="inlineStr">
        <is>
          <t>A — Domeny i konta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>
        <is>
          <t>DA to potrafi; brak UI</t>
        </is>
      </c>
    </row>
    <row r="81">
      <c r="A81" s="10" t="inlineStr">
        <is>
          <t>A-08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Rejestracja domeny z panelu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16</v>
      </c>
      <c r="J81" s="10" t="inlineStr">
        <is>
          <t>FLAGA</t>
        </is>
      </c>
      <c r="K81" s="11" t="inlineStr">
        <is>
          <t>domains.controller.ts:118</t>
        </is>
      </c>
    </row>
    <row r="82">
      <c r="A82" s="10" t="inlineStr">
        <is>
          <t>A-09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Transfer domeny (kod authinfo)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FLAGA</t>
        </is>
      </c>
      <c r="K82" s="11" t="inlineStr">
        <is>
          <t>domains.controller.ts:123</t>
        </is>
      </c>
    </row>
    <row r="83">
      <c r="A83" s="10" t="inlineStr">
        <is>
          <t>A-10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Odnowienie domeny przez klienta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ENDPOINT BEZ UI</t>
        </is>
      </c>
      <c r="K83" s="11" t="inlineStr">
        <is>
          <t>domains.controller.ts:133</t>
        </is>
      </c>
    </row>
    <row r="84">
      <c r="A84" s="10" t="inlineStr">
        <is>
          <t>A-12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Cennik rejestracji na 1–10 lat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FLAGA</t>
        </is>
      </c>
      <c r="K84" s="11" t="inlineStr">
        <is>
          <t>domains.controller.ts:59</t>
        </is>
      </c>
    </row>
    <row r="85">
      <c r="A85" s="10" t="inlineStr">
        <is>
          <t>A-13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Zmiana danych abonenta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wymóg operatorski przy własnej rejestracji</t>
        </is>
      </c>
    </row>
    <row r="86">
      <c r="A86" s="10" t="inlineStr">
        <is>
          <t>A-14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Ukrycie danych WHOIS / domain privacy</t>
        </is>
      </c>
      <c r="G86" s="10" t="inlineStr">
        <is>
          <t>A — Domeny i konta</t>
        </is>
      </c>
      <c r="H86" s="10" t="inlineStr">
        <is>
          <t>NISKA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A-15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Blokada transferu domeny (transfer lock)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A-16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Weryfikacja własności domeny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domains.service.ts:92-153 — runChecklist robi resolve4/resolve6/resolveNs + handshake TLS</t>
        </is>
      </c>
    </row>
    <row r="89">
      <c r="A89" s="10" t="inlineStr">
        <is>
          <t>A-24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Zakładanie konta klienta przez operatora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brak @Post w users.admin.controller.ts</t>
        </is>
      </c>
    </row>
    <row r="90">
      <c r="A90" s="10" t="inlineStr">
        <is>
          <t>I-01</t>
        </is>
      </c>
      <c r="B90" s="10" t="inlineStr">
        <is>
          <t>E-05</t>
        </is>
      </c>
      <c r="C90" s="11" t="inlineStr">
        <is>
          <t>Katalog aplikacji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Autoinstalator aplikacji</t>
        </is>
      </c>
      <c r="G90" s="10" t="inlineStr">
        <is>
          <t>I — Aplikacje i WordPress</t>
        </is>
      </c>
      <c r="H90" s="10" t="inlineStr">
        <is>
          <t>WYSOKA</t>
        </is>
      </c>
      <c r="I90" s="10" t="n">
        <v>16</v>
      </c>
      <c r="J90" s="10" t="inlineStr">
        <is>
          <t>CZĘŚCIOWE</t>
        </is>
      </c>
      <c r="K90" s="11" t="inlineStr">
        <is>
          <t>app-install.service.ts:25,32 — katalog ma 2 pozycje</t>
        </is>
      </c>
    </row>
    <row r="91">
      <c r="A91" s="10" t="inlineStr">
        <is>
          <t>E-06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zużycia skrzynki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E-12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Reguły filtrowania poczty (Sieve)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wszystkie 5 hostingów PL to ma</t>
        </is>
      </c>
    </row>
    <row r="93">
      <c r="A93" s="10" t="inlineStr">
        <is>
          <t>E-13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Webmail — dostęp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link do DA</t>
        </is>
      </c>
    </row>
    <row r="94">
      <c r="A94" s="10" t="inlineStr">
        <is>
          <t>E-18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Sprawdzenie obecności na RBL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ENDPOINT BEZ UI</t>
        </is>
      </c>
      <c r="K94" s="11" t="inlineStr">
        <is>
          <t>services.controller.ts:114</t>
        </is>
      </c>
    </row>
    <row r="95">
      <c r="A95" s="10" t="inlineStr">
        <is>
          <t>E-19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kolejki i logów dostarczania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16</v>
      </c>
      <c r="J95" s="10" t="inlineStr">
        <is>
          <t>BRAK</t>
        </is>
      </c>
      <c r="K95" s="11" t="inlineStr">
        <is>
          <t>„gdzie jest mój mail” to najczęstszy ticket poczty</t>
        </is>
      </c>
    </row>
    <row r="96">
      <c r="A96" s="10" t="inlineStr">
        <is>
          <t>E-20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Limity wysyłki pokazane klientowi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BRAK</t>
        </is>
      </c>
      <c r="K96" s="11" t="inlineStr">
        <is>
          <t>cyber_Folks publikuje jawnie: 1000/dobę, 300/15 min</t>
        </is>
      </c>
    </row>
    <row r="97">
      <c r="A97" s="10" t="inlineStr">
        <is>
          <t>E-21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Samodzielny import skrzynek przez IMAP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w ramach migracji, nie jako osobne narzędzie</t>
        </is>
      </c>
    </row>
    <row r="98">
      <c r="A98" s="10" t="inlineStr">
        <is>
          <t>E-23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Kalendarz i kontakty (CalDAV/CardDAV)</t>
        </is>
      </c>
      <c r="G98" s="10" t="inlineStr">
        <is>
          <t>E — Poczta</t>
        </is>
      </c>
      <c r="H98" s="10" t="inlineStr">
        <is>
          <t>NISKA</t>
        </is>
      </c>
      <c r="I98" s="10" t="n">
        <v>40</v>
      </c>
      <c r="J98" s="10" t="inlineStr">
        <is>
          <t>BRAK</t>
        </is>
      </c>
      <c r="K98" s="11" t="inlineStr">
        <is>
          <t>dhosting i home.pl mają w produkcie „poczta biznesowa”</t>
        </is>
      </c>
    </row>
    <row r="99">
      <c r="A99" s="10" t="inlineStr">
        <is>
          <t>E-24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2FA dla webmaila</t>
        </is>
      </c>
      <c r="G99" s="10" t="inlineStr">
        <is>
          <t>E — Poczta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cyber_Folks ma nawet 2FA dla IMAP/SMTP</t>
        </is>
      </c>
    </row>
    <row r="100">
      <c r="A100" s="10" t="inlineStr">
        <is>
          <t>G-07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HSTS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6</v>
      </c>
      <c r="J100" s="10" t="inlineStr">
        <is>
          <t>BRAK</t>
        </is>
      </c>
      <c r="K100" s="11" t="inlineStr"/>
    </row>
    <row r="101">
      <c r="A101" s="10" t="inlineStr">
        <is>
          <t>G-08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Sprzedaż certyfikatów DV/OV/EV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16</v>
      </c>
      <c r="J101" s="10" t="inlineStr">
        <is>
          <t>BRAK</t>
        </is>
      </c>
      <c r="K101" s="11" t="inlineStr">
        <is>
          <t>wszystkie 5 hostingów PL to sprzedaje</t>
        </is>
      </c>
    </row>
    <row r="102">
      <c r="A102" s="10" t="inlineStr">
        <is>
          <t>G-11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Skaner malware dla klienta</t>
        </is>
      </c>
      <c r="G102" s="10" t="inlineStr">
        <is>
          <t>G — SSL i bezpieczeństwo</t>
        </is>
      </c>
      <c r="H102" s="10" t="inlineStr">
        <is>
          <t>WYSOKA</t>
        </is>
      </c>
      <c r="I102" s="10" t="n">
        <v>40</v>
      </c>
      <c r="J102" s="10" t="inlineStr">
        <is>
          <t>BRAK</t>
        </is>
      </c>
      <c r="K102" s="11" t="inlineStr">
        <is>
          <t>Imunify to koszt licencyjny — pozycja do unit economics</t>
        </is>
      </c>
    </row>
    <row r="103">
      <c r="A103" s="10" t="inlineStr">
        <is>
          <t>G-12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Czyszczenie zainfekowanych plików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/>
    </row>
    <row r="104">
      <c r="A104" s="10" t="inlineStr">
        <is>
          <t>G-19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Auto-wylogowanie po bezczynności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6</v>
      </c>
      <c r="J104" s="10" t="inlineStr">
        <is>
          <t>CZĘŚCIOWE</t>
        </is>
      </c>
      <c r="K104" s="11" t="inlineStr">
        <is>
          <t>session-idle-guard.tsx</t>
        </is>
      </c>
    </row>
    <row r="105">
      <c r="A105" s="10" t="inlineStr">
        <is>
          <t>G-21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Anty-DDoS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wszystkie 5 hostingów PL to deklaruje — brak w ofercie będzie widoczny</t>
        </is>
      </c>
    </row>
    <row r="106">
      <c r="A106" s="10" t="inlineStr">
        <is>
          <t>G-22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Powiadomienie o podejrzanym logowaniu</t>
        </is>
      </c>
      <c r="G106" s="10" t="inlineStr">
        <is>
          <t>G — SSL i bezpieczeństwo</t>
        </is>
      </c>
      <c r="H106" s="10" t="inlineStr">
        <is>
          <t>NISKA</t>
        </is>
      </c>
      <c r="I106" s="10" t="n">
        <v>6</v>
      </c>
      <c r="J106" s="10" t="inlineStr">
        <is>
          <t>BRAK</t>
        </is>
      </c>
      <c r="K106" s="11" t="inlineStr"/>
    </row>
    <row r="107">
      <c r="A107" s="10" t="inlineStr">
        <is>
          <t>Z-09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Ograniczenie hostów, do których łączy się worker migracji (SSRF z węzła)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16</v>
      </c>
      <c r="J107" s="10" t="inlineStr">
        <is>
          <t>BRAK</t>
        </is>
      </c>
      <c r="K107" s="11" t="inlineStr">
        <is>
          <t>node-migration-worker.sh — host źródła pochodzi z formularza i nie jest niczym ograniczony</t>
        </is>
      </c>
    </row>
    <row r="108">
      <c r="A108" s="10" t="inlineStr">
        <is>
          <t>O-03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Dziennik audytu działań subkont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16</v>
      </c>
      <c r="J108" s="10" t="inlineStr">
        <is>
          <t>CZĘŚCIOWE</t>
        </is>
      </c>
      <c r="K108" s="11" t="inlineStr">
        <is>
          <t>customer-iam.controller.ts:36</t>
        </is>
      </c>
    </row>
    <row r="109">
      <c r="A109" s="10" t="inlineStr">
        <is>
          <t>O-05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przegląd klientów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CZĘŚCIOWE</t>
        </is>
      </c>
      <c r="K109" s="11" t="inlineStr">
        <is>
          <t>reseller.controller.ts:12,17 — 2 GET-y, zero mutacji</t>
        </is>
      </c>
    </row>
    <row r="110">
      <c r="A110" s="10" t="inlineStr">
        <is>
          <t>O-06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zakładanie kont klientom</t>
        </is>
      </c>
      <c r="G110" s="10" t="inlineStr">
        <is>
          <t>O — Multi-user i reseller</t>
        </is>
      </c>
      <c r="H110" s="10" t="inlineStr">
        <is>
          <t>ŚREDNIA</t>
        </is>
      </c>
      <c r="I110" s="10" t="n">
        <v>40</v>
      </c>
      <c r="J110" s="10" t="inlineStr">
        <is>
          <t>BRAK</t>
        </is>
      </c>
      <c r="K110" s="11" t="inlineStr">
        <is>
          <t>bez tego reseller nie jest produktem</t>
        </is>
      </c>
    </row>
    <row r="111">
      <c r="A111" s="10" t="inlineStr">
        <is>
          <t>O-07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ustawianie własnej marży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CZĘŚCIOWE</t>
        </is>
      </c>
      <c r="K111" s="11" t="inlineStr">
        <is>
          <t>reseller.admin.controller.ts:44,50 — tylko operator, nie reseller</t>
        </is>
      </c>
    </row>
    <row r="112">
      <c r="A112" s="10" t="inlineStr">
        <is>
          <t>O-08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Reseller — samodzielne włączenie programu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16</v>
      </c>
      <c r="J112" s="10" t="inlineStr">
        <is>
          <t>ATRAPA</t>
        </is>
      </c>
      <c r="K112" s="11" t="inlineStr">
        <is>
          <t>reseller-client.tsx:49 — jedyna akcja to „Napisz do nas”</t>
        </is>
      </c>
    </row>
    <row r="113">
      <c r="A113" s="10" t="inlineStr">
        <is>
          <t>O-09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White-label / własna marka resellera</t>
        </is>
      </c>
      <c r="G113" s="10" t="inlineStr">
        <is>
          <t>O — Multi-user i reseller</t>
        </is>
      </c>
      <c r="H113" s="10" t="inlineStr">
        <is>
          <t>NISKA</t>
        </is>
      </c>
      <c r="I113" s="10" t="n">
        <v>40</v>
      </c>
      <c r="J113" s="10" t="inlineStr">
        <is>
          <t>CZĘŚCIOWE</t>
        </is>
      </c>
      <c r="K113" s="11" t="inlineStr">
        <is>
          <t>reseller.admin.controller.ts:44 (brand po stronie operatora)</t>
        </is>
      </c>
    </row>
    <row r="114">
      <c r="A114" s="10" t="inlineStr">
        <is>
          <t>Z-10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Izolacja rekordów między kontami klientów + dziennik odmów subkont</t>
        </is>
      </c>
      <c r="G114" s="10" t="inlineStr">
        <is>
          <t>O — Multi-user i reseller</t>
        </is>
      </c>
      <c r="H114" s="10" t="inlineStr">
        <is>
          <t>WYSOKA</t>
        </is>
      </c>
      <c r="I114" s="10" t="n">
        <v>40</v>
      </c>
      <c r="J114" s="10" t="inlineStr">
        <is>
          <t>b.d.</t>
        </is>
      </c>
      <c r="K114" s="11" t="inlineStr">
        <is>
          <t>brak systematycznego przeglądu; każdy serwis sprawdza właściciela zasobu po swojemu</t>
        </is>
      </c>
    </row>
    <row r="115">
      <c r="A115" s="10" t="inlineStr">
        <is>
          <t>P-11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Rejestr czynności przetwarzania (art. 30)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16</v>
      </c>
      <c r="J115" s="10" t="inlineStr">
        <is>
          <t>BRAK</t>
        </is>
      </c>
      <c r="K115" s="11" t="inlineStr">
        <is>
          <t>docs/legal/rcpd.md — sekcje A (administrator), B (procesor, art. 30 ust. 2), C (art. 32), D (przeglądy)</t>
        </is>
      </c>
    </row>
    <row r="116">
      <c r="A116" s="10" t="inlineStr">
        <is>
          <t>P-12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Dostępność panelu wg WCAG 2.1 AA (EAA)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40</v>
      </c>
      <c r="J116" s="10" t="inlineStr">
        <is>
          <t>BRAK</t>
        </is>
      </c>
      <c r="K116" s="11" t="inlineStr">
        <is>
          <t>docs/legal/EAA_AUDYT_DOSTEPNOSCI_2026-07-07.md — audyt wykonany, skip-link i focus-visible naprawione w commicie z 2026-07-07</t>
        </is>
      </c>
    </row>
    <row r="117">
      <c r="A117" s="10" t="inlineStr">
        <is>
          <t>P-13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Deklaracja lokalizacji danych</t>
        </is>
      </c>
      <c r="G117" s="10" t="inlineStr">
        <is>
          <t>P — Zgodność</t>
        </is>
      </c>
      <c r="H117" s="10" t="inlineStr">
        <is>
          <t>ŚREDNIA</t>
        </is>
      </c>
      <c r="I117" s="10" t="n">
        <v>6</v>
      </c>
      <c r="J117" s="10" t="inlineStr">
        <is>
          <t>b.d.</t>
        </is>
      </c>
      <c r="K117" s="11" t="inlineStr">
        <is>
          <t>poza kodem</t>
        </is>
      </c>
    </row>
    <row r="118">
      <c r="A118" s="10" t="inlineStr">
        <is>
          <t>P-14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Certyfikacja ISO 27001</t>
        </is>
      </c>
      <c r="G118" s="10" t="inlineStr">
        <is>
          <t>P — Zgodność</t>
        </is>
      </c>
      <c r="H118" s="10" t="inlineStr">
        <is>
          <t>NISKA</t>
        </is>
      </c>
      <c r="I118" s="10" t="n">
        <v>40</v>
      </c>
      <c r="J118" s="10" t="inlineStr">
        <is>
          <t>BRAK</t>
        </is>
      </c>
      <c r="K118" s="11" t="inlineStr">
        <is>
          <t>home.pl i nazwa.pl mają — element przetargowy w B2B</t>
        </is>
      </c>
    </row>
    <row r="119">
      <c r="A119" s="10" t="inlineStr">
        <is>
          <t>Q-09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Panel responsywny na telefonie</t>
        </is>
      </c>
      <c r="G119" s="10" t="inlineStr">
        <is>
          <t>Q — Przewaga</t>
        </is>
      </c>
      <c r="H119" s="10" t="inlineStr">
        <is>
          <t>WYSOKA</t>
        </is>
      </c>
      <c r="I119" s="10" t="n">
        <v>16</v>
      </c>
      <c r="J119" s="10" t="inlineStr">
        <is>
          <t>b.d.</t>
        </is>
      </c>
      <c r="K119" s="11" t="inlineStr">
        <is>
          <t>brak audytu w repo</t>
        </is>
      </c>
    </row>
    <row r="120">
      <c r="A120" s="10" t="inlineStr">
        <is>
          <t>F-03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Link do strefy DNS w DirectAdmin</t>
        </is>
      </c>
      <c r="G120" s="10" t="inlineStr">
        <is>
          <t>F — DNS</t>
        </is>
      </c>
      <c r="H120" s="10" t="inlineStr">
        <is>
          <t>—</t>
        </is>
      </c>
      <c r="I120" s="10" t="n">
        <v>0</v>
      </c>
      <c r="J120" s="10" t="inlineStr">
        <is>
          <t>DZIAŁA</t>
        </is>
      </c>
      <c r="K120" s="11" t="inlineStr">
        <is>
          <t>services.controller.ts:350</t>
        </is>
      </c>
    </row>
    <row r="121">
      <c r="A121" s="10" t="inlineStr">
        <is>
          <t>F-06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DNSSEC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16</v>
      </c>
      <c r="J121" s="10" t="inlineStr">
        <is>
          <t>BRAK</t>
        </is>
      </c>
      <c r="K121" s="11" t="inlineStr">
        <is>
          <t>żaden z 5 hostingów PL nie potwierdza publicznie</t>
        </is>
      </c>
    </row>
    <row r="122">
      <c r="A122" s="10" t="inlineStr">
        <is>
          <t>F-11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Zmiana TTL rekordów</t>
        </is>
      </c>
      <c r="G122" s="10" t="inlineStr">
        <is>
          <t>F — DNS</t>
        </is>
      </c>
      <c r="H122" s="10" t="inlineStr">
        <is>
          <t>ŚREDNIA</t>
        </is>
      </c>
      <c r="I122" s="10" t="n">
        <v>6</v>
      </c>
      <c r="J122" s="10" t="inlineStr">
        <is>
          <t>ATRAPA</t>
        </is>
      </c>
      <c r="K122" s="11" t="inlineStr">
        <is>
          <t>zależne od F-01</t>
        </is>
      </c>
    </row>
    <row r="123">
      <c r="A123" s="10" t="inlineStr">
        <is>
          <t>F-12</t>
        </is>
      </c>
      <c r="B123" s="10" t="inlineStr">
        <is>
          <t>E-11</t>
        </is>
      </c>
      <c r="C123" s="11" t="inlineStr">
        <is>
          <t>DNS: DNSSEC i zarządzanie strefą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Anycast DNS</t>
        </is>
      </c>
      <c r="G123" s="10" t="inlineStr">
        <is>
          <t>F — DNS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tylko nazwa.pl na rynku PL</t>
        </is>
      </c>
    </row>
    <row r="124">
      <c r="A124" s="10" t="inlineStr">
        <is>
          <t>L-03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Zadanie cron — edycja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obecnie usuń i dodaj ponownie</t>
        </is>
      </c>
    </row>
    <row r="125">
      <c r="A125" s="10" t="inlineStr">
        <is>
          <t>L-04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interwałem 1 minuty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b.d.</t>
        </is>
      </c>
      <c r="K125" s="11" t="inlineStr">
        <is>
          <t>zależne od konfiguracji DA</t>
        </is>
      </c>
    </row>
    <row r="126">
      <c r="A126" s="10" t="inlineStr">
        <is>
          <t>L-05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Cron z wyborem wersji PHP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6</v>
      </c>
      <c r="J126" s="10" t="inlineStr">
        <is>
          <t>BRAK</t>
        </is>
      </c>
      <c r="K126" s="11" t="inlineStr">
        <is>
          <t>seohost to reklamuje</t>
        </is>
      </c>
    </row>
    <row r="127">
      <c r="A127" s="10" t="inlineStr">
        <is>
          <t>L-06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Podgląd wyniku ostatniego wykonania crona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L-08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Publiczne API — zapis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40</v>
      </c>
      <c r="J128" s="10" t="inlineStr">
        <is>
          <t>BRAK</t>
        </is>
      </c>
      <c r="K128" s="11" t="inlineStr">
        <is>
          <t>api-scopes.ts:3 — 3 zakresy read-only; przyznane w api-tokens-client.tsx:158</t>
        </is>
      </c>
    </row>
    <row r="129">
      <c r="A129" s="10" t="inlineStr">
        <is>
          <t>L-09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Tokeny API z zakresami uprawnień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CZĘŚCIOWE</t>
        </is>
      </c>
      <c r="K129" s="11" t="inlineStr">
        <is>
          <t>api-tokens.controller.ts:35</t>
        </is>
      </c>
    </row>
    <row r="130">
      <c r="A130" s="10" t="inlineStr">
        <is>
          <t>L-10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Webhooki dla klienta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L-11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Asystent AI w panelu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FLAGA</t>
        </is>
      </c>
      <c r="K131" s="11" t="inlineStr">
        <is>
          <t>HostingAssistant.tsx:61; ai-provider.service.ts:21 — AI_API_KEY domyślnie pusty</t>
        </is>
      </c>
    </row>
    <row r="132">
      <c r="A132" s="10" t="inlineStr">
        <is>
          <t>L-12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Prognoza zużycia zasobów (AI)</t>
        </is>
      </c>
      <c r="G132" s="10" t="inlineStr">
        <is>
          <t>L — Automatyzacja</t>
        </is>
      </c>
      <c r="H132" s="10" t="inlineStr">
        <is>
          <t>NISKA</t>
        </is>
      </c>
      <c r="I132" s="10" t="n">
        <v>6</v>
      </c>
      <c r="J132" s="10" t="inlineStr">
        <is>
          <t>FLAGA</t>
        </is>
      </c>
      <c r="K132" s="11" t="inlineStr">
        <is>
          <t>hosting-forecast-actions.ts:7; fallback ServiceForecastPanel.tsx:97</t>
        </is>
      </c>
    </row>
    <row r="133">
      <c r="A133" s="10" t="inlineStr">
        <is>
          <t>Q-06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/ cloud w tym samym panelu</t>
        </is>
      </c>
      <c r="G133" s="10" t="inlineStr">
        <is>
          <t>Q — Przewaga</t>
        </is>
      </c>
      <c r="H133" s="10" t="inlineStr">
        <is>
          <t>ŚREDNIA</t>
        </is>
      </c>
      <c r="I133" s="10" t="n">
        <v>16</v>
      </c>
      <c r="J133" s="10" t="inlineStr">
        <is>
          <t>FLAGA</t>
        </is>
      </c>
      <c r="K133" s="11" t="inlineStr">
        <is>
          <t>vps.controller.ts:53,59,69; HETZNER_API_TOKEN</t>
        </is>
      </c>
    </row>
    <row r="134">
      <c r="A134" s="10" t="inlineStr">
        <is>
          <t>Q-07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konsola / VNC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Q-08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VPS — snapshoty i rebuild</t>
        </is>
      </c>
      <c r="G135" s="10" t="inlineStr">
        <is>
          <t>Q — Przewaga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Q-14</t>
        </is>
      </c>
      <c r="B136" s="10" t="inlineStr">
        <is>
          <t>E-16</t>
        </is>
      </c>
      <c r="C136" s="11" t="inlineStr">
        <is>
          <t>Rozszerzenia oferty</t>
        </is>
      </c>
      <c r="D136" s="10" t="inlineStr">
        <is>
          <t>Q4 2027</t>
        </is>
      </c>
      <c r="E136" s="10" t="inlineStr">
        <is>
          <t>NISKI</t>
        </is>
      </c>
      <c r="F136" s="11" t="inlineStr">
        <is>
          <t>Kreator uruchomienia węzła</t>
        </is>
      </c>
      <c r="G136" s="10" t="inlineStr">
        <is>
          <t>Q — Przewaga</t>
        </is>
      </c>
      <c r="H136" s="10" t="inlineStr">
        <is>
          <t>WYSOKA</t>
        </is>
      </c>
      <c r="I136" s="10" t="n">
        <v>16</v>
      </c>
      <c r="J136" s="10" t="inlineStr">
        <is>
          <t>CZĘŚCIOWE</t>
        </is>
      </c>
      <c r="K136" s="11" t="inlineStr">
        <is>
          <t>node-wizard.tsx:277,288 — realnie tylko init + bootstrap; 7 z 9 kroków to treść runbooka (wizard-content.ts:21-40)</t>
        </is>
      </c>
    </row>
    <row r="137">
      <c r="A137" s="10" t="inlineStr">
        <is>
          <t>X-04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integracyjne / e2e API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40</v>
      </c>
      <c r="J137" s="10" t="inlineStr">
        <is>
          <t>CZĘŚCIOWE</t>
        </is>
      </c>
      <c r="K137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8">
      <c r="A138" s="10" t="inlineStr">
        <is>
          <t>X-05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paneli frontowych</t>
        </is>
      </c>
      <c r="G138" s="10" t="inlineStr">
        <is>
          <t>X — Infrastruktura jakości</t>
        </is>
      </c>
      <c r="H138" s="10" t="inlineStr">
        <is>
          <t>ŚREDNIA</t>
        </is>
      </c>
      <c r="I138" s="10" t="n">
        <v>40</v>
      </c>
      <c r="J138" s="10" t="inlineStr">
        <is>
          <t>BRAK</t>
        </is>
      </c>
      <c r="K138" s="11" t="inlineStr">
        <is>
          <t>admin-panel i staff-panel: 0 plików; client-panel: 1 plik bez runnera (brak skryptu test w package.json:5-11)</t>
        </is>
      </c>
    </row>
    <row r="139">
      <c r="A139" s="10" t="inlineStr">
        <is>
          <t>X-06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modułu auth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zero plików .spec w apps/api/src/auth</t>
        </is>
      </c>
    </row>
    <row r="140">
      <c r="A140" s="10" t="inlineStr">
        <is>
          <t>X-07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klienta KSeF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ksef-v2.client.ts (487 l. kryptografii + API skarbowe) — ZERO testów; testowany jest tylko builder XML</t>
        </is>
      </c>
    </row>
    <row r="141">
      <c r="A141" s="10" t="inlineStr">
        <is>
          <t>X-08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ścieżki backup/restore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BRAK</t>
        </is>
      </c>
      <c r="K141" s="11" t="inlineStr">
        <is>
          <t>offsite-restore.service.ts (regex chroniący przed path traversal na wejściu od klienta) — ZERO testów</t>
        </is>
      </c>
    </row>
    <row r="142">
      <c r="A142" s="10" t="inlineStr">
        <is>
          <t>X-09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Pokrycie testami DirectAdminService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BRAK</t>
        </is>
      </c>
      <c r="K142" s="11" t="inlineStr">
        <is>
          <t>directadmin.service.ts ma 3057 linii; testowany jest wyłącznie helper mergeAdminSettingsPayload</t>
        </is>
      </c>
    </row>
    <row r="143">
      <c r="A143" s="10" t="inlineStr">
        <is>
          <t>X-10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RBAC sprawdzające zachowanie, nie metadane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16</v>
      </c>
      <c r="J143" s="10" t="inlineStr">
        <is>
          <t>ATRAPA</t>
        </is>
      </c>
      <c r="K143" s="11" t="inlineStr">
        <is>
          <t>3 pliki spec czytają Reflect.getMetadata(ROLES_KEY) — weryfikują, że dekorator napisano, nie że guard blokuje</t>
        </is>
      </c>
    </row>
    <row r="144">
      <c r="A144" s="10" t="inlineStr">
        <is>
          <t>X-19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Dług lintera odsłonięty przez Next 16 i włączenie ESLinta w API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16</v>
      </c>
      <c r="J144" s="10" t="inlineStr">
        <is>
          <t>CZĘŚCIOWE</t>
        </is>
      </c>
      <c r="K144" s="11" t="inlineStr">
        <is>
          <t>libs/eslint-config/node.mjs oraz apps/*/eslint.config.mjs — reguły włączone, ale część jako ostrzeżenia; 209 ostrzeżeń w panelach, 58 w API</t>
        </is>
      </c>
    </row>
    <row r="145">
      <c r="A145" s="10" t="inlineStr">
        <is>
          <t>X-20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Decyzja i migracja na Prismę 7</t>
        </is>
      </c>
      <c r="G145" s="10" t="inlineStr">
        <is>
          <t>X — Infrastruktura jakości</t>
        </is>
      </c>
      <c r="H145" s="10" t="inlineStr">
        <is>
          <t>ŚREDNIA</t>
        </is>
      </c>
      <c r="I145" s="10" t="n">
        <v>40</v>
      </c>
      <c r="J145" s="10" t="inlineStr">
        <is>
          <t>BRAK</t>
        </is>
      </c>
      <c r="K145" s="11" t="inlineStr">
        <is>
          <t>libs/database/package.json — prisma 6.19.3; schema.prisma:17 — datasource url = env("DATABASE_URL"), składnia usunięta w Prismie 7</t>
        </is>
      </c>
    </row>
    <row r="146">
      <c r="A146" s="10" t="inlineStr">
        <is>
          <t>X-22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Eksport danych osobowych (RODO art. 20) sprawdzany testem end-to-end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2026-08-22T17:41:27Z</dcterms:created>
  <dcterms:modified xmlns:dcterms="http://purl.org/dc/terms/" xmlns:xsi="http://www.w3.org/2001/XMLSchema-instance" xsi:type="dcterms:W3CDTF">2026-08-22T17:41:27Z</dcterms:modified>
</cp:coreProperties>
</file>