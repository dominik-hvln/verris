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startu'!$A$1:$P$104</definedName>
    <definedName name="_xlnm._FilterDatabase" localSheetId="2" hidden="1">'Sprinty'!$A$1:$J$22</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21 sprintów · 30 h netto na sprint · wygenerowane 2026-09-19 z audyt/dane/</t>
        </is>
      </c>
    </row>
    <row r="4">
      <c r="A4" s="3" t="inlineStr">
        <is>
          <t>Kluczowe liczby</t>
        </is>
      </c>
    </row>
    <row r="6">
      <c r="A6" s="4" t="inlineStr">
        <is>
          <t>Zadań w planie</t>
        </is>
      </c>
      <c r="B6" s="5">
        <f>COUNTA('Backlog do startu'!$A$2:$A$104)</f>
        <v/>
      </c>
    </row>
    <row r="7">
      <c r="A7" s="4" t="inlineStr">
        <is>
          <t>Godzin w planie</t>
        </is>
      </c>
      <c r="B7" s="5">
        <f>SUM('Backlog do startu'!$F$2:$F$104)</f>
        <v/>
      </c>
    </row>
    <row r="8">
      <c r="A8" s="4" t="inlineStr">
        <is>
          <t>Pojemność</t>
        </is>
      </c>
      <c r="B8" s="5" t="n">
        <v>630</v>
      </c>
    </row>
    <row r="9">
      <c r="A9" s="4" t="inlineStr">
        <is>
          <t>Zapas</t>
        </is>
      </c>
      <c r="B9" s="5">
        <f>B7-B6</f>
        <v/>
      </c>
    </row>
    <row r="10">
      <c r="A10" s="6" t="inlineStr">
        <is>
          <t>Blokerów</t>
        </is>
      </c>
      <c r="B10" s="7">
        <f>COUNTIF('Backlog do startu'!$E$2:$E$104,"BLOKER STARTU")+COUNTIF('Backlog do startu'!$E$2:$E$104,"BLOKER BIZNESOWY")</f>
        <v/>
      </c>
    </row>
    <row r="11">
      <c r="A11" s="4" t="inlineStr">
        <is>
          <t>Zadań zrobionych</t>
        </is>
      </c>
      <c r="B11" s="5">
        <f>COUNTIF('Backlog do startu'!$P$2:$P$104,"zrobione")</f>
        <v/>
      </c>
    </row>
    <row r="12">
      <c r="A12" s="4" t="inlineStr">
        <is>
          <t>Godzin zrobionych</t>
        </is>
      </c>
      <c r="B12" s="5">
        <f>SUMIF('Backlog do startu'!$P$2:$P$104,"zrobione",'Backlog do startu'!$F$2:$F$104)</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CZĘŚCIOWE</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Ograniczenie opisane w uwagach macierzy zniknęło; test potwierdza zachowanie także w scenariuszu awaryjnym.</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P-15</t>
        </is>
      </c>
      <c r="B40" s="11" t="inlineStr">
        <is>
          <t>Podpisane DPA z subprocesorami</t>
        </is>
      </c>
      <c r="C40" s="10" t="inlineStr">
        <is>
          <t>audyt</t>
        </is>
      </c>
      <c r="D40" s="10" t="inlineStr">
        <is>
          <t>P — Zgodność</t>
        </is>
      </c>
      <c r="E40" s="10" t="inlineStr">
        <is>
          <t>BLOKER STARTU</t>
        </is>
      </c>
      <c r="F40" s="10" t="n">
        <v>6</v>
      </c>
      <c r="G40" s="10" t="n">
        <v>4</v>
      </c>
      <c r="H40" s="10" t="inlineStr">
        <is>
          <t>Faza 1 — Rozliczenia i dowód odtworzenia</t>
        </is>
      </c>
      <c r="I40" s="10" t="inlineStr">
        <is>
          <t>2026-09-21</t>
        </is>
      </c>
      <c r="J40" s="10" t="inlineStr">
        <is>
          <t>2026-09-25</t>
        </is>
      </c>
      <c r="K40" s="10" t="inlineStr">
        <is>
          <t>BRAK</t>
        </is>
      </c>
      <c r="L40" s="11" t="inlineStr">
        <is>
          <t>docs/legal/dpa-subprocessors-tracking.md — tabela statusow po korekcie 2026-09-19. Stripe i AWS: DPA obowiazuje z mocy umowy glownej. Hetzner i Openprovider: akceptacja w panelu, jeszcze nie wykonana. Cloudflare: mechanizm do potwierdzenia.</t>
        </is>
      </c>
      <c r="M40" s="11" t="inlineStr">
        <is>
          <t>—</t>
        </is>
      </c>
      <c r="N40" s="11" t="inlineStr">
        <is>
          <t>Funkcja dostępna z panelu klienta bez wychodzenia do DirectAdmina; test uruchamiany w CI.</t>
        </is>
      </c>
      <c r="O4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c r="P40" s="10" t="inlineStr">
        <is>
          <t>do zrobienia</t>
        </is>
      </c>
    </row>
    <row r="41">
      <c r="A41" s="10" t="inlineStr">
        <is>
          <t>X-50</t>
        </is>
      </c>
      <c r="B41" s="11" t="inlineStr">
        <is>
          <t>Bramka podatnosci zatrzymuje cokolwiek — jest wymagana do merge i wolana przez wdrozenie</t>
        </is>
      </c>
      <c r="C41" s="10" t="inlineStr">
        <is>
          <t>audyt</t>
        </is>
      </c>
      <c r="D41" s="10" t="inlineStr">
        <is>
          <t>X — Infrastruktura jakości</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41" s="11" t="inlineStr">
        <is>
          <t>—</t>
        </is>
      </c>
      <c r="N41" s="11" t="inlineStr">
        <is>
          <t>Funkcja dostępna z panelu klienta bez wychodzenia do DirectAdmina; test uruchamiany w CI.</t>
        </is>
      </c>
      <c r="O41"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41" s="10" t="inlineStr">
        <is>
          <t>do zrobienia</t>
        </is>
      </c>
    </row>
    <row r="42">
      <c r="A42" s="10" t="inlineStr">
        <is>
          <t>X-51</t>
        </is>
      </c>
      <c r="B42" s="11" t="inlineStr">
        <is>
          <t>Etykiety z dependabot.yml istnieja w repozytorium</t>
        </is>
      </c>
      <c r="C42" s="10" t="inlineStr">
        <is>
          <t>audyt</t>
        </is>
      </c>
      <c r="D42" s="10" t="inlineStr">
        <is>
          <t>X — Infrastruktura jakości</t>
        </is>
      </c>
      <c r="E42" s="10" t="inlineStr">
        <is>
          <t>NISKA</t>
        </is>
      </c>
      <c r="F42" s="10" t="n">
        <v>6</v>
      </c>
      <c r="G42" s="10" t="n">
        <v>4</v>
      </c>
      <c r="H42" s="10" t="inlineStr">
        <is>
          <t>Faza 1 — Rozliczenia i dowód odtworzenia</t>
        </is>
      </c>
      <c r="I42" s="10" t="inlineStr">
        <is>
          <t>2026-09-21</t>
        </is>
      </c>
      <c r="J42" s="10" t="inlineStr">
        <is>
          <t>2026-09-25</t>
        </is>
      </c>
      <c r="K42" s="10" t="inlineStr">
        <is>
          <t>DZIAŁA</t>
        </is>
      </c>
      <c r="L42" s="11" t="inlineStr">
        <is>
          <t>D2 2026-09-19: utworzone etykiety dependencies, security, docker, ci — 9 -&gt; 13 etykiet w repozytorium; pokrywaja wszystkie trzy sekcje labels: w .github/dependabot.yml.</t>
        </is>
      </c>
      <c r="M42" s="11" t="inlineStr">
        <is>
          <t>—</t>
        </is>
      </c>
      <c r="N42" s="11" t="inlineStr">
        <is>
          <t>Funkcja dostępna z panelu klienta bez wychodzenia do DirectAdmina; test uruchamiany w CI.</t>
        </is>
      </c>
      <c r="O42"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2" s="10" t="inlineStr">
        <is>
          <t>do zrobienia</t>
        </is>
      </c>
    </row>
    <row r="43">
      <c r="A43" s="10" t="inlineStr">
        <is>
          <t>SEC-07</t>
        </is>
      </c>
      <c r="B43" s="11" t="inlineStr">
        <is>
          <t>Trzy podatnosci HIGH w multerze — zdalny DoS bez uwierzytelnienia na sciezce uploadu</t>
        </is>
      </c>
      <c r="C43" s="10" t="inlineStr">
        <is>
          <t>audyt</t>
        </is>
      </c>
      <c r="D43" s="10" t="inlineStr">
        <is>
          <t>G — SSL i bezpieczeństwo</t>
        </is>
      </c>
      <c r="E43" s="10" t="inlineStr">
        <is>
          <t>WYSOKA</t>
        </is>
      </c>
      <c r="F43" s="10" t="n">
        <v>16</v>
      </c>
      <c r="G43" s="10" t="n">
        <v>4</v>
      </c>
      <c r="H43" s="10" t="inlineStr">
        <is>
          <t>Faza 1 — Rozliczenia i dowód odtworzenia</t>
        </is>
      </c>
      <c r="I43" s="10" t="inlineStr">
        <is>
          <t>2026-09-21</t>
        </is>
      </c>
      <c r="J43" s="10" t="inlineStr">
        <is>
          <t>2026-09-25</t>
        </is>
      </c>
      <c r="K43" s="10" t="inlineStr">
        <is>
          <t>DZIAŁA</t>
        </is>
      </c>
      <c r="L43"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3" s="11" t="inlineStr">
        <is>
          <t>—</t>
        </is>
      </c>
      <c r="N43" s="11" t="inlineStr">
        <is>
          <t>Funkcja dostępna z panelu klienta bez wychodzenia do DirectAdmina; test uruchamiany w CI.</t>
        </is>
      </c>
      <c r="O43"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3" s="10" t="inlineStr">
        <is>
          <t>do zrobienia</t>
        </is>
      </c>
    </row>
    <row r="44">
      <c r="A44" s="10" t="inlineStr">
        <is>
          <t>SEC-08</t>
        </is>
      </c>
      <c r="B44" s="11" t="inlineStr">
        <is>
          <t>Dwa niezauwierzytelnione RCE w Next.js lezaly w drzewie 22 dni</t>
        </is>
      </c>
      <c r="C44" s="10" t="inlineStr">
        <is>
          <t>audyt</t>
        </is>
      </c>
      <c r="D44" s="10" t="inlineStr">
        <is>
          <t>G — SSL i bezpieczeństwo</t>
        </is>
      </c>
      <c r="E44" s="10" t="inlineStr">
        <is>
          <t>WYSOKA</t>
        </is>
      </c>
      <c r="F44" s="10" t="n">
        <v>6</v>
      </c>
      <c r="G44" s="10" t="n">
        <v>4</v>
      </c>
      <c r="H44" s="10" t="inlineStr">
        <is>
          <t>Faza 1 — Rozliczenia i dowód odtworzenia</t>
        </is>
      </c>
      <c r="I44" s="10" t="inlineStr">
        <is>
          <t>2026-09-21</t>
        </is>
      </c>
      <c r="J44" s="10" t="inlineStr">
        <is>
          <t>2026-09-25</t>
        </is>
      </c>
      <c r="K44" s="10" t="inlineStr">
        <is>
          <t>DZIAŁA</t>
        </is>
      </c>
      <c r="L44"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t>
        </is>
      </c>
      <c r="M44" s="11" t="inlineStr">
        <is>
          <t>—</t>
        </is>
      </c>
      <c r="N44" s="11" t="inlineStr">
        <is>
          <t>Funkcja dostępna z panelu klienta bez wychodzenia do DirectAdmina; test uruchamiany w CI.</t>
        </is>
      </c>
      <c r="O44"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CZĘŚCIOWE</t>
        </is>
      </c>
      <c r="L45" s="11" t="inlineStr">
        <is>
          <t>.github/workflows/deploy.yml — job test-gate (typecheck + pnpm --filter api test), build-push ma needs: test-gate</t>
        </is>
      </c>
      <c r="M45" s="11" t="inlineStr">
        <is>
          <t>—</t>
        </is>
      </c>
      <c r="N45" s="11" t="inlineStr">
        <is>
          <t>Ograniczenie opisane w uwagach macierzy zniknęło; test potwierdza zachowanie także w scenariuszu awaryjnym.</t>
        </is>
      </c>
      <c r="O45" s="11" t="inlineStr">
        <is>
          <t>Ścieżka automatyczna (push → build → deploy) od 2026-08-21 nie przepuszcza czerwonych testów. Ścieżka ręczna ops/scripts/prod-deploy-ghcr.sh nadal nie uruchamia żadnych testów — dlatego CZĘŚCIOWE, nie DZIAŁA.</t>
        </is>
      </c>
      <c r="P45" s="10" t="inlineStr">
        <is>
          <t>do zrobienia</t>
        </is>
      </c>
    </row>
    <row r="46">
      <c r="A46" s="10" t="inlineStr">
        <is>
          <t>PB-13</t>
        </is>
      </c>
      <c r="B46" s="11" t="inlineStr">
        <is>
          <t>Decyzja: własny KSeF czy integracja z programem księgowym</t>
        </is>
      </c>
      <c r="C46" s="10" t="inlineStr">
        <is>
          <t>poza audytem</t>
        </is>
      </c>
      <c r="D46" s="10" t="inlineStr">
        <is>
          <t>Praca spoza audytu</t>
        </is>
      </c>
      <c r="E46" s="10" t="inlineStr">
        <is>
          <t>BLOKER BIZNESOWY</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uzasadnieniem i datą. Jeśli wybrana integracja — sprint 18 zmienia zakres z dokończenia modułu na wdrożenie eksportu do programu księgowego. Decyzja musi zapaść przed sprintem 18, inaczej blokuje start.</t>
        </is>
      </c>
      <c r="O46"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6" s="10" t="inlineStr">
        <is>
          <t>do zrobienia</t>
        </is>
      </c>
    </row>
    <row r="47">
      <c r="A47" s="10" t="inlineStr">
        <is>
          <t>PB-14</t>
        </is>
      </c>
      <c r="B47" s="11" t="inlineStr">
        <is>
          <t>Wybór dostawcy i lokalizacji węzła produkcyjnego #1</t>
        </is>
      </c>
      <c r="C47" s="10" t="inlineStr">
        <is>
          <t>poza audytem</t>
        </is>
      </c>
      <c r="D47" s="10" t="inlineStr">
        <is>
          <t>Praca spoza audytu</t>
        </is>
      </c>
      <c r="E47" s="10" t="inlineStr">
        <is>
          <t>WYSOKI</t>
        </is>
      </c>
      <c r="F47" s="10" t="n">
        <v>6</v>
      </c>
      <c r="G47" s="10" t="n">
        <v>5</v>
      </c>
      <c r="H47" s="10" t="inlineStr">
        <is>
          <t>Faza 1 — Rozliczenia i dowód odtworzenia</t>
        </is>
      </c>
      <c r="I47" s="10" t="inlineStr">
        <is>
          <t>2026-09-28</t>
        </is>
      </c>
      <c r="J47" s="10" t="inlineStr">
        <is>
          <t>2026-10-02</t>
        </is>
      </c>
      <c r="K47" s="10" t="inlineStr">
        <is>
          <t>—</t>
        </is>
      </c>
      <c r="L47" s="11" t="inlineStr">
        <is>
          <t>—</t>
        </is>
      </c>
      <c r="M47" s="11" t="inlineStr">
        <is>
          <t>—</t>
        </is>
      </c>
      <c r="N47" s="11" t="inlineStr">
        <is>
          <t>Decyzja zapisana w repo z datą, przed zamówieniem serwera. Jeśli wybrany dostawca spoza Polski — polityka prywatności i DPA opisują lokalizację przetwarzania przed startem sprzedaży.</t>
        </is>
      </c>
      <c r="O47"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7" s="10" t="inlineStr">
        <is>
          <t>do zrobienia</t>
        </is>
      </c>
    </row>
    <row r="48">
      <c r="A48" s="10" t="inlineStr">
        <is>
          <t>Z-18</t>
        </is>
      </c>
      <c r="B48" s="11" t="inlineStr">
        <is>
          <t>Prawdziwa przyczyna błędu provisioningu nie ginie po drodze (część)</t>
        </is>
      </c>
      <c r="C48" s="10" t="inlineStr">
        <is>
          <t>audyt</t>
        </is>
      </c>
      <c r="D48" s="10" t="inlineStr">
        <is>
          <t>Z — Pass adwersaryjny</t>
        </is>
      </c>
      <c r="E48" s="10" t="inlineStr">
        <is>
          <t>BLOKER STARTU</t>
        </is>
      </c>
      <c r="F48" s="10" t="n">
        <v>2</v>
      </c>
      <c r="G48" s="10" t="n">
        <v>6</v>
      </c>
      <c r="H48" s="10" t="inlineStr">
        <is>
          <t>Faza 1 — Rozliczenia i dowód odtworzenia</t>
        </is>
      </c>
      <c r="I48" s="10" t="inlineStr">
        <is>
          <t>2026-10-05</t>
        </is>
      </c>
      <c r="J48" s="10" t="inlineStr">
        <is>
          <t>2026-10-09</t>
        </is>
      </c>
      <c r="K48" s="10" t="inlineStr">
        <is>
          <t>CZĘŚCIOWE</t>
        </is>
      </c>
      <c r="L48"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8" s="11" t="inlineStr">
        <is>
          <t>—</t>
        </is>
      </c>
      <c r="N48" s="11" t="inlineStr">
        <is>
          <t>Ograniczenie opisane w uwagach macierzy zniknęło; test potwierdza zachowanie także w scenariuszu awaryjnym.</t>
        </is>
      </c>
      <c r="O48"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8" s="10" t="inlineStr">
        <is>
          <t>do zrobienia</t>
        </is>
      </c>
    </row>
    <row r="49">
      <c r="A49" s="10" t="inlineStr">
        <is>
          <t>NODE-02</t>
        </is>
      </c>
      <c r="B49" s="11" t="inlineStr">
        <is>
          <t>`main()` nie sprawdza kodów powrotu</t>
        </is>
      </c>
      <c r="C49" s="10" t="inlineStr">
        <is>
          <t>audyt</t>
        </is>
      </c>
      <c r="D49" s="10" t="inlineStr">
        <is>
          <t>Q — Przewaga</t>
        </is>
      </c>
      <c r="E49" s="10" t="inlineStr">
        <is>
          <t>WYSOKA</t>
        </is>
      </c>
      <c r="F49" s="10" t="n">
        <v>6</v>
      </c>
      <c r="G49" s="10" t="n">
        <v>6</v>
      </c>
      <c r="H49" s="10" t="inlineStr">
        <is>
          <t>Faza 1 — Rozliczenia i dowód odtworzenia</t>
        </is>
      </c>
      <c r="I49" s="10" t="inlineStr">
        <is>
          <t>2026-10-05</t>
        </is>
      </c>
      <c r="J49" s="10" t="inlineStr">
        <is>
          <t>2026-10-09</t>
        </is>
      </c>
      <c r="K49" s="10" t="inlineStr">
        <is>
          <t>BRAK</t>
        </is>
      </c>
      <c r="L49" s="11" t="inlineStr">
        <is>
          <t>odczyt obu skryptów — `log_fail` ustawia `FAIL=1`, brak sprawdzenia returnów w `main`</t>
        </is>
      </c>
      <c r="M49" s="11" t="inlineStr">
        <is>
          <t>—</t>
        </is>
      </c>
      <c r="N49" s="11" t="inlineStr">
        <is>
          <t>Funkcja dostępna z panelu klienta bez wychodzenia do DirectAdmina; test uruchamiany w CI.</t>
        </is>
      </c>
      <c r="O4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9" s="10" t="inlineStr">
        <is>
          <t>do zrobienia</t>
        </is>
      </c>
    </row>
    <row r="50">
      <c r="A50" s="10" t="inlineStr">
        <is>
          <t>J-01</t>
        </is>
      </c>
      <c r="B50" s="11" t="inlineStr">
        <is>
          <t>LiteSpeed / serwer o wysokiej wydajności</t>
        </is>
      </c>
      <c r="C50" s="10" t="inlineStr">
        <is>
          <t>audyt</t>
        </is>
      </c>
      <c r="D50" s="10" t="inlineStr">
        <is>
          <t>J — Wydajność i cache</t>
        </is>
      </c>
      <c r="E50" s="10" t="inlineStr">
        <is>
          <t>WYSOKA</t>
        </is>
      </c>
      <c r="F50" s="10" t="n">
        <v>6</v>
      </c>
      <c r="G50" s="10" t="n">
        <v>6</v>
      </c>
      <c r="H50" s="10" t="inlineStr">
        <is>
          <t>Faza 1 — Rozliczenia i dowód odtworzenia</t>
        </is>
      </c>
      <c r="I50" s="10" t="inlineStr">
        <is>
          <t>2026-10-05</t>
        </is>
      </c>
      <c r="J50" s="10" t="inlineStr">
        <is>
          <t>2026-10-09</t>
        </is>
      </c>
      <c r="K50" s="10" t="inlineStr">
        <is>
          <t>b.d.</t>
        </is>
      </c>
      <c r="L50" s="11" t="inlineStr">
        <is>
          <t>decyzja infrastrukturalna, poza kodem panelu</t>
        </is>
      </c>
      <c r="M50" s="11" t="inlineStr">
        <is>
          <t>—</t>
        </is>
      </c>
      <c r="N50" s="11" t="inlineStr">
        <is>
          <t>Stan zweryfikowany na produkcji z timestampem (poziom D3), wynik zapisany w repo.</t>
        </is>
      </c>
      <c r="O5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50" s="10" t="inlineStr">
        <is>
          <t>do zrobienia</t>
        </is>
      </c>
    </row>
    <row r="51">
      <c r="A51" s="10" t="inlineStr">
        <is>
          <t>PB-02</t>
        </is>
      </c>
      <c r="B51" s="11" t="inlineStr">
        <is>
          <t>Onboarding produkcyjnego węzła #1 (EX63)</t>
        </is>
      </c>
      <c r="C51" s="10" t="inlineStr">
        <is>
          <t>poza audytem</t>
        </is>
      </c>
      <c r="D51" s="10" t="inlineStr">
        <is>
          <t>Praca spoza audytu</t>
        </is>
      </c>
      <c r="E51" s="10" t="inlineStr">
        <is>
          <t>WYSOKI</t>
        </is>
      </c>
      <c r="F51" s="10" t="n">
        <v>16</v>
      </c>
      <c r="G51" s="10" t="n">
        <v>6</v>
      </c>
      <c r="H51" s="10" t="inlineStr">
        <is>
          <t>Faza 1 — Rozliczenia i dowód odtworzenia</t>
        </is>
      </c>
      <c r="I51" s="10" t="inlineStr">
        <is>
          <t>2026-10-05</t>
        </is>
      </c>
      <c r="J51" s="10" t="inlineStr">
        <is>
          <t>2026-10-09</t>
        </is>
      </c>
      <c r="K51" s="10" t="inlineStr">
        <is>
          <t>—</t>
        </is>
      </c>
      <c r="L51" s="11" t="inlineStr">
        <is>
          <t>—</t>
        </is>
      </c>
      <c r="M51" s="11" t="inlineStr">
        <is>
          <t>—</t>
        </is>
      </c>
      <c r="N51" s="11" t="inlineStr">
        <is>
          <t>Węzeł przechodzi wszystkie 14 checków live-readiness. /etc/verris-backup.conf istnieje, pierwszy backup off-site wykonany i zaraportowany do control-plane.</t>
        </is>
      </c>
      <c r="O51" s="11" t="inlineStr">
        <is>
          <t>Pełny przebieg node-onboard-live.sh na docelowym serwerze, z konfiguracją backupu off-site jako krokiem obowiązkowym.</t>
        </is>
      </c>
      <c r="P51" s="10" t="inlineStr">
        <is>
          <t>do zrobienia</t>
        </is>
      </c>
    </row>
    <row r="52">
      <c r="A52" s="10" t="inlineStr">
        <is>
          <t>SEC-05</t>
        </is>
      </c>
      <c r="B52" s="11" t="inlineStr">
        <is>
          <t>Log egressu jest próbką, nie zapisem</t>
        </is>
      </c>
      <c r="C52" s="10" t="inlineStr">
        <is>
          <t>audyt</t>
        </is>
      </c>
      <c r="D52" s="10" t="inlineStr">
        <is>
          <t>G — SSL i bezpieczeństwo</t>
        </is>
      </c>
      <c r="E52" s="10" t="inlineStr">
        <is>
          <t>WYSOKA</t>
        </is>
      </c>
      <c r="F52" s="10" t="n">
        <v>6</v>
      </c>
      <c r="G52" s="10" t="n">
        <v>7</v>
      </c>
      <c r="H52" s="10" t="inlineStr">
        <is>
          <t>Faza 1 — Rozliczenia i dowód odtworzenia</t>
        </is>
      </c>
      <c r="I52" s="10" t="inlineStr">
        <is>
          <t>2026-10-12</t>
        </is>
      </c>
      <c r="J52" s="10" t="inlineStr">
        <is>
          <t>2026-10-16</t>
        </is>
      </c>
      <c r="K52" s="10" t="inlineStr">
        <is>
          <t>BRAK</t>
        </is>
      </c>
      <c r="L52" s="11" t="inlineStr">
        <is>
          <t>1 814 000 pakietów (RETURN) wobec 1796 wpisów w journalctl</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2" s="10" t="inlineStr">
        <is>
          <t>do zrobienia</t>
        </is>
      </c>
    </row>
    <row r="53">
      <c r="A53" s="10" t="inlineStr">
        <is>
          <t>SEC-04</t>
        </is>
      </c>
      <c r="B53" s="11" t="inlineStr">
        <is>
          <t>Host rozmawia z kontenerami przez OUTPUT — ruch wewnętrzny liczony jako egress</t>
        </is>
      </c>
      <c r="C53" s="10" t="inlineStr">
        <is>
          <t>audyt</t>
        </is>
      </c>
      <c r="D53" s="10" t="inlineStr">
        <is>
          <t>G — SSL i bezpieczeństwo</t>
        </is>
      </c>
      <c r="E53" s="10" t="inlineStr">
        <is>
          <t>WYSOKA</t>
        </is>
      </c>
      <c r="F53" s="10" t="n">
        <v>6</v>
      </c>
      <c r="G53" s="10" t="n">
        <v>7</v>
      </c>
      <c r="H53" s="10" t="inlineStr">
        <is>
          <t>Faza 1 — Rozliczenia i dowód odtworzenia</t>
        </is>
      </c>
      <c r="I53" s="10" t="inlineStr">
        <is>
          <t>2026-10-12</t>
        </is>
      </c>
      <c r="J53" s="10" t="inlineStr">
        <is>
          <t>2026-10-16</t>
        </is>
      </c>
      <c r="K53" s="10" t="inlineStr">
        <is>
          <t>BRAK</t>
        </is>
      </c>
      <c r="L53" s="11" t="inlineStr">
        <is>
          <t>journalctl -k, 48 h: 15 wpisów DPT=443 + 5 wpisów DPT=80 na 172.19.0.3</t>
        </is>
      </c>
      <c r="M53" s="11" t="inlineStr">
        <is>
          <t>—</t>
        </is>
      </c>
      <c r="N53" s="11" t="inlineStr">
        <is>
          <t>Funkcja dostępna z panelu klienta bez wychodzenia do DirectAdmina; test uruchamiany w CI.</t>
        </is>
      </c>
      <c r="O5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3" s="10" t="inlineStr">
        <is>
          <t>do zrobienia</t>
        </is>
      </c>
    </row>
    <row r="54">
      <c r="A54" s="10" t="inlineStr">
        <is>
          <t>SEC-01</t>
        </is>
      </c>
      <c r="B54" s="11" t="inlineStr">
        <is>
          <t>Tryb `--strict` jest atrapą</t>
        </is>
      </c>
      <c r="C54" s="10" t="inlineStr">
        <is>
          <t>audyt</t>
        </is>
      </c>
      <c r="D54" s="10" t="inlineStr">
        <is>
          <t>G — SSL i bezpieczeństwo</t>
        </is>
      </c>
      <c r="E54" s="10" t="inlineStr">
        <is>
          <t>WYSOKA</t>
        </is>
      </c>
      <c r="F54" s="10" t="n">
        <v>16</v>
      </c>
      <c r="G54" s="10" t="n">
        <v>7</v>
      </c>
      <c r="H54" s="10" t="inlineStr">
        <is>
          <t>Faza 1 — Rozliczenia i dowód odtworzenia</t>
        </is>
      </c>
      <c r="I54" s="10" t="inlineStr">
        <is>
          <t>2026-10-12</t>
        </is>
      </c>
      <c r="J54" s="10" t="inlineStr">
        <is>
          <t>2026-10-16</t>
        </is>
      </c>
      <c r="K54" s="10" t="inlineStr">
        <is>
          <t>BRAK</t>
        </is>
      </c>
      <c r="L54" s="11" t="inlineStr">
        <is>
          <t>Panel: łańcuch = 2× RETURN, bez DROP; 1 814 000 pakietów przeszło ostatnim RETURN-em; `cgroup --path: NIEDOSTEPNE`</t>
        </is>
      </c>
      <c r="M54" s="11" t="inlineStr">
        <is>
          <t>—</t>
        </is>
      </c>
      <c r="N54" s="11" t="inlineStr">
        <is>
          <t>Funkcja dostępna z panelu klienta bez wychodzenia do DirectAdmina; test uruchamiany w CI.</t>
        </is>
      </c>
      <c r="O5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4" s="10" t="inlineStr">
        <is>
          <t>do zrobienia</t>
        </is>
      </c>
    </row>
    <row r="55">
      <c r="A55" s="10" t="inlineStr">
        <is>
          <t>X-41</t>
        </is>
      </c>
      <c r="B55" s="11" t="inlineStr">
        <is>
          <t>Hardening egressu wisi w łańcuchu OUTPUT, a ruch kontenerów idzie przez FORWARD</t>
        </is>
      </c>
      <c r="C55" s="10" t="inlineStr">
        <is>
          <t>audyt</t>
        </is>
      </c>
      <c r="D55" s="10" t="inlineStr">
        <is>
          <t>X — Infrastruktura jakości</t>
        </is>
      </c>
      <c r="E55" s="10" t="inlineStr">
        <is>
          <t>WYSOKA</t>
        </is>
      </c>
      <c r="F55" s="10" t="n">
        <v>16</v>
      </c>
      <c r="G55" s="10" t="n">
        <v>8</v>
      </c>
      <c r="H55" s="10" t="inlineStr">
        <is>
          <t>Faza 1 — Rozliczenia i dowód odtworzenia</t>
        </is>
      </c>
      <c r="I55" s="10" t="inlineStr">
        <is>
          <t>2026-10-19</t>
        </is>
      </c>
      <c r="J55" s="10" t="inlineStr">
        <is>
          <t>2026-10-23</t>
        </is>
      </c>
      <c r="K55" s="10" t="inlineStr">
        <is>
          <t>CZĘŚCIOWE</t>
        </is>
      </c>
      <c r="L55" s="11" t="inlineStr">
        <is>
          <t>obserwacja wpięta w DOCKER-USER, 1674 pakiety zliczone, 0 DROP/REJECT</t>
        </is>
      </c>
      <c r="M55" s="11" t="inlineStr">
        <is>
          <t>—</t>
        </is>
      </c>
      <c r="N55" s="11" t="inlineStr">
        <is>
          <t>Ograniczenie opisane w uwagach macierzy zniknęło; test potwierdza zachowanie także w scenariuszu awaryjnym.</t>
        </is>
      </c>
      <c r="O5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5" s="10" t="inlineStr">
        <is>
          <t>do zrobienia</t>
        </is>
      </c>
    </row>
    <row r="56">
      <c r="A56" s="10" t="inlineStr">
        <is>
          <t>SEC-03</t>
        </is>
      </c>
      <c r="B56" s="11" t="inlineStr">
        <is>
          <t>Ruch poza TCP/80 i TCP/443 — DNS (UDP/53), SMTP — nie jest objęty ani obserwacją z X-41, ani trybem strict</t>
        </is>
      </c>
      <c r="C56" s="10" t="inlineStr">
        <is>
          <t>audyt</t>
        </is>
      </c>
      <c r="D56" s="10" t="inlineStr">
        <is>
          <t>G — SSL i bezpieczeństwo</t>
        </is>
      </c>
      <c r="E56" s="10" t="inlineStr">
        <is>
          <t>WYSOKA</t>
        </is>
      </c>
      <c r="F56" s="10" t="n">
        <v>16</v>
      </c>
      <c r="G56" s="10" t="n">
        <v>8</v>
      </c>
      <c r="H56" s="10" t="inlineStr">
        <is>
          <t>Faza 1 — Rozliczenia i dowód odtworzenia</t>
        </is>
      </c>
      <c r="I56" s="10" t="inlineStr">
        <is>
          <t>2026-10-19</t>
        </is>
      </c>
      <c r="J56" s="10" t="inlineStr">
        <is>
          <t>2026-10-23</t>
        </is>
      </c>
      <c r="K56" s="10" t="inlineStr">
        <is>
          <t>BRAK</t>
        </is>
      </c>
      <c r="L56" s="11" t="inlineStr">
        <is>
          <t>zakres reguł w `security-control-plane-egress.sh`</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6" s="10" t="inlineStr">
        <is>
          <t>do zrobienia</t>
        </is>
      </c>
    </row>
    <row r="57">
      <c r="A57" s="10" t="inlineStr">
        <is>
          <t>SEC-06</t>
        </is>
      </c>
      <c r="B57" s="11" t="inlineStr">
        <is>
          <t>Allowlista pokrywa to, o czym ktoś pomyślał, nie to, co host robi</t>
        </is>
      </c>
      <c r="C57" s="10" t="inlineStr">
        <is>
          <t>audyt</t>
        </is>
      </c>
      <c r="D57" s="10" t="inlineStr">
        <is>
          <t>G — SSL i bezpieczeństwo</t>
        </is>
      </c>
      <c r="E57" s="10" t="inlineStr">
        <is>
          <t>WYSOKA</t>
        </is>
      </c>
      <c r="F57" s="10" t="n">
        <v>16</v>
      </c>
      <c r="G57" s="10" t="n">
        <v>9</v>
      </c>
      <c r="H57" s="10" t="inlineStr">
        <is>
          <t>Faza 2 — Odzyskanie funkcji-widm i luki pierwszego tygodnia</t>
        </is>
      </c>
      <c r="I57" s="10" t="inlineStr">
        <is>
          <t>2026-10-26</t>
        </is>
      </c>
      <c r="J57" s="10" t="inlineStr">
        <is>
          <t>2026-10-30</t>
        </is>
      </c>
      <c r="K57" s="10" t="inlineStr">
        <is>
          <t>BRAK</t>
        </is>
      </c>
      <c r="L57" s="11" t="inlineStr">
        <is>
          <t>ipset test verris_egress_https na 4 celach z logu egressu</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7" s="10" t="inlineStr">
        <is>
          <t>do zrobienia</t>
        </is>
      </c>
    </row>
    <row r="58">
      <c r="A58" s="10" t="inlineStr">
        <is>
          <t>SEC-02</t>
        </is>
      </c>
      <c r="B58" s="11" t="inlineStr">
        <is>
          <t>Stripe jest w allowliście wyłącznie po nazwie, a ipset powstaje z rozwiązania nazw</t>
        </is>
      </c>
      <c r="C58" s="10" t="inlineStr">
        <is>
          <t>audyt</t>
        </is>
      </c>
      <c r="D58" s="10" t="inlineStr">
        <is>
          <t>G — SSL i bezpieczeństwo</t>
        </is>
      </c>
      <c r="E58" s="10" t="inlineStr">
        <is>
          <t>ŚREDNIA</t>
        </is>
      </c>
      <c r="F58" s="10" t="n">
        <v>6</v>
      </c>
      <c r="G58" s="10" t="n">
        <v>9</v>
      </c>
      <c r="H58" s="10" t="inlineStr">
        <is>
          <t>Faza 2 — Odzyskanie funkcji-widm i luki pierwszego tygodnia</t>
        </is>
      </c>
      <c r="I58" s="10" t="inlineStr">
        <is>
          <t>2026-10-26</t>
        </is>
      </c>
      <c r="J58" s="10" t="inlineStr">
        <is>
          <t>2026-10-30</t>
        </is>
      </c>
      <c r="K58" s="10" t="inlineStr">
        <is>
          <t>BRAK</t>
        </is>
      </c>
      <c r="L58" s="11" t="inlineStr">
        <is>
          <t>`egress-allow-hostnames.txt`; ipset `verris_egress_https` = 65 wpisów</t>
        </is>
      </c>
      <c r="M58" s="11" t="inlineStr">
        <is>
          <t>—</t>
        </is>
      </c>
      <c r="N58" s="11" t="inlineStr">
        <is>
          <t>Funkcja dostępna z panelu klienta bez wychodzenia do DirectAdmina; test uruchamiany w CI.</t>
        </is>
      </c>
      <c r="O5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8" s="10" t="inlineStr">
        <is>
          <t>do zrobienia</t>
        </is>
      </c>
    </row>
    <row r="59">
      <c r="A59" s="10" t="inlineStr">
        <is>
          <t>NODE-03</t>
        </is>
      </c>
      <c r="B59" s="11" t="inlineStr">
        <is>
          <t>Pojemność węzła nigdy się nie odświeża</t>
        </is>
      </c>
      <c r="C59" s="10" t="inlineStr">
        <is>
          <t>audyt</t>
        </is>
      </c>
      <c r="D59" s="10" t="inlineStr">
        <is>
          <t>Q — Przewaga</t>
        </is>
      </c>
      <c r="E59" s="10" t="inlineStr">
        <is>
          <t>ŚREDNIA</t>
        </is>
      </c>
      <c r="F59" s="10" t="n">
        <v>6</v>
      </c>
      <c r="G59" s="10" t="n">
        <v>9</v>
      </c>
      <c r="H59" s="10" t="inlineStr">
        <is>
          <t>Faza 2 — Odzyskanie funkcji-widm i luki pierwszego tygodnia</t>
        </is>
      </c>
      <c r="I59" s="10" t="inlineStr">
        <is>
          <t>2026-10-26</t>
        </is>
      </c>
      <c r="J59" s="10" t="inlineStr">
        <is>
          <t>2026-10-30</t>
        </is>
      </c>
      <c r="K59" s="10" t="inlineStr">
        <is>
          <t>BRAK</t>
        </is>
      </c>
      <c r="L59" s="11" t="inlineStr">
        <is>
          <t>`schema.prisma:454` wobec `telemetry.service.ts:48-72`</t>
        </is>
      </c>
      <c r="M59" s="11" t="inlineStr">
        <is>
          <t>—</t>
        </is>
      </c>
      <c r="N59" s="11" t="inlineStr">
        <is>
          <t>Funkcja dostępna z panelu klienta bez wychodzenia do DirectAdmina; test uruchamiany w CI.</t>
        </is>
      </c>
      <c r="O5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9" s="10" t="inlineStr">
        <is>
          <t>do zrobienia</t>
        </is>
      </c>
    </row>
    <row r="60">
      <c r="A60" s="10" t="inlineStr">
        <is>
          <t>X-31</t>
        </is>
      </c>
      <c r="B60" s="11" t="inlineStr">
        <is>
          <t>Kanał alertów daje znak życia (dead man's switch)</t>
        </is>
      </c>
      <c r="C60" s="10" t="inlineStr">
        <is>
          <t>audyt</t>
        </is>
      </c>
      <c r="D60" s="10" t="inlineStr">
        <is>
          <t>X — Infrastruktura jakości</t>
        </is>
      </c>
      <c r="E60" s="10" t="inlineStr">
        <is>
          <t>—</t>
        </is>
      </c>
      <c r="F60" s="10" t="n">
        <v>6</v>
      </c>
      <c r="G60" s="10" t="n">
        <v>10</v>
      </c>
      <c r="H60" s="10" t="inlineStr">
        <is>
          <t>Faza 2 — Odzyskanie funkcji-widm i luki pierwszego tygodnia</t>
        </is>
      </c>
      <c r="I60" s="10" t="inlineStr">
        <is>
          <t>2026-11-02</t>
        </is>
      </c>
      <c r="J60" s="10" t="inlineStr">
        <is>
          <t>2026-11-06</t>
        </is>
      </c>
      <c r="K60" s="10" t="inlineStr">
        <is>
          <t>CZĘŚCIOWE</t>
        </is>
      </c>
      <c r="L6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0" s="11" t="inlineStr">
        <is>
          <t>—</t>
        </is>
      </c>
      <c r="N60" s="11" t="inlineStr">
        <is>
          <t>Ograniczenie opisane w uwagach macierzy zniknęło; test potwierdza zachowanie także w scenariuszu awaryjnym.</t>
        </is>
      </c>
      <c r="O6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60" s="10" t="inlineStr">
        <is>
          <t>do zrobienia</t>
        </is>
      </c>
    </row>
    <row r="61">
      <c r="A61" s="10" t="inlineStr">
        <is>
          <t>X-32</t>
        </is>
      </c>
      <c r="B61" s="11" t="inlineStr">
        <is>
          <t>Martwy job da się odrzucić z panelu, ze śladem w audycie</t>
        </is>
      </c>
      <c r="C61" s="10" t="inlineStr">
        <is>
          <t>audyt</t>
        </is>
      </c>
      <c r="D61" s="10" t="inlineStr">
        <is>
          <t>X — Infrastruktura jakości</t>
        </is>
      </c>
      <c r="E61" s="10" t="inlineStr">
        <is>
          <t>—</t>
        </is>
      </c>
      <c r="F61" s="10" t="n">
        <v>6</v>
      </c>
      <c r="G61" s="10" t="n">
        <v>10</v>
      </c>
      <c r="H61" s="10" t="inlineStr">
        <is>
          <t>Faza 2 — Odzyskanie funkcji-widm i luki pierwszego tygodnia</t>
        </is>
      </c>
      <c r="I61" s="10" t="inlineStr">
        <is>
          <t>2026-11-02</t>
        </is>
      </c>
      <c r="J61" s="10" t="inlineStr">
        <is>
          <t>2026-11-06</t>
        </is>
      </c>
      <c r="K61" s="10" t="inlineStr">
        <is>
          <t>CZĘŚCIOWE</t>
        </is>
      </c>
      <c r="L6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1" s="11" t="inlineStr">
        <is>
          <t>—</t>
        </is>
      </c>
      <c r="N61" s="11" t="inlineStr">
        <is>
          <t>Ograniczenie opisane w uwagach macierzy zniknęło; test potwierdza zachowanie także w scenariuszu awaryjnym.</t>
        </is>
      </c>
      <c r="O6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61" s="10" t="inlineStr">
        <is>
          <t>do zrobienia</t>
        </is>
      </c>
    </row>
    <row r="62">
      <c r="A62" s="10" t="inlineStr">
        <is>
          <t>DEP-02</t>
        </is>
      </c>
      <c r="B62" s="11" t="inlineStr">
        <is>
          <t>W drzewie stoją dwa majory ESLinta naraz</t>
        </is>
      </c>
      <c r="C62" s="10" t="inlineStr">
        <is>
          <t>audyt</t>
        </is>
      </c>
      <c r="D62" s="10" t="inlineStr">
        <is>
          <t>X — Infrastruktura jakości</t>
        </is>
      </c>
      <c r="E62" s="10" t="inlineStr">
        <is>
          <t>ŚREDNIA</t>
        </is>
      </c>
      <c r="F62" s="10" t="n">
        <v>6</v>
      </c>
      <c r="G62" s="10" t="n">
        <v>10</v>
      </c>
      <c r="H62" s="10" t="inlineStr">
        <is>
          <t>Faza 2 — Odzyskanie funkcji-widm i luki pierwszego tygodnia</t>
        </is>
      </c>
      <c r="I62" s="10" t="inlineStr">
        <is>
          <t>2026-11-02</t>
        </is>
      </c>
      <c r="J62" s="10" t="inlineStr">
        <is>
          <t>2026-11-06</t>
        </is>
      </c>
      <c r="K62" s="10" t="inlineStr">
        <is>
          <t>BRAK</t>
        </is>
      </c>
      <c r="L62" s="11" t="inlineStr">
        <is>
          <t>package.json (korzeń) — @eslint/js ^10.0.1 przy braku jakiegokolwiek eslint.config.* w korzeniu; libs/eslint-config/node_modules: eslint 10.9.0 obok @eslint/js 9.39.5; apps/api, apps/www, apps/client-panel, apps/status-page, libs/directadmin-sdk — eslint 9.39.5</t>
        </is>
      </c>
      <c r="M62" s="11" t="inlineStr">
        <is>
          <t>—</t>
        </is>
      </c>
      <c r="N62" s="11" t="inlineStr">
        <is>
          <t>Funkcja dostępna z panelu klienta bez wychodzenia do DirectAdmina; test uruchamiany w CI.</t>
        </is>
      </c>
      <c r="O6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2" s="10" t="inlineStr">
        <is>
          <t>do zrobienia</t>
        </is>
      </c>
    </row>
    <row r="63">
      <c r="A63" s="10" t="inlineStr">
        <is>
          <t>X-51</t>
        </is>
      </c>
      <c r="B63" s="11" t="inlineStr">
        <is>
          <t>Etykiety z dependabot.yml istnieja w repozytorium</t>
        </is>
      </c>
      <c r="C63" s="10" t="inlineStr">
        <is>
          <t>audyt</t>
        </is>
      </c>
      <c r="D63" s="10" t="inlineStr">
        <is>
          <t>X — Infrastruktura jakości</t>
        </is>
      </c>
      <c r="E63" s="10" t="inlineStr">
        <is>
          <t>NISKA</t>
        </is>
      </c>
      <c r="F63" s="10" t="n">
        <v>6</v>
      </c>
      <c r="G63" s="10" t="n">
        <v>10</v>
      </c>
      <c r="H63" s="10" t="inlineStr">
        <is>
          <t>Faza 2 — Odzyskanie funkcji-widm i luki pierwszego tygodnia</t>
        </is>
      </c>
      <c r="I63" s="10" t="inlineStr">
        <is>
          <t>2026-11-02</t>
        </is>
      </c>
      <c r="J63" s="10" t="inlineStr">
        <is>
          <t>2026-11-06</t>
        </is>
      </c>
      <c r="K63" s="10" t="inlineStr">
        <is>
          <t>DZIAŁA</t>
        </is>
      </c>
      <c r="L63" s="11" t="inlineStr">
        <is>
          <t>D2 2026-09-19: utworzone etykiety dependencies, security, docker, ci — 9 -&gt; 13 etykiet w repozytorium; pokrywaja wszystkie trzy sekcje labels: w .github/dependabot.yml.</t>
        </is>
      </c>
      <c r="M63" s="11" t="inlineStr">
        <is>
          <t>—</t>
        </is>
      </c>
      <c r="N63" s="11" t="inlineStr">
        <is>
          <t>Funkcja dostępna z panelu klienta bez wychodzenia do DirectAdmina; test uruchamiany w CI.</t>
        </is>
      </c>
      <c r="O63"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63" s="10" t="inlineStr">
        <is>
          <t>do zrobienia</t>
        </is>
      </c>
    </row>
    <row r="64">
      <c r="A64" s="10" t="inlineStr">
        <is>
          <t>PB-04</t>
        </is>
      </c>
      <c r="B64" s="11" t="inlineStr">
        <is>
          <t>Procedura obsługi nadużyć (abuse) — dokument</t>
        </is>
      </c>
      <c r="C64" s="10" t="inlineStr">
        <is>
          <t>poza audytem</t>
        </is>
      </c>
      <c r="D64" s="10" t="inlineStr">
        <is>
          <t>Praca spoza audytu</t>
        </is>
      </c>
      <c r="E64" s="10" t="inlineStr">
        <is>
          <t>WYSOKI</t>
        </is>
      </c>
      <c r="F64" s="10" t="n">
        <v>8</v>
      </c>
      <c r="G64" s="10" t="n">
        <v>10</v>
      </c>
      <c r="H64" s="10" t="inlineStr">
        <is>
          <t>Faza 2 — Odzyskanie funkcji-widm i luki pierwszego tygodnia</t>
        </is>
      </c>
      <c r="I64" s="10" t="inlineStr">
        <is>
          <t>2026-11-02</t>
        </is>
      </c>
      <c r="J64" s="10" t="inlineStr">
        <is>
          <t>2026-11-06</t>
        </is>
      </c>
      <c r="K64" s="10" t="inlineStr">
        <is>
          <t>—</t>
        </is>
      </c>
      <c r="L64" s="11" t="inlineStr">
        <is>
          <t>—</t>
        </is>
      </c>
      <c r="M64" s="11" t="inlineStr">
        <is>
          <t>—</t>
        </is>
      </c>
      <c r="N64" s="11" t="inlineStr">
        <is>
          <t>Dokument w ops/docs z właścicielem i czasami reakcji. Test: zgłoszenie wysłane na abuse@ trafia do kogoś i ma odpowiedź w deklarowanym czasie.</t>
        </is>
      </c>
      <c r="O64" s="11" t="inlineStr">
        <is>
          <t>Adres abuse@ obsługiwany, ścieżka od zgłoszenia do reakcji, czasy reakcji, kto decyduje o zawieszeniu, wzory odpowiedzi do CERT i rejestratorów.</t>
        </is>
      </c>
      <c r="P64" s="10" t="inlineStr">
        <is>
          <t>do zrobienia</t>
        </is>
      </c>
    </row>
    <row r="65">
      <c r="A65" s="10" t="inlineStr">
        <is>
          <t>M-08</t>
        </is>
      </c>
      <c r="B65" s="11" t="inlineStr">
        <is>
          <t>Anulowanie faktury (VOID) z panelu</t>
        </is>
      </c>
      <c r="C65" s="10" t="inlineStr">
        <is>
          <t>audyt</t>
        </is>
      </c>
      <c r="D65" s="10" t="inlineStr">
        <is>
          <t>M — Rozliczenia</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BRAK</t>
        </is>
      </c>
      <c r="L65" s="11" t="inlineStr">
        <is>
          <t>InvoiceStatus.VOID w schema.prisma:1354 nigdy nie ustawiany</t>
        </is>
      </c>
      <c r="M65" s="11" t="inlineStr">
        <is>
          <t>—</t>
        </is>
      </c>
      <c r="N65" s="11" t="inlineStr">
        <is>
          <t>Funkcja dostępna z panelu klienta bez wychodzenia do DirectAdmina; test uruchamiany w CI.</t>
        </is>
      </c>
      <c r="O65" s="11" t="inlineStr"/>
      <c r="P65" s="10" t="inlineStr">
        <is>
          <t>do zrobienia</t>
        </is>
      </c>
    </row>
    <row r="66">
      <c r="A66" s="10" t="inlineStr">
        <is>
          <t>C-18</t>
        </is>
      </c>
      <c r="B66" s="11" t="inlineStr">
        <is>
          <t>Konto FTP — zmiana hasła</t>
        </is>
      </c>
      <c r="C66" s="10" t="inlineStr">
        <is>
          <t>audyt</t>
        </is>
      </c>
      <c r="D66" s="10" t="inlineStr">
        <is>
          <t>C — Pliki, FTP, SSH, Git</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BRAK</t>
        </is>
      </c>
      <c r="L66" s="11" t="inlineStr">
        <is>
          <t>—</t>
        </is>
      </c>
      <c r="M66" s="11" t="inlineStr">
        <is>
          <t>—</t>
        </is>
      </c>
      <c r="N66" s="11" t="inlineStr">
        <is>
          <t>Funkcja dostępna z panelu klienta bez wychodzenia do DirectAdmina; test uruchamiany w CI.</t>
        </is>
      </c>
      <c r="O66" s="11" t="inlineStr">
        <is>
          <t>brak jakiejkolwiek ścieżki edycji istniejącego konta</t>
        </is>
      </c>
      <c r="P66" s="10" t="inlineStr">
        <is>
          <t>do zrobienia</t>
        </is>
      </c>
    </row>
    <row r="67">
      <c r="A67" s="10" t="inlineStr">
        <is>
          <t>B-01</t>
        </is>
      </c>
      <c r="B67" s="11" t="inlineStr">
        <is>
          <t>Zmiana wersji PHP dla całego konta</t>
        </is>
      </c>
      <c r="C67" s="10" t="inlineStr">
        <is>
          <t>audyt</t>
        </is>
      </c>
      <c r="D67" s="10" t="inlineStr">
        <is>
          <t>B — Runtime WWW</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CZĘŚCIOWE</t>
        </is>
      </c>
      <c r="L67" s="11" t="inlineStr">
        <is>
          <t>services.controller.ts:125</t>
        </is>
      </c>
      <c r="M67" s="11" t="inlineStr">
        <is>
          <t>—</t>
        </is>
      </c>
      <c r="N67" s="11" t="inlineStr">
        <is>
          <t>Ograniczenie opisane w uwagach macierzy zniknęło; test potwierdza zachowanie także w scenariuszu awaryjnym.</t>
        </is>
      </c>
      <c r="O6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7" s="10" t="inlineStr">
        <is>
          <t>do zrobienia</t>
        </is>
      </c>
    </row>
    <row r="68">
      <c r="A68" s="10" t="inlineStr">
        <is>
          <t>J-04</t>
        </is>
      </c>
      <c r="B68" s="11" t="inlineStr">
        <is>
          <t>HTTP/3</t>
        </is>
      </c>
      <c r="C68" s="10" t="inlineStr">
        <is>
          <t>audyt</t>
        </is>
      </c>
      <c r="D68" s="10" t="inlineStr">
        <is>
          <t>J — Wydajność i cache</t>
        </is>
      </c>
      <c r="E68" s="10" t="inlineStr">
        <is>
          <t>ŚREDNIA</t>
        </is>
      </c>
      <c r="F68" s="10" t="n">
        <v>6</v>
      </c>
      <c r="G68" s="10" t="n">
        <v>11</v>
      </c>
      <c r="H68" s="10" t="inlineStr">
        <is>
          <t>Faza 2 — Odzyskanie funkcji-widm i luki pierwszego tygodnia</t>
        </is>
      </c>
      <c r="I68" s="10" t="inlineStr">
        <is>
          <t>2026-11-09</t>
        </is>
      </c>
      <c r="J68" s="10" t="inlineStr">
        <is>
          <t>2026-11-13</t>
        </is>
      </c>
      <c r="K68" s="10" t="inlineStr">
        <is>
          <t>b.d.</t>
        </is>
      </c>
      <c r="L68" s="11" t="inlineStr">
        <is>
          <t>poza kodem panelu</t>
        </is>
      </c>
      <c r="M68" s="11" t="inlineStr">
        <is>
          <t>—</t>
        </is>
      </c>
      <c r="N68" s="11" t="inlineStr">
        <is>
          <t>Stan zweryfikowany na produkcji z timestampem (poziom D3), wynik zapisany w repo.</t>
        </is>
      </c>
      <c r="O6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68" s="10" t="inlineStr">
        <is>
          <t>do zrobienia</t>
        </is>
      </c>
    </row>
    <row r="69">
      <c r="A69" s="10" t="inlineStr">
        <is>
          <t>F-01</t>
        </is>
      </c>
      <c r="B69" s="11" t="inlineStr">
        <is>
          <t>Edytor rekordów DNS (A/CNAME/MX/TXT)</t>
        </is>
      </c>
      <c r="C69" s="10" t="inlineStr">
        <is>
          <t>audyt</t>
        </is>
      </c>
      <c r="D69" s="10" t="inlineStr">
        <is>
          <t>F — DNS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ATRAPA</t>
        </is>
      </c>
      <c r="L69" s="11" t="inlineStr">
        <is>
          <t>dns-manager.tsx:79,91 — komponent osierocony; dns/page.tsx:15 przekierowuje gdzie indziej</t>
        </is>
      </c>
      <c r="M69" s="11" t="inlineStr">
        <is>
          <t>—</t>
        </is>
      </c>
      <c r="N69" s="11" t="inlineStr">
        <is>
          <t>Kontroler rejestruje trasę, którą woła panel; kliknięcie kończy się realnym efektem, nie 404. Test pokrywa ścieżkę UI→API→zasób.</t>
        </is>
      </c>
      <c r="O69" s="11" t="inlineStr">
        <is>
          <t>Skorygowane: obejściem jest link do DirectAdmina (services.controller.ts:350) z poświadczeniami z „dane dostępowe”. Uwaga — SSO nie działa, trasa hosting-sso-url nie istnieje w API, więc klient trafia do obcego panelu i loguje się ręcznie.</t>
        </is>
      </c>
      <c r="P69" s="10" t="inlineStr">
        <is>
          <t>do zrobienia</t>
        </is>
      </c>
    </row>
    <row r="70">
      <c r="A70" s="10" t="inlineStr">
        <is>
          <t>F-02</t>
        </is>
      </c>
      <c r="B70" s="11" t="inlineStr">
        <is>
          <t>Rekordy SRV / CAA</t>
        </is>
      </c>
      <c r="C70" s="10" t="inlineStr">
        <is>
          <t>audyt</t>
        </is>
      </c>
      <c r="D70" s="10" t="inlineStr">
        <is>
          <t>F — DNS</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ATRAPA</t>
        </is>
      </c>
      <c r="L70" s="11" t="inlineStr">
        <is>
          <t>j.w.</t>
        </is>
      </c>
      <c r="M70" s="11" t="inlineStr">
        <is>
          <t>F-01 (ten sam edytor)</t>
        </is>
      </c>
      <c r="N70" s="11" t="inlineStr">
        <is>
          <t>Kontroler rejestruje trasę, którą woła panel; kliknięcie kończy się realnym efektem, nie 404. Test pokrywa ścieżkę UI→API→zasób.</t>
        </is>
      </c>
      <c r="O70" s="11" t="inlineStr"/>
      <c r="P70" s="10" t="inlineStr">
        <is>
          <t>do zrobienia</t>
        </is>
      </c>
    </row>
    <row r="71">
      <c r="A71" s="10" t="inlineStr">
        <is>
          <t>E-15</t>
        </is>
      </c>
      <c r="B71" s="11" t="inlineStr">
        <is>
          <t>Rekordy SPF — kreator</t>
        </is>
      </c>
      <c r="C71" s="10" t="inlineStr">
        <is>
          <t>audyt</t>
        </is>
      </c>
      <c r="D71" s="10" t="inlineStr">
        <is>
          <t>E — Poczta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ENDPOINT BEZ UI</t>
        </is>
      </c>
      <c r="L71" s="11" t="inlineStr">
        <is>
          <t>services.controller.ts:114</t>
        </is>
      </c>
      <c r="M71" s="11" t="inlineStr">
        <is>
          <t>—</t>
        </is>
      </c>
      <c r="N71" s="11" t="inlineStr">
        <is>
          <t>Panel wywołuje istniejący endpoint; akcja zostawia wpis w logu audytu. Test potwierdza, że guard nadal blokuje nieuprawnionych.</t>
        </is>
      </c>
      <c r="O71" s="11" t="inlineStr">
        <is>
          <t>deliverability-panel.tsx:26 to komponent osierocony — nikt go nie importuje</t>
        </is>
      </c>
      <c r="P71" s="10" t="inlineStr">
        <is>
          <t>do zrobienia</t>
        </is>
      </c>
    </row>
    <row r="72">
      <c r="A72" s="10" t="inlineStr">
        <is>
          <t>E-16</t>
        </is>
      </c>
      <c r="B72" s="11" t="inlineStr">
        <is>
          <t>Rekordy DKIM — konfiguracja</t>
        </is>
      </c>
      <c r="C72" s="10" t="inlineStr">
        <is>
          <t>audyt</t>
        </is>
      </c>
      <c r="D72" s="10" t="inlineStr">
        <is>
          <t>E — Poczta</t>
        </is>
      </c>
      <c r="E72" s="10" t="inlineStr">
        <is>
          <t>WYSOKA</t>
        </is>
      </c>
      <c r="F72" s="10" t="n">
        <v>6</v>
      </c>
      <c r="G72" s="10" t="n">
        <v>12</v>
      </c>
      <c r="H72" s="10" t="inlineStr">
        <is>
          <t>Faza 2 — Odzyskanie funkcji-widm i luki pierwszego tygodnia</t>
        </is>
      </c>
      <c r="I72" s="10" t="inlineStr">
        <is>
          <t>2026-11-16</t>
        </is>
      </c>
      <c r="J72" s="10" t="inlineStr">
        <is>
          <t>2026-11-20</t>
        </is>
      </c>
      <c r="K72" s="10" t="inlineStr">
        <is>
          <t>ENDPOINT BEZ UI</t>
        </is>
      </c>
      <c r="L72" s="11" t="inlineStr">
        <is>
          <t>services.controller.ts:114</t>
        </is>
      </c>
      <c r="M72" s="11" t="inlineStr">
        <is>
          <t>E-15 (ten sam panel dostarczalności)</t>
        </is>
      </c>
      <c r="N72" s="11" t="inlineStr">
        <is>
          <t>Panel wywołuje istniejący endpoint; akcja zostawia wpis w logu audytu. Test potwierdza, że guard nadal blokuje nieuprawnionych.</t>
        </is>
      </c>
      <c r="O72" s="11" t="inlineStr">
        <is>
          <t>j.w.</t>
        </is>
      </c>
      <c r="P72" s="10" t="inlineStr">
        <is>
          <t>do zrobienia</t>
        </is>
      </c>
    </row>
    <row r="73">
      <c r="A73" s="10" t="inlineStr">
        <is>
          <t>E-17</t>
        </is>
      </c>
      <c r="B73" s="11" t="inlineStr">
        <is>
          <t>Rekord DMARC — konfiguracja</t>
        </is>
      </c>
      <c r="C73" s="10" t="inlineStr">
        <is>
          <t>audyt</t>
        </is>
      </c>
      <c r="D73" s="10" t="inlineStr">
        <is>
          <t>E — Poczta</t>
        </is>
      </c>
      <c r="E73" s="10" t="inlineStr">
        <is>
          <t>WYSOKA</t>
        </is>
      </c>
      <c r="F73" s="10" t="n">
        <v>6</v>
      </c>
      <c r="G73" s="10" t="n">
        <v>12</v>
      </c>
      <c r="H73" s="10" t="inlineStr">
        <is>
          <t>Faza 2 — Odzyskanie funkcji-widm i luki pierwszego tygodnia</t>
        </is>
      </c>
      <c r="I73" s="10" t="inlineStr">
        <is>
          <t>2026-11-16</t>
        </is>
      </c>
      <c r="J73" s="10" t="inlineStr">
        <is>
          <t>2026-11-20</t>
        </is>
      </c>
      <c r="K73" s="10" t="inlineStr">
        <is>
          <t>ENDPOINT BEZ UI</t>
        </is>
      </c>
      <c r="L73" s="11" t="inlineStr">
        <is>
          <t>services.controller.ts:114</t>
        </is>
      </c>
      <c r="M73" s="11" t="inlineStr">
        <is>
          <t>E-15</t>
        </is>
      </c>
      <c r="N73" s="11" t="inlineStr">
        <is>
          <t>Panel wywołuje istniejący endpoint; akcja zostawia wpis w logu audytu. Test potwierdza, że guard nadal blokuje nieuprawnionych.</t>
        </is>
      </c>
      <c r="O73" s="11" t="inlineStr">
        <is>
          <t>j.w.</t>
        </is>
      </c>
      <c r="P73" s="10" t="inlineStr">
        <is>
          <t>do zrobienia</t>
        </is>
      </c>
    </row>
    <row r="74">
      <c r="A74" s="10" t="inlineStr">
        <is>
          <t>E-05</t>
        </is>
      </c>
      <c r="B74" s="11" t="inlineStr">
        <is>
          <t>Zmiana quoty ISTNIEJĄCEJ skrzynki</t>
        </is>
      </c>
      <c r="C74" s="10" t="inlineStr">
        <is>
          <t>audyt</t>
        </is>
      </c>
      <c r="D74" s="10" t="inlineStr">
        <is>
          <t>E — Poczta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BRAK</t>
        </is>
      </c>
      <c r="L74" s="11" t="inlineStr">
        <is>
          <t>hosting-email-actions.ts:41 zachowuje starą quotę</t>
        </is>
      </c>
      <c r="M74" s="11" t="inlineStr">
        <is>
          <t>—</t>
        </is>
      </c>
      <c r="N74" s="11" t="inlineStr">
        <is>
          <t>Funkcja dostępna z panelu klienta bez wychodzenia do DirectAdmina; test uruchamiany w CI.</t>
        </is>
      </c>
      <c r="O74" s="11" t="inlineStr">
        <is>
          <t>brak jakiejkolwiek ścieżki edycji — klient musi usunąć i odtworzyć skrzynkę</t>
        </is>
      </c>
      <c r="P74" s="10" t="inlineStr">
        <is>
          <t>do zrobienia</t>
        </is>
      </c>
    </row>
    <row r="75">
      <c r="A75" s="10" t="inlineStr">
        <is>
          <t>M-26</t>
        </is>
      </c>
      <c r="B75" s="11" t="inlineStr">
        <is>
          <t>Usunięcie zapisanej karty przez klienta</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BRAK</t>
        </is>
      </c>
      <c r="L75" s="11" t="inlineStr">
        <is>
          <t>billing.controller.ts:38 tylko GET, brak DELETE</t>
        </is>
      </c>
      <c r="M75" s="11" t="inlineStr">
        <is>
          <t>—</t>
        </is>
      </c>
      <c r="N75" s="11" t="inlineStr">
        <is>
          <t>Funkcja dostępna z panelu klienta bez wychodzenia do DirectAdmina; test uruchamiany w CI.</t>
        </is>
      </c>
      <c r="O75" s="11" t="inlineStr">
        <is>
          <t>wymóg konsumencki</t>
        </is>
      </c>
      <c r="P75" s="10" t="inlineStr">
        <is>
          <t>do zrobienia</t>
        </is>
      </c>
    </row>
    <row r="76">
      <c r="A76" s="10" t="inlineStr">
        <is>
          <t>A-25</t>
        </is>
      </c>
      <c r="B76" s="11" t="inlineStr">
        <is>
          <t>Ręczne zawieszenie usługi przez operatora</t>
        </is>
      </c>
      <c r="C76" s="10" t="inlineStr">
        <is>
          <t>audyt</t>
        </is>
      </c>
      <c r="D76" s="10" t="inlineStr">
        <is>
          <t>A — Domeny i konta</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ENDPOINT BEZ UI</t>
        </is>
      </c>
      <c r="L76" s="11" t="inlineStr">
        <is>
          <t>subscriptions.admin.controller.ts:192</t>
        </is>
      </c>
      <c r="M76" s="11" t="inlineStr">
        <is>
          <t>—</t>
        </is>
      </c>
      <c r="N76" s="11" t="inlineStr">
        <is>
          <t>Panel wywołuje istniejący endpoint; akcja zostawia wpis w logu audytu. Test potwierdza, że guard nadal blokuje nieuprawnionych.</t>
        </is>
      </c>
      <c r="O76" s="11" t="inlineStr">
        <is>
          <t>Skorygowane: endpoint działa i jest osiągalny (curl + DirectAdmin), auto-suspend za brak płatności działa. Brakuje UI, nie możliwości zatrzymania szkody.</t>
        </is>
      </c>
      <c r="P76" s="10" t="inlineStr">
        <is>
          <t>do zrobienia</t>
        </is>
      </c>
    </row>
    <row r="77">
      <c r="A77" s="10" t="inlineStr">
        <is>
          <t>A-26</t>
        </is>
      </c>
      <c r="B77" s="11" t="inlineStr">
        <is>
          <t>Ręczne odwieszenie usługi przez operatora</t>
        </is>
      </c>
      <c r="C77" s="10" t="inlineStr">
        <is>
          <t>audyt</t>
        </is>
      </c>
      <c r="D77" s="10" t="inlineStr">
        <is>
          <t>A — Domeny i konta</t>
        </is>
      </c>
      <c r="E77" s="10" t="inlineStr">
        <is>
          <t>WYSOKA</t>
        </is>
      </c>
      <c r="F77" s="10" t="n">
        <v>6</v>
      </c>
      <c r="G77" s="10" t="n">
        <v>13</v>
      </c>
      <c r="H77" s="10" t="inlineStr">
        <is>
          <t>Faza 2 — Odzyskanie funkcji-widm i luki pierwszego tygodnia</t>
        </is>
      </c>
      <c r="I77" s="10" t="inlineStr">
        <is>
          <t>2026-11-23</t>
        </is>
      </c>
      <c r="J77" s="10" t="inlineStr">
        <is>
          <t>2026-11-27</t>
        </is>
      </c>
      <c r="K77" s="10" t="inlineStr">
        <is>
          <t>ENDPOINT BEZ UI</t>
        </is>
      </c>
      <c r="L77" s="11" t="inlineStr">
        <is>
          <t>subscriptions.admin.controller.ts:210</t>
        </is>
      </c>
      <c r="M77" s="11" t="inlineStr">
        <is>
          <t>A-25 (ten sam widok)</t>
        </is>
      </c>
      <c r="N77" s="11" t="inlineStr">
        <is>
          <t>Panel wywołuje istniejący endpoint; akcja zostawia wpis w logu audytu. Test potwierdza, że guard nadal blokuje nieuprawnionych.</t>
        </is>
      </c>
      <c r="O77" s="11" t="inlineStr">
        <is>
          <t>Skorygowane: jak A-25, endpoint subscriptions.admin.controller.ts:210 działa z chargeRenewal.</t>
        </is>
      </c>
      <c r="P77" s="10" t="inlineStr">
        <is>
          <t>do zrobienia</t>
        </is>
      </c>
    </row>
    <row r="78">
      <c r="A78" s="10" t="inlineStr">
        <is>
          <t>N-07</t>
        </is>
      </c>
      <c r="B78" s="11" t="inlineStr">
        <is>
          <t>Ręczne tworzenie incydentu na status page</t>
        </is>
      </c>
      <c r="C78" s="10" t="inlineStr">
        <is>
          <t>audyt</t>
        </is>
      </c>
      <c r="D78" s="10" t="inlineStr">
        <is>
          <t>N — Wsparcie i ops</t>
        </is>
      </c>
      <c r="E78" s="10" t="inlineStr">
        <is>
          <t>WYSOKA</t>
        </is>
      </c>
      <c r="F78" s="10" t="n">
        <v>6</v>
      </c>
      <c r="G78" s="10" t="n">
        <v>13</v>
      </c>
      <c r="H78" s="10" t="inlineStr">
        <is>
          <t>Faza 2 — Odzyskanie funkcji-widm i luki pierwszego tygodnia</t>
        </is>
      </c>
      <c r="I78" s="10" t="inlineStr">
        <is>
          <t>2026-11-23</t>
        </is>
      </c>
      <c r="J78" s="10" t="inlineStr">
        <is>
          <t>2026-11-27</t>
        </is>
      </c>
      <c r="K78" s="10" t="inlineStr">
        <is>
          <t>ENDPOINT BEZ UI</t>
        </is>
      </c>
      <c r="L78" s="11" t="inlineStr">
        <is>
          <t>product-ops.admin.controller.ts:371; brak UI tworzenia</t>
        </is>
      </c>
      <c r="M78" s="11" t="inlineStr">
        <is>
          <t>—</t>
        </is>
      </c>
      <c r="N78" s="11" t="inlineStr">
        <is>
          <t>Panel wywołuje istniejący endpoint; akcja zostawia wpis w logu audytu. Test potwierdza, że guard nadal blokuje nieuprawnionych.</t>
        </is>
      </c>
      <c r="O78" s="11" t="inlineStr">
        <is>
          <t>w kryzysie nie ma jak zakomunikować awarii</t>
        </is>
      </c>
      <c r="P78" s="10" t="inlineStr">
        <is>
          <t>do zrobienia</t>
        </is>
      </c>
    </row>
    <row r="79">
      <c r="A79" s="10" t="inlineStr">
        <is>
          <t>N-14</t>
        </is>
      </c>
      <c r="B79" s="11" t="inlineStr">
        <is>
          <t>Cordon wysyłki poczty (auto-blokada spamu)</t>
        </is>
      </c>
      <c r="C79" s="10" t="inlineStr">
        <is>
          <t>audyt</t>
        </is>
      </c>
      <c r="D79" s="10" t="inlineStr">
        <is>
          <t>N — Wsparcie i ops</t>
        </is>
      </c>
      <c r="E79" s="10" t="inlineStr">
        <is>
          <t>WYSOKA</t>
        </is>
      </c>
      <c r="F79" s="10" t="n">
        <v>6</v>
      </c>
      <c r="G79" s="10" t="n">
        <v>14</v>
      </c>
      <c r="H79" s="10" t="inlineStr">
        <is>
          <t>Faza 2 — Odzyskanie funkcji-widm i luki pierwszego tygodnia</t>
        </is>
      </c>
      <c r="I79" s="10" t="inlineStr">
        <is>
          <t>2026-11-30</t>
        </is>
      </c>
      <c r="J79" s="10" t="inlineStr">
        <is>
          <t>2026-12-04</t>
        </is>
      </c>
      <c r="K79" s="10" t="inlineStr">
        <is>
          <t>ENDPOINT BEZ UI</t>
        </is>
      </c>
      <c r="L79" s="11" t="inlineStr">
        <is>
          <t>outbound-cordon.admin.controller.ts:20,25,32; zero „cordon” w admin-panel</t>
        </is>
      </c>
      <c r="M79" s="11" t="inlineStr">
        <is>
          <t>—</t>
        </is>
      </c>
      <c r="N79" s="11" t="inlineStr">
        <is>
          <t>Panel wywołuje istniejący endpoint; akcja zostawia wpis w logu audytu. Test potwierdza, że guard nadal blokuje nieuprawnionych.</t>
        </is>
      </c>
      <c r="O79" s="11" t="inlineStr">
        <is>
          <t>mechanizm działa, operator nie może go zobaczyć ani zdjąć</t>
        </is>
      </c>
      <c r="P79" s="10" t="inlineStr">
        <is>
          <t>do zrobienia</t>
        </is>
      </c>
    </row>
    <row r="80">
      <c r="A80" s="10" t="inlineStr">
        <is>
          <t>H-22</t>
        </is>
      </c>
      <c r="B80" s="11" t="inlineStr">
        <is>
          <t>Panel odtwarzania w widocznym miejscu</t>
        </is>
      </c>
      <c r="C80" s="10" t="inlineStr">
        <is>
          <t>audyt</t>
        </is>
      </c>
      <c r="D80" s="10" t="inlineStr">
        <is>
          <t>H — Backup i odtwarzanie</t>
        </is>
      </c>
      <c r="E80" s="10" t="inlineStr">
        <is>
          <t>WYSOKA</t>
        </is>
      </c>
      <c r="F80" s="10" t="n">
        <v>6</v>
      </c>
      <c r="G80" s="10" t="n">
        <v>14</v>
      </c>
      <c r="H80" s="10" t="inlineStr">
        <is>
          <t>Faza 2 — Odzyskanie funkcji-widm i luki pierwszego tygodnia</t>
        </is>
      </c>
      <c r="I80" s="10" t="inlineStr">
        <is>
          <t>2026-11-30</t>
        </is>
      </c>
      <c r="J80" s="10" t="inlineStr">
        <is>
          <t>2026-12-04</t>
        </is>
      </c>
      <c r="K80" s="10" t="inlineStr">
        <is>
          <t>CZĘŚCIOWE</t>
        </is>
      </c>
      <c r="L80" s="11" t="inlineStr">
        <is>
          <t>panel off-site siedzi w zakładce „Usage”, nie „Kopie zapasowe” (page.tsx:74,128,313,319)</t>
        </is>
      </c>
      <c r="M80" s="11" t="inlineStr">
        <is>
          <t>—</t>
        </is>
      </c>
      <c r="N80" s="11" t="inlineStr">
        <is>
          <t>Ograniczenie opisane w uwagach macierzy zniknęło; test potwierdza zachowanie także w scenariuszu awaryjnym.</t>
        </is>
      </c>
      <c r="O80" s="11" t="inlineStr">
        <is>
          <t>klient w kryzysie tego nie znajdzie</t>
        </is>
      </c>
      <c r="P80" s="10" t="inlineStr">
        <is>
          <t>do zrobienia</t>
        </is>
      </c>
    </row>
    <row r="81">
      <c r="A81" s="10" t="inlineStr">
        <is>
          <t>H-09</t>
        </is>
      </c>
      <c r="B81" s="11" t="inlineStr">
        <is>
          <t>Kopia bezpieczeństwa przed odtworzeniem</t>
        </is>
      </c>
      <c r="C81" s="10" t="inlineStr">
        <is>
          <t>audyt</t>
        </is>
      </c>
      <c r="D81" s="10" t="inlineStr">
        <is>
          <t>H — Backup i odtwarzanie</t>
        </is>
      </c>
      <c r="E81" s="10" t="inlineStr">
        <is>
          <t>WYSOKA</t>
        </is>
      </c>
      <c r="F81" s="10" t="n">
        <v>6</v>
      </c>
      <c r="G81" s="10" t="n">
        <v>14</v>
      </c>
      <c r="H81" s="10" t="inlineStr">
        <is>
          <t>Faza 2 — Odzyskanie funkcji-widm i luki pierwszego tygodnia</t>
        </is>
      </c>
      <c r="I81" s="10" t="inlineStr">
        <is>
          <t>2026-11-30</t>
        </is>
      </c>
      <c r="J81" s="10" t="inlineStr">
        <is>
          <t>2026-12-04</t>
        </is>
      </c>
      <c r="K81" s="10" t="inlineStr">
        <is>
          <t>CZĘŚCIOWE</t>
        </is>
      </c>
      <c r="L81" s="11" t="inlineStr">
        <is>
          <t>hosting-restore.service.ts:167</t>
        </is>
      </c>
      <c r="M81" s="11" t="inlineStr">
        <is>
          <t>—</t>
        </is>
      </c>
      <c r="N81" s="11" t="inlineStr">
        <is>
          <t>Ograniczenie opisane w uwagach macierzy zniknęło; test potwierdza zachowanie także w scenariuszu awaryjnym.</t>
        </is>
      </c>
      <c r="O81" s="11" t="inlineStr">
        <is>
          <t>OSŁABIONE: hosting-restore.service.ts:167 tylko KOLEJKUJE backup w DA i nie czeka na wynik — destrukcyjne odtworzenie rusza mimo nieudanej kopii. Job dostaje COMPLETED (:182) w chwili przyjęcia zadania, nie po odtworzeniu.</t>
        </is>
      </c>
      <c r="P81" s="10" t="inlineStr">
        <is>
          <t>do zrobienia</t>
        </is>
      </c>
    </row>
    <row r="82">
      <c r="A82" s="10" t="inlineStr">
        <is>
          <t>H-17</t>
        </is>
      </c>
      <c r="B82" s="11" t="inlineStr">
        <is>
          <t>Tryb restore skryptu odtwarzającego osiągalny z produktu</t>
        </is>
      </c>
      <c r="C82" s="10" t="inlineStr">
        <is>
          <t>audyt</t>
        </is>
      </c>
      <c r="D82" s="10" t="inlineStr">
        <is>
          <t>H — Backup i odtwarzanie</t>
        </is>
      </c>
      <c r="E82" s="10" t="inlineStr">
        <is>
          <t>WYSOKA</t>
        </is>
      </c>
      <c r="F82" s="10" t="n">
        <v>6</v>
      </c>
      <c r="G82" s="10" t="n">
        <v>14</v>
      </c>
      <c r="H82" s="10" t="inlineStr">
        <is>
          <t>Faza 2 — Odzyskanie funkcji-widm i luki pierwszego tygodnia</t>
        </is>
      </c>
      <c r="I82" s="10" t="inlineStr">
        <is>
          <t>2026-11-30</t>
        </is>
      </c>
      <c r="J82" s="10" t="inlineStr">
        <is>
          <t>2026-12-04</t>
        </is>
      </c>
      <c r="K82" s="10" t="inlineStr">
        <is>
          <t>BRAK</t>
        </is>
      </c>
      <c r="L82" s="11" t="inlineStr">
        <is>
          <t>node-account-restore.sh:82-99 ma tryb restore; offsite-restore.service.ts:94 przyjmuje wyłącznie list|fetch</t>
        </is>
      </c>
      <c r="M82" s="11" t="inlineStr">
        <is>
          <t>H-20 (najpierw potwierdzone odtworzenie, potem wystawienie trybu w produkcie)</t>
        </is>
      </c>
      <c r="N82" s="11" t="inlineStr">
        <is>
          <t>Funkcja dostępna z panelu klienta bez wychodzenia do DirectAdmina; test uruchamiany w CI.</t>
        </is>
      </c>
      <c r="O82" s="11" t="inlineStr">
        <is>
          <t>Skorygowane: tryb restore jest martwy z poziomu produktu, ale żywy z CLI (node-account-restore.sh:120-124) i udokumentowany w runbooku.</t>
        </is>
      </c>
      <c r="P82" s="10" t="inlineStr">
        <is>
          <t>do zrobienia</t>
        </is>
      </c>
    </row>
    <row r="83">
      <c r="A83" s="10" t="inlineStr">
        <is>
          <t>G-20</t>
        </is>
      </c>
      <c r="B83" s="11" t="inlineStr">
        <is>
          <t>Ochrona przed atakiem słownikowym na panel</t>
        </is>
      </c>
      <c r="C83" s="10" t="inlineStr">
        <is>
          <t>audyt</t>
        </is>
      </c>
      <c r="D83" s="10" t="inlineStr">
        <is>
          <t>G — SSL i bezpieczeństwo</t>
        </is>
      </c>
      <c r="E83" s="10" t="inlineStr">
        <is>
          <t>WYSOKA</t>
        </is>
      </c>
      <c r="F83" s="10" t="n">
        <v>6</v>
      </c>
      <c r="G83" s="10" t="n">
        <v>14</v>
      </c>
      <c r="H83" s="10" t="inlineStr">
        <is>
          <t>Faza 2 — Odzyskanie funkcji-widm i luki pierwszego tygodnia</t>
        </is>
      </c>
      <c r="I83" s="10" t="inlineStr">
        <is>
          <t>2026-11-30</t>
        </is>
      </c>
      <c r="J83" s="10" t="inlineStr">
        <is>
          <t>2026-12-04</t>
        </is>
      </c>
      <c r="K83" s="10" t="inlineStr">
        <is>
          <t>CZĘŚCIOWE</t>
        </is>
      </c>
      <c r="L83" s="11" t="inlineStr">
        <is>
          <t>rate-limit.guard.ts — ZERO testów</t>
        </is>
      </c>
      <c r="M83" s="11" t="inlineStr">
        <is>
          <t>—</t>
        </is>
      </c>
      <c r="N83" s="11" t="inlineStr">
        <is>
          <t>Ograniczenie opisane w uwagach macierzy zniknęło; test potwierdza zachowanie także w scenariuszu awaryjnym.</t>
        </is>
      </c>
      <c r="O83" s="11" t="inlineStr">
        <is>
          <t>brak dowodu D2 na krytycznym guardzie</t>
        </is>
      </c>
      <c r="P83" s="10" t="inlineStr">
        <is>
          <t>do zrobienia</t>
        </is>
      </c>
    </row>
    <row r="84">
      <c r="A84" s="10" t="inlineStr">
        <is>
          <t>I-11</t>
        </is>
      </c>
      <c r="B84" s="11" t="inlineStr">
        <is>
          <t>Staging — publikacja na produkcję</t>
        </is>
      </c>
      <c r="C84" s="10" t="inlineStr">
        <is>
          <t>audyt</t>
        </is>
      </c>
      <c r="D84" s="10" t="inlineStr">
        <is>
          <t>I — Aplikacje i WordPress</t>
        </is>
      </c>
      <c r="E84" s="10" t="inlineStr">
        <is>
          <t>WYSOKA</t>
        </is>
      </c>
      <c r="F84" s="10" t="n">
        <v>6</v>
      </c>
      <c r="G84" s="10" t="n">
        <v>15</v>
      </c>
      <c r="H84" s="10" t="inlineStr">
        <is>
          <t>Faza 3 — Wejście na rynek</t>
        </is>
      </c>
      <c r="I84" s="10" t="inlineStr">
        <is>
          <t>2026-12-07</t>
        </is>
      </c>
      <c r="J84" s="10" t="inlineStr">
        <is>
          <t>2026-12-11</t>
        </is>
      </c>
      <c r="K84" s="10" t="inlineStr">
        <is>
          <t>CZĘŚCIOWE</t>
        </is>
      </c>
      <c r="L84" s="11" t="inlineStr">
        <is>
          <t>services.controller.ts:187</t>
        </is>
      </c>
      <c r="M84" s="11" t="inlineStr">
        <is>
          <t>—</t>
        </is>
      </c>
      <c r="N84" s="11" t="inlineStr">
        <is>
          <t>Ograniczenie opisane w uwagach macierzy zniknęło; test potwierdza zachowanie także w scenariuszu awaryjnym.</t>
        </is>
      </c>
      <c r="O84" s="11" t="inlineStr">
        <is>
          <t>OSŁABIONE: node-staging-sync.sh:141-142 backup plików jest twardą bramką, ale :152-153 backup bazy LIVE jest best-effort — linia 158 robi wp db import na produkcji mimo braku kopii.</t>
        </is>
      </c>
      <c r="P84" s="10" t="inlineStr">
        <is>
          <t>do zrobienia</t>
        </is>
      </c>
    </row>
    <row r="85">
      <c r="A85" s="10" t="inlineStr">
        <is>
          <t>PB-03</t>
        </is>
      </c>
      <c r="B85" s="11" t="inlineStr">
        <is>
          <t>Finalizacja dokumentów prawnych 1.0.0</t>
        </is>
      </c>
      <c r="C85" s="10" t="inlineStr">
        <is>
          <t>poza audytem</t>
        </is>
      </c>
      <c r="D85" s="10" t="inlineStr">
        <is>
          <t>Praca spoza audytu</t>
        </is>
      </c>
      <c r="E85" s="10" t="inlineStr">
        <is>
          <t>BLOKER BIZNESOWY</t>
        </is>
      </c>
      <c r="F85" s="10" t="n">
        <v>16</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Wszystkie dokumenty w statusie opublikowanym z numerem wersji i datą. Panel /legal nie pokazuje ani jednego „Dokument w przygotowaniu”.</t>
        </is>
      </c>
      <c r="O85" s="11" t="inlineStr">
        <is>
          <t>Regulamin, polityka prywatności, SLA, DPA, polityka cookies — wyjście z DRAFT-u, wersjonowanie i publikacja w panelu.</t>
        </is>
      </c>
      <c r="P85" s="10" t="inlineStr">
        <is>
          <t>do zrobienia</t>
        </is>
      </c>
    </row>
    <row r="86">
      <c r="A86" s="10" t="inlineStr">
        <is>
          <t>PB-11</t>
        </is>
      </c>
      <c r="B86" s="11" t="inlineStr">
        <is>
          <t>Bus factor: drugi kanał alertów i procedura zastępstwa</t>
        </is>
      </c>
      <c r="C86" s="10" t="inlineStr">
        <is>
          <t>poza audytem</t>
        </is>
      </c>
      <c r="D86" s="10" t="inlineStr">
        <is>
          <t>Praca spoza audytu</t>
        </is>
      </c>
      <c r="E86" s="10" t="inlineStr">
        <is>
          <t>WYSOKI</t>
        </is>
      </c>
      <c r="F86" s="10" t="n">
        <v>8</v>
      </c>
      <c r="G86" s="10" t="n">
        <v>15</v>
      </c>
      <c r="H86" s="10" t="inlineStr">
        <is>
          <t>Faza 3 — Wejście na rynek</t>
        </is>
      </c>
      <c r="I86" s="10" t="inlineStr">
        <is>
          <t>2026-12-07</t>
        </is>
      </c>
      <c r="J86" s="10" t="inlineStr">
        <is>
          <t>2026-12-11</t>
        </is>
      </c>
      <c r="K86" s="10" t="inlineStr">
        <is>
          <t>—</t>
        </is>
      </c>
      <c r="L86" s="11" t="inlineStr">
        <is>
          <t>—</t>
        </is>
      </c>
      <c r="M86" s="11" t="inlineStr">
        <is>
          <t>—</t>
        </is>
      </c>
      <c r="N86" s="11" t="inlineStr">
        <is>
          <t>Alert testowy dociera dwoma kanałami. Dokument zastępstwa zawiera dostęp awaryjny i listę rzeczy, które muszą się dziać codziennie.</t>
        </is>
      </c>
      <c r="O86" s="11" t="inlineStr">
        <is>
          <t>Alerty na więcej niż jeden adres, przetestowane. Dokument: co robi ktoś inny, gdy Ciebie nie ma przez tydzień.</t>
        </is>
      </c>
      <c r="P86" s="10" t="inlineStr">
        <is>
          <t>do zrobienia</t>
        </is>
      </c>
    </row>
    <row r="87">
      <c r="A87" s="10" t="inlineStr">
        <is>
          <t>N-16</t>
        </is>
      </c>
      <c r="B87" s="11" t="inlineStr">
        <is>
          <t>SLA z zapisanymi kredytami</t>
        </is>
      </c>
      <c r="C87" s="10" t="inlineStr">
        <is>
          <t>audyt</t>
        </is>
      </c>
      <c r="D87" s="10" t="inlineStr">
        <is>
          <t>N — Wsparcie i ops</t>
        </is>
      </c>
      <c r="E87" s="10" t="inlineStr">
        <is>
          <t>WYSOKA</t>
        </is>
      </c>
      <c r="F87" s="10" t="n">
        <v>6</v>
      </c>
      <c r="G87" s="10" t="n">
        <v>16</v>
      </c>
      <c r="H87" s="10" t="inlineStr">
        <is>
          <t>Faza 3 — Wejście na rynek</t>
        </is>
      </c>
      <c r="I87" s="10" t="inlineStr">
        <is>
          <t>2026-12-14</t>
        </is>
      </c>
      <c r="J87" s="10" t="inlineStr">
        <is>
          <t>2026-12-18</t>
        </is>
      </c>
      <c r="K87" s="10" t="inlineStr">
        <is>
          <t>FLAGA</t>
        </is>
      </c>
      <c r="L87" s="11" t="inlineStr">
        <is>
          <t>sla-credit.scheduler.ts:79 — if (!policy.enabled) return; SLA_CREDITS_ENABLED default '0' (platform-settings.keys.ts:116)</t>
        </is>
      </c>
      <c r="M87" s="11" t="inlineStr">
        <is>
          <t>PB-03 (kredyty SLA muszą być zgodne z opublikowanym regulaminem)</t>
        </is>
      </c>
      <c r="N87" s="11" t="inlineStr">
        <is>
          <t>Wartość domyślna włączona albo check w live-readiness pilnuje konfiguracji — flaga nie może po cichu wyłączyć funkcji.</t>
        </is>
      </c>
      <c r="O87" s="11" t="inlineStr">
        <is>
          <t>OSŁABIONE: funkcja jest domyślnie martwa, a live-readiness nie ma checka SLA — flaga może zostać wyłączona bez żadnego sygnału. Regulamin obiecuje kredyty, kod ich nie nalicza.</t>
        </is>
      </c>
      <c r="P87" s="10" t="inlineStr">
        <is>
          <t>do zrobienia</t>
        </is>
      </c>
    </row>
    <row r="88">
      <c r="A88" s="10" t="inlineStr">
        <is>
          <t>A-11</t>
        </is>
      </c>
      <c r="B88" s="11" t="inlineStr">
        <is>
          <t>Wyszukiwarka wolnych domen</t>
        </is>
      </c>
      <c r="C88" s="10" t="inlineStr">
        <is>
          <t>audyt</t>
        </is>
      </c>
      <c r="D88" s="10" t="inlineStr">
        <is>
          <t>A — Domeny i konta</t>
        </is>
      </c>
      <c r="E88" s="10" t="inlineStr">
        <is>
          <t>WYSOKA</t>
        </is>
      </c>
      <c r="F88" s="10" t="n">
        <v>6</v>
      </c>
      <c r="G88" s="10" t="n">
        <v>16</v>
      </c>
      <c r="H88" s="10" t="inlineStr">
        <is>
          <t>Faza 3 — Wejście na rynek</t>
        </is>
      </c>
      <c r="I88" s="10" t="inlineStr">
        <is>
          <t>2026-12-14</t>
        </is>
      </c>
      <c r="J88" s="10" t="inlineStr">
        <is>
          <t>2026-12-18</t>
        </is>
      </c>
      <c r="K88" s="10" t="inlineStr">
        <is>
          <t>FLAGA</t>
        </is>
      </c>
      <c r="L88" s="11" t="inlineStr">
        <is>
          <t>domains.controller.ts:54</t>
        </is>
      </c>
      <c r="M88" s="11" t="inlineStr">
        <is>
          <t>—</t>
        </is>
      </c>
      <c r="N88" s="11" t="inlineStr">
        <is>
          <t>Wartość domyślna włączona albo check w live-readiness pilnuje konfiguracji — flaga nie może po cichu wyłączyć funkcji.</t>
        </is>
      </c>
      <c r="O88" s="11" t="inlineStr"/>
      <c r="P88" s="10" t="inlineStr">
        <is>
          <t>do zrobienia</t>
        </is>
      </c>
    </row>
    <row r="89">
      <c r="A89" s="10" t="inlineStr">
        <is>
          <t>C-11</t>
        </is>
      </c>
      <c r="B89" s="11" t="inlineStr">
        <is>
          <t>Spakowanie do archiwum</t>
        </is>
      </c>
      <c r="C89" s="10" t="inlineStr">
        <is>
          <t>audyt</t>
        </is>
      </c>
      <c r="D89" s="10" t="inlineStr">
        <is>
          <t>C — Pliki, FTP, SSH, Git</t>
        </is>
      </c>
      <c r="E89" s="10" t="inlineStr">
        <is>
          <t>ŚREDNIA</t>
        </is>
      </c>
      <c r="F89" s="10" t="n">
        <v>6</v>
      </c>
      <c r="G89" s="10" t="n">
        <v>16</v>
      </c>
      <c r="H89" s="10" t="inlineStr">
        <is>
          <t>Faza 3 — Wejście na rynek</t>
        </is>
      </c>
      <c r="I89" s="10" t="inlineStr">
        <is>
          <t>2026-12-14</t>
        </is>
      </c>
      <c r="J89" s="10" t="inlineStr">
        <is>
          <t>2026-12-18</t>
        </is>
      </c>
      <c r="K89" s="10" t="inlineStr">
        <is>
          <t>BRAK</t>
        </is>
      </c>
      <c r="L89" s="11" t="inlineStr">
        <is>
          <t>files.service.ts:320 — tylko extract</t>
        </is>
      </c>
      <c r="M89" s="11" t="inlineStr">
        <is>
          <t>—</t>
        </is>
      </c>
      <c r="N89" s="11" t="inlineStr">
        <is>
          <t>Funkcja dostępna z panelu klienta bez wychodzenia do DirectAdmina; test uruchamiany w CI.</t>
        </is>
      </c>
      <c r="O89" s="11" t="inlineStr">
        <is>
          <t>standard we wszystkich panelach</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16</v>
      </c>
      <c r="H90" s="10" t="inlineStr">
        <is>
          <t>Faza 3 — Wejście na rynek</t>
        </is>
      </c>
      <c r="I90" s="10" t="inlineStr">
        <is>
          <t>2026-12-14</t>
        </is>
      </c>
      <c r="J90" s="10" t="inlineStr">
        <is>
          <t>2026-12-18</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PB-06</t>
        </is>
      </c>
      <c r="B91" s="11" t="inlineStr">
        <is>
          <t>Landing /przenies-strone</t>
        </is>
      </c>
      <c r="C91" s="10" t="inlineStr">
        <is>
          <t>poza audytem</t>
        </is>
      </c>
      <c r="D91" s="10" t="inlineStr">
        <is>
          <t>Praca spoza audytu</t>
        </is>
      </c>
      <c r="E91" s="10" t="inlineStr">
        <is>
          <t>WYSOKI</t>
        </is>
      </c>
      <c r="F91" s="10" t="n">
        <v>16</v>
      </c>
      <c r="G91" s="10" t="n">
        <v>17</v>
      </c>
      <c r="H91" s="10" t="inlineStr">
        <is>
          <t>Faza 3 — Wejście na rynek</t>
        </is>
      </c>
      <c r="I91" s="10" t="inlineStr">
        <is>
          <t>2026-12-21</t>
        </is>
      </c>
      <c r="J91" s="10" t="inlineStr">
        <is>
          <t>2026-12-25</t>
        </is>
      </c>
      <c r="K91" s="10" t="inlineStr">
        <is>
          <t>—</t>
        </is>
      </c>
      <c r="L91" s="11" t="inlineStr">
        <is>
          <t>—</t>
        </is>
      </c>
      <c r="M91" s="11" t="inlineStr">
        <is>
          <t>PB-07 (landing korzysta z ustalonego cennika)</t>
        </is>
      </c>
      <c r="N91" s="11" t="inlineStr">
        <is>
          <t>Strona opublikowana, pomiar działa, formularz i CTA prowadzą do rejestracji. Żadne twierdzenie na stronie nie jest oznaczone w macierzy jako LUKA lub ATRAPA.</t>
        </is>
      </c>
      <c r="O91" s="11" t="inlineStr">
        <is>
          <t>Strona docelowa kampanii Google Ads na osi migracji. Treść oparta na realnych przewagach z audytu, nie na obietnicach.</t>
        </is>
      </c>
      <c r="P91" s="10" t="inlineStr">
        <is>
          <t>do zrobienia</t>
        </is>
      </c>
    </row>
    <row r="92">
      <c r="A92" s="10" t="inlineStr">
        <is>
          <t>PB-08</t>
        </is>
      </c>
      <c r="B92" s="11" t="inlineStr">
        <is>
          <t>Pomiar: Consent Mode v2 + GTM + dedup event_id</t>
        </is>
      </c>
      <c r="C92" s="10" t="inlineStr">
        <is>
          <t>poza audytem</t>
        </is>
      </c>
      <c r="D92" s="10" t="inlineStr">
        <is>
          <t>Praca spoza audytu</t>
        </is>
      </c>
      <c r="E92" s="10" t="inlineStr">
        <is>
          <t>ŚREDNI</t>
        </is>
      </c>
      <c r="F92" s="10" t="n">
        <v>16</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Zdarzenie zakupu dociera raz, nie dwa. Consent Mode nie blokuje pomiaru po zgodzie. Zweryfikowane w GTM Preview i w raporcie.</t>
        </is>
      </c>
      <c r="O92" s="11" t="inlineStr">
        <is>
          <t>Wdrożenie ustaleń z audytu pomiaru: www linkuje, panel działa, deduplikacja po event_id, cookie Domain=.verris.pl.</t>
        </is>
      </c>
      <c r="P92" s="10" t="inlineStr">
        <is>
          <t>do zrobienia</t>
        </is>
      </c>
    </row>
    <row r="93">
      <c r="A93" s="10" t="inlineStr">
        <is>
          <t>M-16</t>
        </is>
      </c>
      <c r="B93" s="11" t="inlineStr">
        <is>
          <t>KSeF — tryb offline/awaryjny</t>
        </is>
      </c>
      <c r="C93" s="10" t="inlineStr">
        <is>
          <t>audyt</t>
        </is>
      </c>
      <c r="D93" s="10" t="inlineStr">
        <is>
          <t>M — Rozliczenia</t>
        </is>
      </c>
      <c r="E93" s="10" t="inlineStr">
        <is>
          <t>BLOKER STARTU</t>
        </is>
      </c>
      <c r="F93" s="10" t="n">
        <v>16</v>
      </c>
      <c r="G93" s="10" t="n">
        <v>18</v>
      </c>
      <c r="H93" s="10" t="inlineStr">
        <is>
          <t>Faza 3 — Wejście na rynek</t>
        </is>
      </c>
      <c r="I93" s="10" t="inlineStr">
        <is>
          <t>2026-12-28</t>
        </is>
      </c>
      <c r="J93" s="10" t="inlineStr">
        <is>
          <t>2027-01-01</t>
        </is>
      </c>
      <c r="K93" s="10" t="inlineStr">
        <is>
          <t>BRAK</t>
        </is>
      </c>
      <c r="L93" s="11" t="inlineStr">
        <is>
          <t>KsefStatus.OFFLINE w schema.prisma:1432 nigdy nie ustawiany</t>
        </is>
      </c>
      <c r="M93" s="11" t="inlineStr">
        <is>
          <t>PB-13 (zakres zależy od kierunku fakturowania)</t>
        </is>
      </c>
      <c r="N93" s="11" t="inlineStr">
        <is>
          <t>Funkcja dostępna z panelu klienta bez wychodzenia do DirectAdmina; test uruchamiany w CI.</t>
        </is>
      </c>
      <c r="O93" s="11" t="inlineStr">
        <is>
          <t>awaria KSeF zostawia fakturę w PENDING, bez kodu QR offline</t>
        </is>
      </c>
      <c r="P93" s="10" t="inlineStr">
        <is>
          <t>do zrobienia</t>
        </is>
      </c>
    </row>
    <row r="94">
      <c r="A94" s="10" t="inlineStr">
        <is>
          <t>KSEF-02</t>
        </is>
      </c>
      <c r="B94" s="11" t="inlineStr">
        <is>
          <t>`KsefStatus.OFFLINE` istnieje w schemacie i nie jest ustawiany nigdy</t>
        </is>
      </c>
      <c r="C94" s="10" t="inlineStr">
        <is>
          <t>audyt</t>
        </is>
      </c>
      <c r="D94" s="10" t="inlineStr">
        <is>
          <t>M — Rozliczenia</t>
        </is>
      </c>
      <c r="E94" s="10" t="inlineStr">
        <is>
          <t>ŚREDNIA</t>
        </is>
      </c>
      <c r="F94" s="10" t="n">
        <v>6</v>
      </c>
      <c r="G94" s="10" t="n">
        <v>18</v>
      </c>
      <c r="H94" s="10" t="inlineStr">
        <is>
          <t>Faza 3 — Wejście na rynek</t>
        </is>
      </c>
      <c r="I94" s="10" t="inlineStr">
        <is>
          <t>2026-12-28</t>
        </is>
      </c>
      <c r="J94" s="10" t="inlineStr">
        <is>
          <t>2027-01-01</t>
        </is>
      </c>
      <c r="K94" s="10" t="inlineStr">
        <is>
          <t>CZĘŚCIOWE</t>
        </is>
      </c>
      <c r="L94"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94" s="11" t="inlineStr">
        <is>
          <t>—</t>
        </is>
      </c>
      <c r="N94" s="11" t="inlineStr">
        <is>
          <t>Ograniczenie opisane w uwagach macierzy zniknęło; test potwierdza zachowanie także w scenariuszu awaryjnym.</t>
        </is>
      </c>
      <c r="O94"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94" s="10" t="inlineStr">
        <is>
          <t>do zrobienia</t>
        </is>
      </c>
    </row>
    <row r="95">
      <c r="A95" s="10" t="inlineStr">
        <is>
          <t>KSEF-01</t>
        </is>
      </c>
      <c r="B95" s="11" t="inlineStr">
        <is>
          <t>Obowiązek KSeF działa od 1 kwietnia 2026 — od pięciu miesięcy</t>
        </is>
      </c>
      <c r="C95" s="10" t="inlineStr">
        <is>
          <t>audyt</t>
        </is>
      </c>
      <c r="D95" s="10" t="inlineStr">
        <is>
          <t>M — Rozliczenia</t>
        </is>
      </c>
      <c r="E95" s="10" t="inlineStr">
        <is>
          <t>WYSOKA</t>
        </is>
      </c>
      <c r="F95" s="10" t="n">
        <v>6</v>
      </c>
      <c r="G95" s="10" t="n">
        <v>18</v>
      </c>
      <c r="H95" s="10" t="inlineStr">
        <is>
          <t>Faza 3 — Wejście na rynek</t>
        </is>
      </c>
      <c r="I95" s="10" t="inlineStr">
        <is>
          <t>2026-12-28</t>
        </is>
      </c>
      <c r="J95" s="10" t="inlineStr">
        <is>
          <t>2027-01-01</t>
        </is>
      </c>
      <c r="K95" s="10" t="inlineStr">
        <is>
          <t>BRAK</t>
        </is>
      </c>
      <c r="L95" s="11" t="inlineStr">
        <is>
          <t>harmonogram MF: 1.02.2026 (&gt;200 mln), 1.04.2026 (pozostali), 1.01.2027 (do 10 tys./mies.)</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5" s="10" t="inlineStr">
        <is>
          <t>do zrobienia</t>
        </is>
      </c>
    </row>
    <row r="96">
      <c r="A96" s="10" t="inlineStr">
        <is>
          <t>M-17</t>
        </is>
      </c>
      <c r="B96" s="11" t="inlineStr">
        <is>
          <t>KSeF — walidacja XSD przed wysyłką</t>
        </is>
      </c>
      <c r="C96" s="10" t="inlineStr">
        <is>
          <t>audyt</t>
        </is>
      </c>
      <c r="D96" s="10" t="inlineStr">
        <is>
          <t>M — Rozliczenia</t>
        </is>
      </c>
      <c r="E96" s="10" t="inlineStr">
        <is>
          <t>BLOKER STARTU</t>
        </is>
      </c>
      <c r="F96" s="10" t="n">
        <v>6</v>
      </c>
      <c r="G96" s="10" t="n">
        <v>19</v>
      </c>
      <c r="H96" s="10" t="inlineStr">
        <is>
          <t>Faza 3 — Wejście na rynek</t>
        </is>
      </c>
      <c r="I96" s="10" t="inlineStr">
        <is>
          <t>2027-01-04</t>
        </is>
      </c>
      <c r="J96" s="10" t="inlineStr">
        <is>
          <t>2027-01-08</t>
        </is>
      </c>
      <c r="K96" s="10" t="inlineStr">
        <is>
          <t>BRAK</t>
        </is>
      </c>
      <c r="L96" s="11" t="inlineStr">
        <is>
          <t>fa3-xml.builder.ts składa XML stringowo; komentarz ksef-v2.client.ts:61-62 sam to wskazuje</t>
        </is>
      </c>
      <c r="M96" s="11" t="inlineStr">
        <is>
          <t>M-16 (najpierw obsługa awarii, potem walidacja schematu)</t>
        </is>
      </c>
      <c r="N96" s="11" t="inlineStr">
        <is>
          <t>Funkcja dostępna z panelu klienta bez wychodzenia do DirectAdmina; test uruchamiany w CI.</t>
        </is>
      </c>
      <c r="O96" s="11" t="inlineStr">
        <is>
          <t>smoke na api-test MF nie został wykonany</t>
        </is>
      </c>
      <c r="P96" s="10" t="inlineStr">
        <is>
          <t>do zrobienia</t>
        </is>
      </c>
    </row>
    <row r="97">
      <c r="A97" s="10" t="inlineStr">
        <is>
          <t>KSEF-03</t>
        </is>
      </c>
      <c r="B97" s="11" t="inlineStr">
        <is>
          <t>Brak kodów QR na fakturze offline</t>
        </is>
      </c>
      <c r="C97" s="10" t="inlineStr">
        <is>
          <t>audyt</t>
        </is>
      </c>
      <c r="D97" s="10" t="inlineStr">
        <is>
          <t>M — Rozliczenia</t>
        </is>
      </c>
      <c r="E97" s="10" t="inlineStr">
        <is>
          <t>WYSOKA</t>
        </is>
      </c>
      <c r="F97" s="10" t="n">
        <v>16</v>
      </c>
      <c r="G97" s="10" t="n">
        <v>19</v>
      </c>
      <c r="H97" s="10" t="inlineStr">
        <is>
          <t>Faza 3 — Wejście na rynek</t>
        </is>
      </c>
      <c r="I97" s="10" t="inlineStr">
        <is>
          <t>2027-01-04</t>
        </is>
      </c>
      <c r="J97" s="10" t="inlineStr">
        <is>
          <t>2027-01-08</t>
        </is>
      </c>
      <c r="K97" s="10" t="inlineStr">
        <is>
          <t>BRAK</t>
        </is>
      </c>
      <c r="L97" s="11" t="inlineStr">
        <is>
          <t>zero trafień `qrcode|QRCode|kodQR` w `apps/api/src` i `apps/client-panel/src`</t>
        </is>
      </c>
      <c r="M97" s="11" t="inlineStr">
        <is>
          <t>—</t>
        </is>
      </c>
      <c r="N97" s="11" t="inlineStr">
        <is>
          <t>Funkcja dostępna z panelu klienta bez wychodzenia do DirectAdmina; test uruchamiany w CI.</t>
        </is>
      </c>
      <c r="O97"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7" s="10" t="inlineStr">
        <is>
          <t>do zrobienia</t>
        </is>
      </c>
    </row>
    <row r="98">
      <c r="A98" s="10" t="inlineStr">
        <is>
          <t>M-15</t>
        </is>
      </c>
      <c r="B98" s="11" t="inlineStr">
        <is>
          <t>KSeF — pobranie UPO przez operatora</t>
        </is>
      </c>
      <c r="C98" s="10" t="inlineStr">
        <is>
          <t>audyt</t>
        </is>
      </c>
      <c r="D98" s="10" t="inlineStr">
        <is>
          <t>M — Rozliczenia</t>
        </is>
      </c>
      <c r="E98" s="10" t="inlineStr">
        <is>
          <t>ŚREDNIA</t>
        </is>
      </c>
      <c r="F98" s="10" t="n">
        <v>6</v>
      </c>
      <c r="G98" s="10" t="n">
        <v>19</v>
      </c>
      <c r="H98" s="10" t="inlineStr">
        <is>
          <t>Faza 3 — Wejście na rynek</t>
        </is>
      </c>
      <c r="I98" s="10" t="inlineStr">
        <is>
          <t>2027-01-04</t>
        </is>
      </c>
      <c r="J98" s="10" t="inlineStr">
        <is>
          <t>2027-01-08</t>
        </is>
      </c>
      <c r="K98" s="10" t="inlineStr">
        <is>
          <t>ENDPOINT BEZ UI</t>
        </is>
      </c>
      <c r="L98" s="11" t="inlineStr">
        <is>
          <t>ksef.admin.controller.ts:38; zero wystąpień UPO w admin-panel</t>
        </is>
      </c>
      <c r="M98" s="11" t="inlineStr">
        <is>
          <t>PB-13</t>
        </is>
      </c>
      <c r="N98" s="11" t="inlineStr">
        <is>
          <t>Panel wywołuje istniejący endpoint; akcja zostawia wpis w logu audytu. Test potwierdza, że guard nadal blokuje nieuprawnionych.</t>
        </is>
      </c>
      <c r="O98" s="11" t="inlineStr">
        <is>
          <t>Skorygowane: UPO jest dostępne w portalu MF, więc warunek dokumentu księgowego nie jest naruszony. Brakuje wygody.</t>
        </is>
      </c>
      <c r="P98" s="10" t="inlineStr">
        <is>
          <t>do zrobienia</t>
        </is>
      </c>
    </row>
    <row r="99">
      <c r="A99" s="10" t="inlineStr">
        <is>
          <t>M-11</t>
        </is>
      </c>
      <c r="B99" s="11" t="inlineStr">
        <is>
          <t>KSeF — wysyłka faktury</t>
        </is>
      </c>
      <c r="C99" s="10" t="inlineStr">
        <is>
          <t>audyt</t>
        </is>
      </c>
      <c r="D99" s="10" t="inlineStr">
        <is>
          <t>M — Rozliczenia</t>
        </is>
      </c>
      <c r="E99" s="10" t="inlineStr">
        <is>
          <t>ŚREDNIA</t>
        </is>
      </c>
      <c r="F99" s="10" t="n">
        <v>6</v>
      </c>
      <c r="G99" s="10" t="n">
        <v>19</v>
      </c>
      <c r="H99" s="10" t="inlineStr">
        <is>
          <t>Faza 3 — Wejście na rynek</t>
        </is>
      </c>
      <c r="I99" s="10" t="inlineStr">
        <is>
          <t>2027-01-04</t>
        </is>
      </c>
      <c r="J99" s="10" t="inlineStr">
        <is>
          <t>2027-01-08</t>
        </is>
      </c>
      <c r="K99" s="10" t="inlineStr">
        <is>
          <t>FLAGA</t>
        </is>
      </c>
      <c r="L99" s="11" t="inlineStr">
        <is>
          <t>ksef-v2.client.ts:138-165; FA(3) 1-0E; API v2</t>
        </is>
      </c>
      <c r="M99" s="11" t="inlineStr">
        <is>
          <t>—</t>
        </is>
      </c>
      <c r="N99" s="11" t="inlineStr">
        <is>
          <t>Wartość domyślna włączona albo check w live-readiness pilnuje konfiguracji — flaga nie może po cichu wyłączyć funkcji.</t>
        </is>
      </c>
      <c r="O99"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9" s="10" t="inlineStr">
        <is>
          <t>do zrobienia</t>
        </is>
      </c>
    </row>
    <row r="100">
      <c r="A100" s="10" t="inlineStr">
        <is>
          <t>M-14</t>
        </is>
      </c>
      <c r="B100" s="11" t="inlineStr">
        <is>
          <t>KSeF — numer i UPO widoczne dla klienta</t>
        </is>
      </c>
      <c r="C100" s="10" t="inlineStr">
        <is>
          <t>audyt</t>
        </is>
      </c>
      <c r="D100" s="10" t="inlineStr">
        <is>
          <t>M — Rozliczenia</t>
        </is>
      </c>
      <c r="E100" s="10" t="inlineStr">
        <is>
          <t>WYSOKA</t>
        </is>
      </c>
      <c r="F100" s="10" t="n">
        <v>6</v>
      </c>
      <c r="G100" s="10" t="n">
        <v>20</v>
      </c>
      <c r="H100" s="10" t="inlineStr"/>
      <c r="I100" s="10" t="inlineStr">
        <is>
          <t>2027-01-11</t>
        </is>
      </c>
      <c r="J100" s="10" t="inlineStr">
        <is>
          <t>2027-01-15</t>
        </is>
      </c>
      <c r="K100" s="10" t="inlineStr">
        <is>
          <t>BRAK</t>
        </is>
      </c>
      <c r="L100" s="11" t="inlineStr">
        <is>
          <t>zero wystąpień „ksef” w apps/client-panel</t>
        </is>
      </c>
      <c r="M100" s="11" t="inlineStr">
        <is>
          <t>M-17 (numer KSeF pokazujemy dopiero po potwierdzonej wysyłce)</t>
        </is>
      </c>
      <c r="N100" s="11" t="inlineStr">
        <is>
          <t>Funkcja dostępna z panelu klienta bez wychodzenia do DirectAdmina; test uruchamiany w CI.</t>
        </is>
      </c>
      <c r="O100" s="11" t="inlineStr">
        <is>
          <t>dhosting pokazuje numer KSeF i QR na fakturze</t>
        </is>
      </c>
      <c r="P100" s="10" t="inlineStr">
        <is>
          <t>do zrobienia</t>
        </is>
      </c>
    </row>
    <row r="101">
      <c r="A101" s="10" t="inlineStr">
        <is>
          <t>PB-09</t>
        </is>
      </c>
      <c r="B101" s="11" t="inlineStr">
        <is>
          <t>Baza wiedzy — 20 artykułów startowych</t>
        </is>
      </c>
      <c r="C101" s="10" t="inlineStr">
        <is>
          <t>poza audytem</t>
        </is>
      </c>
      <c r="D101" s="10" t="inlineStr">
        <is>
          <t>Praca spoza audytu</t>
        </is>
      </c>
      <c r="E101" s="10" t="inlineStr">
        <is>
          <t>ŚREDNI</t>
        </is>
      </c>
      <c r="F101" s="10" t="n">
        <v>16</v>
      </c>
      <c r="G101" s="10" t="n">
        <v>20</v>
      </c>
      <c r="H101" s="10" t="inlineStr"/>
      <c r="I101" s="10" t="inlineStr">
        <is>
          <t>2027-01-11</t>
        </is>
      </c>
      <c r="J101" s="10" t="inlineStr">
        <is>
          <t>2027-01-15</t>
        </is>
      </c>
      <c r="K101" s="10" t="inlineStr">
        <is>
          <t>—</t>
        </is>
      </c>
      <c r="L101" s="11" t="inlineStr">
        <is>
          <t>—</t>
        </is>
      </c>
      <c r="M101" s="11" t="inlineStr">
        <is>
          <t>—</t>
        </is>
      </c>
      <c r="N101" s="11" t="inlineStr">
        <is>
          <t>20 artykułów opublikowanych i zaindeksowanych do asystenta AI. Każdy opisuje funkcję, która w macierzy ma status DZIAŁA.</t>
        </is>
      </c>
      <c r="O101" s="11" t="inlineStr">
        <is>
          <t>Artykuły pokrywające najczęstsze pytania pierwszego tygodnia: skierowanie domeny, SSL, poczta, FTP, backup, migracja, faktury.</t>
        </is>
      </c>
      <c r="P101" s="10" t="inlineStr">
        <is>
          <t>do zrobienia</t>
        </is>
      </c>
    </row>
    <row r="102">
      <c r="A102" s="10" t="inlineStr">
        <is>
          <t>PB-10</t>
        </is>
      </c>
      <c r="B102" s="11" t="inlineStr">
        <is>
          <t>Kampania gads-search-hosting-202607 — uruchomienie</t>
        </is>
      </c>
      <c r="C102" s="10" t="inlineStr">
        <is>
          <t>poza audytem</t>
        </is>
      </c>
      <c r="D102" s="10" t="inlineStr">
        <is>
          <t>Praca spoza audytu</t>
        </is>
      </c>
      <c r="E102" s="10" t="inlineStr">
        <is>
          <t>ŚREDNI</t>
        </is>
      </c>
      <c r="F102" s="10" t="n">
        <v>8</v>
      </c>
      <c r="G102" s="10" t="n">
        <v>20</v>
      </c>
      <c r="H102" s="10" t="inlineStr"/>
      <c r="I102" s="10" t="inlineStr">
        <is>
          <t>2027-01-11</t>
        </is>
      </c>
      <c r="J102" s="10" t="inlineStr">
        <is>
          <t>2027-01-15</t>
        </is>
      </c>
      <c r="K102" s="10" t="inlineStr">
        <is>
          <t>—</t>
        </is>
      </c>
      <c r="L102" s="11" t="inlineStr">
        <is>
          <t>—</t>
        </is>
      </c>
      <c r="M102" s="11" t="inlineStr">
        <is>
          <t>PB-06 (kampania kieruje na landing)</t>
        </is>
      </c>
      <c r="N102" s="11" t="inlineStr">
        <is>
          <t>Kampania utworzona wstrzymana, konwersje podpięte, budżet i stawki ustawione. Start dopiero po PB-05.</t>
        </is>
      </c>
      <c r="O102" s="11" t="inlineStr">
        <is>
          <t>Konfiguracja kampanii wyszukiwarkowej, budżet 500–1000 zł/mies., oś przekazu: migracja bez przestoju.</t>
        </is>
      </c>
      <c r="P102" s="10" t="inlineStr">
        <is>
          <t>do zrobienia</t>
        </is>
      </c>
    </row>
    <row r="103">
      <c r="A103" s="10" t="inlineStr">
        <is>
          <t>PB-05</t>
        </is>
      </c>
      <c r="B103" s="11" t="inlineStr">
        <is>
          <t>Test end-to-end „pierwszy klient”</t>
        </is>
      </c>
      <c r="C103" s="10" t="inlineStr">
        <is>
          <t>poza audytem</t>
        </is>
      </c>
      <c r="D103" s="10" t="inlineStr">
        <is>
          <t>Praca spoza audytu</t>
        </is>
      </c>
      <c r="E103" s="10" t="inlineStr">
        <is>
          <t>BLOKER BIZNESOWY</t>
        </is>
      </c>
      <c r="F103" s="10" t="n">
        <v>16</v>
      </c>
      <c r="G103" s="10" t="n">
        <v>21</v>
      </c>
      <c r="H103" s="10" t="inlineStr"/>
      <c r="I103" s="10" t="inlineStr">
        <is>
          <t>2027-01-18</t>
        </is>
      </c>
      <c r="J103" s="10" t="inlineStr">
        <is>
          <t>2027-01-22</t>
        </is>
      </c>
      <c r="K103" s="10" t="inlineStr">
        <is>
          <t>—</t>
        </is>
      </c>
      <c r="L103" s="11" t="inlineStr">
        <is>
          <t>—</t>
        </is>
      </c>
      <c r="M103" s="11" t="inlineStr">
        <is>
          <t>wszystkie blokery zamknięte (sprint 8)</t>
        </is>
      </c>
      <c r="N103" s="11" t="inlineStr">
        <is>
          <t>Zapisany przebieg z timestampami dla każdego kroku — to jest dowód poziomu D3, jedyny w całym projekcie. Każdy nieudany krok wraca do backlogu jako bloker.</t>
        </is>
      </c>
      <c r="O103" s="11" t="inlineStr">
        <is>
          <t>Przejście całej ścieżki na produkcji jako realny klient: rejestracja, zakup, płatność, provisioning, migracja strony, wystawienie faktury, KSeF, backup, odtworzenie.</t>
        </is>
      </c>
      <c r="P103" s="10" t="inlineStr">
        <is>
          <t>do zrobienia</t>
        </is>
      </c>
    </row>
    <row r="104">
      <c r="A104" s="10" t="inlineStr">
        <is>
          <t>PB-12</t>
        </is>
      </c>
      <c r="B104" s="11" t="inlineStr">
        <is>
          <t>Runbook startu i decyzja GO</t>
        </is>
      </c>
      <c r="C104" s="10" t="inlineStr">
        <is>
          <t>poza audytem</t>
        </is>
      </c>
      <c r="D104" s="10" t="inlineStr">
        <is>
          <t>Praca spoza audytu</t>
        </is>
      </c>
      <c r="E104" s="10" t="inlineStr">
        <is>
          <t>BLOKER BIZNESOWY</t>
        </is>
      </c>
      <c r="F104" s="10" t="n">
        <v>8</v>
      </c>
      <c r="G104" s="10" t="n">
        <v>21</v>
      </c>
      <c r="H104" s="10" t="inlineStr"/>
      <c r="I104" s="10" t="inlineStr">
        <is>
          <t>2027-01-18</t>
        </is>
      </c>
      <c r="J104" s="10" t="inlineStr">
        <is>
          <t>2027-01-22</t>
        </is>
      </c>
      <c r="K104" s="10" t="inlineStr">
        <is>
          <t>—</t>
        </is>
      </c>
      <c r="L104" s="11" t="inlineStr">
        <is>
          <t>—</t>
        </is>
      </c>
      <c r="M104" s="11" t="inlineStr">
        <is>
          <t>PB-05 (decyzja GO po przejściu ścieżki na produkcji)</t>
        </is>
      </c>
      <c r="N104" s="11" t="inlineStr">
        <is>
          <t>Każdy z 11 blokerów ma wpis: co zrobiono, gdzie jest dowód, kto potwierdził. Bez formuły „warunkowe GO”.</t>
        </is>
      </c>
      <c r="O104" s="11" t="inlineStr">
        <is>
          <t>Domknięcie: przegląd wszystkich blokerów z dowodem zamknięcia, decyzja GO/NO-GO zapisana z datą.</t>
        </is>
      </c>
      <c r="P104" s="10" t="inlineStr">
        <is>
          <t>do zrobienia</t>
        </is>
      </c>
    </row>
  </sheetData>
  <autoFilter ref="A1:P104"/>
  <conditionalFormatting sqref="E2:E104">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4">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startu'!$G$2:$G$104,A2)</f>
        <v/>
      </c>
      <c r="G2" s="10">
        <f>SUMIF('Backlog do startu'!$G$2:$G$104,A2,'Backlog do startu'!$F$2:$F$104)</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startu'!$G$2:$G$104,A3)</f>
        <v/>
      </c>
      <c r="G3" s="10">
        <f>SUMIF('Backlog do startu'!$G$2:$G$104,A3,'Backlog do startu'!$F$2:$F$104)</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startu'!$G$2:$G$104,A4)</f>
        <v/>
      </c>
      <c r="G4" s="10">
        <f>SUMIF('Backlog do startu'!$G$2:$G$104,A4,'Backlog do startu'!$F$2:$F$104)</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startu'!$G$2:$G$104,A5)</f>
        <v/>
      </c>
      <c r="G5" s="10">
        <f>SUMIF('Backlog do startu'!$G$2:$G$104,A5,'Backlog do startu'!$F$2:$F$104)</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t>
        </is>
      </c>
    </row>
    <row r="6">
      <c r="A6" s="10" t="n">
        <v>5</v>
      </c>
      <c r="B6" s="10" t="inlineStr">
        <is>
          <t>2026-09-28</t>
        </is>
      </c>
      <c r="C6" s="10" t="inlineStr">
        <is>
          <t>2026-10-02</t>
        </is>
      </c>
      <c r="D6" s="11" t="inlineStr">
        <is>
          <t>Faza 1 — Rozliczenia i dowód odtworzenia</t>
        </is>
      </c>
      <c r="E6" s="11" t="inlineStr">
        <is>
          <t>Kierunek fakturowania i bramka wdrozenia</t>
        </is>
      </c>
      <c r="F6" s="10">
        <f>COUNTIF('Backlog do startu'!$G$2:$G$104,A6)</f>
        <v/>
      </c>
      <c r="G6" s="10">
        <f>SUMIF('Backlog do startu'!$G$2:$G$104,A6,'Backlog do startu'!$F$2:$F$104)</f>
        <v/>
      </c>
      <c r="H6" s="10" t="n">
        <v>30</v>
      </c>
      <c r="I6" s="12">
        <f>IFERROR(G6/H6,0)</f>
        <v/>
      </c>
      <c r="J6" s="11" t="inlineStr">
        <is>
          <t>SEC-07 na poczatku sprintu: trzy podatnosci HIGH w multerze, CVSS 7.5, zdalny DoS bez uwierzytelnienia — jedno zadanie multipart konczy proces API. UWAGA, ZEBY NIE ZAMKNAC TEGO ZA WCZESNIE: merge PR #37 podnosi multer do 2.3.0 i bedzie WYGLADAL na naprawe, ale @nestjs/platform-express@11.2.1 pinuje 2.2.0 dokladnie, wiec kopia obslugujaca multipart zostanie podatna; do tego GHSA-535w wymaga jeszcze konfiguracji limits.fieldArrayIndexLimit, czyli zmiany w kodzie. Dowod zamkniecia to zielona bramka podatnosci po zmianie, nie numer wersji w package.json. X-03 przeniesione tu ze sprintu 4. 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startu'!$G$2:$G$104,A7)</f>
        <v/>
      </c>
      <c r="G7" s="10">
        <f>SUMIF('Backlog do startu'!$G$2:$G$104,A7,'Backlog do startu'!$F$2:$F$104)</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startu'!$G$2:$G$104,A8)</f>
        <v/>
      </c>
      <c r="G8" s="10">
        <f>SUMIF('Backlog do startu'!$G$2:$G$104,A8,'Backlog do startu'!$F$2:$F$104)</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startu'!$G$2:$G$104,A9)</f>
        <v/>
      </c>
      <c r="G9" s="10">
        <f>SUMIF('Backlog do startu'!$G$2:$G$104,A9,'Backlog do startu'!$F$2:$F$104)</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startu'!$G$2:$G$104,A10)</f>
        <v/>
      </c>
      <c r="G10" s="10">
        <f>SUMIF('Backlog do startu'!$G$2:$G$104,A10,'Backlog do startu'!$F$2:$F$104)</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Obsluga naduzyc i porzadek w zaleznosciach</t>
        </is>
      </c>
      <c r="F11" s="10">
        <f>COUNTIF('Backlog do startu'!$G$2:$G$104,A11)</f>
        <v/>
      </c>
      <c r="G11" s="10">
        <f>SUMIF('Backlog do startu'!$G$2:$G$104,A11,'Backlog do startu'!$F$2:$F$104)</f>
        <v/>
      </c>
      <c r="H11" s="10" t="n">
        <v>30</v>
      </c>
      <c r="I11" s="12">
        <f>IFERROR(G11/H11,0)</f>
        <v/>
      </c>
      <c r="J11" s="11" t="inlineStr">
        <is>
          <t>DEP-02 tutaj, a nie w sprincie 4: wyciszenie majorow ESLinta z DEP-03 ma termin przegladu 2026-11-15, a ten sprint zaczyna sie 2026-11-02 — czyli dokladnie wtedy, kiedy ta pozycja ma o sobie przypomniec. Zmiana rusza lockfile, wiec osobny commit z pelna bramka. P-15 WYPADLO Z TEGO SPRINTU do sprintu 4 (patrz korekta 2026-09-19 w docs/legal/dpa-subprocessors-tracking.md). PB-04: adres abuse@ jest punktem kontaktowym DSA i musi istniec przed publikacja dokumentow legal. | X-31 i X-32 przeniesione tu ze sprintu 5, ktory musial zrobic miejsce dla SEC-07. X-51 (rozjazd konfiguracji GitHuba z repozytorium: nieistniejace etykiety Dependabota, ruleset celujacy w wycofana galaz) idzie razem z DEP-02, bo to ta sama robota w tym samym miejscu.</t>
        </is>
      </c>
    </row>
    <row r="12">
      <c r="A12" s="10" t="n">
        <v>11</v>
      </c>
      <c r="B12" s="10" t="inlineStr">
        <is>
          <t>2026-11-09</t>
        </is>
      </c>
      <c r="C12" s="10" t="inlineStr">
        <is>
          <t>2026-11-13</t>
        </is>
      </c>
      <c r="D12" s="11" t="inlineStr">
        <is>
          <t>Faza 2 — Odzyskanie funkcji-widm i luki pierwszego tygodnia</t>
        </is>
      </c>
      <c r="E12" s="11" t="inlineStr">
        <is>
          <t>Ogony produktowe: faktury, FTP, PHP</t>
        </is>
      </c>
      <c r="F12" s="10">
        <f>COUNTIF('Backlog do startu'!$G$2:$G$104,A12)</f>
        <v/>
      </c>
      <c r="G12" s="10">
        <f>SUMIF('Backlog do startu'!$G$2:$G$104,A12,'Backlog do startu'!$F$2:$F$104)</f>
        <v/>
      </c>
      <c r="H12" s="10" t="n">
        <v>30</v>
      </c>
      <c r="I12" s="12">
        <f>IFERROR(G12/H12,0)</f>
        <v/>
      </c>
      <c r="J12" s="11" t="inlineStr">
        <is>
          <t>SPRINT DOLOZONY 2026-09-19. Powod zapisany wprost, zeby nie czytalo sie tego jako poslizgu bez przyczyny: przeglad kolejki Dependabota odslonil 28 h pracy, ktorej nie bylo w planie — SEC-07 (16 h, trzy podatnosci HIGH w multerze), X-50 (6 h, bramka podatnosci nie blokuje ani merge, ani wdrozenia) i X-51 (6 h, konfiguracja GitHuba rozjechana z repozytorium). Tej pracy nie dalo sie wcisnac w istniejace sprinty bez robienia z pojemnosci fikcji, wiec plan urosl o tydzien, a nie o przeciazenie. | Zawartosc to pozycje wypchniete z sprintow 5, 10 i 11: M-08 (anulowanie faktury VOID), C-18 (zmiana hasla FTP), B-01 (wersja PHP dla calego konta), J-04 (HTTP/3, weryfikacja na wezle #1 z poziomu b.d.). Zadna nie blokuje niczego innego, dlatego to one ustapily miejsca, a nie prace bezpieczenstwa.</t>
        </is>
      </c>
    </row>
    <row r="13">
      <c r="A13" s="10" t="n">
        <v>12</v>
      </c>
      <c r="B13" s="10" t="inlineStr">
        <is>
          <t>2026-11-16</t>
        </is>
      </c>
      <c r="C13" s="10" t="inlineStr">
        <is>
          <t>2026-11-20</t>
        </is>
      </c>
      <c r="D13" s="11" t="inlineStr">
        <is>
          <t>Faza 2 — Odzyskanie funkcji-widm i luki pierwszego tygodnia</t>
        </is>
      </c>
      <c r="E13" s="11" t="inlineStr">
        <is>
          <t>DNS, SSO i dostarczalnosc poczty</t>
        </is>
      </c>
      <c r="F13" s="10">
        <f>COUNTIF('Backlog do startu'!$G$2:$G$104,A13)</f>
        <v/>
      </c>
      <c r="G13" s="10">
        <f>SUMIF('Backlog do startu'!$G$2:$G$104,A13,'Backlog do startu'!$F$2:$F$104)</f>
        <v/>
      </c>
      <c r="H13" s="10" t="n">
        <v>30</v>
      </c>
      <c r="I13" s="12">
        <f>IFERROR(G13/H13,0)</f>
        <v/>
      </c>
      <c r="J13"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4">
      <c r="A14" s="10" t="n">
        <v>13</v>
      </c>
      <c r="B14" s="10" t="inlineStr">
        <is>
          <t>2026-11-23</t>
        </is>
      </c>
      <c r="C14" s="10" t="inlineStr">
        <is>
          <t>2026-11-27</t>
        </is>
      </c>
      <c r="D14" s="11" t="inlineStr">
        <is>
          <t>Faza 2 — Odzyskanie funkcji-widm i luki pierwszego tygodnia</t>
        </is>
      </c>
      <c r="E14" s="11" t="inlineStr">
        <is>
          <t>Poczta: skrzynki i warstwa operatorska, czesc 1</t>
        </is>
      </c>
      <c r="F14" s="10">
        <f>COUNTIF('Backlog do startu'!$G$2:$G$104,A14)</f>
        <v/>
      </c>
      <c r="G14" s="10">
        <f>SUMIF('Backlog do startu'!$G$2:$G$104,A14,'Backlog do startu'!$F$2:$F$104)</f>
        <v/>
      </c>
      <c r="H14" s="10" t="n">
        <v>30</v>
      </c>
      <c r="I14" s="12">
        <f>IFERROR(G14/H14,0)</f>
        <v/>
      </c>
      <c r="J14" s="11" t="inlineStr">
        <is>
          <t>Polaczone resztki pierwotnych sprintow 12 i 13. Bez tego pierwszy incydent obsługujesz curlem o drugiej w nocy. Wszystkie cztery pierwsze pozycje to endpointy, które już działają.</t>
        </is>
      </c>
    </row>
    <row r="15">
      <c r="A15" s="10" t="n">
        <v>14</v>
      </c>
      <c r="B15" s="10" t="inlineStr">
        <is>
          <t>2026-11-30</t>
        </is>
      </c>
      <c r="C15" s="10" t="inlineStr">
        <is>
          <t>2026-12-04</t>
        </is>
      </c>
      <c r="D15" s="11" t="inlineStr">
        <is>
          <t>Faza 2 — Odzyskanie funkcji-widm i luki pierwszego tygodnia</t>
        </is>
      </c>
      <c r="E15" s="11" t="inlineStr">
        <is>
          <t>Warstwa operatorska, czesc 2 i backup</t>
        </is>
      </c>
      <c r="F15" s="10">
        <f>COUNTIF('Backlog do startu'!$G$2:$G$104,A15)</f>
        <v/>
      </c>
      <c r="G15" s="10">
        <f>SUMIF('Backlog do startu'!$G$2:$G$104,A15,'Backlog do startu'!$F$2:$F$104)</f>
        <v/>
      </c>
      <c r="H15" s="10" t="n">
        <v>30</v>
      </c>
      <c r="I15" s="12">
        <f>IFERROR(G15/H15,0)</f>
        <v/>
      </c>
      <c r="J15" s="11" t="inlineStr">
        <is>
          <t>H-17 bylo zalezne od H-20 (potwierdzone odtworzenie z kopii) — H-20 zamkniete 2026-08-23 dowodem D4, wiec zaleznosc jest spelniona i pozycja moze wejsc tutaj.</t>
        </is>
      </c>
    </row>
    <row r="16">
      <c r="A16" s="10" t="n">
        <v>15</v>
      </c>
      <c r="B16" s="10" t="inlineStr">
        <is>
          <t>2026-12-07</t>
        </is>
      </c>
      <c r="C16" s="10" t="inlineStr">
        <is>
          <t>2026-12-11</t>
        </is>
      </c>
      <c r="D16" s="11" t="inlineStr">
        <is>
          <t>Faza 3 — Wejście na rynek</t>
        </is>
      </c>
      <c r="E16" s="11" t="inlineStr">
        <is>
          <t>Dokumenty prawne i bus factor</t>
        </is>
      </c>
      <c r="F16" s="10">
        <f>COUNTIF('Backlog do startu'!$G$2:$G$104,A16)</f>
        <v/>
      </c>
      <c r="G16" s="10">
        <f>SUMIF('Backlog do startu'!$G$2:$G$104,A16,'Backlog do startu'!$F$2:$F$104)</f>
        <v/>
      </c>
      <c r="H16" s="10" t="n">
        <v>30</v>
      </c>
      <c r="I16" s="12">
        <f>IFERROR(G16/H16,0)</f>
        <v/>
      </c>
      <c r="J16"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7">
      <c r="A17" s="10" t="n">
        <v>16</v>
      </c>
      <c r="B17" s="10" t="inlineStr">
        <is>
          <t>2026-12-14</t>
        </is>
      </c>
      <c r="C17" s="10" t="inlineStr">
        <is>
          <t>2026-12-18</t>
        </is>
      </c>
      <c r="D17" s="11" t="inlineStr">
        <is>
          <t>Faza 3 — Wejście na rynek</t>
        </is>
      </c>
      <c r="E17" s="11" t="inlineStr">
        <is>
          <t>Rozliczenia od strony klienta i cennik</t>
        </is>
      </c>
      <c r="F17" s="10">
        <f>COUNTIF('Backlog do startu'!$G$2:$G$104,A17)</f>
        <v/>
      </c>
      <c r="G17" s="10">
        <f>SUMIF('Backlog do startu'!$G$2:$G$104,A17,'Backlog do startu'!$F$2:$F$104)</f>
        <v/>
      </c>
      <c r="H17" s="10" t="n">
        <v>30</v>
      </c>
      <c r="I17" s="12">
        <f>IFERROR(G17/H17,0)</f>
        <v/>
      </c>
      <c r="J17" s="11" t="inlineStr">
        <is>
          <t>N-16 to włączenie flagi plus check w live-readiness — ale regulamin obiecuje kredyty, więc najpierw przeliczyć je na realnych danych z probe'ów. Cennik musi byc zgodny z wynikiem PB-01 (zamkniete 2026-08-22, cena 45 zl/mies brutto i 399 zl/rok).</t>
        </is>
      </c>
    </row>
    <row r="18">
      <c r="A18" s="10" t="n">
        <v>17</v>
      </c>
      <c r="B18" s="10" t="inlineStr">
        <is>
          <t>2026-12-21</t>
        </is>
      </c>
      <c r="C18" s="10" t="inlineStr">
        <is>
          <t>2026-12-25</t>
        </is>
      </c>
      <c r="D18" s="11" t="inlineStr">
        <is>
          <t>Faza 3 — Wejście na rynek</t>
        </is>
      </c>
      <c r="E18" s="11" t="inlineStr">
        <is>
          <t>Landing migracyjny i pomiar</t>
        </is>
      </c>
      <c r="F18" s="10">
        <f>COUNTIF('Backlog do startu'!$G$2:$G$104,A18)</f>
        <v/>
      </c>
      <c r="G18" s="10">
        <f>SUMIF('Backlog do startu'!$G$2:$G$104,A18,'Backlog do startu'!$F$2:$F$104)</f>
        <v/>
      </c>
      <c r="H18" s="10" t="n">
        <v>30</v>
      </c>
      <c r="I18" s="12">
        <f>IFERROR(G18/H18,0)</f>
        <v/>
      </c>
      <c r="J18" s="11" t="inlineStr">
        <is>
          <t>Landing nie może obiecywać funkcji ze statusem LUKA lub ATRAPA. Każde zdanie sprawdzić wobec macierzy — to jest dokładnie ten błąd, który audyt wykrył w oferta.md.</t>
        </is>
      </c>
    </row>
    <row r="19">
      <c r="A19" s="10" t="n">
        <v>18</v>
      </c>
      <c r="B19" s="10" t="inlineStr">
        <is>
          <t>2026-12-28</t>
        </is>
      </c>
      <c r="C19" s="10" t="inlineStr">
        <is>
          <t>2027-01-01</t>
        </is>
      </c>
      <c r="D19" s="11" t="inlineStr">
        <is>
          <t>Faza 3 — Wejście na rynek</t>
        </is>
      </c>
      <c r="E19" s="11" t="inlineStr">
        <is>
          <t>KSeF, czesc 1: tryb offline i stan prawny</t>
        </is>
      </c>
      <c r="F19" s="10">
        <f>COUNTIF('Backlog do startu'!$G$2:$G$104,A19)</f>
        <v/>
      </c>
      <c r="G19" s="10">
        <f>SUMIF('Backlog do startu'!$G$2:$G$104,A19,'Backlog do startu'!$F$2:$F$104)</f>
        <v/>
      </c>
      <c r="H19" s="10" t="n">
        <v>30</v>
      </c>
      <c r="I19" s="12">
        <f>IFERROR(G19/H19,0)</f>
        <v/>
      </c>
      <c r="J19" s="11" t="inlineStr">
        <is>
          <t>KOLIZJA KALENDARZOWA: sprinty 18 i 19 wypadaja na tygodnie 28.12 i 04.01. Planowanie 62 h pracy na swieta i Nowy Rok jest fikcja, a KSeF to najgorszy mozliwy kandydat na prace robiona miedzy jednym a drugim — smoke na srodowisku MF wymaga, zeby po drugiej stronie tez ktos byl. Zakladamy DWA TYGODNIE PRZERWY i przesuniecie decyzji GO z 2027-01-22 na okolice 2027-02-05.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20">
      <c r="A20" s="10" t="n">
        <v>19</v>
      </c>
      <c r="B20" s="10" t="inlineStr">
        <is>
          <t>2027-01-04</t>
        </is>
      </c>
      <c r="C20" s="10" t="inlineStr">
        <is>
          <t>2027-01-08</t>
        </is>
      </c>
      <c r="D20" s="11" t="inlineStr">
        <is>
          <t>Faza 3 — Wejście na rynek</t>
        </is>
      </c>
      <c r="E20" s="11" t="inlineStr">
        <is>
          <t>KSeF, czesc 2: walidacja, kody QR i wysylka</t>
        </is>
      </c>
      <c r="F20" s="10">
        <f>COUNTIF('Backlog do startu'!$G$2:$G$104,A20)</f>
        <v/>
      </c>
      <c r="G20" s="10">
        <f>SUMIF('Backlog do startu'!$G$2:$G$104,A20,'Backlog do startu'!$F$2:$F$104)</f>
        <v/>
      </c>
      <c r="H20" s="10" t="n">
        <v>30</v>
      </c>
      <c r="I20" s="12">
        <f>IFERROR(G20/H20,0)</f>
        <v/>
      </c>
      <c r="J20"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1">
      <c r="A21" s="10" t="n">
        <v>20</v>
      </c>
      <c r="B21" s="10" t="inlineStr">
        <is>
          <t>2027-01-11</t>
        </is>
      </c>
      <c r="C21" s="10" t="inlineStr">
        <is>
          <t>2027-01-15</t>
        </is>
      </c>
      <c r="D21" s="11" t="inlineStr"/>
      <c r="E21" s="11" t="inlineStr">
        <is>
          <t>Baza wiedzy, KSeF od strony klienta, kampania</t>
        </is>
      </c>
      <c r="F21" s="10">
        <f>COUNTIF('Backlog do startu'!$G$2:$G$104,A21)</f>
        <v/>
      </c>
      <c r="G21" s="10">
        <f>SUMIF('Backlog do startu'!$G$2:$G$104,A21,'Backlog do startu'!$F$2:$F$104)</f>
        <v/>
      </c>
      <c r="H21" s="10" t="n">
        <v>30</v>
      </c>
      <c r="I21" s="12">
        <f>IFERROR(G21/H21,0)</f>
        <v/>
      </c>
      <c r="J21" s="11" t="inlineStr">
        <is>
          <t>Kampania powstaje wstrzymana. Uruchomienie dopiero po PB-05 w sprincie 19.</t>
        </is>
      </c>
    </row>
    <row r="22">
      <c r="A22" s="10" t="n">
        <v>21</v>
      </c>
      <c r="B22" s="10" t="inlineStr">
        <is>
          <t>2027-01-18</t>
        </is>
      </c>
      <c r="C22" s="10" t="inlineStr">
        <is>
          <t>2027-01-22</t>
        </is>
      </c>
      <c r="D22" s="11" t="inlineStr"/>
      <c r="E22" s="11" t="inlineStr">
        <is>
          <t>Sciezka pierwszego klienta na produkcji i decyzja GO</t>
        </is>
      </c>
      <c r="F22" s="10">
        <f>COUNTIF('Backlog do startu'!$G$2:$G$104,A22)</f>
        <v/>
      </c>
      <c r="G22" s="10">
        <f>SUMIF('Backlog do startu'!$G$2:$G$104,A22,'Backlog do startu'!$F$2:$F$104)</f>
        <v/>
      </c>
      <c r="H22" s="10" t="n">
        <v>30</v>
      </c>
      <c r="I22" s="12">
        <f>IFERROR(G22/H22,0)</f>
        <v/>
      </c>
      <c r="J22" s="11" t="inlineStr">
        <is>
          <t>Jedyny moment w całym planie, w którym powstaje dowód poziomu D3. Każdy nieudany krok wraca do backlogu jako bloker i przesuwa start. Zaplanowane 24 h zostawiają zapas na to, co wyjdzie.</t>
        </is>
      </c>
    </row>
  </sheetData>
  <autoFilter ref="A1:J22"/>
  <conditionalFormatting sqref="G2:G22">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2026-09-19T14:13:24Z</dcterms:created>
  <dcterms:modified xmlns:dcterms="http://purl.org/dc/terms/" xmlns:xsi="http://www.w3.org/2001/XMLSchema-instance" xsi:type="dcterms:W3CDTF">2026-09-19T14:13:25Z</dcterms:modified>
</cp:coreProperties>
</file>