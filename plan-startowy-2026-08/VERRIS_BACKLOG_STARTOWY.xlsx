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startu'!$A$1:$P$107</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startu'!$A$2:$A$107)</f>
        <v/>
      </c>
    </row>
    <row r="7">
      <c r="A7" s="4" t="inlineStr">
        <is>
          <t>Godzin w planie</t>
        </is>
      </c>
      <c r="B7" s="5">
        <f>SUM('Backlog do startu'!$F$2:$F$107)</f>
        <v/>
      </c>
    </row>
    <row r="8">
      <c r="A8" s="4" t="inlineStr">
        <is>
          <t>Pojemność</t>
        </is>
      </c>
      <c r="B8" s="5" t="n">
        <v>660</v>
      </c>
    </row>
    <row r="9">
      <c r="A9" s="4" t="inlineStr">
        <is>
          <t>Zapas</t>
        </is>
      </c>
      <c r="B9" s="5">
        <f>B7-B6</f>
        <v/>
      </c>
    </row>
    <row r="10">
      <c r="A10" s="6" t="inlineStr">
        <is>
          <t>Blokerów</t>
        </is>
      </c>
      <c r="B10" s="7">
        <f>COUNTIF('Backlog do startu'!$E$2:$E$107,"BLOKER STARTU")+COUNTIF('Backlog do startu'!$E$2:$E$107,"BLOKER BIZNESOWY")</f>
        <v/>
      </c>
    </row>
    <row r="11">
      <c r="A11" s="4" t="inlineStr">
        <is>
          <t>Zadań zrobionych</t>
        </is>
      </c>
      <c r="B11" s="5">
        <f>COUNTIF('Backlog do startu'!$P$2:$P$107,"zrobione")</f>
        <v/>
      </c>
    </row>
    <row r="12">
      <c r="A12" s="4" t="inlineStr">
        <is>
          <t>Godzin zrobionych</t>
        </is>
      </c>
      <c r="B12" s="5">
        <f>SUMIF('Backlog do startu'!$P$2:$P$107,"zrobione",'Backlog do startu'!$F$2:$F$107)</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sheetData>
  <autoFilter ref="A1:P107"/>
  <conditionalFormatting sqref="E2:E107">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7">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startu'!$G$2:$G$107,A2)</f>
        <v/>
      </c>
      <c r="G2" s="10">
        <f>SUMIF('Backlog do startu'!$G$2:$G$107,A2,'Backlog do startu'!$F$2:$F$107)</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startu'!$G$2:$G$107,A3)</f>
        <v/>
      </c>
      <c r="G3" s="10">
        <f>SUMIF('Backlog do startu'!$G$2:$G$107,A3,'Backlog do startu'!$F$2:$F$107)</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startu'!$G$2:$G$107,A4)</f>
        <v/>
      </c>
      <c r="G4" s="10">
        <f>SUMIF('Backlog do startu'!$G$2:$G$107,A4,'Backlog do startu'!$F$2:$F$107)</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startu'!$G$2:$G$107,A5)</f>
        <v/>
      </c>
      <c r="G5" s="10">
        <f>SUMIF('Backlog do startu'!$G$2:$G$107,A5,'Backlog do startu'!$F$2:$F$107)</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startu'!$G$2:$G$107,A6)</f>
        <v/>
      </c>
      <c r="G6" s="10">
        <f>SUMIF('Backlog do startu'!$G$2:$G$107,A6,'Backlog do startu'!$F$2:$F$107)</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startu'!$G$2:$G$107,A7)</f>
        <v/>
      </c>
      <c r="G7" s="10">
        <f>SUMIF('Backlog do startu'!$G$2:$G$107,A7,'Backlog do startu'!$F$2:$F$107)</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startu'!$G$2:$G$107,A8)</f>
        <v/>
      </c>
      <c r="G8" s="10">
        <f>SUMIF('Backlog do startu'!$G$2:$G$107,A8,'Backlog do startu'!$F$2:$F$107)</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startu'!$G$2:$G$107,A9)</f>
        <v/>
      </c>
      <c r="G9" s="10">
        <f>SUMIF('Backlog do startu'!$G$2:$G$107,A9,'Backlog do startu'!$F$2:$F$107)</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startu'!$G$2:$G$107,A10)</f>
        <v/>
      </c>
      <c r="G10" s="10">
        <f>SUMIF('Backlog do startu'!$G$2:$G$107,A10,'Backlog do startu'!$F$2:$F$107)</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startu'!$G$2:$G$107,A11)</f>
        <v/>
      </c>
      <c r="G11" s="10">
        <f>SUMIF('Backlog do startu'!$G$2:$G$107,A11,'Backlog do startu'!$F$2:$F$107)</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startu'!$G$2:$G$107,A12)</f>
        <v/>
      </c>
      <c r="G12" s="10">
        <f>SUMIF('Backlog do startu'!$G$2:$G$107,A12,'Backlog do startu'!$F$2:$F$107)</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startu'!$G$2:$G$107,A13)</f>
        <v/>
      </c>
      <c r="G13" s="10">
        <f>SUMIF('Backlog do startu'!$G$2:$G$107,A13,'Backlog do startu'!$F$2:$F$107)</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startu'!$G$2:$G$107,A14)</f>
        <v/>
      </c>
      <c r="G14" s="10">
        <f>SUMIF('Backlog do startu'!$G$2:$G$107,A14,'Backlog do startu'!$F$2:$F$107)</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startu'!$G$2:$G$107,A15)</f>
        <v/>
      </c>
      <c r="G15" s="10">
        <f>SUMIF('Backlog do startu'!$G$2:$G$107,A15,'Backlog do startu'!$F$2:$F$107)</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startu'!$G$2:$G$107,A16)</f>
        <v/>
      </c>
      <c r="G16" s="10">
        <f>SUMIF('Backlog do startu'!$G$2:$G$107,A16,'Backlog do startu'!$F$2:$F$107)</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startu'!$G$2:$G$107,A17)</f>
        <v/>
      </c>
      <c r="G17" s="10">
        <f>SUMIF('Backlog do startu'!$G$2:$G$107,A17,'Backlog do startu'!$F$2:$F$107)</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startu'!$G$2:$G$107,A18)</f>
        <v/>
      </c>
      <c r="G18" s="10">
        <f>SUMIF('Backlog do startu'!$G$2:$G$107,A18,'Backlog do startu'!$F$2:$F$107)</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startu'!$G$2:$G$107,A19)</f>
        <v/>
      </c>
      <c r="G19" s="10">
        <f>SUMIF('Backlog do startu'!$G$2:$G$107,A19,'Backlog do startu'!$F$2:$F$107)</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startu'!$G$2:$G$107,A20)</f>
        <v/>
      </c>
      <c r="G20" s="10">
        <f>SUMIF('Backlog do startu'!$G$2:$G$107,A20,'Backlog do startu'!$F$2:$F$107)</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startu'!$G$2:$G$107,A21)</f>
        <v/>
      </c>
      <c r="G21" s="10">
        <f>SUMIF('Backlog do startu'!$G$2:$G$107,A21,'Backlog do startu'!$F$2:$F$107)</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startu'!$G$2:$G$107,A22)</f>
        <v/>
      </c>
      <c r="G22" s="10">
        <f>SUMIF('Backlog do startu'!$G$2:$G$107,A22,'Backlog do startu'!$F$2:$F$107)</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startu'!$G$2:$G$107,A23)</f>
        <v/>
      </c>
      <c r="G23" s="10">
        <f>SUMIF('Backlog do startu'!$G$2:$G$107,A23,'Backlog do startu'!$F$2:$F$107)</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2026-09-24T15:40:12Z</dcterms:created>
  <dcterms:modified xmlns:dcterms="http://purl.org/dc/terms/" xmlns:xsi="http://www.w3.org/2001/XMLSchema-instance" xsi:type="dcterms:W3CDTF">2026-09-24T15:40:12Z</dcterms:modified>
</cp:coreProperties>
</file>