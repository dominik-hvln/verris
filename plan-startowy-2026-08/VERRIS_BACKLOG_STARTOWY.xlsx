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startu'!$A$1:$P$96</definedName>
    <definedName name="_xlnm._FilterDatabase" localSheetId="2" hidden="1">'Sprinty'!$A$1:$J$20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startu'!$A$2:$A$96)</f>
        <v/>
      </c>
    </row>
    <row r="7">
      <c r="A7" s="4" t="inlineStr">
        <is>
          <t>Godzin w planie</t>
        </is>
      </c>
      <c r="B7" s="5">
        <f>SUM('Backlog do startu'!$F$2:$F$96)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startu'!$E$2:$E$96,"BLOKER STARTU")+COUNTIF('Backlog do startu'!$E$2:$E$96,"BLOKER BIZNESOWY")</f>
        <v/>
      </c>
    </row>
    <row r="11">
      <c r="A11" s="4" t="inlineStr">
        <is>
          <t>Zadań zrobionych</t>
        </is>
      </c>
      <c r="B11" s="5">
        <f>COUNTIF('Backlog do startu'!$P$2:$P$96,"zrobione")</f>
        <v/>
      </c>
    </row>
    <row r="12">
      <c r="A12" s="4" t="inlineStr">
        <is>
          <t>Godzin zrobionych</t>
        </is>
      </c>
      <c r="B12" s="5">
        <f>SUMIF('Backlog do startu'!$P$2:$P$96,"zrobione",'Backlog do startu'!$F$2:$F$96)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CZĘŚCIOWE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Ograniczenie opisane w uwagach macierzy zniknęło; test potwierdza zachowanie także w scenariuszu awaryjnym.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DEV-01</t>
        </is>
      </c>
      <c r="B37" s="11" t="inlineStr">
        <is>
          <t>Baza deweloperska jest nieosiągalna, a `docker-compose.yml` opisuje stan, którego nie ma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7" s="10" t="inlineStr">
        <is>
          <t>do zrobienia</t>
        </is>
      </c>
    </row>
    <row r="38">
      <c r="A38" s="10" t="inlineStr">
        <is>
          <t>DEP-01</t>
        </is>
      </c>
      <c r="B38" s="11" t="inlineStr">
        <is>
          <t>Osiem otwartych pull requestów Dependabota, żaden niescalony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BRAK</t>
        </is>
      </c>
      <c r="L38" s="11" t="inlineStr">
        <is>
          <t>GitHub: 8 otwartych PR-ów, przebiegi CI #147–#150 od `dependabot[bot]`, 2026-08-28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8" s="10" t="inlineStr">
        <is>
          <t>do zrobienia</t>
        </is>
      </c>
    </row>
    <row r="39">
      <c r="A39" s="10" t="inlineStr">
        <is>
          <t>ENV-01</t>
        </is>
      </c>
      <c r="B39" s="11" t="inlineStr">
        <is>
          <t>Bramka lokalna biegnie na Node 20, CI na Node 22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ŚREDNIA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CZĘŚCIOWE</t>
        </is>
      </c>
      <c r="L39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9" s="11" t="inlineStr">
        <is>
          <t>—</t>
        </is>
      </c>
      <c r="N39" s="11" t="inlineStr">
        <is>
          <t>Ograniczenie opisane w uwagach macierzy zniknęło; test potwierdza zachowanie także w scenariuszu awaryjnym.</t>
        </is>
      </c>
      <c r="O39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</t>
        </is>
      </c>
      <c r="P39" s="10" t="inlineStr">
        <is>
          <t>do zrobienia</t>
        </is>
      </c>
    </row>
    <row r="40">
      <c r="A40" s="10" t="inlineStr">
        <is>
          <t>X-50</t>
        </is>
      </c>
      <c r="B40" s="11" t="inlineStr">
        <is>
          <t>Bramka podatnosci zatrzymuje cokolwiek — jest wymagana do merge i wolana przez wdrozenie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WYSOKA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40" s="10" t="inlineStr">
        <is>
          <t>do zrobienia</t>
        </is>
      </c>
    </row>
    <row r="41">
      <c r="A41" s="10" t="inlineStr">
        <is>
          <t>X-51</t>
        </is>
      </c>
      <c r="B41" s="11" t="inlineStr">
        <is>
          <t>Etykiety z dependabot.yml istnieja w repozytorium</t>
        </is>
      </c>
      <c r="C41" s="10" t="inlineStr">
        <is>
          <t>audyt</t>
        </is>
      </c>
      <c r="D41" s="10" t="inlineStr">
        <is>
          <t>X — Infrastruktura jakości</t>
        </is>
      </c>
      <c r="E41" s="10" t="inlineStr">
        <is>
          <t>NISKA</t>
        </is>
      </c>
      <c r="F41" s="10" t="n">
        <v>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utworzone etykiety dependencies, security, docker, ci — 9 -&gt; 13 etykiet w repozytorium; pokrywaja wszystkie trzy sekcje labels: w .github/dependabot.yml.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1" s="10" t="inlineStr">
        <is>
          <t>do zrobienia</t>
        </is>
      </c>
    </row>
    <row r="42">
      <c r="A42" s="10" t="inlineStr">
        <is>
          <t>SEC-07</t>
        </is>
      </c>
      <c r="B42" s="11" t="inlineStr">
        <is>
          <t>Trzy podatnosci HIGH w multerze — zdalny DoS bez uwierzytelnienia na sciezce uploadu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16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2" s="10" t="inlineStr">
        <is>
          <t>do zrobienia</t>
        </is>
      </c>
    </row>
    <row r="43">
      <c r="A43" s="10" t="inlineStr">
        <is>
          <t>SEC-08</t>
        </is>
      </c>
      <c r="B43" s="11" t="inlineStr">
        <is>
          <t>Dwa niezauwierzytelnione RCE w Next.js lezaly w drzewie 22 dni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DZIAŁA</t>
        </is>
      </c>
      <c r="L43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3" s="10" t="inlineStr">
        <is>
          <t>do zrobienia</t>
        </is>
      </c>
    </row>
    <row r="44">
      <c r="A44" s="10" t="inlineStr">
        <is>
          <t>PB-13</t>
        </is>
      </c>
      <c r="B44" s="11" t="inlineStr">
        <is>
          <t>Decyzja: własny KSeF czy integracja z programem księgowym</t>
        </is>
      </c>
      <c r="C44" s="10" t="inlineStr">
        <is>
          <t>poza audytem</t>
        </is>
      </c>
      <c r="D44" s="10" t="inlineStr">
        <is>
          <t>Praca spoza audytu</t>
        </is>
      </c>
      <c r="E44" s="10" t="inlineStr">
        <is>
          <t>BLOKER BIZNESOWY</t>
        </is>
      </c>
      <c r="F44" s="10" t="n">
        <v>6</v>
      </c>
      <c r="G44" s="10" t="n">
        <v>4</v>
      </c>
      <c r="H44" s="10" t="inlineStr">
        <is>
          <t>Faza 1 — Rozliczenia i dowód odtworzenia</t>
        </is>
      </c>
      <c r="I44" s="10" t="inlineStr">
        <is>
          <t>2026-09-21</t>
        </is>
      </c>
      <c r="J44" s="10" t="inlineStr">
        <is>
          <t>2026-09-25</t>
        </is>
      </c>
      <c r="K44" s="10" t="inlineStr">
        <is>
          <t>—</t>
        </is>
      </c>
      <c r="L44" s="11" t="inlineStr">
        <is>
          <t>—</t>
        </is>
      </c>
      <c r="M44" s="11" t="inlineStr">
        <is>
          <t>—</t>
        </is>
      </c>
      <c r="N44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4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4" s="10" t="inlineStr">
        <is>
          <t>do zrobienia</t>
        </is>
      </c>
    </row>
    <row r="45">
      <c r="A45" s="10" t="inlineStr">
        <is>
          <t>FAK-01</t>
        </is>
      </c>
      <c r="B45" s="11" t="inlineStr">
        <is>
          <t>Panel nie wystawia faktury VAT rownolegle z programem ksiegowym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—</t>
        </is>
      </c>
      <c r="F45" s="10" t="n">
        <v>16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5" s="11" t="inlineStr">
        <is>
          <t>PB-13 (kierunek fakturowania — zamkniete 2026-09-22)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docs/zadania/FAK-01-faktury-w-programie-ksiegowym.md</t>
        </is>
      </c>
      <c r="P45" s="10" t="inlineStr">
        <is>
          <t>do zrobienia</t>
        </is>
      </c>
    </row>
    <row r="46">
      <c r="A46" s="10" t="inlineStr">
        <is>
          <t>X-03</t>
        </is>
      </c>
      <c r="B46" s="11" t="inlineStr">
        <is>
          <t>Testy uruchamiane przed wdrożeniem</t>
        </is>
      </c>
      <c r="C46" s="10" t="inlineStr">
        <is>
          <t>audyt</t>
        </is>
      </c>
      <c r="D46" s="10" t="inlineStr">
        <is>
          <t>X — Infrastruktura jakości</t>
        </is>
      </c>
      <c r="E46" s="10" t="inlineStr">
        <is>
          <t>WYSOKA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DZIAŁA</t>
        </is>
      </c>
      <c r="L46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6" s="11" t="inlineStr">
        <is>
          <t>—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6" s="10" t="inlineStr">
        <is>
          <t>do zrobienia</t>
        </is>
      </c>
    </row>
    <row r="47">
      <c r="A47" s="10" t="inlineStr">
        <is>
          <t>PB-14</t>
        </is>
      </c>
      <c r="B47" s="11" t="inlineStr">
        <is>
          <t>Wybór dostawcy i lokalizacji węzła produkcyjnego #1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6</v>
      </c>
      <c r="G47" s="10" t="n">
        <v>5</v>
      </c>
      <c r="H47" s="10" t="inlineStr">
        <is>
          <t>Faza 1 — Rozliczenia i dowód odtworzenia</t>
        </is>
      </c>
      <c r="I47" s="10" t="inlineStr">
        <is>
          <t>2026-09-28</t>
        </is>
      </c>
      <c r="J47" s="10" t="inlineStr">
        <is>
          <t>2026-10-02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7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7" s="10" t="inlineStr">
        <is>
          <t>do zrobienia</t>
        </is>
      </c>
    </row>
    <row r="48">
      <c r="A48" s="10" t="inlineStr">
        <is>
          <t>Z-18</t>
        </is>
      </c>
      <c r="B48" s="11" t="inlineStr">
        <is>
          <t>Prawdziwa przyczyna błędu provisioningu nie ginie po drodze (część)</t>
        </is>
      </c>
      <c r="C48" s="10" t="inlineStr">
        <is>
          <t>audyt</t>
        </is>
      </c>
      <c r="D48" s="10" t="inlineStr">
        <is>
          <t>Z — Pass adwersaryjny</t>
        </is>
      </c>
      <c r="E48" s="10" t="inlineStr">
        <is>
          <t>BLOKER STARTU</t>
        </is>
      </c>
      <c r="F48" s="10" t="n">
        <v>2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8" s="10" t="inlineStr">
        <is>
          <t>do zrobienia</t>
        </is>
      </c>
    </row>
    <row r="49">
      <c r="A49" s="10" t="inlineStr">
        <is>
          <t>NODE-02</t>
        </is>
      </c>
      <c r="B49" s="11" t="inlineStr">
        <is>
          <t>`main()` nie sprawdza kodów powrotu</t>
        </is>
      </c>
      <c r="C49" s="10" t="inlineStr">
        <is>
          <t>audyt</t>
        </is>
      </c>
      <c r="D49" s="10" t="inlineStr">
        <is>
          <t>Q — Przewaga</t>
        </is>
      </c>
      <c r="E49" s="10" t="inlineStr">
        <is>
          <t>WYSOKA</t>
        </is>
      </c>
      <c r="F49" s="10" t="n">
        <v>6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BRAK</t>
        </is>
      </c>
      <c r="L49" s="11" t="inlineStr">
        <is>
          <t>odczyt obu skryptów — `log_fail` ustawia `FAIL=1`, brak sprawdzenia returnów w `main`</t>
        </is>
      </c>
      <c r="M49" s="11" t="inlineStr">
        <is>
          <t>—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</t>
        </is>
      </c>
      <c r="P49" s="10" t="inlineStr">
        <is>
          <t>do zrobienia</t>
        </is>
      </c>
    </row>
    <row r="50">
      <c r="A50" s="10" t="inlineStr">
        <is>
          <t>J-01</t>
        </is>
      </c>
      <c r="B50" s="11" t="inlineStr">
        <is>
          <t>LiteSpeed / serwer o wysokiej wydajności</t>
        </is>
      </c>
      <c r="C50" s="10" t="inlineStr">
        <is>
          <t>audyt</t>
        </is>
      </c>
      <c r="D50" s="10" t="inlineStr">
        <is>
          <t>J — Wydajność i cache</t>
        </is>
      </c>
      <c r="E50" s="10" t="inlineStr">
        <is>
          <t>WYSOKA</t>
        </is>
      </c>
      <c r="F50" s="10" t="n">
        <v>6</v>
      </c>
      <c r="G50" s="10" t="n">
        <v>6</v>
      </c>
      <c r="H50" s="10" t="inlineStr">
        <is>
          <t>Faza 1 — Rozliczenia i dowód odtworzenia</t>
        </is>
      </c>
      <c r="I50" s="10" t="inlineStr">
        <is>
          <t>2026-10-05</t>
        </is>
      </c>
      <c r="J50" s="10" t="inlineStr">
        <is>
          <t>2026-10-09</t>
        </is>
      </c>
      <c r="K50" s="10" t="inlineStr">
        <is>
          <t>b.d.</t>
        </is>
      </c>
      <c r="L50" s="11" t="inlineStr">
        <is>
          <t>decyzja infrastrukturalna, poza kodem panelu</t>
        </is>
      </c>
      <c r="M50" s="11" t="inlineStr">
        <is>
          <t>—</t>
        </is>
      </c>
      <c r="N50" s="11" t="inlineStr">
        <is>
          <t>Stan zweryfikowany na produkcji z timestampem (poziom D3), wynik zapisany w repo.</t>
        </is>
      </c>
      <c r="O5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50" s="10" t="inlineStr">
        <is>
          <t>do zrobienia</t>
        </is>
      </c>
    </row>
    <row r="51">
      <c r="A51" s="10" t="inlineStr">
        <is>
          <t>PB-02</t>
        </is>
      </c>
      <c r="B51" s="11" t="inlineStr">
        <is>
          <t>Onboarding produkcyjnego węzła #1 (EX63)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6</v>
      </c>
      <c r="H51" s="10" t="inlineStr">
        <is>
          <t>Faza 1 — Rozliczenia i dowód odtworzenia</t>
        </is>
      </c>
      <c r="I51" s="10" t="inlineStr">
        <is>
          <t>2026-10-05</t>
        </is>
      </c>
      <c r="J51" s="10" t="inlineStr">
        <is>
          <t>2026-10-09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—</t>
        </is>
      </c>
      <c r="N51" s="11" t="inlineStr">
        <is>
          <t>Węzeł przechodzi wszystkie 14 checków live-readiness. /etc/verris-backup.conf istnieje, pierwszy backup off-site wykonany i zaraportowany do control-plane.</t>
        </is>
      </c>
      <c r="O51" s="11" t="inlineStr">
        <is>
          <t>Pełny przebieg node-onboard-live.sh na docelowym serwerze, z konfiguracją backupu off-site jako krokiem obowiązkowym.</t>
        </is>
      </c>
      <c r="P51" s="10" t="inlineStr">
        <is>
          <t>do zrobienia</t>
        </is>
      </c>
    </row>
    <row r="52">
      <c r="A52" s="10" t="inlineStr">
        <is>
          <t>SEC-05</t>
        </is>
      </c>
      <c r="B52" s="11" t="inlineStr">
        <is>
          <t>Log egressu jest próbką, nie zapisem</t>
        </is>
      </c>
      <c r="C52" s="10" t="inlineStr">
        <is>
          <t>audyt</t>
        </is>
      </c>
      <c r="D52" s="10" t="inlineStr">
        <is>
          <t>G — SSL i bezpieczeństwo</t>
        </is>
      </c>
      <c r="E52" s="10" t="inlineStr">
        <is>
          <t>WYSOKA</t>
        </is>
      </c>
      <c r="F52" s="10" t="n">
        <v>6</v>
      </c>
      <c r="G52" s="10" t="n">
        <v>7</v>
      </c>
      <c r="H52" s="10" t="inlineStr">
        <is>
          <t>Faza 1 — Rozliczenia i dowód odtworzenia</t>
        </is>
      </c>
      <c r="I52" s="10" t="inlineStr">
        <is>
          <t>2026-10-12</t>
        </is>
      </c>
      <c r="J52" s="10" t="inlineStr">
        <is>
          <t>2026-10-16</t>
        </is>
      </c>
      <c r="K52" s="10" t="inlineStr">
        <is>
          <t>BRAK</t>
        </is>
      </c>
      <c r="L52" s="11" t="inlineStr">
        <is>
          <t>1 814 000 pakietów (RETURN) wobec 1796 wpisów w journalctl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</t>
        </is>
      </c>
      <c r="P52" s="10" t="inlineStr">
        <is>
          <t>do zrobienia</t>
        </is>
      </c>
    </row>
    <row r="53">
      <c r="A53" s="10" t="inlineStr">
        <is>
          <t>SEC-04</t>
        </is>
      </c>
      <c r="B53" s="11" t="inlineStr">
        <is>
          <t>Host rozmawia z kontenerami przez OUTPUT — ruch wewnętrzny liczony jako egress</t>
        </is>
      </c>
      <c r="C53" s="10" t="inlineStr">
        <is>
          <t>audyt</t>
        </is>
      </c>
      <c r="D53" s="10" t="inlineStr">
        <is>
          <t>G — SSL i bezpieczeństwo</t>
        </is>
      </c>
      <c r="E53" s="10" t="inlineStr">
        <is>
          <t>WYSOKA</t>
        </is>
      </c>
      <c r="F53" s="10" t="n">
        <v>6</v>
      </c>
      <c r="G53" s="10" t="n">
        <v>7</v>
      </c>
      <c r="H53" s="10" t="inlineStr">
        <is>
          <t>Faza 1 — Rozliczenia i dowód odtworzenia</t>
        </is>
      </c>
      <c r="I53" s="10" t="inlineStr">
        <is>
          <t>2026-10-12</t>
        </is>
      </c>
      <c r="J53" s="10" t="inlineStr">
        <is>
          <t>2026-10-16</t>
        </is>
      </c>
      <c r="K53" s="10" t="inlineStr">
        <is>
          <t>BRAK</t>
        </is>
      </c>
      <c r="L53" s="11" t="inlineStr">
        <is>
          <t>journalctl -k, 48 h: 15 wpisów DPT=443 + 5 wpisów DPT=80 na 172.19.0.3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</t>
        </is>
      </c>
      <c r="P53" s="10" t="inlineStr">
        <is>
          <t>do zrobienia</t>
        </is>
      </c>
    </row>
    <row r="54">
      <c r="A54" s="10" t="inlineStr">
        <is>
          <t>SEC-01</t>
        </is>
      </c>
      <c r="B54" s="11" t="inlineStr">
        <is>
          <t>Tryb `--strict` jest atrapą</t>
        </is>
      </c>
      <c r="C54" s="10" t="inlineStr">
        <is>
          <t>audyt</t>
        </is>
      </c>
      <c r="D54" s="10" t="inlineStr">
        <is>
          <t>G — SSL i bezpieczeństwo</t>
        </is>
      </c>
      <c r="E54" s="10" t="inlineStr">
        <is>
          <t>WYSOKA</t>
        </is>
      </c>
      <c r="F54" s="10" t="n">
        <v>16</v>
      </c>
      <c r="G54" s="10" t="n">
        <v>7</v>
      </c>
      <c r="H54" s="10" t="inlineStr">
        <is>
          <t>Faza 1 — Rozliczenia i dowód odtworzenia</t>
        </is>
      </c>
      <c r="I54" s="10" t="inlineStr">
        <is>
          <t>2026-10-12</t>
        </is>
      </c>
      <c r="J54" s="10" t="inlineStr">
        <is>
          <t>2026-10-16</t>
        </is>
      </c>
      <c r="K54" s="10" t="inlineStr">
        <is>
          <t>BRAK</t>
        </is>
      </c>
      <c r="L54" s="11" t="inlineStr">
        <is>
          <t>Panel: łańcuch = 2× RETURN, bez DROP; 1 814 000 pakietów przeszło ostatnim RETURN-em; `cgroup --path: NIEDOSTEPNE`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</t>
        </is>
      </c>
      <c r="P54" s="10" t="inlineStr">
        <is>
          <t>do zrobienia</t>
        </is>
      </c>
    </row>
    <row r="55">
      <c r="A55" s="10" t="inlineStr">
        <is>
          <t>X-41</t>
        </is>
      </c>
      <c r="B55" s="11" t="inlineStr">
        <is>
          <t>Hardening egressu wisi w łańcuchu OUTPUT, a ruch kontenerów idzie przez FORWARD</t>
        </is>
      </c>
      <c r="C55" s="10" t="inlineStr">
        <is>
          <t>audyt</t>
        </is>
      </c>
      <c r="D55" s="10" t="inlineStr">
        <is>
          <t>X — Infrastruktura jakości</t>
        </is>
      </c>
      <c r="E55" s="10" t="inlineStr">
        <is>
          <t>WYSOKA</t>
        </is>
      </c>
      <c r="F55" s="10" t="n">
        <v>16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obserwacja wpięta w DOCKER-USER, 1674 pakiety zliczone, 0 DROP/REJECT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55" s="10" t="inlineStr">
        <is>
          <t>do zrobienia</t>
        </is>
      </c>
    </row>
    <row r="56">
      <c r="A56" s="10" t="inlineStr">
        <is>
          <t>SEC-03</t>
        </is>
      </c>
      <c r="B56" s="11" t="inlineStr">
        <is>
          <t>Ruch poza TCP/80 i TCP/443 — DNS (UDP/53), SMTP — nie jest objęty ani obserwacją z X-41, ani trybem strict</t>
        </is>
      </c>
      <c r="C56" s="10" t="inlineStr">
        <is>
          <t>audyt</t>
        </is>
      </c>
      <c r="D56" s="10" t="inlineStr">
        <is>
          <t>G — SSL i bezpieczeństwo</t>
        </is>
      </c>
      <c r="E56" s="10" t="inlineStr">
        <is>
          <t>WYSOKA</t>
        </is>
      </c>
      <c r="F56" s="10" t="n">
        <v>16</v>
      </c>
      <c r="G56" s="10" t="n">
        <v>8</v>
      </c>
      <c r="H56" s="10" t="inlineStr">
        <is>
          <t>Faza 1 — Rozliczenia i dowód odtworzenia</t>
        </is>
      </c>
      <c r="I56" s="10" t="inlineStr">
        <is>
          <t>2026-10-19</t>
        </is>
      </c>
      <c r="J56" s="10" t="inlineStr">
        <is>
          <t>2026-10-23</t>
        </is>
      </c>
      <c r="K56" s="10" t="inlineStr">
        <is>
          <t>BRAK</t>
        </is>
      </c>
      <c r="L56" s="11" t="inlineStr">
        <is>
          <t>zakres reguł w `security-control-plane-egress.sh`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56" s="10" t="inlineStr">
        <is>
          <t>do zrobienia</t>
        </is>
      </c>
    </row>
    <row r="57">
      <c r="A57" s="10" t="inlineStr">
        <is>
          <t>SEC-06</t>
        </is>
      </c>
      <c r="B57" s="11" t="inlineStr">
        <is>
          <t>Allowlista pokrywa to, o czym ktoś pomyślał, nie to, co host robi</t>
        </is>
      </c>
      <c r="C57" s="10" t="inlineStr">
        <is>
          <t>audyt</t>
        </is>
      </c>
      <c r="D57" s="10" t="inlineStr">
        <is>
          <t>G — SSL i bezpieczeństwo</t>
        </is>
      </c>
      <c r="E57" s="10" t="inlineStr">
        <is>
          <t>WYSOKA</t>
        </is>
      </c>
      <c r="F57" s="10" t="n">
        <v>16</v>
      </c>
      <c r="G57" s="10" t="n">
        <v>9</v>
      </c>
      <c r="H57" s="10" t="inlineStr">
        <is>
          <t>Faza 2 — Odzyskanie funkcji-widm i luki pierwszego tygodnia</t>
        </is>
      </c>
      <c r="I57" s="10" t="inlineStr">
        <is>
          <t>2026-10-26</t>
        </is>
      </c>
      <c r="J57" s="10" t="inlineStr">
        <is>
          <t>2026-10-30</t>
        </is>
      </c>
      <c r="K57" s="10" t="inlineStr">
        <is>
          <t>BRAK</t>
        </is>
      </c>
      <c r="L57" s="11" t="inlineStr">
        <is>
          <t>ipset test verris_egress_https na 4 celach z logu egressu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</t>
        </is>
      </c>
      <c r="P57" s="10" t="inlineStr">
        <is>
          <t>do zrobienia</t>
        </is>
      </c>
    </row>
    <row r="58">
      <c r="A58" s="10" t="inlineStr">
        <is>
          <t>SEC-02</t>
        </is>
      </c>
      <c r="B58" s="11" t="inlineStr">
        <is>
          <t>Stripe jest w allowliście wyłącznie po nazwie, a ipset powstaje z rozwiązania nazw</t>
        </is>
      </c>
      <c r="C58" s="10" t="inlineStr">
        <is>
          <t>audyt</t>
        </is>
      </c>
      <c r="D58" s="10" t="inlineStr">
        <is>
          <t>G — SSL i bezpieczeństwo</t>
        </is>
      </c>
      <c r="E58" s="10" t="inlineStr">
        <is>
          <t>ŚREDNIA</t>
        </is>
      </c>
      <c r="F58" s="10" t="n">
        <v>6</v>
      </c>
      <c r="G58" s="10" t="n">
        <v>9</v>
      </c>
      <c r="H58" s="10" t="inlineStr">
        <is>
          <t>Faza 2 — Odzyskanie funkcji-widm i luki pierwszego tygodnia</t>
        </is>
      </c>
      <c r="I58" s="10" t="inlineStr">
        <is>
          <t>2026-10-26</t>
        </is>
      </c>
      <c r="J58" s="10" t="inlineStr">
        <is>
          <t>2026-10-30</t>
        </is>
      </c>
      <c r="K58" s="10" t="inlineStr">
        <is>
          <t>BRAK</t>
        </is>
      </c>
      <c r="L58" s="11" t="inlineStr">
        <is>
          <t>`egress-allow-hostnames.txt`; ipset `verris_egress_https` = 65 wpisów</t>
        </is>
      </c>
      <c r="M58" s="11" t="inlineStr">
        <is>
          <t>—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58" s="10" t="inlineStr">
        <is>
          <t>do zrobienia</t>
        </is>
      </c>
    </row>
    <row r="59">
      <c r="A59" s="10" t="inlineStr">
        <is>
          <t>NODE-03</t>
        </is>
      </c>
      <c r="B59" s="11" t="inlineStr">
        <is>
          <t>Pojemność węzła nigdy się nie odświeża</t>
        </is>
      </c>
      <c r="C59" s="10" t="inlineStr">
        <is>
          <t>audyt</t>
        </is>
      </c>
      <c r="D59" s="10" t="inlineStr">
        <is>
          <t>Q — Przewaga</t>
        </is>
      </c>
      <c r="E59" s="10" t="inlineStr">
        <is>
          <t>ŚREDNIA</t>
        </is>
      </c>
      <c r="F59" s="10" t="n">
        <v>6</v>
      </c>
      <c r="G59" s="10" t="n">
        <v>9</v>
      </c>
      <c r="H59" s="10" t="inlineStr">
        <is>
          <t>Faza 2 — Odzyskanie funkcji-widm i luki pierwszego tygodnia</t>
        </is>
      </c>
      <c r="I59" s="10" t="inlineStr">
        <is>
          <t>2026-10-26</t>
        </is>
      </c>
      <c r="J59" s="10" t="inlineStr">
        <is>
          <t>2026-10-30</t>
        </is>
      </c>
      <c r="K59" s="10" t="inlineStr">
        <is>
          <t>BRAK</t>
        </is>
      </c>
      <c r="L59" s="11" t="inlineStr">
        <is>
          <t>`schema.prisma:454` wobec `telemetry.service.ts:48-72`</t>
        </is>
      </c>
      <c r="M59" s="11" t="inlineStr">
        <is>
          <t>—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59" s="10" t="inlineStr">
        <is>
          <t>do zrobienia</t>
        </is>
      </c>
    </row>
    <row r="60">
      <c r="A60" s="10" t="inlineStr">
        <is>
          <t>X-31</t>
        </is>
      </c>
      <c r="B60" s="11" t="inlineStr">
        <is>
          <t>Kanał alertów daje znak życia (dead man's switch)</t>
        </is>
      </c>
      <c r="C60" s="10" t="inlineStr">
        <is>
          <t>audyt</t>
        </is>
      </c>
      <c r="D60" s="10" t="inlineStr">
        <is>
          <t>X — Infrastruktura jakości</t>
        </is>
      </c>
      <c r="E60" s="10" t="inlineStr">
        <is>
          <t>—</t>
        </is>
      </c>
      <c r="F60" s="10" t="n">
        <v>6</v>
      </c>
      <c r="G60" s="10" t="n">
        <v>10</v>
      </c>
      <c r="H60" s="10" t="inlineStr">
        <is>
          <t>Faza 2 — Odzyskanie funkcji-widm i luki pierwszego tygodnia</t>
        </is>
      </c>
      <c r="I60" s="10" t="inlineStr">
        <is>
          <t>2026-11-02</t>
        </is>
      </c>
      <c r="J60" s="10" t="inlineStr">
        <is>
          <t>2026-11-06</t>
        </is>
      </c>
      <c r="K60" s="10" t="inlineStr">
        <is>
          <t>CZĘŚCIOWE</t>
        </is>
      </c>
      <c r="L60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0" s="11" t="inlineStr">
        <is>
          <t>—</t>
        </is>
      </c>
      <c r="N60" s="11" t="inlineStr">
        <is>
          <t>Ograniczenie opisane w uwagach macierzy zniknęło; test potwierdza zachowanie także w scenariuszu awaryjnym.</t>
        </is>
      </c>
      <c r="O60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60" s="10" t="inlineStr">
        <is>
          <t>do zrobienia</t>
        </is>
      </c>
    </row>
    <row r="61">
      <c r="A61" s="10" t="inlineStr">
        <is>
          <t>X-32</t>
        </is>
      </c>
      <c r="B61" s="11" t="inlineStr">
        <is>
          <t>Martwy job da się odrzucić z panelu, ze śladem w audycie</t>
        </is>
      </c>
      <c r="C61" s="10" t="inlineStr">
        <is>
          <t>audyt</t>
        </is>
      </c>
      <c r="D61" s="10" t="inlineStr">
        <is>
          <t>X — Infrastruktura jakości</t>
        </is>
      </c>
      <c r="E61" s="10" t="inlineStr">
        <is>
          <t>—</t>
        </is>
      </c>
      <c r="F61" s="10" t="n">
        <v>6</v>
      </c>
      <c r="G61" s="10" t="n">
        <v>10</v>
      </c>
      <c r="H61" s="10" t="inlineStr">
        <is>
          <t>Faza 2 — Odzyskanie funkcji-widm i luki pierwszego tygodnia</t>
        </is>
      </c>
      <c r="I61" s="10" t="inlineStr">
        <is>
          <t>2026-11-02</t>
        </is>
      </c>
      <c r="J61" s="10" t="inlineStr">
        <is>
          <t>2026-11-06</t>
        </is>
      </c>
      <c r="K61" s="10" t="inlineStr">
        <is>
          <t>CZĘŚCIOWE</t>
        </is>
      </c>
      <c r="L61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61" s="10" t="inlineStr">
        <is>
          <t>do zrobienia</t>
        </is>
      </c>
    </row>
    <row r="62">
      <c r="A62" s="10" t="inlineStr">
        <is>
          <t>DEP-02</t>
        </is>
      </c>
      <c r="B62" s="11" t="inlineStr">
        <is>
          <t>W drzewie stoją dwa majory ESLinta naraz</t>
        </is>
      </c>
      <c r="C62" s="10" t="inlineStr">
        <is>
          <t>audyt</t>
        </is>
      </c>
      <c r="D62" s="10" t="inlineStr">
        <is>
          <t>X — Infrastruktura jakości</t>
        </is>
      </c>
      <c r="E62" s="10" t="inlineStr">
        <is>
          <t>ŚREDNIA</t>
        </is>
      </c>
      <c r="F62" s="10" t="n">
        <v>6</v>
      </c>
      <c r="G62" s="10" t="n">
        <v>10</v>
      </c>
      <c r="H62" s="10" t="inlineStr">
        <is>
          <t>Faza 2 — Odzyskanie funkcji-widm i luki pierwszego tygodnia</t>
        </is>
      </c>
      <c r="I62" s="10" t="inlineStr">
        <is>
          <t>2026-11-02</t>
        </is>
      </c>
      <c r="J62" s="10" t="inlineStr">
        <is>
          <t>2026-11-06</t>
        </is>
      </c>
      <c r="K62" s="10" t="inlineStr">
        <is>
          <t>BRAK</t>
        </is>
      </c>
      <c r="L62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2" s="10" t="inlineStr">
        <is>
          <t>do zrobienia</t>
        </is>
      </c>
    </row>
    <row r="63">
      <c r="A63" s="10" t="inlineStr">
        <is>
          <t>M-08</t>
        </is>
      </c>
      <c r="B63" s="11" t="inlineStr">
        <is>
          <t>Anulowanie faktury (VOID) z panelu</t>
        </is>
      </c>
      <c r="C63" s="10" t="inlineStr">
        <is>
          <t>audyt</t>
        </is>
      </c>
      <c r="D63" s="10" t="inlineStr">
        <is>
          <t>M — Rozliczenia</t>
        </is>
      </c>
      <c r="E63" s="10" t="inlineStr">
        <is>
          <t>WYSOKA</t>
        </is>
      </c>
      <c r="F63" s="10" t="n">
        <v>6</v>
      </c>
      <c r="G63" s="10" t="n">
        <v>10</v>
      </c>
      <c r="H63" s="10" t="inlineStr">
        <is>
          <t>Faza 2 — Odzyskanie funkcji-widm i luki pierwszego tygodnia</t>
        </is>
      </c>
      <c r="I63" s="10" t="inlineStr">
        <is>
          <t>2026-11-02</t>
        </is>
      </c>
      <c r="J63" s="10" t="inlineStr">
        <is>
          <t>2026-11-06</t>
        </is>
      </c>
      <c r="K63" s="10" t="inlineStr">
        <is>
          <t>BRAK</t>
        </is>
      </c>
      <c r="L63" s="11" t="inlineStr">
        <is>
          <t>InvoiceStatus.VOID w schema.prisma:1354 nigdy nie ustawiany</t>
        </is>
      </c>
      <c r="M63" s="11" t="inlineStr">
        <is>
          <t>—</t>
        </is>
      </c>
      <c r="N63" s="11" t="inlineStr">
        <is>
          <t>Funkcja dostępna z panelu klienta bez wychodzenia do DirectAdmina; test uruchamiany w CI.</t>
        </is>
      </c>
      <c r="O63" s="11" t="inlineStr"/>
      <c r="P63" s="10" t="inlineStr">
        <is>
          <t>do zrobienia</t>
        </is>
      </c>
    </row>
    <row r="64">
      <c r="A64" s="10" t="inlineStr">
        <is>
          <t>C-18</t>
        </is>
      </c>
      <c r="B64" s="11" t="inlineStr">
        <is>
          <t>Konto FTP — zmiana hasła</t>
        </is>
      </c>
      <c r="C64" s="10" t="inlineStr">
        <is>
          <t>audyt</t>
        </is>
      </c>
      <c r="D64" s="10" t="inlineStr">
        <is>
          <t>C — Pliki, FTP, SSH, Git</t>
        </is>
      </c>
      <c r="E64" s="10" t="inlineStr">
        <is>
          <t>WYSOKA</t>
        </is>
      </c>
      <c r="F64" s="10" t="n">
        <v>6</v>
      </c>
      <c r="G64" s="10" t="n">
        <v>10</v>
      </c>
      <c r="H64" s="10" t="inlineStr">
        <is>
          <t>Faza 2 — Odzyskanie funkcji-widm i luki pierwszego tygodnia</t>
        </is>
      </c>
      <c r="I64" s="10" t="inlineStr">
        <is>
          <t>2026-11-02</t>
        </is>
      </c>
      <c r="J64" s="10" t="inlineStr">
        <is>
          <t>2026-11-06</t>
        </is>
      </c>
      <c r="K64" s="10" t="inlineStr">
        <is>
          <t>BRAK</t>
        </is>
      </c>
      <c r="L64" s="11" t="inlineStr">
        <is>
          <t>—</t>
        </is>
      </c>
      <c r="M64" s="11" t="inlineStr">
        <is>
          <t>—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brak jakiejkolwiek ścieżki edycji istniejącego konta</t>
        </is>
      </c>
      <c r="P64" s="10" t="inlineStr">
        <is>
          <t>do zrobienia</t>
        </is>
      </c>
    </row>
    <row r="65">
      <c r="A65" s="10" t="inlineStr">
        <is>
          <t>F-01</t>
        </is>
      </c>
      <c r="B65" s="11" t="inlineStr">
        <is>
          <t>Edytor rekordów DNS (A/CNAME/MX/TXT)</t>
        </is>
      </c>
      <c r="C65" s="10" t="inlineStr">
        <is>
          <t>audyt</t>
        </is>
      </c>
      <c r="D65" s="10" t="inlineStr">
        <is>
          <t>F — DNS</t>
        </is>
      </c>
      <c r="E65" s="10" t="inlineStr">
        <is>
          <t>WYSOKA</t>
        </is>
      </c>
      <c r="F65" s="10" t="n">
        <v>6</v>
      </c>
      <c r="G65" s="10" t="n">
        <v>11</v>
      </c>
      <c r="H65" s="10" t="inlineStr">
        <is>
          <t>Faza 2 — Odzyskanie funkcji-widm i luki pierwszego tygodnia</t>
        </is>
      </c>
      <c r="I65" s="10" t="inlineStr">
        <is>
          <t>2026-11-09</t>
        </is>
      </c>
      <c r="J65" s="10" t="inlineStr">
        <is>
          <t>2026-11-13</t>
        </is>
      </c>
      <c r="K65" s="10" t="inlineStr">
        <is>
          <t>ATRAPA</t>
        </is>
      </c>
      <c r="L65" s="11" t="inlineStr">
        <is>
          <t>dns-manager.tsx:79,91 — komponent osierocony; dns/page.tsx:15 przekierowuje gdzie indziej</t>
        </is>
      </c>
      <c r="M65" s="11" t="inlineStr">
        <is>
          <t>—</t>
        </is>
      </c>
      <c r="N65" s="11" t="inlineStr">
        <is>
          <t>Kontroler rejestruje trasę, którą woła panel; kliknięcie kończy się realnym efektem, nie 404. Test pokrywa ścieżkę UI→API→zasób.</t>
        </is>
      </c>
      <c r="O65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65" s="10" t="inlineStr">
        <is>
          <t>do zrobienia</t>
        </is>
      </c>
    </row>
    <row r="66">
      <c r="A66" s="10" t="inlineStr">
        <is>
          <t>F-02</t>
        </is>
      </c>
      <c r="B66" s="11" t="inlineStr">
        <is>
          <t>Rekordy SRV / CAA</t>
        </is>
      </c>
      <c r="C66" s="10" t="inlineStr">
        <is>
          <t>audyt</t>
        </is>
      </c>
      <c r="D66" s="10" t="inlineStr">
        <is>
          <t>F — DNS</t>
        </is>
      </c>
      <c r="E66" s="10" t="inlineStr">
        <is>
          <t>WYSOKA</t>
        </is>
      </c>
      <c r="F66" s="10" t="n">
        <v>6</v>
      </c>
      <c r="G66" s="10" t="n">
        <v>11</v>
      </c>
      <c r="H66" s="10" t="inlineStr">
        <is>
          <t>Faza 2 — Odzyskanie funkcji-widm i luki pierwszego tygodnia</t>
        </is>
      </c>
      <c r="I66" s="10" t="inlineStr">
        <is>
          <t>2026-11-09</t>
        </is>
      </c>
      <c r="J66" s="10" t="inlineStr">
        <is>
          <t>2026-11-13</t>
        </is>
      </c>
      <c r="K66" s="10" t="inlineStr">
        <is>
          <t>ATRAPA</t>
        </is>
      </c>
      <c r="L66" s="11" t="inlineStr">
        <is>
          <t>j.w.</t>
        </is>
      </c>
      <c r="M66" s="11" t="inlineStr">
        <is>
          <t>F-01 (ten sam edytor)</t>
        </is>
      </c>
      <c r="N66" s="11" t="inlineStr">
        <is>
          <t>Kontroler rejestruje trasę, którą woła panel; kliknięcie kończy się realnym efektem, nie 404. Test pokrywa ścieżkę UI→API→zasób.</t>
        </is>
      </c>
      <c r="O66" s="11" t="inlineStr"/>
      <c r="P66" s="10" t="inlineStr">
        <is>
          <t>do zrobienia</t>
        </is>
      </c>
    </row>
    <row r="67">
      <c r="A67" s="10" t="inlineStr">
        <is>
          <t>B-01</t>
        </is>
      </c>
      <c r="B67" s="11" t="inlineStr">
        <is>
          <t>Zmiana wersji PHP dla całego konta</t>
        </is>
      </c>
      <c r="C67" s="10" t="inlineStr">
        <is>
          <t>audyt</t>
        </is>
      </c>
      <c r="D67" s="10" t="inlineStr">
        <is>
          <t>B — Runtime WWW</t>
        </is>
      </c>
      <c r="E67" s="10" t="inlineStr">
        <is>
          <t>WYSOKA</t>
        </is>
      </c>
      <c r="F67" s="10" t="n">
        <v>6</v>
      </c>
      <c r="G67" s="10" t="n">
        <v>11</v>
      </c>
      <c r="H67" s="10" t="inlineStr">
        <is>
          <t>Faza 2 — Odzyskanie funkcji-widm i luki pierwszego tygodnia</t>
        </is>
      </c>
      <c r="I67" s="10" t="inlineStr">
        <is>
          <t>2026-11-09</t>
        </is>
      </c>
      <c r="J67" s="10" t="inlineStr">
        <is>
          <t>2026-11-13</t>
        </is>
      </c>
      <c r="K67" s="10" t="inlineStr">
        <is>
          <t>CZĘŚCIOWE</t>
        </is>
      </c>
      <c r="L67" s="11" t="inlineStr">
        <is>
          <t>services.controller.ts:125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</t>
        </is>
      </c>
      <c r="P67" s="10" t="inlineStr">
        <is>
          <t>do zrobienia</t>
        </is>
      </c>
    </row>
    <row r="68">
      <c r="A68" s="10" t="inlineStr">
        <is>
          <t>J-04</t>
        </is>
      </c>
      <c r="B68" s="11" t="inlineStr">
        <is>
          <t>HTTP/3</t>
        </is>
      </c>
      <c r="C68" s="10" t="inlineStr">
        <is>
          <t>audyt</t>
        </is>
      </c>
      <c r="D68" s="10" t="inlineStr">
        <is>
          <t>J — Wydajność i cache</t>
        </is>
      </c>
      <c r="E68" s="10" t="inlineStr">
        <is>
          <t>ŚREDNIA</t>
        </is>
      </c>
      <c r="F68" s="10" t="n">
        <v>6</v>
      </c>
      <c r="G68" s="10" t="n">
        <v>11</v>
      </c>
      <c r="H68" s="10" t="inlineStr">
        <is>
          <t>Faza 2 — Odzyskanie funkcji-widm i luki pierwszego tygodnia</t>
        </is>
      </c>
      <c r="I68" s="10" t="inlineStr">
        <is>
          <t>2026-11-09</t>
        </is>
      </c>
      <c r="J68" s="10" t="inlineStr">
        <is>
          <t>2026-11-13</t>
        </is>
      </c>
      <c r="K68" s="10" t="inlineStr">
        <is>
          <t>b.d.</t>
        </is>
      </c>
      <c r="L68" s="11" t="inlineStr">
        <is>
          <t>poza kodem panelu</t>
        </is>
      </c>
      <c r="M68" s="11" t="inlineStr">
        <is>
          <t>—</t>
        </is>
      </c>
      <c r="N68" s="11" t="inlineStr">
        <is>
          <t>Stan zweryfikowany na produkcji z timestampem (poziom D3), wynik zapisany w repo.</t>
        </is>
      </c>
      <c r="O6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68" s="10" t="inlineStr">
        <is>
          <t>do zrobienia</t>
        </is>
      </c>
    </row>
    <row r="69">
      <c r="A69" s="10" t="inlineStr">
        <is>
          <t>E-15</t>
        </is>
      </c>
      <c r="B69" s="11" t="inlineStr">
        <is>
          <t>Rekordy SPF — kreator</t>
        </is>
      </c>
      <c r="C69" s="10" t="inlineStr">
        <is>
          <t>audyt</t>
        </is>
      </c>
      <c r="D69" s="10" t="inlineStr">
        <is>
          <t>E — Poczta</t>
        </is>
      </c>
      <c r="E69" s="10" t="inlineStr">
        <is>
          <t>WYSOKA</t>
        </is>
      </c>
      <c r="F69" s="10" t="n">
        <v>6</v>
      </c>
      <c r="G69" s="10" t="n">
        <v>12</v>
      </c>
      <c r="H69" s="10" t="inlineStr">
        <is>
          <t>Faza 2 — Odzyskanie funkcji-widm i luki pierwszego tygodnia</t>
        </is>
      </c>
      <c r="I69" s="10" t="inlineStr">
        <is>
          <t>2026-11-16</t>
        </is>
      </c>
      <c r="J69" s="10" t="inlineStr">
        <is>
          <t>2026-11-20</t>
        </is>
      </c>
      <c r="K69" s="10" t="inlineStr">
        <is>
          <t>ENDPOINT BEZ UI</t>
        </is>
      </c>
      <c r="L69" s="11" t="inlineStr">
        <is>
          <t>services.controller.ts:114</t>
        </is>
      </c>
      <c r="M69" s="11" t="inlineStr">
        <is>
          <t>—</t>
        </is>
      </c>
      <c r="N69" s="11" t="inlineStr">
        <is>
          <t>Panel wywołuje istniejący endpoint; akcja zostawia wpis w logu audytu. Test potwierdza, że guard nadal blokuje nieuprawnionych.</t>
        </is>
      </c>
      <c r="O69" s="11" t="inlineStr">
        <is>
          <t>deliverability-panel.tsx:26 to komponent osierocony — nikt go nie importuje</t>
        </is>
      </c>
      <c r="P69" s="10" t="inlineStr">
        <is>
          <t>do zrobienia</t>
        </is>
      </c>
    </row>
    <row r="70">
      <c r="A70" s="10" t="inlineStr">
        <is>
          <t>E-16</t>
        </is>
      </c>
      <c r="B70" s="11" t="inlineStr">
        <is>
          <t>Rekordy DKIM — konfiguracja</t>
        </is>
      </c>
      <c r="C70" s="10" t="inlineStr">
        <is>
          <t>audyt</t>
        </is>
      </c>
      <c r="D70" s="10" t="inlineStr">
        <is>
          <t>E — Poczta</t>
        </is>
      </c>
      <c r="E70" s="10" t="inlineStr">
        <is>
          <t>WYSOKA</t>
        </is>
      </c>
      <c r="F70" s="10" t="n">
        <v>6</v>
      </c>
      <c r="G70" s="10" t="n">
        <v>12</v>
      </c>
      <c r="H70" s="10" t="inlineStr">
        <is>
          <t>Faza 2 — Odzyskanie funkcji-widm i luki pierwszego tygodnia</t>
        </is>
      </c>
      <c r="I70" s="10" t="inlineStr">
        <is>
          <t>2026-11-16</t>
        </is>
      </c>
      <c r="J70" s="10" t="inlineStr">
        <is>
          <t>2026-11-20</t>
        </is>
      </c>
      <c r="K70" s="10" t="inlineStr">
        <is>
          <t>ENDPOINT BEZ UI</t>
        </is>
      </c>
      <c r="L70" s="11" t="inlineStr">
        <is>
          <t>services.controller.ts:114</t>
        </is>
      </c>
      <c r="M70" s="11" t="inlineStr">
        <is>
          <t>E-15 (ten sam panel dostarczalności)</t>
        </is>
      </c>
      <c r="N70" s="11" t="inlineStr">
        <is>
          <t>Panel wywołuje istniejący endpoint; akcja zostawia wpis w logu audytu. Test potwierdza, że guard nadal blokuje nieuprawnionych.</t>
        </is>
      </c>
      <c r="O70" s="11" t="inlineStr">
        <is>
          <t>j.w.</t>
        </is>
      </c>
      <c r="P70" s="10" t="inlineStr">
        <is>
          <t>do zrobienia</t>
        </is>
      </c>
    </row>
    <row r="71">
      <c r="A71" s="10" t="inlineStr">
        <is>
          <t>E-17</t>
        </is>
      </c>
      <c r="B71" s="11" t="inlineStr">
        <is>
          <t>Rekord DMARC — konfiguracja</t>
        </is>
      </c>
      <c r="C71" s="10" t="inlineStr">
        <is>
          <t>audyt</t>
        </is>
      </c>
      <c r="D71" s="10" t="inlineStr">
        <is>
          <t>E — Poczta</t>
        </is>
      </c>
      <c r="E71" s="10" t="inlineStr">
        <is>
          <t>WYSOKA</t>
        </is>
      </c>
      <c r="F71" s="10" t="n">
        <v>6</v>
      </c>
      <c r="G71" s="10" t="n">
        <v>12</v>
      </c>
      <c r="H71" s="10" t="inlineStr">
        <is>
          <t>Faza 2 — Odzyskanie funkcji-widm i luki pierwszego tygodnia</t>
        </is>
      </c>
      <c r="I71" s="10" t="inlineStr">
        <is>
          <t>2026-11-16</t>
        </is>
      </c>
      <c r="J71" s="10" t="inlineStr">
        <is>
          <t>2026-11-20</t>
        </is>
      </c>
      <c r="K71" s="10" t="inlineStr">
        <is>
          <t>ENDPOINT BEZ UI</t>
        </is>
      </c>
      <c r="L71" s="11" t="inlineStr">
        <is>
          <t>services.controller.ts:114</t>
        </is>
      </c>
      <c r="M71" s="11" t="inlineStr">
        <is>
          <t>E-15</t>
        </is>
      </c>
      <c r="N71" s="11" t="inlineStr">
        <is>
          <t>Panel wywołuje istniejący endpoint; akcja zostawia wpis w logu audytu. Test potwierdza, że guard nadal blokuje nieuprawnionych.</t>
        </is>
      </c>
      <c r="O71" s="11" t="inlineStr">
        <is>
          <t>j.w.</t>
        </is>
      </c>
      <c r="P71" s="10" t="inlineStr">
        <is>
          <t>do zrobienia</t>
        </is>
      </c>
    </row>
    <row r="72">
      <c r="A72" s="10" t="inlineStr">
        <is>
          <t>E-05</t>
        </is>
      </c>
      <c r="B72" s="11" t="inlineStr">
        <is>
          <t>Zmiana quoty ISTNIEJĄCEJ skrzynki</t>
        </is>
      </c>
      <c r="C72" s="10" t="inlineStr">
        <is>
          <t>audyt</t>
        </is>
      </c>
      <c r="D72" s="10" t="inlineStr">
        <is>
          <t>E — Poczta</t>
        </is>
      </c>
      <c r="E72" s="10" t="inlineStr">
        <is>
          <t>WYSOKA</t>
        </is>
      </c>
      <c r="F72" s="10" t="n">
        <v>6</v>
      </c>
      <c r="G72" s="10" t="n">
        <v>12</v>
      </c>
      <c r="H72" s="10" t="inlineStr">
        <is>
          <t>Faza 2 — Odzyskanie funkcji-widm i luki pierwszego tygodnia</t>
        </is>
      </c>
      <c r="I72" s="10" t="inlineStr">
        <is>
          <t>2026-11-16</t>
        </is>
      </c>
      <c r="J72" s="10" t="inlineStr">
        <is>
          <t>2026-11-20</t>
        </is>
      </c>
      <c r="K72" s="10" t="inlineStr">
        <is>
          <t>BRAK</t>
        </is>
      </c>
      <c r="L72" s="11" t="inlineStr">
        <is>
          <t>hosting-email-actions.ts:41 zachowuje starą quotę</t>
        </is>
      </c>
      <c r="M72" s="11" t="inlineStr">
        <is>
          <t>—</t>
        </is>
      </c>
      <c r="N72" s="11" t="inlineStr">
        <is>
          <t>Funkcja dostępna z panelu klienta bez wychodzenia do DirectAdmina; test uruchamiany w CI.</t>
        </is>
      </c>
      <c r="O72" s="11" t="inlineStr">
        <is>
          <t>brak jakiejkolwiek ścieżki edycji — klient musi usunąć i odtworzyć skrzynkę</t>
        </is>
      </c>
      <c r="P72" s="10" t="inlineStr">
        <is>
          <t>do zrobienia</t>
        </is>
      </c>
    </row>
    <row r="73">
      <c r="A73" s="10" t="inlineStr">
        <is>
          <t>M-26</t>
        </is>
      </c>
      <c r="B73" s="11" t="inlineStr">
        <is>
          <t>Usunięcie zapisanej karty przez klienta</t>
        </is>
      </c>
      <c r="C73" s="10" t="inlineStr">
        <is>
          <t>audyt</t>
        </is>
      </c>
      <c r="D73" s="10" t="inlineStr">
        <is>
          <t>M — Rozliczenia</t>
        </is>
      </c>
      <c r="E73" s="10" t="inlineStr">
        <is>
          <t>WYSOKA</t>
        </is>
      </c>
      <c r="F73" s="10" t="n">
        <v>6</v>
      </c>
      <c r="G73" s="10" t="n">
        <v>12</v>
      </c>
      <c r="H73" s="10" t="inlineStr">
        <is>
          <t>Faza 2 — Odzyskanie funkcji-widm i luki pierwszego tygodnia</t>
        </is>
      </c>
      <c r="I73" s="10" t="inlineStr">
        <is>
          <t>2026-11-16</t>
        </is>
      </c>
      <c r="J73" s="10" t="inlineStr">
        <is>
          <t>2026-11-20</t>
        </is>
      </c>
      <c r="K73" s="10" t="inlineStr">
        <is>
          <t>BRAK</t>
        </is>
      </c>
      <c r="L73" s="11" t="inlineStr">
        <is>
          <t>billing.controller.ts:38 tylko GET, brak DELETE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wymóg konsumencki</t>
        </is>
      </c>
      <c r="P73" s="10" t="inlineStr">
        <is>
          <t>do zrobienia</t>
        </is>
      </c>
    </row>
    <row r="74">
      <c r="A74" s="10" t="inlineStr">
        <is>
          <t>A-25</t>
        </is>
      </c>
      <c r="B74" s="11" t="inlineStr">
        <is>
          <t>Ręczne zawieszenie usługi przez operatora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13</v>
      </c>
      <c r="H74" s="10" t="inlineStr">
        <is>
          <t>Faza 2 — Odzyskanie funkcji-widm i luki pierwszego tygodnia</t>
        </is>
      </c>
      <c r="I74" s="10" t="inlineStr">
        <is>
          <t>2026-11-23</t>
        </is>
      </c>
      <c r="J74" s="10" t="inlineStr">
        <is>
          <t>2026-11-27</t>
        </is>
      </c>
      <c r="K74" s="10" t="inlineStr">
        <is>
          <t>ENDPOINT BEZ UI</t>
        </is>
      </c>
      <c r="L74" s="11" t="inlineStr">
        <is>
          <t>subscriptions.admin.controller.ts:192</t>
        </is>
      </c>
      <c r="M74" s="11" t="inlineStr">
        <is>
          <t>—</t>
        </is>
      </c>
      <c r="N74" s="11" t="inlineStr">
        <is>
          <t>Panel wywołuje istniejący endpoint; akcja zostawia wpis w logu audytu. Test potwierdza, że guard nadal blokuje nieuprawnionych.</t>
        </is>
      </c>
      <c r="O74" s="11" t="inlineStr">
        <is>
          <t>Skorygowane: endpoint działa i jest osiągalny (curl + DirectAdmin), auto-suspend za brak płatności działa. Brakuje UI, nie możliwości zatrzymania szkody.</t>
        </is>
      </c>
      <c r="P74" s="10" t="inlineStr">
        <is>
          <t>do zrobienia</t>
        </is>
      </c>
    </row>
    <row r="75">
      <c r="A75" s="10" t="inlineStr">
        <is>
          <t>A-26</t>
        </is>
      </c>
      <c r="B75" s="11" t="inlineStr">
        <is>
          <t>Ręczne odwieszenie usługi przez operatora</t>
        </is>
      </c>
      <c r="C75" s="10" t="inlineStr">
        <is>
          <t>audyt</t>
        </is>
      </c>
      <c r="D75" s="10" t="inlineStr">
        <is>
          <t>A — Domeny i konta</t>
        </is>
      </c>
      <c r="E75" s="10" t="inlineStr">
        <is>
          <t>WYSOKA</t>
        </is>
      </c>
      <c r="F75" s="10" t="n">
        <v>6</v>
      </c>
      <c r="G75" s="10" t="n">
        <v>13</v>
      </c>
      <c r="H75" s="10" t="inlineStr">
        <is>
          <t>Faza 2 — Odzyskanie funkcji-widm i luki pierwszego tygodnia</t>
        </is>
      </c>
      <c r="I75" s="10" t="inlineStr">
        <is>
          <t>2026-11-23</t>
        </is>
      </c>
      <c r="J75" s="10" t="inlineStr">
        <is>
          <t>2026-11-27</t>
        </is>
      </c>
      <c r="K75" s="10" t="inlineStr">
        <is>
          <t>ENDPOINT BEZ UI</t>
        </is>
      </c>
      <c r="L75" s="11" t="inlineStr">
        <is>
          <t>subscriptions.admin.controller.ts:210</t>
        </is>
      </c>
      <c r="M75" s="11" t="inlineStr">
        <is>
          <t>A-25 (ten sam widok)</t>
        </is>
      </c>
      <c r="N75" s="11" t="inlineStr">
        <is>
          <t>Panel wywołuje istniejący endpoint; akcja zostawia wpis w logu audytu. Test potwierdza, że guard nadal blokuje nieuprawnionych.</t>
        </is>
      </c>
      <c r="O75" s="11" t="inlineStr">
        <is>
          <t>Skorygowane: jak A-25, endpoint subscriptions.admin.controller.ts:210 działa z chargeRenewal.</t>
        </is>
      </c>
      <c r="P75" s="10" t="inlineStr">
        <is>
          <t>do zrobienia</t>
        </is>
      </c>
    </row>
    <row r="76">
      <c r="A76" s="10" t="inlineStr">
        <is>
          <t>N-07</t>
        </is>
      </c>
      <c r="B76" s="11" t="inlineStr">
        <is>
          <t>Ręczne tworzenie incydentu na status page</t>
        </is>
      </c>
      <c r="C76" s="10" t="inlineStr">
        <is>
          <t>audyt</t>
        </is>
      </c>
      <c r="D76" s="10" t="inlineStr">
        <is>
          <t>N — Wsparcie i ops</t>
        </is>
      </c>
      <c r="E76" s="10" t="inlineStr">
        <is>
          <t>WYSOKA</t>
        </is>
      </c>
      <c r="F76" s="10" t="n">
        <v>6</v>
      </c>
      <c r="G76" s="10" t="n">
        <v>13</v>
      </c>
      <c r="H76" s="10" t="inlineStr">
        <is>
          <t>Faza 2 — Odzyskanie funkcji-widm i luki pierwszego tygodnia</t>
        </is>
      </c>
      <c r="I76" s="10" t="inlineStr">
        <is>
          <t>2026-11-23</t>
        </is>
      </c>
      <c r="J76" s="10" t="inlineStr">
        <is>
          <t>2026-11-27</t>
        </is>
      </c>
      <c r="K76" s="10" t="inlineStr">
        <is>
          <t>ENDPOINT BEZ UI</t>
        </is>
      </c>
      <c r="L76" s="11" t="inlineStr">
        <is>
          <t>product-ops.admin.controller.ts:371; brak UI tworzenia</t>
        </is>
      </c>
      <c r="M76" s="11" t="inlineStr">
        <is>
          <t>—</t>
        </is>
      </c>
      <c r="N76" s="11" t="inlineStr">
        <is>
          <t>Panel wywołuje istniejący endpoint; akcja zostawia wpis w logu audytu. Test potwierdza, że guard nadal blokuje nieuprawnionych.</t>
        </is>
      </c>
      <c r="O76" s="11" t="inlineStr">
        <is>
          <t>w kryzysie nie ma jak zakomunikować awarii</t>
        </is>
      </c>
      <c r="P76" s="10" t="inlineStr">
        <is>
          <t>do zrobienia</t>
        </is>
      </c>
    </row>
    <row r="77">
      <c r="A77" s="10" t="inlineStr">
        <is>
          <t>N-14</t>
        </is>
      </c>
      <c r="B77" s="11" t="inlineStr">
        <is>
          <t>Cordon wysyłki poczty (auto-blokada spamu)</t>
        </is>
      </c>
      <c r="C77" s="10" t="inlineStr">
        <is>
          <t>audyt</t>
        </is>
      </c>
      <c r="D77" s="10" t="inlineStr">
        <is>
          <t>N — Wsparcie i ops</t>
        </is>
      </c>
      <c r="E77" s="10" t="inlineStr">
        <is>
          <t>WYSOKA</t>
        </is>
      </c>
      <c r="F77" s="10" t="n">
        <v>6</v>
      </c>
      <c r="G77" s="10" t="n">
        <v>13</v>
      </c>
      <c r="H77" s="10" t="inlineStr">
        <is>
          <t>Faza 2 — Odzyskanie funkcji-widm i luki pierwszego tygodnia</t>
        </is>
      </c>
      <c r="I77" s="10" t="inlineStr">
        <is>
          <t>2026-11-23</t>
        </is>
      </c>
      <c r="J77" s="10" t="inlineStr">
        <is>
          <t>2026-11-27</t>
        </is>
      </c>
      <c r="K77" s="10" t="inlineStr">
        <is>
          <t>ENDPOINT BEZ UI</t>
        </is>
      </c>
      <c r="L77" s="11" t="inlineStr">
        <is>
          <t>outbound-cordon.admin.controller.ts:20,25,32; zero „cordon” w admin-panel</t>
        </is>
      </c>
      <c r="M77" s="11" t="inlineStr">
        <is>
          <t>—</t>
        </is>
      </c>
      <c r="N77" s="11" t="inlineStr">
        <is>
          <t>Panel wywołuje istniejący endpoint; akcja zostawia wpis w logu audytu. Test potwierdza, że guard nadal blokuje nieuprawnionych.</t>
        </is>
      </c>
      <c r="O77" s="11" t="inlineStr">
        <is>
          <t>mechanizm działa, operator nie może go zobaczyć ani zdjąć</t>
        </is>
      </c>
      <c r="P77" s="10" t="inlineStr">
        <is>
          <t>do zrobienia</t>
        </is>
      </c>
    </row>
    <row r="78">
      <c r="A78" s="10" t="inlineStr">
        <is>
          <t>H-22</t>
        </is>
      </c>
      <c r="B78" s="11" t="inlineStr">
        <is>
          <t>Panel odtwarzania w widocznym miejscu</t>
        </is>
      </c>
      <c r="C78" s="10" t="inlineStr">
        <is>
          <t>audyt</t>
        </is>
      </c>
      <c r="D78" s="10" t="inlineStr">
        <is>
          <t>H — Backup i odtwarzanie</t>
        </is>
      </c>
      <c r="E78" s="10" t="inlineStr">
        <is>
          <t>WYSOKA</t>
        </is>
      </c>
      <c r="F78" s="10" t="n">
        <v>6</v>
      </c>
      <c r="G78" s="10" t="n">
        <v>13</v>
      </c>
      <c r="H78" s="10" t="inlineStr">
        <is>
          <t>Faza 2 — Odzyskanie funkcji-widm i luki pierwszego tygodnia</t>
        </is>
      </c>
      <c r="I78" s="10" t="inlineStr">
        <is>
          <t>2026-11-23</t>
        </is>
      </c>
      <c r="J78" s="10" t="inlineStr">
        <is>
          <t>2026-11-27</t>
        </is>
      </c>
      <c r="K78" s="10" t="inlineStr">
        <is>
          <t>CZĘŚCIOWE</t>
        </is>
      </c>
      <c r="L78" s="11" t="inlineStr">
        <is>
          <t>panel off-site siedzi w zakładce „Usage”, nie „Kopie zapasowe” (page.tsx:74,128,313,319)</t>
        </is>
      </c>
      <c r="M78" s="11" t="inlineStr">
        <is>
          <t>—</t>
        </is>
      </c>
      <c r="N78" s="11" t="inlineStr">
        <is>
          <t>Ograniczenie opisane w uwagach macierzy zniknęło; test potwierdza zachowanie także w scenariuszu awaryjnym.</t>
        </is>
      </c>
      <c r="O78" s="11" t="inlineStr">
        <is>
          <t>klient w kryzysie tego nie znajdzie</t>
        </is>
      </c>
      <c r="P78" s="10" t="inlineStr">
        <is>
          <t>do zrobienia</t>
        </is>
      </c>
    </row>
    <row r="79">
      <c r="A79" s="10" t="inlineStr">
        <is>
          <t>H-09</t>
        </is>
      </c>
      <c r="B79" s="11" t="inlineStr">
        <is>
          <t>Kopia bezpieczeństwa przed odtworzeniem</t>
        </is>
      </c>
      <c r="C79" s="10" t="inlineStr">
        <is>
          <t>audyt</t>
        </is>
      </c>
      <c r="D79" s="10" t="inlineStr">
        <is>
          <t>H — Backup i odtwarzanie</t>
        </is>
      </c>
      <c r="E79" s="10" t="inlineStr">
        <is>
          <t>WYSOKA</t>
        </is>
      </c>
      <c r="F79" s="10" t="n">
        <v>6</v>
      </c>
      <c r="G79" s="10" t="n">
        <v>14</v>
      </c>
      <c r="H79" s="10" t="inlineStr">
        <is>
          <t>Faza 2 — Odzyskanie funkcji-widm i luki pierwszego tygodnia</t>
        </is>
      </c>
      <c r="I79" s="10" t="inlineStr">
        <is>
          <t>2026-11-30</t>
        </is>
      </c>
      <c r="J79" s="10" t="inlineStr">
        <is>
          <t>2026-12-04</t>
        </is>
      </c>
      <c r="K79" s="10" t="inlineStr">
        <is>
          <t>CZĘŚCIOWE</t>
        </is>
      </c>
      <c r="L79" s="11" t="inlineStr">
        <is>
          <t>hosting-restore.service.ts:167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79" s="10" t="inlineStr">
        <is>
          <t>do zrobienia</t>
        </is>
      </c>
    </row>
    <row r="80">
      <c r="A80" s="10" t="inlineStr">
        <is>
          <t>H-17</t>
        </is>
      </c>
      <c r="B80" s="11" t="inlineStr">
        <is>
          <t>Tryb restore skryptu odtwarzającego osiągalny z produktu</t>
        </is>
      </c>
      <c r="C80" s="10" t="inlineStr">
        <is>
          <t>audyt</t>
        </is>
      </c>
      <c r="D80" s="10" t="inlineStr">
        <is>
          <t>H — Backup i odtwarzanie</t>
        </is>
      </c>
      <c r="E80" s="10" t="inlineStr">
        <is>
          <t>WYSOKA</t>
        </is>
      </c>
      <c r="F80" s="10" t="n">
        <v>6</v>
      </c>
      <c r="G80" s="10" t="n">
        <v>14</v>
      </c>
      <c r="H80" s="10" t="inlineStr">
        <is>
          <t>Faza 2 — Odzyskanie funkcji-widm i luki pierwszego tygodnia</t>
        </is>
      </c>
      <c r="I80" s="10" t="inlineStr">
        <is>
          <t>2026-11-30</t>
        </is>
      </c>
      <c r="J80" s="10" t="inlineStr">
        <is>
          <t>2026-12-04</t>
        </is>
      </c>
      <c r="K80" s="10" t="inlineStr">
        <is>
          <t>BRAK</t>
        </is>
      </c>
      <c r="L80" s="11" t="inlineStr">
        <is>
          <t>node-account-restore.sh:82-99 ma tryb restore; offsite-restore.service.ts:94 przyjmuje wyłącznie list|fetch</t>
        </is>
      </c>
      <c r="M80" s="11" t="inlineStr">
        <is>
          <t>H-20 (najpierw potwierdzone odtworzenie, potem wystawienie trybu w produkcie)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Skorygowane: tryb restore jest martwy z poziomu produktu, ale żywy z CLI (node-account-restore.sh:120-124) i udokumentowany w runbooku.</t>
        </is>
      </c>
      <c r="P80" s="10" t="inlineStr">
        <is>
          <t>do zrobienia</t>
        </is>
      </c>
    </row>
    <row r="81">
      <c r="A81" s="10" t="inlineStr">
        <is>
          <t>G-20</t>
        </is>
      </c>
      <c r="B81" s="11" t="inlineStr">
        <is>
          <t>Ochrona przed atakiem słownikowym na panel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6</v>
      </c>
      <c r="G81" s="10" t="n">
        <v>14</v>
      </c>
      <c r="H81" s="10" t="inlineStr">
        <is>
          <t>Faza 2 — Odzyskanie funkcji-widm i luki pierwszego tygodnia</t>
        </is>
      </c>
      <c r="I81" s="10" t="inlineStr">
        <is>
          <t>2026-11-30</t>
        </is>
      </c>
      <c r="J81" s="10" t="inlineStr">
        <is>
          <t>2026-12-04</t>
        </is>
      </c>
      <c r="K81" s="10" t="inlineStr">
        <is>
          <t>CZĘŚCIOWE</t>
        </is>
      </c>
      <c r="L81" s="11" t="inlineStr">
        <is>
          <t>rate-limit.guard.ts — ZERO testów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brak dowodu D2 na krytycznym guardzie</t>
        </is>
      </c>
      <c r="P81" s="10" t="inlineStr">
        <is>
          <t>do zrobienia</t>
        </is>
      </c>
    </row>
    <row r="82">
      <c r="A82" s="10" t="inlineStr">
        <is>
          <t>I-11</t>
        </is>
      </c>
      <c r="B82" s="11" t="inlineStr">
        <is>
          <t>Staging — publikacja na produkcję</t>
        </is>
      </c>
      <c r="C82" s="10" t="inlineStr">
        <is>
          <t>audyt</t>
        </is>
      </c>
      <c r="D82" s="10" t="inlineStr">
        <is>
          <t>I — Aplikacje i WordPress</t>
        </is>
      </c>
      <c r="E82" s="10" t="inlineStr">
        <is>
          <t>WYSOKA</t>
        </is>
      </c>
      <c r="F82" s="10" t="n">
        <v>6</v>
      </c>
      <c r="G82" s="10" t="n">
        <v>14</v>
      </c>
      <c r="H82" s="10" t="inlineStr">
        <is>
          <t>Faza 2 — Odzyskanie funkcji-widm i luki pierwszego tygodnia</t>
        </is>
      </c>
      <c r="I82" s="10" t="inlineStr">
        <is>
          <t>2026-11-30</t>
        </is>
      </c>
      <c r="J82" s="10" t="inlineStr">
        <is>
          <t>2026-12-04</t>
        </is>
      </c>
      <c r="K82" s="10" t="inlineStr">
        <is>
          <t>CZĘŚCIOWE</t>
        </is>
      </c>
      <c r="L82" s="11" t="inlineStr">
        <is>
          <t>services.controller.ts:187</t>
        </is>
      </c>
      <c r="M82" s="11" t="inlineStr">
        <is>
          <t>—</t>
        </is>
      </c>
      <c r="N82" s="11" t="inlineStr">
        <is>
          <t>Ograniczenie opisane w uwagach macierzy zniknęło; test potwierdza zachowanie także w scenariuszu awaryjnym.</t>
        </is>
      </c>
      <c r="O82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82" s="10" t="inlineStr">
        <is>
          <t>do zrobienia</t>
        </is>
      </c>
    </row>
    <row r="83">
      <c r="A83" s="10" t="inlineStr">
        <is>
          <t>A-11</t>
        </is>
      </c>
      <c r="B83" s="11" t="inlineStr">
        <is>
          <t>Wyszukiwarka wolnych domen</t>
        </is>
      </c>
      <c r="C83" s="10" t="inlineStr">
        <is>
          <t>audyt</t>
        </is>
      </c>
      <c r="D83" s="10" t="inlineStr">
        <is>
          <t>A — Domeny i konta</t>
        </is>
      </c>
      <c r="E83" s="10" t="inlineStr">
        <is>
          <t>WYSOKA</t>
        </is>
      </c>
      <c r="F83" s="10" t="n">
        <v>6</v>
      </c>
      <c r="G83" s="10" t="n">
        <v>15</v>
      </c>
      <c r="H83" s="10" t="inlineStr">
        <is>
          <t>Faza 3 — Wejście na rynek</t>
        </is>
      </c>
      <c r="I83" s="10" t="inlineStr">
        <is>
          <t>2026-12-07</t>
        </is>
      </c>
      <c r="J83" s="10" t="inlineStr">
        <is>
          <t>2026-12-11</t>
        </is>
      </c>
      <c r="K83" s="10" t="inlineStr">
        <is>
          <t>FLAGA</t>
        </is>
      </c>
      <c r="L83" s="11" t="inlineStr">
        <is>
          <t>domains.controller.ts:54</t>
        </is>
      </c>
      <c r="M83" s="11" t="inlineStr">
        <is>
          <t>—</t>
        </is>
      </c>
      <c r="N83" s="11" t="inlineStr">
        <is>
          <t>Wartość domyślna włączona albo check w live-readiness pilnuje konfiguracji — flaga nie może po cichu wyłączyć funkcji.</t>
        </is>
      </c>
      <c r="O83" s="11" t="inlineStr"/>
      <c r="P83" s="10" t="inlineStr">
        <is>
          <t>do zrobienia</t>
        </is>
      </c>
    </row>
    <row r="84">
      <c r="A84" s="10" t="inlineStr">
        <is>
          <t>C-11</t>
        </is>
      </c>
      <c r="B84" s="11" t="inlineStr">
        <is>
          <t>Spakowanie do archiwum</t>
        </is>
      </c>
      <c r="C84" s="10" t="inlineStr">
        <is>
          <t>audyt</t>
        </is>
      </c>
      <c r="D84" s="10" t="inlineStr">
        <is>
          <t>C — Pliki, FTP, SSH, Git</t>
        </is>
      </c>
      <c r="E84" s="10" t="inlineStr">
        <is>
          <t>ŚREDNIA</t>
        </is>
      </c>
      <c r="F84" s="10" t="n">
        <v>6</v>
      </c>
      <c r="G84" s="10" t="n">
        <v>15</v>
      </c>
      <c r="H84" s="10" t="inlineStr">
        <is>
          <t>Faza 3 — Wejście na rynek</t>
        </is>
      </c>
      <c r="I84" s="10" t="inlineStr">
        <is>
          <t>2026-12-07</t>
        </is>
      </c>
      <c r="J84" s="10" t="inlineStr">
        <is>
          <t>2026-12-11</t>
        </is>
      </c>
      <c r="K84" s="10" t="inlineStr">
        <is>
          <t>BRAK</t>
        </is>
      </c>
      <c r="L84" s="11" t="inlineStr">
        <is>
          <t>files.service.ts:320 — tylko extract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standard we wszystkich panelach</t>
        </is>
      </c>
      <c r="P84" s="10" t="inlineStr">
        <is>
          <t>do zrobienia</t>
        </is>
      </c>
    </row>
    <row r="85">
      <c r="A85" s="10" t="inlineStr">
        <is>
          <t>PB-08</t>
        </is>
      </c>
      <c r="B85" s="11" t="inlineStr">
        <is>
          <t>Pomiar: Consent Mode v2 + GTM + dedup event_id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15</v>
      </c>
      <c r="H85" s="10" t="inlineStr">
        <is>
          <t>Faza 3 — Wejście na rynek</t>
        </is>
      </c>
      <c r="I85" s="10" t="inlineStr">
        <is>
          <t>2026-12-07</t>
        </is>
      </c>
      <c r="J85" s="10" t="inlineStr">
        <is>
          <t>2026-12-11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Zdarzenie zakupu dociera raz, nie dwa. Consent Mode nie blokuje pomiaru po zgodzie. Zweryfikowane w GTM Preview i w raporcie.</t>
        </is>
      </c>
      <c r="O85" s="11" t="inlineStr">
        <is>
          <t>Wdrożenie ustaleń z audytu pomiaru: www linkuje, panel działa, deduplikacja po event_id, cookie Domain=.verris.pl.</t>
        </is>
      </c>
      <c r="P85" s="10" t="inlineStr">
        <is>
          <t>do zrobienia</t>
        </is>
      </c>
    </row>
    <row r="86">
      <c r="A86" s="10" t="inlineStr">
        <is>
          <t>P-15</t>
        </is>
      </c>
      <c r="B86" s="11" t="inlineStr">
        <is>
          <t>Podpisane DPA z subprocesorami (część)</t>
        </is>
      </c>
      <c r="C86" s="10" t="inlineStr">
        <is>
          <t>audyt</t>
        </is>
      </c>
      <c r="D86" s="10" t="inlineStr">
        <is>
          <t>P — Zgodność</t>
        </is>
      </c>
      <c r="E86" s="10" t="inlineStr">
        <is>
          <t>BLOKER STARTU</t>
        </is>
      </c>
      <c r="F86" s="10" t="n">
        <v>6</v>
      </c>
      <c r="G86" s="10" t="n">
        <v>16</v>
      </c>
      <c r="H86" s="10" t="inlineStr">
        <is>
          <t>Faza 3 — Wejście na rynek</t>
        </is>
      </c>
      <c r="I86" s="10" t="inlineStr">
        <is>
          <t>2026-12-14</t>
        </is>
      </c>
      <c r="J86" s="10" t="inlineStr">
        <is>
          <t>2026-12-18</t>
        </is>
      </c>
      <c r="K86" s="10" t="inlineStr">
        <is>
          <t>BRAK</t>
        </is>
      </c>
      <c r="L86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6" s="11" t="inlineStr">
        <is>
          <t>—</t>
        </is>
      </c>
      <c r="N86" s="11" t="inlineStr">
        <is>
          <t>Funkcja dostępna z panelu klienta bez wychodzenia do DirectAdmina; test uruchamiany w CI.</t>
        </is>
      </c>
      <c r="O86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6" s="10" t="inlineStr">
        <is>
          <t>do zrobienia</t>
        </is>
      </c>
    </row>
    <row r="87">
      <c r="A87" s="10" t="inlineStr">
        <is>
          <t>PB-03</t>
        </is>
      </c>
      <c r="B87" s="11" t="inlineStr">
        <is>
          <t>Finalizacja dokumentów prawnych 1.0.0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16</v>
      </c>
      <c r="H87" s="10" t="inlineStr">
        <is>
          <t>Faza 3 — Wejście na rynek</t>
        </is>
      </c>
      <c r="I87" s="10" t="inlineStr">
        <is>
          <t>2026-12-14</t>
        </is>
      </c>
      <c r="J87" s="10" t="inlineStr">
        <is>
          <t>2026-12-18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Wszystkie dokumenty w statusie opublikowanym z numerem wersji i datą. Panel /legal nie pokazuje ani jednego „Dokument w przygotowaniu”.</t>
        </is>
      </c>
      <c r="O87" s="11" t="inlineStr">
        <is>
          <t>Regulamin, polityka prywatności, SLA, DPA, polityka cookies — wyjście z DRAFT-u, wersjonowanie i publikacja w panelu.</t>
        </is>
      </c>
      <c r="P87" s="10" t="inlineStr">
        <is>
          <t>do zrobienia</t>
        </is>
      </c>
    </row>
    <row r="88">
      <c r="A88" s="10" t="inlineStr">
        <is>
          <t>PB-04</t>
        </is>
      </c>
      <c r="B88" s="11" t="inlineStr">
        <is>
          <t>Procedura obsługi nadużyć (abuse) — dokument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16</v>
      </c>
      <c r="H88" s="10" t="inlineStr">
        <is>
          <t>Faza 3 — Wejście na rynek</t>
        </is>
      </c>
      <c r="I88" s="10" t="inlineStr">
        <is>
          <t>2026-12-14</t>
        </is>
      </c>
      <c r="J88" s="10" t="inlineStr">
        <is>
          <t>2026-12-18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Dokument w ops/docs z właścicielem i czasami reakcji. Test: zgłoszenie wysłane na abuse@ trafia do kogoś i ma odpowiedź w deklarowanym czasie.</t>
        </is>
      </c>
      <c r="O88" s="11" t="inlineStr">
        <is>
          <t>Adres abuse@ obsługiwany, ścieżka od zgłoszenia do reakcji, czasy reakcji, kto decyduje o zawieszeniu, wzory odpowiedzi do CERT i rejestratorów.</t>
        </is>
      </c>
      <c r="P88" s="10" t="inlineStr">
        <is>
          <t>do zrobienia</t>
        </is>
      </c>
    </row>
    <row r="89">
      <c r="A89" s="10" t="inlineStr">
        <is>
          <t>N-16</t>
        </is>
      </c>
      <c r="B89" s="11" t="inlineStr">
        <is>
          <t>SLA z zapisanymi kredytami</t>
        </is>
      </c>
      <c r="C89" s="10" t="inlineStr">
        <is>
          <t>audyt</t>
        </is>
      </c>
      <c r="D89" s="10" t="inlineStr">
        <is>
          <t>N — Wsparcie i ops</t>
        </is>
      </c>
      <c r="E89" s="10" t="inlineStr">
        <is>
          <t>WYSOKA</t>
        </is>
      </c>
      <c r="F89" s="10" t="n">
        <v>6</v>
      </c>
      <c r="G89" s="10" t="n">
        <v>17</v>
      </c>
      <c r="H89" s="10" t="inlineStr">
        <is>
          <t>Faza 3 — Wejście na rynek</t>
        </is>
      </c>
      <c r="I89" s="10" t="inlineStr">
        <is>
          <t>2026-12-21</t>
        </is>
      </c>
      <c r="J89" s="10" t="inlineStr">
        <is>
          <t>2026-12-25</t>
        </is>
      </c>
      <c r="K89" s="10" t="inlineStr">
        <is>
          <t>FLAGA</t>
        </is>
      </c>
      <c r="L89" s="11" t="inlineStr">
        <is>
          <t>sla-credit.scheduler.ts:79 — if (!policy.enabled) return; SLA_CREDITS_ENABLED default '0' (platform-settings.keys.ts:116)</t>
        </is>
      </c>
      <c r="M89" s="11" t="inlineStr">
        <is>
          <t>PB-03 (kredyty SLA muszą być zgodne z opublikowanym regulaminem)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17</v>
      </c>
      <c r="H90" s="10" t="inlineStr">
        <is>
          <t>Faza 3 — Wejście na rynek</t>
        </is>
      </c>
      <c r="I90" s="10" t="inlineStr">
        <is>
          <t>2026-12-21</t>
        </is>
      </c>
      <c r="J90" s="10" t="inlineStr">
        <is>
          <t>2026-12-25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17</v>
      </c>
      <c r="H91" s="10" t="inlineStr">
        <is>
          <t>Faza 3 — Wejście na rynek</t>
        </is>
      </c>
      <c r="I91" s="10" t="inlineStr">
        <is>
          <t>2026-12-21</t>
        </is>
      </c>
      <c r="J91" s="10" t="inlineStr">
        <is>
          <t>2026-12-25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PB-05</t>
        </is>
      </c>
      <c r="B95" s="11" t="inlineStr">
        <is>
          <t>Test end-to-end „pierwszy klient”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BLOKER BIZNESOWY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wszystkie blokery zamknięte (sprint 8)</t>
        </is>
      </c>
      <c r="N95" s="11" t="inlineStr">
        <is>
          <t>Zapisany przebieg z timestampami dla każdego kroku — to jest dowód poziomu D3, jedyny w całym projekcie. Każdy nieudany krok wraca do backlogu jako bloker.</t>
        </is>
      </c>
      <c r="O95" s="11" t="inlineStr">
        <is>
          <t>Przejście całej ścieżki na produkcji jako realny klient: rejestracja, zakup, płatność, provisioning, migracja strony, wystawienie faktury, KSeF, backup, odtworzenie.</t>
        </is>
      </c>
      <c r="P95" s="10" t="inlineStr">
        <is>
          <t>do zrobienia</t>
        </is>
      </c>
    </row>
    <row r="96">
      <c r="A96" s="10" t="inlineStr">
        <is>
          <t>PB-12</t>
        </is>
      </c>
      <c r="B96" s="11" t="inlineStr">
        <is>
          <t>Runbook startu i decyzja GO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BLOKER BIZNESOWY</t>
        </is>
      </c>
      <c r="F96" s="10" t="n">
        <v>8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PB-05 (decyzja GO po przejściu ścieżki na produkcji)</t>
        </is>
      </c>
      <c r="N96" s="11" t="inlineStr">
        <is>
          <t>Każdy z 11 blokerów ma wpis: co zrobiono, gdzie jest dowód, kto potwierdził. Bez formuły „warunkowe GO”.</t>
        </is>
      </c>
      <c r="O96" s="11" t="inlineStr">
        <is>
          <t>Domknięcie: przegląd wszystkich blokerów z dowodem zamknięcia, decyzja GO/NO-GO zapisana z datą.</t>
        </is>
      </c>
      <c r="P96" s="10" t="inlineStr">
        <is>
          <t>do zrobienia</t>
        </is>
      </c>
    </row>
  </sheetData>
  <autoFilter ref="A1:P96"/>
  <conditionalFormatting sqref="E2:E9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startu'!$G$2:$G$96,A2)</f>
        <v/>
      </c>
      <c r="G2" s="10">
        <f>SUMIF('Backlog do startu'!$G$2:$G$96,A2,'Backlog do startu'!$F$2:$F$96)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startu'!$G$2:$G$96,A3)</f>
        <v/>
      </c>
      <c r="G3" s="10">
        <f>SUMIF('Backlog do startu'!$G$2:$G$96,A3,'Backlog do startu'!$F$2:$F$96)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startu'!$G$2:$G$96,A4)</f>
        <v/>
      </c>
      <c r="G4" s="10">
        <f>SUMIF('Backlog do startu'!$G$2:$G$96,A4,'Backlog do startu'!$F$2:$F$96)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startu'!$G$2:$G$96,A5)</f>
        <v/>
      </c>
      <c r="G5" s="10">
        <f>SUMIF('Backlog do startu'!$G$2:$G$96,A5,'Backlog do startu'!$F$2:$F$96)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startu'!$G$2:$G$96,A6)</f>
        <v/>
      </c>
      <c r="G6" s="10">
        <f>SUMIF('Backlog do startu'!$G$2:$G$96,A6,'Backlog do startu'!$F$2:$F$96)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Wezel produkcyjny #1</t>
        </is>
      </c>
      <c r="F7" s="10">
        <f>COUNTIF('Backlog do startu'!$G$2:$G$96,A7)</f>
        <v/>
      </c>
      <c r="G7" s="10">
        <f>SUMIF('Backlog do startu'!$G$2:$G$96,A7,'Backlog do startu'!$F$2:$F$96)</f>
        <v/>
      </c>
      <c r="H7" s="10" t="n">
        <v>30</v>
      </c>
      <c r="I7" s="12">
        <f>IFERROR(G7/H7,0)</f>
        <v/>
      </c>
      <c r="J7" s="11" t="inlineStr">
        <is>
          <t>NODE-02 idzie PRZED PB-02, nie po: main() w node-onboard-live.sh i node-live-readiness.sh nie sprawdza kodow powrotu, wiec instalacja kontynuuje po nieudanym preflighcie. Uruchamianie pierwszego produkcyjnego wezla instalatorem, ktory nie zatrzymuje sie na bledzie, to ta sama rodzina co SEC-01: kontrola wykrywa problem i nie zatrzymuje procesu. Z-18 dostaje tu dowod D3 (provisioning z przerwanym polaczeniem do DirectAdmina) i przestaje byc blokerem. J-01 ma stan b.d. — definicja ukonczenia dla b.d. to weryfikacja na produkcji z timestampem, a nie implementacja; wezel #1 jest pierwszym miejscem, gdzie da sie to zrobic.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Egress: najpierw pomiar, ktory nie klamie</t>
        </is>
      </c>
      <c r="F8" s="10">
        <f>COUNTIF('Backlog do startu'!$G$2:$G$96,A8)</f>
        <v/>
      </c>
      <c r="G8" s="10">
        <f>SUMIF('Backlog do startu'!$G$2:$G$96,A8,'Backlog do startu'!$F$2:$F$96)</f>
        <v/>
      </c>
      <c r="H8" s="10" t="n">
        <v>30</v>
      </c>
      <c r="I8" s="12">
        <f>IFERROR(G8/H8,0)</f>
        <v/>
      </c>
      <c r="J8" s="11" t="inlineStr">
        <is>
          <t>NOWY SPRINT, decyzja wlasciciela 2026-09-19 (blok egressu osobnym sprintem zaraz po wezle #1). Kolejnosc jest wymuszona logicznie, nie preferencja. SEC-05 pierwsze: log egressu ma ogranicznik czestotliwosci — 1796 wpisow w journalu wobec 1,81 mln pakietow na liczniku iptables. Kazda allowlista zbudowana na tym odczycie jest niepelna Z DEFINICJI, wiec dopoki log jest probka, reszta bloku opiera sie na zgadywaniu. SEC-04 drugie, bo bez wyjatku dla 172.16.0.0/12 wlaczenie strict zrywa polaczenie host-kontener i nie da sie go przetestowac. SEC-01 trzecie: dopiero wtedy DROP moze realnie obowiazywac. Strażnik na wzor X-34 — atrapa wielkosci produkcyjnej i te same flagi powloki co skrypt wdrozeniowy.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Egress: pelne pokrycie ruchu</t>
        </is>
      </c>
      <c r="F9" s="10">
        <f>COUNTIF('Backlog do startu'!$G$2:$G$96,A9)</f>
        <v/>
      </c>
      <c r="G9" s="10">
        <f>SUMIF('Backlog do startu'!$G$2:$G$96,A9,'Backlog do startu'!$F$2:$F$96)</f>
        <v/>
      </c>
      <c r="H9" s="10" t="n">
        <v>30</v>
      </c>
      <c r="I9" s="12">
        <f>IFERROR(G9/H9,0)</f>
        <v/>
      </c>
      <c r="J9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Allowlista z obserwacji i porzadek w wezle</t>
        </is>
      </c>
      <c r="F10" s="10">
        <f>COUNTIF('Backlog do startu'!$G$2:$G$96,A10)</f>
        <v/>
      </c>
      <c r="G10" s="10">
        <f>SUMIF('Backlog do startu'!$G$2:$G$96,A10,'Backlog do startu'!$F$2:$F$96)</f>
        <v/>
      </c>
      <c r="H10" s="10" t="n">
        <v>30</v>
      </c>
      <c r="I10" s="12">
        <f>IFERROR(G10/H10,0)</f>
        <v/>
      </c>
      <c r="J10" s="11" t="inlineStr">
        <is>
          <t>SEC-06 dopiero tutaj, bo wymaga okresu obserwacji na PELNYM logu z SEC-05. Koszt tej pozycji to glownie czas obserwacji, nie kod — dlatego stoi po dwoch sprintach zbierania danych, a nie obok SEC-01. Test ipset na celach z rzeczywistego ruchu pokazal juz dwa trafienia poza allowlista (sogo-repo.alinto.org i nierozpoznany host Hetznera, 120 pakietow), wiec wlaczenie --strict przed tym sprintem odcieloby repozytorium pakietow SOGo. SEC-02: adresy Stripe rotuja, wiec wpis po nazwie starzeje sie miedzy uruchomieniami — potrzebne odswiezanie z opublikowanej listy plus check w live-readiness.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Ogony sprintu 2, zaleznosci i faktury VOID</t>
        </is>
      </c>
      <c r="F11" s="10">
        <f>COUNTIF('Backlog do startu'!$G$2:$G$96,A11)</f>
        <v/>
      </c>
      <c r="G11" s="10">
        <f>SUMIF('Backlog do startu'!$G$2:$G$96,A11,'Backlog do startu'!$F$2:$F$96)</f>
        <v/>
      </c>
      <c r="H11" s="10" t="n">
        <v>30</v>
      </c>
      <c r="I11" s="12">
        <f>IFERROR(G11/H11,0)</f>
        <v/>
      </c>
      <c r="J11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DNS, SSO i PHP</t>
        </is>
      </c>
      <c r="F12" s="10">
        <f>COUNTIF('Backlog do startu'!$G$2:$G$96,A12)</f>
        <v/>
      </c>
      <c r="G12" s="10">
        <f>SUMIF('Backlog do startu'!$G$2:$G$96,A12,'Backlog do startu'!$F$2:$F$96)</f>
        <v/>
      </c>
      <c r="H12" s="10" t="n">
        <v>30</v>
      </c>
      <c r="I12" s="12">
        <f>IFERROR(G12/H12,0)</f>
        <v/>
      </c>
      <c r="J12" s="11" t="inlineStr">
        <is>
          <t>F-01/F-02: trasa hosting-sso-url nie istnieje w API — to nowy endpoint, nie podpiecie istniejacego. J-04 (HTTP/3) to weryfikacja na wezle #1.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Poczta: dostarczalnosc i skrzynki</t>
        </is>
      </c>
      <c r="F13" s="10">
        <f>COUNTIF('Backlog do startu'!$G$2:$G$96,A13)</f>
        <v/>
      </c>
      <c r="G13" s="10">
        <f>SUMIF('Backlog do startu'!$G$2:$G$96,A13,'Backlog do startu'!$F$2:$F$96)</f>
        <v/>
      </c>
      <c r="H13" s="10" t="n">
        <v>30</v>
      </c>
      <c r="I13" s="12">
        <f>IFERROR(G13/H13,0)</f>
        <v/>
      </c>
      <c r="J13" s="11" t="inlineStr">
        <is>
          <t>Brak SPF/DKIM w panelu to najczestsza przyczyna "moja poczta trafia do spamu". Backend dziala — to glownie podpiecie osieroconego komponentu.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startu'!$G$2:$G$96,A14)</f>
        <v/>
      </c>
      <c r="G14" s="10">
        <f>SUMIF('Backlog do startu'!$G$2:$G$96,A14,'Backlog do startu'!$F$2:$F$96)</f>
        <v/>
      </c>
      <c r="H14" s="10" t="n">
        <v>30</v>
      </c>
      <c r="I14" s="12">
        <f>IFERROR(G14/H14,0)</f>
        <v/>
      </c>
      <c r="J14" s="11" t="inlineStr">
        <is>
          <t>Bez tego pierwszy incydent obslugujesz curlem o drugiej w nocy. Pierwsze cztery pozycje to endpointy, ktore juz dzialaja.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Backup i staging</t>
        </is>
      </c>
      <c r="F15" s="10">
        <f>COUNTIF('Backlog do startu'!$G$2:$G$96,A15)</f>
        <v/>
      </c>
      <c r="G15" s="10">
        <f>SUMIF('Backlog do startu'!$G$2:$G$96,A15,'Backlog do startu'!$F$2:$F$96)</f>
        <v/>
      </c>
      <c r="H15" s="10" t="n">
        <v>30</v>
      </c>
      <c r="I15" s="12">
        <f>IFERROR(G15/H15,0)</f>
        <v/>
      </c>
      <c r="J15" s="11" t="inlineStr">
        <is>
          <t>H-17 bylo zalezne od H-20 — zamkniete 2026-08-23 dowodem D4, wiec zaleznosc spelniona.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Rozliczenia klienta i pomiar</t>
        </is>
      </c>
      <c r="F16" s="10">
        <f>COUNTIF('Backlog do startu'!$G$2:$G$96,A16)</f>
        <v/>
      </c>
      <c r="G16" s="10">
        <f>SUMIF('Backlog do startu'!$G$2:$G$96,A16,'Backlog do startu'!$F$2:$F$96)</f>
        <v/>
      </c>
      <c r="H16" s="10" t="n">
        <v>30</v>
      </c>
      <c r="I16" s="12">
        <f>IFERROR(G16/H16,0)</f>
        <v/>
      </c>
      <c r="J16" s="11" t="inlineStr">
        <is>
          <t>Ostatni sprint kodowy przed blokiem dokumentow. PB-08 (Consent Mode v2 + dedup event_id) jest tu, a nie przy landingu, bo to kod w panelu, nie tresc — landing tylko z niego korzysta.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Dokumenty prawne, DPA i naduzycia</t>
        </is>
      </c>
      <c r="F17" s="10">
        <f>COUNTIF('Backlog do startu'!$G$2:$G$96,A17)</f>
        <v/>
      </c>
      <c r="G17" s="10">
        <f>SUMIF('Backlog do startu'!$G$2:$G$96,A17,'Backlog do startu'!$F$2:$F$96)</f>
        <v/>
      </c>
      <c r="H17" s="10" t="n">
        <v>30</v>
      </c>
      <c r="I17" s="12">
        <f>IFERROR(G17/H17,0)</f>
        <v/>
      </c>
      <c r="J17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Cennik, SLA i zastepstwo</t>
        </is>
      </c>
      <c r="F18" s="10">
        <f>COUNTIF('Backlog do startu'!$G$2:$G$96,A18)</f>
        <v/>
      </c>
      <c r="G18" s="10">
        <f>SUMIF('Backlog do startu'!$G$2:$G$96,A18,'Backlog do startu'!$F$2:$F$96)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Landing i baza wiedzy</t>
        </is>
      </c>
      <c r="F19" s="10">
        <f>COUNTIF('Backlog do startu'!$G$2:$G$96,A19)</f>
        <v/>
      </c>
      <c r="G19" s="10">
        <f>SUMIF('Backlog do startu'!$G$2:$G$96,A19,'Backlog do startu'!$F$2:$F$96)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Kampania, sciezka pierwszego klienta i decyzja GO</t>
        </is>
      </c>
      <c r="F20" s="10">
        <f>COUNTIF('Backlog do startu'!$G$2:$G$96,A20)</f>
        <v/>
      </c>
      <c r="G20" s="10">
        <f>SUMIF('Backlog do startu'!$G$2:$G$96,A20,'Backlog do startu'!$F$2:$F$96)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2026-09-22T08:35:57Z</dcterms:created>
  <dcterms:modified xmlns:dcterms="http://purl.org/dc/terms/" xmlns:xsi="http://www.w3.org/2001/XMLSchema-instance" xsi:type="dcterms:W3CDTF">2026-09-22T08:35:57Z</dcterms:modified>
</cp:coreProperties>
</file>