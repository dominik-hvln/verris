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startu'!$A$1:$P$106</definedName>
    <definedName name="_xlnm._FilterDatabase" localSheetId="2" hidden="1">'Sprinty'!$A$1:$J$23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22 sprintów · 30 h netto na sprint · wygenerowane 2026-09-23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startu'!$A$2:$A$106)</f>
        <v/>
      </c>
    </row>
    <row r="7">
      <c r="A7" s="4" t="inlineStr">
        <is>
          <t>Godzin w planie</t>
        </is>
      </c>
      <c r="B7" s="5">
        <f>SUM('Backlog do startu'!$F$2:$F$106)</f>
        <v/>
      </c>
    </row>
    <row r="8">
      <c r="A8" s="4" t="inlineStr">
        <is>
          <t>Pojemność</t>
        </is>
      </c>
      <c r="B8" s="5" t="n">
        <v>660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startu'!$E$2:$E$106,"BLOKER STARTU")+COUNTIF('Backlog do startu'!$E$2:$E$106,"BLOKER BIZNESOWY")</f>
        <v/>
      </c>
    </row>
    <row r="11">
      <c r="A11" s="4" t="inlineStr">
        <is>
          <t>Zadań zrobionych</t>
        </is>
      </c>
      <c r="B11" s="5">
        <f>COUNTIF('Backlog do startu'!$P$2:$P$106,"zrobione")</f>
        <v/>
      </c>
    </row>
    <row r="12">
      <c r="A12" s="4" t="inlineStr">
        <is>
          <t>Godzin zrobionych</t>
        </is>
      </c>
      <c r="B12" s="5">
        <f>SUMIF('Backlog do startu'!$P$2:$P$106,"zrobione",'Backlog do startu'!$F$2:$F$106)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docs/archiwum/zadania/X-02-status-wymagany-do-merge.md.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docs/archiwum/zadania/Z-02-blokada-zamowienia-uslugi-bez-oplaty.md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docs/archiwum/zadania/X-11-testy-api-w-osobnym-jobie.md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docs/archiwum/zadania/X-14-asercje-danych-po-migracji.md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docs/archiwum/zadania/X-17-joby-ci-buduja-zaleznosci.md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docs/archiwum/zadania/Z-04-guard-uprawnien-subkont.md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docs/archiwum/zadania/Z-03-walidacja-danych-migracji.md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docs/archiwum/zadania/Z-06-klucz-idempotencji-dodatku.md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docs/archiwum/zadania/X-18-podniesienie-zaleznosci.md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docs/archiwum/zadania/X-21-typy-klamaly-o-runtime.md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docs/archiwum/zadania/X-23-bramka-podatnosci.md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docs/archiwum/zadania/X-25-asercje-po-migracji.md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docs/archiwum/zadania/X-27-obraz-api-w-ci.md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docs/archiwum/zadania/H-24-jedna-nazwa-jeden-drill.md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docs/archiwum/zadania/X-28-alert-bez-adresata.md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docs/archiwum/zadania/X-29-obserwowalnosc-nie-docierala-na-produkcje.md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docs/archiwum/zadania/H-20-proba-odtworzenia.md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docs/archiwum/zadania/X-30-reguly-wczytane-ale-nieliczace-sie.md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X-32</t>
        </is>
      </c>
      <c r="B29" s="11" t="inlineStr">
        <is>
          <t>Martwy job da się odrzucić z panelu, ze śladem w audycie</t>
        </is>
      </c>
      <c r="C29" s="10" t="inlineStr">
        <is>
          <t>audyt</t>
        </is>
      </c>
      <c r="D29" s="10" t="inlineStr">
        <is>
          <t>X — Infrastruktura jakości</t>
        </is>
      </c>
      <c r="E29" s="10" t="inlineStr">
        <is>
          <t>—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29" s="10" t="inlineStr">
        <is>
          <t>do zrobienia</t>
        </is>
      </c>
    </row>
    <row r="30">
      <c r="A30" s="10" t="inlineStr">
        <is>
          <t>X-33</t>
        </is>
      </c>
      <c r="B30" s="11" t="inlineStr">
        <is>
          <t>Bramka alertów odróżnia „nie ma" od „jeszcze nie ma"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docs/archiwum/zadania/X-33-bramka-mierzyla-szybkosc-startu.md</t>
        </is>
      </c>
      <c r="P30" s="10" t="inlineStr">
        <is>
          <t>do zrobienia</t>
        </is>
      </c>
    </row>
    <row r="31">
      <c r="A31" s="10" t="inlineStr">
        <is>
          <t>X-34</t>
        </is>
      </c>
      <c r="B31" s="11" t="inlineStr">
        <is>
          <t>Bramka alertów czyta metryki bez potoku (SIGPIPE + pipefail)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docs/archiwum/zadania/X-34-bramka-klamala-o-wlasnym-odczycie.md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docs/archiwum/zadania/Z-12-nadsubskrypcja-pojemnosci-wezla.md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docs/archiwum/zadania/Z-13-plan-produkcyjny-w-bazie.md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docs/archiwum/zadania/Z-16-autoskalowanie-pyta-wezel.md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DEV-01</t>
        </is>
      </c>
      <c r="B36" s="11" t="inlineStr">
        <is>
          <t>Baza deweloperska jest nieosiągalna, a `docker-compose.yml` opisuje stan, którego nie ma</t>
        </is>
      </c>
      <c r="C36" s="10" t="inlineStr">
        <is>
          <t>audyt</t>
        </is>
      </c>
      <c r="D36" s="10" t="inlineStr">
        <is>
          <t>X — Infrastruktura jakości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BRAK</t>
        </is>
      </c>
      <c r="L36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6" s="10" t="inlineStr">
        <is>
          <t>do zrobienia</t>
        </is>
      </c>
    </row>
    <row r="37">
      <c r="A37" s="10" t="inlineStr">
        <is>
          <t>DEP-01</t>
        </is>
      </c>
      <c r="B37" s="11" t="inlineStr">
        <is>
          <t>Osiem otwartych pull requestów Dependabota, żaden niescalony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GitHub: 8 otwartych PR-ów, przebiegi CI #147–#150 od `dependabot[bot]`, 2026-08-28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7" s="10" t="inlineStr">
        <is>
          <t>do zrobienia</t>
        </is>
      </c>
    </row>
    <row r="38">
      <c r="A38" s="10" t="inlineStr">
        <is>
          <t>ENV-01</t>
        </is>
      </c>
      <c r="B38" s="11" t="inlineStr">
        <is>
          <t>Bramka lokalna biegnie na Node 20, CI na Node 22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ŚREDNIA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DZIAŁA</t>
        </is>
      </c>
      <c r="L38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8" s="10" t="inlineStr">
        <is>
          <t>do zrobienia</t>
        </is>
      </c>
    </row>
    <row r="39">
      <c r="A39" s="10" t="inlineStr">
        <is>
          <t>X-50</t>
        </is>
      </c>
      <c r="B39" s="11" t="inlineStr">
        <is>
          <t>Bramka podatnosci zatrzymuje cokolwiek — jest wymagana do merge i wolana przez wdrozenie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39" s="10" t="inlineStr">
        <is>
          <t>do zrobienia</t>
        </is>
      </c>
    </row>
    <row r="40">
      <c r="A40" s="10" t="inlineStr">
        <is>
          <t>X-51</t>
        </is>
      </c>
      <c r="B40" s="11" t="inlineStr">
        <is>
          <t>Etykiety z dependabot.yml istnieja w repozytorium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NISKA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utworzone etykiety dependencies, security, docker, ci — 9 -&gt; 13 etykiet w repozytorium; pokrywaja wszystkie trzy sekcje labels: w .github/dependabot.yml.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0" s="10" t="inlineStr">
        <is>
          <t>do zrobienia</t>
        </is>
      </c>
    </row>
    <row r="41">
      <c r="A41" s="10" t="inlineStr">
        <is>
          <t>SEC-07</t>
        </is>
      </c>
      <c r="B41" s="11" t="inlineStr">
        <is>
          <t>Trzy podatnosci HIGH w multerze — zdalny DoS bez uwierzytelnienia na sciezce uploadu</t>
        </is>
      </c>
      <c r="C41" s="10" t="inlineStr">
        <is>
          <t>audyt</t>
        </is>
      </c>
      <c r="D41" s="10" t="inlineStr">
        <is>
          <t>G — SSL i bezpieczeństwo</t>
        </is>
      </c>
      <c r="E41" s="10" t="inlineStr">
        <is>
          <t>WYSOKA</t>
        </is>
      </c>
      <c r="F41" s="10" t="n">
        <v>16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docs/archiwum/zadania/SEC-07-multer-jedno-zadanie-klado-proces.md.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1" s="10" t="inlineStr">
        <is>
          <t>do zrobienia</t>
        </is>
      </c>
    </row>
    <row r="42">
      <c r="A42" s="10" t="inlineStr">
        <is>
          <t>SEC-08</t>
        </is>
      </c>
      <c r="B42" s="11" t="inlineStr">
        <is>
          <t>Dwa niezauwierzytelnione RCE w Next.js lezaly w drzewie 22 dni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2" s="10" t="inlineStr">
        <is>
          <t>do zrobienia</t>
        </is>
      </c>
    </row>
    <row r="43">
      <c r="A43" s="10" t="inlineStr">
        <is>
          <t>PB-13</t>
        </is>
      </c>
      <c r="B43" s="11" t="inlineStr">
        <is>
          <t>Decyzja: własny KSeF czy integracja z programem księgowym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BLOKER BIZNESOWY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3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3" s="10" t="inlineStr">
        <is>
          <t>do zrobienia</t>
        </is>
      </c>
    </row>
    <row r="44">
      <c r="A44" s="10" t="inlineStr">
        <is>
          <t>FAK-01</t>
        </is>
      </c>
      <c r="B44" s="11" t="inlineStr">
        <is>
          <t>Panel nie wystawia faktury VAT rownolegle z programem ksiegowym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16</v>
      </c>
      <c r="G44" s="10" t="n">
        <v>5</v>
      </c>
      <c r="H44" s="10" t="inlineStr">
        <is>
          <t>Faza 1 — Rozliczenia i dowód odtworzenia</t>
        </is>
      </c>
      <c r="I44" s="10" t="inlineStr">
        <is>
          <t>2026-09-28</t>
        </is>
      </c>
      <c r="J44" s="10" t="inlineStr">
        <is>
          <t>2026-10-02</t>
        </is>
      </c>
      <c r="K44" s="10" t="inlineStr">
        <is>
          <t>DZIAŁA</t>
        </is>
      </c>
      <c r="L44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4" s="11" t="inlineStr">
        <is>
          <t>PB-13 (kierunek fakturowania — zamkniete 2026-09-22)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docs/archiwum/zadania/FAK-01-faktury-w-programie-ksiegowym.md</t>
        </is>
      </c>
      <c r="P44" s="10" t="inlineStr">
        <is>
          <t>do zrobienia</t>
        </is>
      </c>
    </row>
    <row r="45">
      <c r="A45" s="10" t="inlineStr">
        <is>
          <t>X-03</t>
        </is>
      </c>
      <c r="B45" s="11" t="inlineStr">
        <is>
          <t>Testy uruchamiane przed wdrożeniem</t>
        </is>
      </c>
      <c r="C45" s="10" t="inlineStr">
        <is>
          <t>audyt</t>
        </is>
      </c>
      <c r="D45" s="10" t="inlineStr">
        <is>
          <t>X — Infrastruktura jakości</t>
        </is>
      </c>
      <c r="E45" s="10" t="inlineStr">
        <is>
          <t>WYSOKA</t>
        </is>
      </c>
      <c r="F45" s="10" t="n">
        <v>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5" s="10" t="inlineStr">
        <is>
          <t>do zrobienia</t>
        </is>
      </c>
    </row>
    <row r="46">
      <c r="A46" s="10" t="inlineStr">
        <is>
          <t>PB-14</t>
        </is>
      </c>
      <c r="B46" s="11" t="inlineStr">
        <is>
          <t>Wybór dostawcy i lokalizacji węzła produkcyjnego #1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6</v>
      </c>
      <c r="H47" s="10" t="inlineStr">
        <is>
          <t>Faza 1 — Rozliczenia i dowód odtworzenia</t>
        </is>
      </c>
      <c r="I47" s="10" t="inlineStr">
        <is>
          <t>2026-10-05</t>
        </is>
      </c>
      <c r="J47" s="10" t="inlineStr">
        <is>
          <t>2026-10-09</t>
        </is>
      </c>
      <c r="K47" s="10" t="inlineStr">
        <is>
          <t>CZĘŚCIOWE</t>
        </is>
      </c>
      <c r="L47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8" s="11" t="inlineStr">
        <is>
          <t>F-01 (ten sam edytor)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 xml:space="preserve">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8" s="10" t="inlineStr">
        <is>
          <t>do zrobienia</t>
        </is>
      </c>
    </row>
    <row r="49">
      <c r="A49" s="10" t="inlineStr">
        <is>
          <t>PB-15</t>
        </is>
      </c>
      <c r="B49" s="11" t="inlineStr">
        <is>
          <t>Fundament nowego designu panelu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30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Ekran-wzorzec zaakceptowany przez właściciela; tokeny i komponenty w @verris/ui lub components/panel; ciemny i jasny motyw; kontrast WCAG AA; brak regresji w testach.</t>
        </is>
      </c>
      <c r="O49" s="11" t="inlineStr">
        <is>
          <t>Własny system wizualny zamiast domyślnego Tailwinda: tokeny (kolor marki, neutralne, stany), typografia z charakterem (nie Inter), skala odstępów i promieni, ~10 komponentów bazowych (przycisk, pole, tabela o zmiennej gęstości, karta metryki z wykresem, pasek stanu, dymek asystenta, pusty stan, pasek akcji, nawigacja, modal z podglądem skutku). Jeden ekran-wzorzec: strona usługi w panelu klienta. Kierunek i inspiracje: docs/VERRIS.md.</t>
        </is>
      </c>
      <c r="P49" s="10" t="inlineStr">
        <is>
          <t>do zrobienia</t>
        </is>
      </c>
    </row>
    <row r="50">
      <c r="A50" s="10" t="inlineStr">
        <is>
          <t>PB-16</t>
        </is>
      </c>
      <c r="B50" s="11" t="inlineStr">
        <is>
          <t>Ekrany panelu klienta w nowym designie + tryb Prosty/Pełny + wyszukiwarka „/”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WYSOKI</t>
        </is>
      </c>
      <c r="F50" s="10" t="n">
        <v>40</v>
      </c>
      <c r="G50" s="10" t="n">
        <v>7</v>
      </c>
      <c r="H50" s="10" t="inlineStr">
        <is>
          <t>Faza 1 — Rozliczenia i dowód odtworzenia</t>
        </is>
      </c>
      <c r="I50" s="10" t="inlineStr">
        <is>
          <t>2026-10-12</t>
        </is>
      </c>
      <c r="J50" s="10" t="inlineStr">
        <is>
          <t>2026-10-16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trasy panelu klienta na nowych komponentach; tryb zapamiętany per użytkownik; „/” działa na każdym ekranie; zrzuty mobile/desktop sprawdzone.</t>
        </is>
      </c>
      <c r="O50" s="11" t="inlineStr">
        <is>
          <t>Przeniesienie wszystkich ekranów panelu klienta na komponenty z PB-15. Tryb Prosty (laik) / Pełny (pro) jako gęstość informacji tego samego panelu. Globalne wyszukiwanie pod „/” (usługi, domeny, ustawienia, baza wiedzy). Puste stany jako instrukcje.</t>
        </is>
      </c>
      <c r="P50" s="10" t="inlineStr">
        <is>
          <t>do zrobienia</t>
        </is>
      </c>
    </row>
    <row r="51">
      <c r="A51" s="10" t="inlineStr">
        <is>
          <t>E-15</t>
        </is>
      </c>
      <c r="B51" s="11" t="inlineStr">
        <is>
          <t>Rekordy SPF — kreator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8</v>
      </c>
      <c r="H51" s="10" t="inlineStr">
        <is>
          <t>Faza 1 — Rozliczenia i dowód odtworzenia</t>
        </is>
      </c>
      <c r="I51" s="10" t="inlineStr">
        <is>
          <t>2026-10-19</t>
        </is>
      </c>
      <c r="J51" s="10" t="inlineStr">
        <is>
          <t>2026-10-23</t>
        </is>
      </c>
      <c r="K51" s="10" t="inlineStr">
        <is>
          <t>CZĘŚCIOWE</t>
        </is>
      </c>
      <c r="L51" s="11" t="inlineStr">
        <is>
          <t>2026-09-23 D1: deliverability/mail-auth.ts (buildMailAuthChecks) + deliverability.service.ts (strefa DA + delegacja NS); UI app/dashboard/email/deliverability-panel.tsx podpięty w MailTab (zakładka Poczta); test mail-auth.spec.ts</t>
        </is>
      </c>
      <c r="M51" s="11" t="inlineStr">
        <is>
          <t>—</t>
        </is>
      </c>
      <c r="N51" s="11" t="inlineStr">
        <is>
          <t>Ograniczenie opisane w uwagach macierzy zniknęło; test potwierdza zachowanie także w scenariuszu awaryjnym.</t>
        </is>
      </c>
      <c r="O51" s="11" t="inlineStr">
        <is>
          <t>deliverability-panel.tsx:26 to komponent osierocony — nikt go nie importuje | KOD: kreator pokazuje stan z publicznego DNS i gotowy rekord — „Dodaj/Zamień rekord w DNS” gdy domena na NS Verris, inaczej do skopiowania u dostawcy DNS. Zalecany SPF to `v=spf1 a mx ip4:&lt;IP węzła&gt; ~all`. ZNALEZISKO: dotychczasowa podpowiedź include:_spf.verris.pl odwołuje się do nieistniejącego rekordu (NXDOMAIN) → SPF permerror; usunięta z podpowiedzi, presetu DNS i artykułów KB, a kreator wykrywa ją u klientów. OTWARTE do D3 (węzeł): zapis rekordu przez CMD_API_DNS_CONTROL.</t>
        </is>
      </c>
      <c r="P51" s="10" t="inlineStr">
        <is>
          <t>do zrobienia</t>
        </is>
      </c>
    </row>
    <row r="52">
      <c r="A52" s="10" t="inlineStr">
        <is>
          <t>E-16</t>
        </is>
      </c>
      <c r="B52" s="11" t="inlineStr">
        <is>
          <t>Rekordy DKIM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8</v>
      </c>
      <c r="H52" s="10" t="inlineStr">
        <is>
          <t>Faza 1 — Rozliczenia i dowód odtworzenia</t>
        </is>
      </c>
      <c r="I52" s="10" t="inlineStr">
        <is>
          <t>2026-10-19</t>
        </is>
      </c>
      <c r="J52" s="10" t="inlineStr">
        <is>
          <t>2026-10-23</t>
        </is>
      </c>
      <c r="K52" s="10" t="inlineStr">
        <is>
          <t>CZĘŚCIOWE</t>
        </is>
      </c>
      <c r="L52" s="11" t="inlineStr">
        <is>
          <t>2026-09-23 D1: mail-auth.ts dkimCheck — selektory w publicznym DNS, a gdy brak: klucz &lt;sel&gt;._domainkey ze strefy DA do skopiowania u zewnętrznego DNS; test mail-auth.spec.ts</t>
        </is>
      </c>
      <c r="M52" s="11" t="inlineStr">
        <is>
          <t>E-15 (ten sam panel dostarczalności)</t>
        </is>
      </c>
      <c r="N52" s="11" t="inlineStr">
        <is>
          <t>Ograniczenie opisane w uwagach macierzy zniknęło; test potwierdza zachowanie także w scenariuszu awaryjnym.</t>
        </is>
      </c>
      <c r="O52" s="11" t="inlineStr">
        <is>
          <t>j.w. | KOD: DKIM odczytywany ze strefy DA (DA dopisuje klucz sam przy włączonym DKIM). Brak klucza = link do zgłoszenia. OTWARTE: włączanie DKIM z panelu (komenda DA niepotwierdzona bez węzła) — D3 w sprincie 18.</t>
        </is>
      </c>
      <c r="P52" s="10" t="inlineStr">
        <is>
          <t>do zrobienia</t>
        </is>
      </c>
    </row>
    <row r="53">
      <c r="A53" s="10" t="inlineStr">
        <is>
          <t>E-17</t>
        </is>
      </c>
      <c r="B53" s="11" t="inlineStr">
        <is>
          <t>Rekord DMARC — konfiguracja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8</v>
      </c>
      <c r="H53" s="10" t="inlineStr">
        <is>
          <t>Faza 1 — Rozliczenia i dowód odtworzenia</t>
        </is>
      </c>
      <c r="I53" s="10" t="inlineStr">
        <is>
          <t>2026-10-19</t>
        </is>
      </c>
      <c r="J53" s="10" t="inlineStr">
        <is>
          <t>2026-10-23</t>
        </is>
      </c>
      <c r="K53" s="10" t="inlineStr">
        <is>
          <t>CZĘŚCIOWE</t>
        </is>
      </c>
      <c r="L53" s="11" t="inlineStr">
        <is>
          <t>2026-09-23 D1: mail-auth.ts dmarcCheck (brak / p=none / kilka rekordów) + lib/dmarc.ts tuneDmarc (polityka + adres raportów) w deliverability-panel.tsx; testy mail-auth.spec.ts, dmarc.spec.ts</t>
        </is>
      </c>
      <c r="M53" s="11" t="inlineStr">
        <is>
          <t>E-15</t>
        </is>
      </c>
      <c r="N53" s="11" t="inlineStr">
        <is>
          <t>Ograniczenie opisane w uwagach macierzy zniknęło; test potwierdza zachowanie także w scenariuszu awaryjnym.</t>
        </is>
      </c>
      <c r="O53" s="11" t="inlineStr">
        <is>
          <t>j.w. | KOD: kreator DMARC — wybór polityki i opcjonalny adres raportów, zachowuje pozostałe tagi. Sugestia bez rua na verris.pl (raporty do obcej domeny wymagają rekordu autoryzacji). OTWARTE do D3: zapis do strefy DA.</t>
        </is>
      </c>
      <c r="P53" s="10" t="inlineStr">
        <is>
          <t>do zrobienia</t>
        </is>
      </c>
    </row>
    <row r="54">
      <c r="A54" s="10" t="inlineStr">
        <is>
          <t>E-05</t>
        </is>
      </c>
      <c r="B54" s="11" t="inlineStr">
        <is>
          <t>Zmiana quoty ISTNIEJĄCEJ skrzynki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8</v>
      </c>
      <c r="H54" s="10" t="inlineStr">
        <is>
          <t>Faza 1 — Rozliczenia i dowód odtworzenia</t>
        </is>
      </c>
      <c r="I54" s="10" t="inlineStr">
        <is>
          <t>2026-10-19</t>
        </is>
      </c>
      <c r="J54" s="10" t="inlineStr">
        <is>
          <t>2026-10-23</t>
        </is>
      </c>
      <c r="K54" s="10" t="inlineStr">
        <is>
          <t>CZĘŚCIOWE</t>
        </is>
      </c>
      <c r="L54" s="11" t="inlineStr">
        <is>
          <t>2026-09-23 D1: POST /services/:id/hosting-email/quota (ZmienRozmiarSkrzynkiDto 10–102400 MB) → directadmin.service changeHostingEmailQuota (CMD_API_POP action=modify bez passwd) + audyt HOSTING_EMAIL_QUOTA_CHANGED; UI MailTab — klik w rozmiar skrzynki</t>
        </is>
      </c>
      <c r="M54" s="11" t="inlineStr">
        <is>
          <t>—</t>
        </is>
      </c>
      <c r="N54" s="11" t="inlineStr">
        <is>
          <t>Ograniczenie opisane w uwagach macierzy zniknęło; test potwierdza zachowanie także w scenariuszu awaryjnym.</t>
        </is>
      </c>
      <c r="O54" s="11" t="inlineStr">
        <is>
          <t>brak jakiejkolwiek ścieżki edycji — klient musi usunąć i odtworzyć skrzynkę | KOD: zmiana rozmiaru bez usuwania skrzynki. Przy okazji body tworzenia skrzynki i zmiany hasła dostały klasy DTO (wcześniej interfejs = zero walidacji na granicy zaufania). OTWARTE do D3: czy DA przy modify bez passwd zostawia hasło (komentarz ponytail).</t>
        </is>
      </c>
      <c r="P54" s="10" t="inlineStr">
        <is>
          <t>do zrobienia</t>
        </is>
      </c>
    </row>
    <row r="55">
      <c r="A55" s="10" t="inlineStr">
        <is>
          <t>M-26</t>
        </is>
      </c>
      <c r="B55" s="11" t="inlineStr">
        <is>
          <t>Usunięcie zapisanej karty przez klienta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WYSOKA</t>
        </is>
      </c>
      <c r="F55" s="10" t="n">
        <v>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2026-09-23 D1: DELETE /billing/payment-methods/:id (ParseUUIDPipe) → billing.service deleteMyPaymentMethod: Stripe detach, usunięcie wiersza, zerowanie karty domyślnej i auto-doładowania, audyt PAYMENT_METHOD_REMOVED; UI billing-extras-forms „Zapisane karty”; test usun-karte.spec.ts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wymóg konsumencki | KOD gotowy i przetestowany na atrapach. UWAGA: nic w API nie zapisuje dziś wierszy PaymentMethod (brak create/upsert) — lista kart jest zawsze pusta, więc usuwanie da się sprawdzić dopiero, gdy zapis kart zostanie podpięty (webhook Stripe po płatności kartą).</t>
        </is>
      </c>
      <c r="P55" s="10" t="inlineStr">
        <is>
          <t>do zrobienia</t>
        </is>
      </c>
    </row>
    <row r="56">
      <c r="A56" s="10" t="inlineStr">
        <is>
          <t>PB-17</t>
        </is>
      </c>
      <c r="B56" s="11" t="inlineStr">
        <is>
          <t>Asystent v1: dymki, naprawy jednym kliknięciem, czat z danymi konta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30</v>
      </c>
      <c r="G56" s="10" t="n">
        <v>9</v>
      </c>
      <c r="H56" s="10" t="inlineStr">
        <is>
          <t>Faza 2 — Odzyskanie funkcji-widm i luki pierwszego tygodnia</t>
        </is>
      </c>
      <c r="I56" s="10" t="inlineStr">
        <is>
          <t>2026-10-26</t>
        </is>
      </c>
      <c r="J56" s="10" t="inlineStr">
        <is>
          <t>2026-10-30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—</t>
        </is>
      </c>
      <c r="N56" s="11" t="inlineStr">
        <is>
          <t>Co najmniej 5 reguł dymków z testami; każda naprawa ma cofnięcie i wpis audytu; czat odpowiada z kontekstem usługi; brak akcji destrukcyjnych w v1.</t>
        </is>
      </c>
      <c r="O56" s="11" t="inlineStr">
        <is>
          <t>Dymki kontekstowe na regułach (bez kosztu AI): dysk, domena nie wskazuje na nas, SPF/DKIM, SSL wygasa, backup nieświeży — najwyżej jeden na ekran, „nie pokazuj więcej”. Naprawy jednym kliknięciem tylko dla akcji odwracalnych, z kartą podglądu skutku i „Cofnij”. Obecny czat (HostingAssistant, RAG) dostaje odczyt danych konta. Każda akcja w audycie. Diagnoza i naprawy po naszej stronie za darmo.</t>
        </is>
      </c>
      <c r="P56" s="10" t="inlineStr">
        <is>
          <t>do zrobienia</t>
        </is>
      </c>
    </row>
    <row r="57">
      <c r="A57" s="10" t="inlineStr">
        <is>
          <t>PB-18</t>
        </is>
      </c>
      <c r="B57" s="11" t="inlineStr">
        <is>
          <t>Tickety v2: podgląd klienta, szablony ze zmiennymi, szkice odpowiedzi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WYSOKI</t>
        </is>
      </c>
      <c r="F57" s="10" t="n">
        <v>24</v>
      </c>
      <c r="G57" s="10" t="n">
        <v>10</v>
      </c>
      <c r="H57" s="10" t="inlineStr">
        <is>
          <t>Faza 2 — Odzyskanie funkcji-widm i luki pierwszego tygodnia</t>
        </is>
      </c>
      <c r="I57" s="10" t="inlineStr">
        <is>
          <t>2026-11-02</t>
        </is>
      </c>
      <c r="J57" s="10" t="inlineStr">
        <is>
          <t>2026-11-06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Podgląd klienta bez przechodzenia między ekranami; szablony podstawiają zmienne z testem; szkic odpowiedzi dla 6 kategorii (DNS, SSL, poczta, płatność, migracja, awaria).</t>
        </is>
      </c>
      <c r="O57" s="11" t="inlineStr">
        <is>
          <t>Panel staff: boczny podgląd klienta w tickecie (usługi, saldo, faktury/dokumenty, zdarzenia, historia zgłoszeń, health score); szablony odpowiedzi ze zmiennymi (imię, domena, usługa, termin) i kategoriami — rozbudowa canned responses; klasyfikacja zgłoszenia i szkic odpowiedzi z bazy wiedzy i danych konta (do akceptacji, bez auto-wysyłki w v2); akcje z ticketu z audytem; licznik SLA.</t>
        </is>
      </c>
      <c r="P57" s="10" t="inlineStr">
        <is>
          <t>do zrobienia</t>
        </is>
      </c>
    </row>
    <row r="58">
      <c r="A58" s="10" t="inlineStr">
        <is>
          <t>A-25</t>
        </is>
      </c>
      <c r="B58" s="11" t="inlineStr">
        <is>
          <t>Ręczne zawieszenie usługi przez operatora</t>
        </is>
      </c>
      <c r="C58" s="10" t="inlineStr">
        <is>
          <t>audyt</t>
        </is>
      </c>
      <c r="D58" s="10" t="inlineStr">
        <is>
          <t>A — Domeny i konta</t>
        </is>
      </c>
      <c r="E58" s="10" t="inlineStr">
        <is>
          <t>WYSOKA</t>
        </is>
      </c>
      <c r="F58" s="10" t="n">
        <v>6</v>
      </c>
      <c r="G58" s="10" t="n">
        <v>11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CZĘŚCIOWE</t>
        </is>
      </c>
      <c r="L58" s="11" t="inlineStr">
        <is>
          <t>2026-09-23 D1: admin-panel subscriptions/[id]/suspend-form.tsx + suspend-actions.ts → POST /admin/subscriptions/:id/suspend (powód, notatka, potwierdzenie)</t>
        </is>
      </c>
      <c r="M58" s="11" t="inlineStr">
        <is>
          <t>—</t>
        </is>
      </c>
      <c r="N58" s="11" t="inlineStr">
        <is>
          <t>Ograniczenie opisane w uwagach macierzy zniknęło; test potwierdza zachowanie także w scenariuszu awaryjnym.</t>
        </is>
      </c>
      <c r="O58" s="11" t="inlineStr">
        <is>
          <t>Skorygowane: endpoint działa i jest osiągalny (curl + DirectAdmin), auto-suspend za brak płatności działa. Brakuje UI, nie możliwości zatrzymania szkody. | UI zrobione. OTWARTE do D3 (PB-21, serwer testowy): zawieszenie konta w DirectAdminie na żywym węźle.</t>
        </is>
      </c>
      <c r="P58" s="10" t="inlineStr">
        <is>
          <t>do zrobienia</t>
        </is>
      </c>
    </row>
    <row r="59">
      <c r="A59" s="10" t="inlineStr">
        <is>
          <t>A-26</t>
        </is>
      </c>
      <c r="B59" s="11" t="inlineStr">
        <is>
          <t>Ręczne odwieszenie usługi przez operatora</t>
        </is>
      </c>
      <c r="C59" s="10" t="inlineStr">
        <is>
          <t>audyt</t>
        </is>
      </c>
      <c r="D59" s="10" t="inlineStr">
        <is>
          <t>A — Domeny i konta</t>
        </is>
      </c>
      <c r="E59" s="10" t="inlineStr">
        <is>
          <t>WYSOKA</t>
        </is>
      </c>
      <c r="F59" s="10" t="n">
        <v>6</v>
      </c>
      <c r="G59" s="10" t="n">
        <v>11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CZĘŚCIOWE</t>
        </is>
      </c>
      <c r="L59" s="11" t="inlineStr">
        <is>
          <t>2026-09-23 D1: ten sam formularz — odwieszenie z opcją obciążenia za odnowienie (chargeRenewal)</t>
        </is>
      </c>
      <c r="M59" s="11" t="inlineStr">
        <is>
          <t>A-25 (ten sam widok)</t>
        </is>
      </c>
      <c r="N59" s="11" t="inlineStr">
        <is>
          <t>Ograniczenie opisane w uwagach macierzy zniknęło; test potwierdza zachowanie także w scenariuszu awaryjnym.</t>
        </is>
      </c>
      <c r="O59" s="11" t="inlineStr">
        <is>
          <t>Skorygowane: jak A-25, endpoint subscriptions.admin.controller.ts:210 działa z chargeRenewal. | UI zrobione. OTWARTE do D3 (PB-21): odwieszenie konta w DA na żywym węźle.</t>
        </is>
      </c>
      <c r="P59" s="10" t="inlineStr">
        <is>
          <t>do zrobienia</t>
        </is>
      </c>
    </row>
    <row r="60">
      <c r="A60" s="10" t="inlineStr">
        <is>
          <t>N-07</t>
        </is>
      </c>
      <c r="B60" s="11" t="inlineStr">
        <is>
          <t>Ręczne tworzenie incydentu na status page</t>
        </is>
      </c>
      <c r="C60" s="10" t="inlineStr">
        <is>
          <t>audyt</t>
        </is>
      </c>
      <c r="D60" s="10" t="inlineStr">
        <is>
          <t>N — Wsparcie i ops</t>
        </is>
      </c>
      <c r="E60" s="10" t="inlineStr">
        <is>
          <t>WYSOKA</t>
        </is>
      </c>
      <c r="F60" s="10" t="n">
        <v>6</v>
      </c>
      <c r="G60" s="10" t="n">
        <v>11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DZIAŁA</t>
        </is>
      </c>
      <c r="L60" s="11" t="inlineStr">
        <is>
          <t>2026-09-23 D2: admin-panel status/incidents/incident-compose.tsx → POST /admin/product-ops/incidents; przycisk „Rozwiąż” (PATCH incidents/:id status=RESOLVED); probe-ingest.service.ts isManualIncident; test status/incydent-reczny.spec.ts</t>
        </is>
      </c>
      <c r="M60" s="11" t="inlineStr">
        <is>
          <t>—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w kryzysie nie ma jak zakomunikować awarii | ZNALEZISKO: incydent ogłoszony ręcznie zamykał się sam przy pierwszej udanej próbie monitora (w ciągu minut), więc komunikat o awarii, której monitor nie widzi, znikał ze status page. Teraz zamyka go tylko operator; zamknięcie wysyła webhook INCIDENT_RESOLVED i trafia do audytu.</t>
        </is>
      </c>
      <c r="P60" s="10" t="inlineStr">
        <is>
          <t>do zrobienia</t>
        </is>
      </c>
    </row>
    <row r="61">
      <c r="A61" s="10" t="inlineStr">
        <is>
          <t>N-14</t>
        </is>
      </c>
      <c r="B61" s="11" t="inlineStr">
        <is>
          <t>Cordon wysyłki poczty (auto-blokada spamu)</t>
        </is>
      </c>
      <c r="C61" s="10" t="inlineStr">
        <is>
          <t>audyt</t>
        </is>
      </c>
      <c r="D61" s="10" t="inlineStr">
        <is>
          <t>N — Wsparcie i ops</t>
        </is>
      </c>
      <c r="E61" s="10" t="inlineStr">
        <is>
          <t>WYSOKA</t>
        </is>
      </c>
      <c r="F61" s="10" t="n">
        <v>6</v>
      </c>
      <c r="G61" s="10" t="n">
        <v>11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DZIAŁA</t>
        </is>
      </c>
      <c r="L61" s="11" t="inlineStr">
        <is>
          <t>2026-09-23: admin-panel /deliverability (Blokady wysyłki poczty, link w menu) → GET/POST /admin/deliverability/cordons; lista z e-mailem i nazwą klienta</t>
        </is>
      </c>
      <c r="M61" s="11" t="inlineStr">
        <is>
          <t>—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mechanizm działa, operator nie może go zobaczyć ani zdjąć | Operator widzi kogo i dlaczego zablokowano oraz zdejmuje blokadę (ADMIN, z potwierdzeniem, audyt po stronie API).</t>
        </is>
      </c>
      <c r="P61" s="10" t="inlineStr">
        <is>
          <t>do zrobienia</t>
        </is>
      </c>
    </row>
    <row r="62">
      <c r="A62" s="10" t="inlineStr">
        <is>
          <t>H-22</t>
        </is>
      </c>
      <c r="B62" s="11" t="inlineStr">
        <is>
          <t>Panel odtwarzania w widocznym miejscu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11</v>
      </c>
      <c r="H62" s="10" t="inlineStr">
        <is>
          <t>Faza 2 — Odzyskanie funkcji-widm i luki pierwszego tygodnia</t>
        </is>
      </c>
      <c r="I62" s="10" t="inlineStr">
        <is>
          <t>2026-11-09</t>
        </is>
      </c>
      <c r="J62" s="10" t="inlineStr">
        <is>
          <t>2026-11-13</t>
        </is>
      </c>
      <c r="K62" s="10" t="inlineStr">
        <is>
          <t>DZIAŁA</t>
        </is>
      </c>
      <c r="L62" s="11" t="inlineStr">
        <is>
          <t>2026-09-23: client-panel BackupsTab.tsx — sekcja „Kopie poza serwerem” (HostingOffsitePanel) w zakładce Kopie zapasowe; zdublowany panel przywracania usunięty z Zużycia zasobów (hosting-backup-restore-panel.tsx)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klient w kryzysie tego nie znajdzie | Kopie off-site są tam, gdzie klient ich szuka w kryzysie; przywracanie jest w jednym miejscu, z potwierdzeniem domeną.</t>
        </is>
      </c>
      <c r="P62" s="10" t="inlineStr">
        <is>
          <t>do zrobienia</t>
        </is>
      </c>
    </row>
    <row r="63">
      <c r="A63" s="10" t="inlineStr">
        <is>
          <t>H-09</t>
        </is>
      </c>
      <c r="B63" s="11" t="inlineStr">
        <is>
          <t>Kopia bezpieczeństwa przed odtworzeniem</t>
        </is>
      </c>
      <c r="C63" s="10" t="inlineStr">
        <is>
          <t>audyt</t>
        </is>
      </c>
      <c r="D63" s="10" t="inlineStr">
        <is>
          <t>H — Backup i odtwarzanie</t>
        </is>
      </c>
      <c r="E63" s="10" t="inlineStr">
        <is>
          <t>WYSOKA</t>
        </is>
      </c>
      <c r="F63" s="10" t="n">
        <v>6</v>
      </c>
      <c r="G63" s="10" t="n">
        <v>12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CZĘŚCIOWE</t>
        </is>
      </c>
      <c r="L63" s="11" t="inlineStr">
        <is>
          <t>2026-09-23 D1: hosting-restore.service.ts takeSafetyBackup — odtwarzanie rusza dopiero, gdy na liście kopii pojawi się NOWE archiwum (do 15 min), inaczej FAILED „dane nie zostały zmienione”; nieczytelna lista = odmowa; test hosting-restore.safety.spec.ts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hosting-restore.service.ts:167 tylko KOLEJKUJE backup w DA i nie czeka na wynik — destrukcyjne odtworzenie rusza mimo nieudanej kopii. Job dostaje COMPLETED (:182) w chwili przyjęcia zadania, nie po odtworzeniu. | Naprawione: nadpisywanie danych bez siatki. Status COMPLETED w panelu klienta opisany uczciwie („Odtwarzanie zlecone — serwer odtwarza dane w tle”), bo DA przyjmuje odtworzenie asynchronicznie. OTWARTE do D3 (PB-21): pełny przebieg na żywym DA i wykrycie końca odtwarzania.</t>
        </is>
      </c>
      <c r="P63" s="10" t="inlineStr">
        <is>
          <t>do zrobienia</t>
        </is>
      </c>
    </row>
    <row r="64">
      <c r="A64" s="10" t="inlineStr">
        <is>
          <t>H-17</t>
        </is>
      </c>
      <c r="B64" s="11" t="inlineStr">
        <is>
          <t>Tryb restore skryptu odtwarzającego osiągalny z produktu</t>
        </is>
      </c>
      <c r="C64" s="10" t="inlineStr">
        <is>
          <t>audyt</t>
        </is>
      </c>
      <c r="D64" s="10" t="inlineStr">
        <is>
          <t>H — Backup i odtwarzanie</t>
        </is>
      </c>
      <c r="E64" s="10" t="inlineStr">
        <is>
          <t>WYSOKA</t>
        </is>
      </c>
      <c r="F64" s="10" t="n">
        <v>6</v>
      </c>
      <c r="G64" s="10" t="n">
        <v>12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DZIAŁA</t>
        </is>
      </c>
      <c r="L64" s="11" t="inlineStr">
        <is>
          <t>2026-09-23: produktowa ścieżka odtwarzania z off-site = „Pobierz na serwer” (fetch, agent) + przywrócenie z listy kopii z kopią bezpieczeństwa (H-09) i potwierdzeniem domeną; tryb `restore` skryptu (DA type=admin, bez kopii bezpieczeństwa) celowo zostaje tylko w CLI/runbooku DR</t>
        </is>
      </c>
      <c r="M64" s="11" t="inlineStr">
        <is>
          <t>H-20 (najpierw potwierdzone odtworzenie, potem wystawienie trybu w produkcie)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Skorygowane: tryb restore jest martwy z poziomu produktu, ale żywy z CLI (node-account-restore.sh:120-124) i udokumentowany w runbooku. | DO DECYZJI WŁAŚCICIELA: proponuję zamknąć jako PARYTET przez równoważną ścieżkę produktową — wystawienie trybu `restore` ominęłoby kopię bezpieczeństwa z H-09. Tryb restore działa też tylko przy istniejącym koncie na węźle, czyli dokładnie tam, gdzie wystarcza fetch + przywrócenie. | DECYZJA WŁAŚCICIELA 2026-09-23: zamknięte jako PARYTET — ścieżka produktowa (pobierz na serwer + przywrócenie z kopią bezpieczeństwa i potwierdzeniem domeną) daje ten sam efekt bezpieczniej; tryb restore skryptu zostaje wyłącznie w CLI/runbooku DR.</t>
        </is>
      </c>
      <c r="P64" s="10" t="inlineStr">
        <is>
          <t>do zrobienia</t>
        </is>
      </c>
    </row>
    <row r="65">
      <c r="A65" s="10" t="inlineStr">
        <is>
          <t>G-20</t>
        </is>
      </c>
      <c r="B65" s="11" t="inlineStr">
        <is>
          <t>Ochrona przed atakiem słownikowym na panel</t>
        </is>
      </c>
      <c r="C65" s="10" t="inlineStr">
        <is>
          <t>audyt</t>
        </is>
      </c>
      <c r="D65" s="10" t="inlineStr">
        <is>
          <t>G — SSL i bezpieczeństwo</t>
        </is>
      </c>
      <c r="E65" s="10" t="inlineStr">
        <is>
          <t>WYSOKA</t>
        </is>
      </c>
      <c r="F65" s="10" t="n">
        <v>6</v>
      </c>
      <c r="G65" s="10" t="n">
        <v>12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DZIAŁA</t>
        </is>
      </c>
      <c r="L65" s="11" t="inlineStr">
        <is>
          <t>2026-09-23 D2: common/guards/rate-limit.guard.spec.ts (6 testów: limit per IP, per e-mail z wielu IP, reset okna, zakresy i @SkipRateLimit, przepełnienie mapy, awaria Redisa)</t>
        </is>
      </c>
      <c r="M65" s="11" t="inlineStr">
        <is>
          <t>—</t>
        </is>
      </c>
      <c r="N65" s="11" t="inlineStr">
        <is>
          <t>Funkcja dostępna z panelu klienta bez wychodzenia do DirectAdmina; test uruchamiany w CI.</t>
        </is>
      </c>
      <c r="O65" s="11" t="inlineStr">
        <is>
          <t>brak dowodu D2 na krytycznym guardzie | ZNALEZISKO przy pisaniu testów: w trybie pamięciowym przepełnienie mapy (50 tys. kluczy) czyściło WSZYSTKIE liczniki — losowe e-maile zerowały licznik prób logowania do atakowanego konta (fail-open). Teraz usuwane są tylko wygasłe, a przy pełnej mapie nowe klucze dostają 429 (fail-closed).</t>
        </is>
      </c>
      <c r="P65" s="10" t="inlineStr">
        <is>
          <t>do zrobienia</t>
        </is>
      </c>
    </row>
    <row r="66">
      <c r="A66" s="10" t="inlineStr">
        <is>
          <t>I-11</t>
        </is>
      </c>
      <c r="B66" s="11" t="inlineStr">
        <is>
          <t>Staging — publikacja na produkcję</t>
        </is>
      </c>
      <c r="C66" s="10" t="inlineStr">
        <is>
          <t>audyt</t>
        </is>
      </c>
      <c r="D66" s="10" t="inlineStr">
        <is>
          <t>I — Aplikacje i WordPress</t>
        </is>
      </c>
      <c r="E66" s="10" t="inlineStr">
        <is>
          <t>WYSOKA</t>
        </is>
      </c>
      <c r="F66" s="10" t="n">
        <v>6</v>
      </c>
      <c r="G66" s="10" t="n">
        <v>12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CZĘŚCIOWE</t>
        </is>
      </c>
      <c r="L66" s="11" t="inlineStr">
        <is>
          <t>2026-09-23 D1: node-staging-sync.sh TO_LIVE — eksport bazy LIVE i niepusty plik kopii są twardą bramką (die) przed db import; retencja po udanej kopii; strażnik src/test/staging-publikacja-z-kopia.spec.ts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OSŁABIONE: node-staging-sync.sh:141-142 backup plików jest twardą bramką, ale :152-153 backup bazy LIVE jest best-effort — linia 158 robi wp db import na produkcji mimo braku kopii. | Naprawione: import bazy staging na produkcję mimo braku kopii bazy LIVE. OTWARTE do D3 (PB-21): publikacja stagingu na żywym węźle.</t>
        </is>
      </c>
      <c r="P66" s="10" t="inlineStr">
        <is>
          <t>do zrobienia</t>
        </is>
      </c>
    </row>
    <row r="67">
      <c r="A67" s="10" t="inlineStr">
        <is>
          <t>X-31</t>
        </is>
      </c>
      <c r="B67" s="11" t="inlineStr">
        <is>
          <t>Kanał alertów daje znak życia (dead man's switch)</t>
        </is>
      </c>
      <c r="C67" s="10" t="inlineStr">
        <is>
          <t>audyt</t>
        </is>
      </c>
      <c r="D67" s="10" t="inlineStr">
        <is>
          <t>X — Infrastruktura jakości</t>
        </is>
      </c>
      <c r="E67" s="10" t="inlineStr">
        <is>
          <t>—</t>
        </is>
      </c>
      <c r="F67" s="10" t="n">
        <v>6</v>
      </c>
      <c r="G67" s="10" t="n">
        <v>13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DZIAŁA</t>
        </is>
      </c>
      <c r="L67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7" s="11" t="inlineStr">
        <is>
          <t>—</t>
        </is>
      </c>
      <c r="N67" s="11" t="inlineStr">
        <is>
          <t>Funkcja dostępna z panelu klienta bez wychodzenia do DirectAdmina; test uruchamiany w CI.</t>
        </is>
      </c>
      <c r="O67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67" s="10" t="inlineStr">
        <is>
          <t>do zrobienia</t>
        </is>
      </c>
    </row>
    <row r="68">
      <c r="A68" s="10" t="inlineStr">
        <is>
          <t>X-32</t>
        </is>
      </c>
      <c r="B68" s="11" t="inlineStr">
        <is>
          <t>Martwy job da się odrzucić z panelu, ze śladem w audycie</t>
        </is>
      </c>
      <c r="C68" s="10" t="inlineStr">
        <is>
          <t>audyt</t>
        </is>
      </c>
      <c r="D68" s="10" t="inlineStr">
        <is>
          <t>X — Infrastruktura jakości</t>
        </is>
      </c>
      <c r="E68" s="10" t="inlineStr">
        <is>
          <t>—</t>
        </is>
      </c>
      <c r="F68" s="10" t="n">
        <v>6</v>
      </c>
      <c r="G68" s="10" t="n">
        <v>13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DZIAŁA</t>
        </is>
      </c>
      <c r="L68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8" s="11" t="inlineStr">
        <is>
          <t>—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68" s="10" t="inlineStr">
        <is>
          <t>do zrobienia</t>
        </is>
      </c>
    </row>
    <row r="69">
      <c r="A69" s="10" t="inlineStr">
        <is>
          <t>DEP-02</t>
        </is>
      </c>
      <c r="B69" s="11" t="inlineStr">
        <is>
          <t>W drzewie stoją dwa majory ESLinta naraz</t>
        </is>
      </c>
      <c r="C69" s="10" t="inlineStr">
        <is>
          <t>audyt</t>
        </is>
      </c>
      <c r="D69" s="10" t="inlineStr">
        <is>
          <t>X — Infrastruktura jakości</t>
        </is>
      </c>
      <c r="E69" s="10" t="inlineStr">
        <is>
          <t>ŚREDNIA</t>
        </is>
      </c>
      <c r="F69" s="10" t="n">
        <v>6</v>
      </c>
      <c r="G69" s="10" t="n">
        <v>13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BRAK</t>
        </is>
      </c>
      <c r="L69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9" s="11" t="inlineStr">
        <is>
          <t>—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9" s="10" t="inlineStr">
        <is>
          <t>do zrobienia</t>
        </is>
      </c>
    </row>
    <row r="70">
      <c r="A70" s="10" t="inlineStr">
        <is>
          <t>M-08</t>
        </is>
      </c>
      <c r="B70" s="11" t="inlineStr">
        <is>
          <t>Anulowanie faktury (VOID) z panelu</t>
        </is>
      </c>
      <c r="C70" s="10" t="inlineStr">
        <is>
          <t>audyt</t>
        </is>
      </c>
      <c r="D70" s="10" t="inlineStr">
        <is>
          <t>M — Rozliczenia</t>
        </is>
      </c>
      <c r="E70" s="10" t="inlineStr">
        <is>
          <t>WYSOKA</t>
        </is>
      </c>
      <c r="F70" s="10" t="n">
        <v>6</v>
      </c>
      <c r="G70" s="10" t="n">
        <v>13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DZIAŁA</t>
        </is>
      </c>
      <c r="L70" s="11" t="inlineStr">
        <is>
          <t>billing/anulowanie.service.ts (POST /admin/invoices/:id/anuluj, BILLING_MANAGE); admin: invoices/void-button.tsx; test D2 anulowanie.service.spec.ts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>
        <is>
          <t>DECYZJA WŁAŚCICIELA 2026-09-23: anulować wolno tylko dokument nieopłacony (DRAFT/OPEN); opłacony, także z portfela, zmienia się korektą (M-06). Faktura Stripe unieważniana najpierw w Stripe, błąd = brak zmiany lokalnej. Numer zostaje (ciągłość), powód w audycie INVOICE_VOIDED.</t>
        </is>
      </c>
      <c r="P70" s="10" t="inlineStr">
        <is>
          <t>do zrobienia</t>
        </is>
      </c>
    </row>
    <row r="71">
      <c r="A71" s="10" t="inlineStr">
        <is>
          <t>C-18</t>
        </is>
      </c>
      <c r="B71" s="11" t="inlineStr">
        <is>
          <t>Konto FTP — zmiana hasła</t>
        </is>
      </c>
      <c r="C71" s="10" t="inlineStr">
        <is>
          <t>audyt</t>
        </is>
      </c>
      <c r="D71" s="10" t="inlineStr">
        <is>
          <t>C — Pliki, FTP, SSH, Git</t>
        </is>
      </c>
      <c r="E71" s="10" t="inlineStr">
        <is>
          <t>WYSOKA</t>
        </is>
      </c>
      <c r="F71" s="10" t="n">
        <v>6</v>
      </c>
      <c r="G71" s="10" t="n">
        <v>13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CZĘŚCIOWE</t>
        </is>
      </c>
      <c r="L71" s="11" t="inlineStr">
        <is>
          <t>2026-09-23 D1: POST /services/:id/hosting-ftp/:username/password (ZmienHasloFtpDto) → directadmin.service changeHostingFtpPassword (action=modify, katalog zachowany) + audyt HOSTING_FTP_PASSWORD_CHANGED; UI FtpTab — kluczyk przy koncie; test servers/zmiana-hasla-ftp.spec.ts</t>
        </is>
      </c>
      <c r="M71" s="11" t="inlineStr">
        <is>
          <t>—</t>
        </is>
      </c>
      <c r="N71" s="11" t="inlineStr">
        <is>
          <t>Ograniczenie opisane w uwagach macierzy zniknęło; test potwierdza zachowanie także w scenariuszu awaryjnym.</t>
        </is>
      </c>
      <c r="O71" s="11" t="inlineStr">
        <is>
          <t>brak jakiejkolwiek ścieżki edycji istniejącego konta | Przy okazji body tworzenia konta FTP dostało klasę DTO (login, hasło, katalog bez „..”). OTWARTE do D3 (PB-21): format action=modify na żywym DA.</t>
        </is>
      </c>
      <c r="P71" s="10" t="inlineStr">
        <is>
          <t>do zrobienia</t>
        </is>
      </c>
    </row>
    <row r="72">
      <c r="A72" s="10" t="inlineStr">
        <is>
          <t>A-11</t>
        </is>
      </c>
      <c r="B72" s="11" t="inlineStr">
        <is>
          <t>Wyszukiwarka wolnych domen</t>
        </is>
      </c>
      <c r="C72" s="10" t="inlineStr">
        <is>
          <t>audyt</t>
        </is>
      </c>
      <c r="D72" s="10" t="inlineStr">
        <is>
          <t>A — Domeny i konta</t>
        </is>
      </c>
      <c r="E72" s="10" t="inlineStr">
        <is>
          <t>WYSOKA</t>
        </is>
      </c>
      <c r="F72" s="10" t="n">
        <v>6</v>
      </c>
      <c r="G72" s="10" t="n">
        <v>14</v>
      </c>
      <c r="H72" s="10" t="inlineStr">
        <is>
          <t>Faza 2 — Odzyskanie funkcji-widm i luki pierwszego tygodnia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FLAGA</t>
        </is>
      </c>
      <c r="L72" s="11" t="inlineStr">
        <is>
          <t>domains.controller.ts:54</t>
        </is>
      </c>
      <c r="M72" s="11" t="inlineStr">
        <is>
          <t>—</t>
        </is>
      </c>
      <c r="N72" s="11" t="inlineStr">
        <is>
          <t>Wartość domyślna włączona albo check w live-readiness pilnuje konfiguracji — flaga nie może po cichu wyłączyć funkcji.</t>
        </is>
      </c>
      <c r="O72" s="11" t="inlineStr">
        <is>
          <t>DECYZJA WŁAŚCICIELA 2026-09-23: konfiguracja OpenProvider (REGISTRAR_PROVIDER + dane API w .env.prod, wpisuje właściciel) razem z zakupem węzła w sprincie 18; do tego czasu wyszukiwarka za flagą.</t>
        </is>
      </c>
      <c r="P72" s="10" t="inlineStr">
        <is>
          <t>do zrobienia</t>
        </is>
      </c>
    </row>
    <row r="73">
      <c r="A73" s="10" t="inlineStr">
        <is>
          <t>C-11</t>
        </is>
      </c>
      <c r="B73" s="11" t="inlineStr">
        <is>
          <t>Spakowanie do archiwum</t>
        </is>
      </c>
      <c r="C73" s="10" t="inlineStr">
        <is>
          <t>audyt</t>
        </is>
      </c>
      <c r="D73" s="10" t="inlineStr">
        <is>
          <t>C — Pliki, FTP, SSH, Git</t>
        </is>
      </c>
      <c r="E73" s="10" t="inlineStr">
        <is>
          <t>ŚREDNIA</t>
        </is>
      </c>
      <c r="F73" s="10" t="n">
        <v>6</v>
      </c>
      <c r="G73" s="10" t="n">
        <v>14</v>
      </c>
      <c r="H73" s="10" t="inlineStr">
        <is>
          <t>Faza 2 — Odzyskanie funkcji-widm i luki pierwszego tygodnia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CZĘŚCIOWE</t>
        </is>
      </c>
      <c r="L73" s="11" t="inlineStr">
        <is>
          <t>2026-09-23 D1: POST /services/:id/files/compress → files.service compress (nazwa archiwum walidowana) → SDK compressEntries (schowek DA + action=compress) + audyt HOSTING_FILE_COMPRESSED; UI menedżera plików „Spakuj…” dla zaznaczonych</t>
        </is>
      </c>
      <c r="M73" s="11" t="inlineStr">
        <is>
          <t>—</t>
        </is>
      </c>
      <c r="N73" s="11" t="inlineStr">
        <is>
          <t>Ograniczenie opisane w uwagach macierzy zniknęło; test potwierdza zachowanie także w scenariuszu awaryjnym.</t>
        </is>
      </c>
      <c r="O73" s="11" t="inlineStr">
        <is>
          <t>standard we wszystkich panelach | OTWARTE do D3 (PB-21): format action=compress na żywym DA.</t>
        </is>
      </c>
      <c r="P73" s="10" t="inlineStr">
        <is>
          <t>do zrobienia</t>
        </is>
      </c>
    </row>
    <row r="74">
      <c r="A74" s="10" t="inlineStr">
        <is>
          <t>NODE-03</t>
        </is>
      </c>
      <c r="B74" s="11" t="inlineStr">
        <is>
          <t>Pojemność węzła nigdy się nie odświeża</t>
        </is>
      </c>
      <c r="C74" s="10" t="inlineStr">
        <is>
          <t>audyt</t>
        </is>
      </c>
      <c r="D74" s="10" t="inlineStr">
        <is>
          <t>Q — Przewaga</t>
        </is>
      </c>
      <c r="E74" s="10" t="inlineStr">
        <is>
          <t>ŚREDNIA</t>
        </is>
      </c>
      <c r="F74" s="10" t="n">
        <v>6</v>
      </c>
      <c r="G74" s="10" t="n">
        <v>14</v>
      </c>
      <c r="H74" s="10" t="inlineStr">
        <is>
          <t>Faza 2 — Odzyskanie funkcji-widm i luki pierwszego tygodnia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CZĘŚCIOWE</t>
        </is>
      </c>
      <c r="L74" s="11" t="inlineStr">
        <is>
          <t>2026-09-23 D1: verris-lve.sh node_capacity (nproc, MemTotal, df /) w każdym raporcie, lve-agent/1.1; telemetry.dto NodeStatusDto.totalCpuCores/totalMemoryMb/totalDiskMb; telemetry.service aktualizuje Server; test telemetry/pojemnosc-wezla.spec.ts</t>
        </is>
      </c>
      <c r="M74" s="11" t="inlineStr">
        <is>
          <t>—</t>
        </is>
      </c>
      <c r="N74" s="11" t="inlineStr">
        <is>
          <t>Ograniczenie opisane w uwagach macierzy zniknęło; test potwierdza zachowanie także w scenariuszu awaryjnym.</t>
        </is>
      </c>
      <c r="O74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 | Stary agent bez pól niczego nie zeruje. OTWARTE do D3 (PB-21): raport z agenta na żywym węźle i odświeżona pojemność w panelu admina.</t>
        </is>
      </c>
      <c r="P74" s="10" t="inlineStr">
        <is>
          <t>do zrobienia</t>
        </is>
      </c>
    </row>
    <row r="75">
      <c r="A75" s="10" t="inlineStr">
        <is>
          <t>PB-08</t>
        </is>
      </c>
      <c r="B75" s="11" t="inlineStr">
        <is>
          <t>Pomiar: Consent Mode v2 + GTM + dedup event_id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ŚREDNI</t>
        </is>
      </c>
      <c r="F75" s="10" t="n">
        <v>16</v>
      </c>
      <c r="G75" s="10" t="n">
        <v>14</v>
      </c>
      <c r="H75" s="10" t="inlineStr">
        <is>
          <t>Faza 2 — Odzyskanie funkcji-widm i luki pierwszego tygodnia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Zdarzenie zakupu dociera raz, nie dwa. Consent Mode nie blokuje pomiaru po zgodzie. Zweryfikowane w GTM Preview i w raporcie.</t>
        </is>
      </c>
      <c r="O75" s="11" t="inlineStr">
        <is>
          <t>Wdrożenie ustaleń z audytu pomiaru: www linkuje, panel działa, deduplikacja po event_id, cookie Domain=.verris.pl. | PRZEGLĄD GTM 2026-09-23 (tylko odczyt): (1) DWA tagi Google z tym samym G-HHN0S0R777 na „Initialization - All Pages” („GA4” i „GA4 – Config”) — podwójna konfiguracja, ryzyko podwójnych page_view; prawdopodobnie to jest „Pilne” w jakości kontenera. Do zrobienia przez właściciela: wstrzymać „GA4” (starszy, bez wymogu zgody analytics_storage), zostawić „GA4 – Config”, opublikować. (2) GA4 – purchase: transaction_id/value/currency z ecommerce.* — poprawnie; dedup Meta po event_id purchase-&lt;id&gt;. (3) Consent: default → update przed gtm.js, user_data tylko hash SHA-256. (4) Zakup D3 wymaga prawdziwej płatności — do sprawdzenia przy pierwszym realnym zakupie. (5) W przeglądarce właściciela endpointy Google (collect) odpowiadają 503 — sprawdzić blokadę po stronie sieci/rozszerzenia; potwierdzić w GA4 → Czas rzeczywisty.</t>
        </is>
      </c>
      <c r="P75" s="10" t="inlineStr">
        <is>
          <t>do zrobienia</t>
        </is>
      </c>
    </row>
    <row r="76">
      <c r="A76" s="10" t="inlineStr">
        <is>
          <t>X-41</t>
        </is>
      </c>
      <c r="B76" s="11" t="inlineStr">
        <is>
          <t>Hardening egressu wisi w łańcuchu OUTPUT, a ruch kontenerów idzie przez FORWARD</t>
        </is>
      </c>
      <c r="C76" s="10" t="inlineStr">
        <is>
          <t>audyt</t>
        </is>
      </c>
      <c r="D76" s="10" t="inlineStr">
        <is>
          <t>X — Infrastruktura jakości</t>
        </is>
      </c>
      <c r="E76" s="10" t="inlineStr">
        <is>
          <t>WYSOKA</t>
        </is>
      </c>
      <c r="F76" s="10" t="n">
        <v>16</v>
      </c>
      <c r="G76" s="10" t="n">
        <v>15</v>
      </c>
      <c r="H76" s="10" t="inlineStr">
        <is>
          <t>Faza 3 — Wejście na rynek</t>
        </is>
      </c>
      <c r="I76" s="10" t="inlineStr">
        <is>
          <t>2026-12-07</t>
        </is>
      </c>
      <c r="J76" s="10" t="inlineStr">
        <is>
          <t>2026-12-11</t>
        </is>
      </c>
      <c r="K76" s="10" t="inlineStr">
        <is>
          <t>CZĘŚCIOWE</t>
        </is>
      </c>
      <c r="L76" s="11" t="inlineStr">
        <is>
          <t>obserwacja wpięta w DOCKER-USER, 1674 pakiety zliczone, 0 DROP/REJECT</t>
        </is>
      </c>
      <c r="M76" s="11" t="inlineStr">
        <is>
          <t>—</t>
        </is>
      </c>
      <c r="N76" s="11" t="inlineStr">
        <is>
          <t>Ograniczenie opisane w uwagach macierzy zniknęło; test potwierdza zachowanie także w scenariuszu awaryjnym.</t>
        </is>
      </c>
      <c r="O76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76" s="10" t="inlineStr">
        <is>
          <t>do zrobienia</t>
        </is>
      </c>
    </row>
    <row r="77">
      <c r="A77" s="10" t="inlineStr">
        <is>
          <t>SEC-03</t>
        </is>
      </c>
      <c r="B77" s="11" t="inlineStr">
        <is>
          <t>Ruch poza TCP/80 i TCP/443 — DNS (UDP/53), SMTP — nie jest objęty ani obserwacją z X-41, ani trybem strict</t>
        </is>
      </c>
      <c r="C77" s="10" t="inlineStr">
        <is>
          <t>audyt</t>
        </is>
      </c>
      <c r="D77" s="10" t="inlineStr">
        <is>
          <t>G — SSL i bezpieczeństwo</t>
        </is>
      </c>
      <c r="E77" s="10" t="inlineStr">
        <is>
          <t>WYSOKA</t>
        </is>
      </c>
      <c r="F77" s="10" t="n">
        <v>16</v>
      </c>
      <c r="G77" s="10" t="n">
        <v>15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CZĘŚCIOWE</t>
        </is>
      </c>
      <c r="L77" s="11" t="inlineStr">
        <is>
          <t>ops/scripts/security-control-plane-egress.sh — zbuduj_zbior_z_pliku (verris_egress_dns / verris_egress_smtp z ops/etc/verris/security/egress-allow-{dns,smtp}.txt), apply_strict_allowlist: DROP dla NOWYCH 53 udp/tcp i 25/465/587 poza listą, warunek wstępny strict obejmuje DNS i SMTP; test D2 egress-strict-naprawde-blokuje.spec.ts (SEC-03)</t>
        </is>
      </c>
      <c r="M77" s="11" t="inlineStr">
        <is>
          <t>—</t>
        </is>
      </c>
      <c r="N77" s="11" t="inlineStr">
        <is>
          <t>Ograniczenie opisane w uwagach macierzy zniknęło; test potwierdza zachowanie także w scenariuszu awaryjnym.</t>
        </is>
      </c>
      <c r="O77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 | 2026-09-23: host (OUTPUT) — pomiar obejmuje każdy port od SEC-05; strict rozszerzony o DNS (resolwery Hetznera 185.12.64.1/2) i SMTP (przekaźnik poznan.hvln.pl) na podstawie --pomiar z 2026-09-23. Pomiar liczy już tylko TCP SYN (skaner SSH wyglądał jak ruch wychodzący). Zostaje: włączenie strict na prod (nie przed 2026-09-29) = D3; kontenery (FORWARD) — w X-41.</t>
        </is>
      </c>
      <c r="P77" s="10" t="inlineStr">
        <is>
          <t>do zrobienia</t>
        </is>
      </c>
    </row>
    <row r="78">
      <c r="A78" s="10" t="inlineStr">
        <is>
          <t>PB-22</t>
        </is>
      </c>
      <c r="B78" s="11" t="inlineStr">
        <is>
          <t>Badge na stronę v2 — interaktywne i użyteczne dla klienta</t>
        </is>
      </c>
      <c r="C78" s="10" t="inlineStr">
        <is>
          <t>poza audytem</t>
        </is>
      </c>
      <c r="D78" s="10" t="inlineStr">
        <is>
          <t>Praca spoza audytu</t>
        </is>
      </c>
      <c r="E78" s="10" t="inlineStr">
        <is>
          <t>ŚREDNI</t>
        </is>
      </c>
      <c r="F78" s="10" t="n">
        <v>20</v>
      </c>
      <c r="G78" s="10" t="n">
        <v>15</v>
      </c>
      <c r="H78" s="10" t="inlineStr">
        <is>
          <t>Faza 3 — Wejście na rynek</t>
        </is>
      </c>
      <c r="I78" s="10" t="inlineStr">
        <is>
          <t>2026-12-07</t>
        </is>
      </c>
      <c r="J78" s="10" t="inlineStr">
        <is>
          <t>2026-12-11</t>
        </is>
      </c>
      <c r="K78" s="10" t="inlineStr">
        <is>
          <t>—</t>
        </is>
      </c>
      <c r="L78" s="11" t="inlineStr">
        <is>
          <t>—</t>
        </is>
      </c>
      <c r="M78" s="11" t="inlineStr">
        <is>
          <t>—</t>
        </is>
      </c>
      <c r="N78" s="11" t="inlineStr">
        <is>
          <t>Badge widoczne na prod na domenie klienta; pieczęć znika przy niespełnionych warunkach; kliknięcia polecenia liczone; testy D2 zielone.</t>
        </is>
      </c>
      <c r="O78" s="11" t="inlineStr">
        <is>
          <t>Zgłoszenie właściciela 2026-09-23: stare badge wyglądały źle i nic nie robiły (uptime pokazywał stan węzła, embed EKO blokowany przez X-Frame-Options/CORP). Nowy zestaw wg makiet: pieczęć zaufania (SSL, dostępność 30 dni, dane w UE, weryfikacja), dostępność na żywo z monitora strony, polecenie z prowizją (program partnerski), EKO SVG. Zakładka „Badge na stronę” w usłudze.</t>
        </is>
      </c>
      <c r="P78" s="10" t="inlineStr">
        <is>
          <t>do zrobienia</t>
        </is>
      </c>
    </row>
    <row r="79">
      <c r="A79" s="10" t="inlineStr">
        <is>
          <t>SEC-05</t>
        </is>
      </c>
      <c r="B79" s="11" t="inlineStr">
        <is>
          <t>Log egressu jest próbką, nie zapisem</t>
        </is>
      </c>
      <c r="C79" s="10" t="inlineStr">
        <is>
          <t>audyt</t>
        </is>
      </c>
      <c r="D79" s="10" t="inlineStr">
        <is>
          <t>G — SSL i bezpieczeństwo</t>
        </is>
      </c>
      <c r="E79" s="10" t="inlineStr">
        <is>
          <t>WYSOKA</t>
        </is>
      </c>
      <c r="F79" s="10" t="n">
        <v>6</v>
      </c>
      <c r="G79" s="10" t="n">
        <v>16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DZIAŁA</t>
        </is>
      </c>
      <c r="L79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79" s="11" t="inlineStr">
        <is>
          <t>—</t>
        </is>
      </c>
      <c r="N79" s="11" t="inlineStr">
        <is>
          <t>Funkcja dostępna z panelu klienta bez wychodzenia do DirectAdmina; test uruchamiany w CI.</t>
        </is>
      </c>
      <c r="O79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79" s="10" t="inlineStr">
        <is>
          <t>do zrobienia</t>
        </is>
      </c>
    </row>
    <row r="80">
      <c r="A80" s="10" t="inlineStr">
        <is>
          <t>SEC-04</t>
        </is>
      </c>
      <c r="B80" s="11" t="inlineStr">
        <is>
          <t>Host rozmawia z kontenerami przez OUTPUT — ruch wewnętrzny liczony jako egress</t>
        </is>
      </c>
      <c r="C80" s="10" t="inlineStr">
        <is>
          <t>audyt</t>
        </is>
      </c>
      <c r="D80" s="10" t="inlineStr">
        <is>
          <t>G — SSL i bezpieczeństwo</t>
        </is>
      </c>
      <c r="E80" s="10" t="inlineStr">
        <is>
          <t>WYSOKA</t>
        </is>
      </c>
      <c r="F80" s="10" t="n">
        <v>6</v>
      </c>
      <c r="G80" s="10" t="n">
        <v>16</v>
      </c>
      <c r="H80" s="10" t="inlineStr">
        <is>
          <t>Faza 3 — Wejście na rynek</t>
        </is>
      </c>
      <c r="I80" s="10" t="inlineStr">
        <is>
          <t>2026-12-14</t>
        </is>
      </c>
      <c r="J80" s="10" t="inlineStr">
        <is>
          <t>2026-12-18</t>
        </is>
      </c>
      <c r="K80" s="10" t="inlineStr">
        <is>
          <t>CZĘŚCIOWE</t>
        </is>
      </c>
      <c r="L80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80" s="11" t="inlineStr">
        <is>
          <t>—</t>
        </is>
      </c>
      <c r="N80" s="11" t="inlineStr">
        <is>
          <t>Ograniczenie opisane w uwagach macierzy zniknęło; test potwierdza zachowanie także w scenariuszu awaryjnym.</t>
        </is>
      </c>
      <c r="O80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80" s="10" t="inlineStr">
        <is>
          <t>do zrobienia</t>
        </is>
      </c>
    </row>
    <row r="81">
      <c r="A81" s="10" t="inlineStr">
        <is>
          <t>SEC-01</t>
        </is>
      </c>
      <c r="B81" s="11" t="inlineStr">
        <is>
          <t>Tryb `--strict` jest atrapą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16</v>
      </c>
      <c r="G81" s="10" t="n">
        <v>16</v>
      </c>
      <c r="H81" s="10" t="inlineStr">
        <is>
          <t>Faza 3 — Wejście na rynek</t>
        </is>
      </c>
      <c r="I81" s="10" t="inlineStr">
        <is>
          <t>2026-12-14</t>
        </is>
      </c>
      <c r="J81" s="10" t="inlineStr">
        <is>
          <t>2026-12-18</t>
        </is>
      </c>
      <c r="K81" s="10" t="inlineStr">
        <is>
          <t>CZĘŚCIOWE</t>
        </is>
      </c>
      <c r="L81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81" s="10" t="inlineStr">
        <is>
          <t>do zrobienia</t>
        </is>
      </c>
    </row>
    <row r="82">
      <c r="A82" s="10" t="inlineStr">
        <is>
          <t>SEC-06</t>
        </is>
      </c>
      <c r="B82" s="11" t="inlineStr">
        <is>
          <t>Allowlista pokrywa to, o czym ktoś pomyślał, nie to, co host robi</t>
        </is>
      </c>
      <c r="C82" s="10" t="inlineStr">
        <is>
          <t>audyt</t>
        </is>
      </c>
      <c r="D82" s="10" t="inlineStr">
        <is>
          <t>G — SSL i bezpieczeństwo</t>
        </is>
      </c>
      <c r="E82" s="10" t="inlineStr">
        <is>
          <t>WYSOKA</t>
        </is>
      </c>
      <c r="F82" s="10" t="n">
        <v>16</v>
      </c>
      <c r="G82" s="10" t="n">
        <v>16</v>
      </c>
      <c r="H82" s="10" t="inlineStr">
        <is>
          <t>Faza 3 — Wejście na rynek</t>
        </is>
      </c>
      <c r="I82" s="10" t="inlineStr">
        <is>
          <t>2026-12-14</t>
        </is>
      </c>
      <c r="J82" s="10" t="inlineStr">
        <is>
          <t>2026-12-18</t>
        </is>
      </c>
      <c r="K82" s="10" t="inlineStr">
        <is>
          <t>BRAK</t>
        </is>
      </c>
      <c r="L82" s="11" t="inlineStr">
        <is>
          <t>ipset test verris_egress_https na 4 celach z logu egressu</t>
        </is>
      </c>
      <c r="M82" s="11" t="inlineStr">
        <is>
          <t>—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82" s="10" t="inlineStr">
        <is>
          <t>do zrobienia</t>
        </is>
      </c>
    </row>
    <row r="83">
      <c r="A83" s="10" t="inlineStr">
        <is>
          <t>SEC-02</t>
        </is>
      </c>
      <c r="B83" s="11" t="inlineStr">
        <is>
          <t>Stripe jest w allowliście wyłącznie po nazwie, a ipset powstaje z rozwiązania nazw</t>
        </is>
      </c>
      <c r="C83" s="10" t="inlineStr">
        <is>
          <t>audyt</t>
        </is>
      </c>
      <c r="D83" s="10" t="inlineStr">
        <is>
          <t>G — SSL i bezpieczeństwo</t>
        </is>
      </c>
      <c r="E83" s="10" t="inlineStr">
        <is>
          <t>ŚREDNIA</t>
        </is>
      </c>
      <c r="F83" s="10" t="n">
        <v>6</v>
      </c>
      <c r="G83" s="10" t="n">
        <v>16</v>
      </c>
      <c r="H83" s="10" t="inlineStr">
        <is>
          <t>Faza 3 — Wejście na rynek</t>
        </is>
      </c>
      <c r="I83" s="10" t="inlineStr">
        <is>
          <t>2026-12-14</t>
        </is>
      </c>
      <c r="J83" s="10" t="inlineStr">
        <is>
          <t>2026-12-18</t>
        </is>
      </c>
      <c r="K83" s="10" t="inlineStr">
        <is>
          <t>BRAK</t>
        </is>
      </c>
      <c r="L83" s="11" t="inlineStr">
        <is>
          <t>`egress-allow-hostnames.txt`; ipset `verris_egress_https` = 65 wpisów</t>
        </is>
      </c>
      <c r="M83" s="11" t="inlineStr">
        <is>
          <t>—</t>
        </is>
      </c>
      <c r="N83" s="11" t="inlineStr">
        <is>
          <t>Funkcja dostępna z panelu klienta bez wychodzenia do DirectAdmina; test uruchamiany w CI.</t>
        </is>
      </c>
      <c r="O83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 | ANALIZA 2026-09-23: Stripe woła wyłącznie API w kontenerze (FORWARD), którego strict hosta (OUTPUT) nie dotyczy, a X-41 nie ogranicza kontenerom 80/443 (decyzja: tam chronią strażniki SSRF w aplikacji). Pomiar hosta z 2026-09-22/23 nie ma żadnego celu Stripe. Jeśli pomiar 7-dniowy (29.09) to potwierdzi — pozycja NIE DOTYCZY; wpisy Stripe w allowliście hosta zostają tylko dla ręcznego ops/scripts/uzgodnij-platnosci-stripe.mjs.</t>
        </is>
      </c>
      <c r="P83" s="10" t="inlineStr">
        <is>
          <t>do zrobienia</t>
        </is>
      </c>
    </row>
    <row r="84">
      <c r="A84" s="10" t="inlineStr">
        <is>
          <t>PB-23</t>
        </is>
      </c>
      <c r="B84" s="11" t="inlineStr">
        <is>
          <t>Każdy widok osiągalny z menu (klient, admin, staff)</t>
        </is>
      </c>
      <c r="C84" s="10" t="inlineStr">
        <is>
          <t>poza audytem</t>
        </is>
      </c>
      <c r="D84" s="10" t="inlineStr">
        <is>
          <t>Praca spoza audytu</t>
        </is>
      </c>
      <c r="E84" s="10" t="inlineStr">
        <is>
          <t>ŚREDNI</t>
        </is>
      </c>
      <c r="F84" s="10" t="n">
        <v>10</v>
      </c>
      <c r="G84" s="10" t="n">
        <v>16</v>
      </c>
      <c r="H84" s="10" t="inlineStr">
        <is>
          <t>Faza 3 — Wejście na rynek</t>
        </is>
      </c>
      <c r="I84" s="10" t="inlineStr">
        <is>
          <t>2026-12-14</t>
        </is>
      </c>
      <c r="J84" s="10" t="inlineStr">
        <is>
          <t>2026-12-18</t>
        </is>
      </c>
      <c r="K84" s="10" t="inlineStr">
        <is>
          <t>—</t>
        </is>
      </c>
      <c r="L84" s="11" t="inlineStr">
        <is>
          <t>—</t>
        </is>
      </c>
      <c r="M84" s="11" t="inlineStr">
        <is>
          <t>—</t>
        </is>
      </c>
      <c r="N84" s="11" t="inlineStr">
        <is>
          <t>Lista tras vs menu dla trzech paneli bez luk; test-strażnik czerwony po dodaniu trasy bez wejścia w nawigacji.</t>
        </is>
      </c>
      <c r="O84" s="11" t="inlineStr">
        <is>
          <t>Zasada właściciela 2026-09-23: żaden ekran nie może wymagać szukania po panelu. Przegląd wszystkich tras (page.tsx) w trzech panelach i ich wejść w menu/zakładkach; widoki bez wejścia dostają miejsce w menu albo zakładkę w logicznym rodzicu; strażnik w CI: każda trasa z page.tsx ma odnośnik w konfiguracji nawigacji albo jest na jawnej liście wyjątków (szczegóły rekordu, kroki kreatora) z uzasadnieniem. | WYNIK 2026-09-23: przegląd 60 tras klienta, 57 admina, 12 staff — brak widoków bez wejścia. Stare adresy klienta (/dashboard/apps, /backups, /cron, /databases, /dns, /email, /file-manager, /ftp, /php, /ssl, /domains/registrar) to przekierowania na zakładki usługi; strony auth z maili na liście wyjątków. Strażnik: apps/api/src/test/widoki-w-nawigacji.spec.ts (sprawdzony: sztuczna ukryta strona w admin i kliencie → czerwony).</t>
        </is>
      </c>
      <c r="P84" s="10" t="inlineStr">
        <is>
          <t>do zrobienia</t>
        </is>
      </c>
    </row>
    <row r="85">
      <c r="A85" s="10" t="inlineStr">
        <is>
          <t>P-15</t>
        </is>
      </c>
      <c r="B85" s="11" t="inlineStr">
        <is>
          <t>Podpisane DPA z subprocesorami (część)</t>
        </is>
      </c>
      <c r="C85" s="10" t="inlineStr">
        <is>
          <t>audyt</t>
        </is>
      </c>
      <c r="D85" s="10" t="inlineStr">
        <is>
          <t>P — Zgodność</t>
        </is>
      </c>
      <c r="E85" s="10" t="inlineStr">
        <is>
          <t>BLOKER STARTU</t>
        </is>
      </c>
      <c r="F85" s="10" t="n">
        <v>6</v>
      </c>
      <c r="G85" s="10" t="n">
        <v>17</v>
      </c>
      <c r="H85" s="10" t="inlineStr">
        <is>
          <t>Faza 3 — Wejście na rynek</t>
        </is>
      </c>
      <c r="I85" s="10" t="inlineStr">
        <is>
          <t>2026-12-21</t>
        </is>
      </c>
      <c r="J85" s="10" t="inlineStr">
        <is>
          <t>2026-12-25</t>
        </is>
      </c>
      <c r="K85" s="10" t="inlineStr">
        <is>
          <t>BRAK</t>
        </is>
      </c>
      <c r="L85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5" s="11" t="inlineStr">
        <is>
          <t>—</t>
        </is>
      </c>
      <c r="N85" s="11" t="inlineStr">
        <is>
          <t>Funkcja dostępna z panelu klienta bez wychodzenia do DirectAdmina; test uruchamiany w CI.</t>
        </is>
      </c>
      <c r="O8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 | 2026-09-23: dopisany Streamsoft Firmino (program księgowy, akceptacja w Ustawienia → RODO → Umowa powierzenia); OpenAI poza listą — AI wyłączone na start; ClouDNS przy zakupie w sprincie 18. | 2026-09-23: właściciel potwierdził akceptację umów powierzenia i uruchomienie skrzynek; dowody (numery umów / zrzuty z paneli) do dopisania w trackerze przy weryfikacji przed startem.</t>
        </is>
      </c>
      <c r="P85" s="10" t="inlineStr">
        <is>
          <t>do zrobienia</t>
        </is>
      </c>
    </row>
    <row r="86">
      <c r="A86" s="10" t="inlineStr">
        <is>
          <t>PB-03</t>
        </is>
      </c>
      <c r="B86" s="11" t="inlineStr">
        <is>
          <t>Finalizacja dokumentów prawnych 1.0.0</t>
        </is>
      </c>
      <c r="C86" s="10" t="inlineStr">
        <is>
          <t>poza audytem</t>
        </is>
      </c>
      <c r="D86" s="10" t="inlineStr">
        <is>
          <t>Praca spoza audytu</t>
        </is>
      </c>
      <c r="E86" s="10" t="inlineStr">
        <is>
          <t>BLOKER BIZNESOWY</t>
        </is>
      </c>
      <c r="F86" s="10" t="n">
        <v>16</v>
      </c>
      <c r="G86" s="10" t="n">
        <v>17</v>
      </c>
      <c r="H86" s="10" t="inlineStr">
        <is>
          <t>Faza 3 — Wejście na rynek</t>
        </is>
      </c>
      <c r="I86" s="10" t="inlineStr">
        <is>
          <t>2026-12-21</t>
        </is>
      </c>
      <c r="J86" s="10" t="inlineStr">
        <is>
          <t>2026-12-25</t>
        </is>
      </c>
      <c r="K86" s="10" t="inlineStr">
        <is>
          <t>—</t>
        </is>
      </c>
      <c r="L86" s="11" t="inlineStr">
        <is>
          <t>—</t>
        </is>
      </c>
      <c r="M86" s="11" t="inlineStr">
        <is>
          <t>—</t>
        </is>
      </c>
      <c r="N86" s="11" t="inlineStr">
        <is>
          <t>Wszystkie dokumenty w statusie opublikowanym z numerem wersji i datą. Panel /legal nie pokazuje ani jednego „Dokument w przygotowaniu”.</t>
        </is>
      </c>
      <c r="O86" s="11" t="inlineStr">
        <is>
          <t>Regulamin, polityka prywatności, SLA, DPA, polityka cookies — wyjście z DRAFT-u, wersjonowanie i publikacja w panelu. | 2026-09-23: decyzje właściciela — publikacja bez zewnętrznego przeglądu, raz, tuż przed pierwszym klientem; kontakt @verris.pl + telefon; Firmino (Streamsoft) dopisany do polityki i listy; AI wyłączone na start; §9 ust. 4 regulaminu (faktury z programu księgowego) — regulamin 1.2.0, polityka 1.0.2. Zostaje: §10 ust. 5 (kopie kont) po D3 węzła, ClouDNS po zakupie, akceptacje DPA (Hetzner, Openprovider, Cloudflare, Firmino), skrzynki kontakt@/rodo@/abuse@/security@.</t>
        </is>
      </c>
      <c r="P86" s="10" t="inlineStr">
        <is>
          <t>do zrobienia</t>
        </is>
      </c>
    </row>
    <row r="87">
      <c r="A87" s="10" t="inlineStr">
        <is>
          <t>PB-04</t>
        </is>
      </c>
      <c r="B87" s="11" t="inlineStr">
        <is>
          <t>Procedura obsługi nadużyć (abuse) — dokument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WYSOKI</t>
        </is>
      </c>
      <c r="F87" s="10" t="n">
        <v>8</v>
      </c>
      <c r="G87" s="10" t="n">
        <v>17</v>
      </c>
      <c r="H87" s="10" t="inlineStr">
        <is>
          <t>Faza 3 — Wejście na rynek</t>
        </is>
      </c>
      <c r="I87" s="10" t="inlineStr">
        <is>
          <t>2026-12-21</t>
        </is>
      </c>
      <c r="J87" s="10" t="inlineStr">
        <is>
          <t>2026-12-25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—</t>
        </is>
      </c>
      <c r="N87" s="11" t="inlineStr">
        <is>
          <t>Dokument w ops/docs z właścicielem i czasami reakcji. Test: zgłoszenie wysłane na abuse@ trafia do kogoś i ma odpowiedź w deklarowanym czasie.</t>
        </is>
      </c>
      <c r="O87" s="11" t="inlineStr">
        <is>
          <t>Adres abuse@ obsługiwany, ścieżka od zgłoszenia do reakcji, czasy reakcji, kto decyduje o zawieszeniu, wzory odpowiedzi do CERT i rejestratorów. | 2026-09-23: dokument ops/docs/ABUSE.md — właściciel, źródła zgłoszeń, kategorie P0/P1/P2 z czasami (potwierdzenie 4 h/24 h/24 h, działanie 24 h/48 h/5 dni rob.), ścieżka krok po kroku z narzędziami panelu (A-25/A-26, N-14), kto decyduje, szablony A–D (w tym DSA art. 17 i odpowiedź dla Hetznera/CERT), test kwartalny. Zostaje: skrzynka abuse@verris.pl i test zgłoszenia (definicja ukończenia); formularz w stopce z landingiem (PB-06).</t>
        </is>
      </c>
      <c r="P87" s="10" t="inlineStr">
        <is>
          <t>do zrobienia</t>
        </is>
      </c>
    </row>
    <row r="88">
      <c r="A88" s="10" t="inlineStr">
        <is>
          <t>N-16</t>
        </is>
      </c>
      <c r="B88" s="11" t="inlineStr">
        <is>
          <t>SLA z zapisanymi kredytami</t>
        </is>
      </c>
      <c r="C88" s="10" t="inlineStr">
        <is>
          <t>audyt</t>
        </is>
      </c>
      <c r="D88" s="10" t="inlineStr">
        <is>
          <t>N — Wsparcie i ops</t>
        </is>
      </c>
      <c r="E88" s="10" t="inlineStr">
        <is>
          <t>WYSOKA</t>
        </is>
      </c>
      <c r="F88" s="10" t="n">
        <v>6</v>
      </c>
      <c r="G88" s="10" t="n">
        <v>18</v>
      </c>
      <c r="H88" s="10" t="inlineStr">
        <is>
          <t>Faza 3 — Wejście na rynek</t>
        </is>
      </c>
      <c r="I88" s="10" t="inlineStr">
        <is>
          <t>2026-12-28</t>
        </is>
      </c>
      <c r="J88" s="10" t="inlineStr">
        <is>
          <t>2027-01-01</t>
        </is>
      </c>
      <c r="K88" s="10" t="inlineStr">
        <is>
          <t>FLAGA</t>
        </is>
      </c>
      <c r="L88" s="11" t="inlineStr">
        <is>
          <t>sla-credit.scheduler.ts — wylicz() (progi §15, miesiąc kalendarzowy, okna konserwacyjne, 1 wypłata/usługę/miesiąc) + run() za flagą; GET /admin/sla/podglad + admin Ustawienia platformy → Podgląd kredytów SLA; live-readiness sla_credits (fail, gdy wyłączone); testy D2 sla-credit.scheduler.spec.ts + sla-credit.wylicz.spec.ts</t>
        </is>
      </c>
      <c r="M88" s="11" t="inlineStr">
        <is>
          <t>PB-03 (kredyty SLA muszą być zgodne z opublikowanym regulaminem)</t>
        </is>
      </c>
      <c r="N88" s="11" t="inlineStr">
        <is>
          <t>Wartość domyślna włączona albo check w live-readiness pilnuje konfiguracji — flaga nie może po cichu wyłączyć funkcji.</t>
        </is>
      </c>
      <c r="O88" s="11" t="inlineStr">
        <is>
          <t>OSŁABIONE: funkcja jest domyślnie martwa, a live-readiness nie ma checka SLA — flaga może zostać wyłączona bez żadnego sygnału. Regulamin obiecuje kredyty, kod ich nie nalicza. | 2026-09-23: kod liczył już według progów §15 (przepisany wcześniej), brakowało sygnału i podglądu. Dodane: podgląd bez zapisu na prawdziwych danych sond (do obejrzenia przed włączeniem) i blokujący check live-readiness — regulamin 1.1.0+ obiecuje rekompensatę automatyczną, więc wyłączona flaga nie może przejść niezauważona. Zostaje: obejrzeć podgląd na danych z działającego węzła i włączyć sla.creditsEnabled (sprint 18).</t>
        </is>
      </c>
      <c r="P88" s="10" t="inlineStr">
        <is>
          <t>do zrobienia</t>
        </is>
      </c>
    </row>
    <row r="89">
      <c r="A89" s="10" t="inlineStr">
        <is>
          <t>A-11</t>
        </is>
      </c>
      <c r="B89" s="11" t="inlineStr">
        <is>
          <t>Wyszukiwarka wolnych domen</t>
        </is>
      </c>
      <c r="C89" s="10" t="inlineStr">
        <is>
          <t>audyt</t>
        </is>
      </c>
      <c r="D89" s="10" t="inlineStr">
        <is>
          <t>A — Domeny i konta</t>
        </is>
      </c>
      <c r="E89" s="10" t="inlineStr">
        <is>
          <t>WYSOKA</t>
        </is>
      </c>
      <c r="F89" s="10" t="n">
        <v>6</v>
      </c>
      <c r="G89" s="10" t="n">
        <v>18</v>
      </c>
      <c r="H89" s="10" t="inlineStr">
        <is>
          <t>Faza 3 — Wejście na rynek</t>
        </is>
      </c>
      <c r="I89" s="10" t="inlineStr">
        <is>
          <t>2026-12-28</t>
        </is>
      </c>
      <c r="J89" s="10" t="inlineStr">
        <is>
          <t>2027-01-01</t>
        </is>
      </c>
      <c r="K89" s="10" t="inlineStr">
        <is>
          <t>FLAGA</t>
        </is>
      </c>
      <c r="L89" s="11" t="inlineStr">
        <is>
          <t>domains.controller.ts:54</t>
        </is>
      </c>
      <c r="M89" s="11" t="inlineStr">
        <is>
          <t>—</t>
        </is>
      </c>
      <c r="N89" s="11" t="inlineStr">
        <is>
          <t>Wartość domyślna włączona albo check w live-readiness pilnuje konfiguracji — flaga nie może po cichu wyłączyć funkcji.</t>
        </is>
      </c>
      <c r="O89" s="11" t="inlineStr">
        <is>
          <t>DECYZJA WŁAŚCICIELA 2026-09-23: konfiguracja OpenProvider (REGISTRAR_PROVIDER + dane API w .env.prod, wpisuje właściciel) razem z zakupem węzła w sprincie 18; do tego czasu wyszukiwarka za flagą.</t>
        </is>
      </c>
      <c r="P89" s="10" t="inlineStr">
        <is>
          <t>do zrobienia</t>
        </is>
      </c>
    </row>
    <row r="90">
      <c r="A90" s="10" t="inlineStr">
        <is>
          <t>PB-07</t>
        </is>
      </c>
      <c r="B90" s="11" t="inlineStr">
        <is>
          <t>Treści i cennik na verris.pl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16</v>
      </c>
      <c r="G90" s="10" t="n">
        <v>18</v>
      </c>
      <c r="H90" s="10" t="inlineStr">
        <is>
          <t>Faza 3 — Wejście na rynek</t>
        </is>
      </c>
      <c r="I90" s="10" t="inlineStr">
        <is>
          <t>2026-12-28</t>
        </is>
      </c>
      <c r="J90" s="10" t="inlineStr">
        <is>
          <t>2027-01-01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PB-01 (cennik zależy od unit economics)</t>
        </is>
      </c>
      <c r="N90" s="11" t="inlineStr">
        <is>
          <t>Cennik zgodny z wynikiem PB-01. Specyfikacja techniczna publiczna, jak u cyber_Folks — to jest element zaufania, którego rynek oczekuje.</t>
        </is>
      </c>
      <c r="O90" s="11" t="inlineStr">
        <is>
          <t>Strona główna, cennik, specyfikacja techniczna pakietu, strona SLA. Narracja: cena stała, bez skoku po roku.</t>
        </is>
      </c>
      <c r="P90" s="10" t="inlineStr">
        <is>
          <t>do zrobienia</t>
        </is>
      </c>
    </row>
    <row r="91">
      <c r="A91" s="10" t="inlineStr">
        <is>
          <t>PB-11</t>
        </is>
      </c>
      <c r="B91" s="11" t="inlineStr">
        <is>
          <t>Bus factor: drugi kanał alertów i procedura zastępstwa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8</v>
      </c>
      <c r="G91" s="10" t="n">
        <v>18</v>
      </c>
      <c r="H91" s="10" t="inlineStr">
        <is>
          <t>Faza 3 — Wejście na rynek</t>
        </is>
      </c>
      <c r="I91" s="10" t="inlineStr">
        <is>
          <t>2026-12-28</t>
        </is>
      </c>
      <c r="J91" s="10" t="inlineStr">
        <is>
          <t>2027-01-01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Alert testowy dociera dwoma kanałami. Dokument zastępstwa zawiera dostęp awaryjny i listę rzeczy, które muszą się dziać codziennie.</t>
        </is>
      </c>
      <c r="O91" s="11" t="inlineStr">
        <is>
          <t>Alerty na więcej niż jeden adres, przetestowane. Dokument: co robi ktoś inny, gdy Ciebie nie ma przez tydzień.</t>
        </is>
      </c>
      <c r="P91" s="10" t="inlineStr">
        <is>
          <t>do zrobienia</t>
        </is>
      </c>
    </row>
    <row r="92">
      <c r="A92" s="10" t="inlineStr">
        <is>
          <t>PB-20</t>
        </is>
      </c>
      <c r="B92" s="11" t="inlineStr">
        <is>
          <t>Tryb agencji: przełącznik klienta w menu bocznym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ŚREDNI</t>
        </is>
      </c>
      <c r="F92" s="10" t="n">
        <v>16</v>
      </c>
      <c r="G92" s="10" t="n">
        <v>18</v>
      </c>
      <c r="H92" s="10" t="inlineStr">
        <is>
          <t>Faza 3 — Wejście na rynek</t>
        </is>
      </c>
      <c r="I92" s="10" t="inlineStr">
        <is>
          <t>2026-12-28</t>
        </is>
      </c>
      <c r="J92" s="10" t="inlineStr">
        <is>
          <t>2027-01-01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—</t>
        </is>
      </c>
      <c r="N92" s="11" t="inlineStr">
        <is>
          <t>Decyzja o modelu zapisana w docs/VERRIS.md; przełącznik widoczny tylko dla kont z klientami; przełączenie zmienia kontekst usług, domen i płatności; guard uprawnień obejmuje nowe trasy (Z-04); testy w CI.</t>
        </is>
      </c>
      <c r="O92" s="11" t="inlineStr">
        <is>
          <t>Element makiety („Piekarnia Zdrój · klient · 3 usługi” nad menu): konto agencji/resellera przełącza się między swoimi klientami bez wylogowania. Wymaga decyzji, jak Reseller (white-label) mapuje klientów na konta i uprawnienia (IAM).</t>
        </is>
      </c>
      <c r="P92" s="10" t="inlineStr">
        <is>
          <t>do zrobienia</t>
        </is>
      </c>
    </row>
    <row r="93">
      <c r="A93" s="10" t="inlineStr">
        <is>
          <t>PB-21</t>
        </is>
      </c>
      <c r="B93" s="11" t="inlineStr">
        <is>
          <t>DNS platformy i poczty na serwerze testowym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WYSOKI</t>
        </is>
      </c>
      <c r="F93" s="10" t="n">
        <v>6</v>
      </c>
      <c r="G93" s="10" t="n">
        <v>18</v>
      </c>
      <c r="H93" s="10" t="inlineStr">
        <is>
          <t>Faza 3 — Wejście na rynek</t>
        </is>
      </c>
      <c r="I93" s="10" t="inlineStr">
        <is>
          <t>2026-12-28</t>
        </is>
      </c>
      <c r="J93" s="10" t="inlineStr">
        <is>
          <t>2027-01-01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Na serwerze testowym: rekord dodany i usunięty z panelu bez duplikatu; zmiana rozmiaru skrzynki zostawia hasło; kreator poczty pokazuje DKIM ze strefy i zapisuje SPF/DMARC; verris.pl ma jeden DMARC; decyzja o _spf.verris.pl zapisana w docs/VERRIS.md. Po D3 F-01/F-02, E-05, E-15/16/17 przechodzą w macierzy na PARYTET.</t>
        </is>
      </c>
      <c r="O93" s="11" t="inlineStr">
        <is>
          <t>Odłożone decyzją właściciela 2026-09-23 do chwili, gdy jest serwer testowy. (1) Decyzja: wspólny rekord _spf.verris.pl (include platformy, łatwa zmiana IP) albo zostajemy przy a/mx/ip4 per klient — dziś _spf.verris.pl nie istnieje. (2) verris.pl w OVH: dwa rekordy DMARC (p=none i p=quarantine) — odbiorcy ignorują oba; zostawić jeden. (3) Nameservery platformy (hosting.ns1/ns2) ustawione — od nich zależy, czy kreator poczty proponuje zapis do strefy. (4) D3 na żywym DirectAdminie: dodanie i usunięcie rekordu (CMD_API_DNS_CONTROL, edycja create-then-delete), zmiana rozmiaru skrzynki bez passwd, klucz DKIM w strefie po włączeniu DKIM. (5) Naprawy asystenta PB-17 (SPF/DMARC jednym kliknięciem + Cofnij) na żywej strefie. (6) Zawieszenie i odwieszenie usługi z panelu admina (A-25/A-26) na żywym koncie DA. (7) Sprint 12–14 na żywym węźle: kopia bezpieczeństwa przed odtworzeniem (H-09), publikacja stagingu z kopią bazy (I-11), zmiana hasła FTP (C-18), pakowanie plików (C-11), pojemność węzła z agenta lve-agent/1.1 (NODE-03). (8) PB-22: pieczęć zaufania na działającej stronie klienta (D3) — tprstudio.pl wygasła 2026-09-23, więc pełną pieczęć sprawdzamy dopiero na stronie na nowym węźle.</t>
        </is>
      </c>
      <c r="P93" s="10" t="inlineStr">
        <is>
          <t>do zrobienia</t>
        </is>
      </c>
    </row>
    <row r="94">
      <c r="A94" s="10" t="inlineStr">
        <is>
          <t>PB-24</t>
        </is>
      </c>
      <c r="B94" s="11" t="inlineStr">
        <is>
          <t>KSC/NIS2: wpis do wykazu podmiotów kluczowych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WYSOKI</t>
        </is>
      </c>
      <c r="F94" s="10" t="n">
        <v>3</v>
      </c>
      <c r="G94" s="10" t="n">
        <v>18</v>
      </c>
      <c r="H94" s="10" t="inlineStr">
        <is>
          <t>Faza 3 — Wejście na rynek</t>
        </is>
      </c>
      <c r="I94" s="10" t="inlineStr">
        <is>
          <t>2026-12-28</t>
        </is>
      </c>
      <c r="J94" s="10" t="inlineStr">
        <is>
          <t>2027-01-01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—</t>
        </is>
      </c>
      <c r="N94" s="11" t="inlineStr">
        <is>
          <t>Wpis w wykazie przed upływem 6 miesięcy od pierwszej domeny/DNS dla klienta; termin zapisany w tym zadaniu z datą.</t>
        </is>
      </c>
      <c r="O94" s="11" t="inlineStr">
        <is>
          <t>Wg FAQ KSC (cyber.gov.pl) podmiot świadczący usługi rejestracji nazw domen i dostawca usług DNS = podmiot kluczowy niezależnie od wielkości. Decyzja właściciela 2026-09-23: wpis w ciągu 6 miesięcy od uruchomienia sprzedaży domen / DNS dla klientów (sprint 18/19), nie przed 3.10.2026 — ryzyko przyjęte świadomie. Materiał: docs/legal/nis2-ksc-assessment.md (10 obszarów art. 21). Do zrobienia: data uruchomienia usług → termin wpisu; osoba kontaktowa ds. cyberbezpieczeństwa; kontakt 24/7 do incydentów; procedura zgłaszania incydentów do CSIRT (24 h / 72 h).</t>
        </is>
      </c>
      <c r="P94" s="10" t="inlineStr">
        <is>
          <t>do zrobienia</t>
        </is>
      </c>
    </row>
    <row r="95">
      <c r="A95" s="10" t="inlineStr">
        <is>
          <t>PB-06</t>
        </is>
      </c>
      <c r="B95" s="11" t="inlineStr">
        <is>
          <t>Landing /przenies-strone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WYSOKI</t>
        </is>
      </c>
      <c r="F95" s="10" t="n">
        <v>16</v>
      </c>
      <c r="G95" s="10" t="n">
        <v>19</v>
      </c>
      <c r="H95" s="10" t="inlineStr">
        <is>
          <t>Faza 3 — Wejście na rynek</t>
        </is>
      </c>
      <c r="I95" s="10" t="inlineStr">
        <is>
          <t>2027-01-04</t>
        </is>
      </c>
      <c r="J95" s="10" t="inlineStr">
        <is>
          <t>2027-01-08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PB-07 (landing korzysta z ustalonego cennika)</t>
        </is>
      </c>
      <c r="N95" s="11" t="inlineStr">
        <is>
          <t>Strona opublikowana, pomiar działa, formularz i CTA prowadzą do rejestracji. Żadne twierdzenie na stronie nie jest oznaczone w macierzy jako LUKA lub ATRAPA.</t>
        </is>
      </c>
      <c r="O95" s="11" t="inlineStr">
        <is>
          <t>Strona docelowa kampanii Google Ads na osi migracji. Treść oparta na realnych przewagach z audytu, nie na obietnicach.</t>
        </is>
      </c>
      <c r="P95" s="10" t="inlineStr">
        <is>
          <t>do zrobienia</t>
        </is>
      </c>
    </row>
    <row r="96">
      <c r="A96" s="10" t="inlineStr">
        <is>
          <t>PB-09</t>
        </is>
      </c>
      <c r="B96" s="11" t="inlineStr">
        <is>
          <t>Baza wiedzy — 20 artykułów startowych</t>
        </is>
      </c>
      <c r="C96" s="10" t="inlineStr">
        <is>
          <t>poza audytem</t>
        </is>
      </c>
      <c r="D96" s="10" t="inlineStr">
        <is>
          <t>Praca spoza audytu</t>
        </is>
      </c>
      <c r="E96" s="10" t="inlineStr">
        <is>
          <t>ŚREDNI</t>
        </is>
      </c>
      <c r="F96" s="10" t="n">
        <v>16</v>
      </c>
      <c r="G96" s="10" t="n">
        <v>19</v>
      </c>
      <c r="H96" s="10" t="inlineStr">
        <is>
          <t>Faza 3 — Wejście na rynek</t>
        </is>
      </c>
      <c r="I96" s="10" t="inlineStr">
        <is>
          <t>2027-01-04</t>
        </is>
      </c>
      <c r="J96" s="10" t="inlineStr">
        <is>
          <t>2027-01-08</t>
        </is>
      </c>
      <c r="K96" s="10" t="inlineStr">
        <is>
          <t>—</t>
        </is>
      </c>
      <c r="L96" s="11" t="inlineStr">
        <is>
          <t>—</t>
        </is>
      </c>
      <c r="M96" s="11" t="inlineStr">
        <is>
          <t>—</t>
        </is>
      </c>
      <c r="N96" s="11" t="inlineStr">
        <is>
          <t>20 artykułów opublikowanych i zaindeksowanych do asystenta AI. Każdy opisuje funkcję, która w macierzy ma status DZIAŁA.</t>
        </is>
      </c>
      <c r="O96" s="11" t="inlineStr">
        <is>
          <t>Artykuły pokrywające najczęstsze pytania pierwszego tygodnia: skierowanie domeny, SSL, poczta, FTP, backup, migracja, faktury.</t>
        </is>
      </c>
      <c r="P96" s="10" t="inlineStr">
        <is>
          <t>do zrobienia</t>
        </is>
      </c>
    </row>
    <row r="97">
      <c r="A97" s="10" t="inlineStr">
        <is>
          <t>PB-19</t>
        </is>
      </c>
      <c r="B97" s="11" t="inlineStr">
        <is>
          <t>Widok strony: ruch, TTFB, błędy 5xx, technologia i logi z węzła</t>
        </is>
      </c>
      <c r="C97" s="10" t="inlineStr">
        <is>
          <t>poza audytem</t>
        </is>
      </c>
      <c r="D97" s="10" t="inlineStr">
        <is>
          <t>Praca spoza audytu</t>
        </is>
      </c>
      <c r="E97" s="10" t="inlineStr">
        <is>
          <t>ŚREDNI</t>
        </is>
      </c>
      <c r="F97" s="10" t="n">
        <v>24</v>
      </c>
      <c r="G97" s="10" t="n">
        <v>19</v>
      </c>
      <c r="H97" s="10" t="inlineStr">
        <is>
          <t>Faza 3 — Wejście na rynek</t>
        </is>
      </c>
      <c r="I97" s="10" t="inlineStr">
        <is>
          <t>2027-01-04</t>
        </is>
      </c>
      <c r="J97" s="10" t="inlineStr">
        <is>
          <t>2027-01-08</t>
        </is>
      </c>
      <c r="K97" s="10" t="inlineStr">
        <is>
          <t>—</t>
        </is>
      </c>
      <c r="L97" s="11" t="inlineStr">
        <is>
          <t>—</t>
        </is>
      </c>
      <c r="M97" s="11" t="inlineStr">
        <is>
          <t>—</t>
        </is>
      </c>
      <c r="N97" s="11" t="inlineStr">
        <is>
          <t>Na działającym węźle produkcyjnym: widok strony pokazuje ruch 7 dni, TTFB i 5xx z prawdziwych logów, wykrytą technologię i zakładkę „Logi”; brak danych = „—”, nie zero; testy parsera logów i detekcji technologii w CI; sprawdzone na D3 (serwer).</t>
        </is>
      </c>
      <c r="O97" s="11" t="inlineStr">
        <is>
          <t>Braki makiety widoku strony (docs/design/wzorzec-panelu.html), których API nie ma, bo wymagają węzła: (1) odwiedziny, mediana TTFB i błędy 5xx per domena z logów serwera WWW przez agenta; (2) rozpoznanie technologii strony (WordPress, PrestaShop, Laravel, HTML, przekierowanie) skanem plików i narzędzia dopasowane do technologii; (3) zakładka „Logi” — log błędów i dostępu per domena. Dziś panel pokazuje tylko to, co realnie istnieje (docs/VERRIS.md, sekcja „Otwarte”).</t>
        </is>
      </c>
      <c r="P97" s="10" t="inlineStr">
        <is>
          <t>do zrobienia</t>
        </is>
      </c>
    </row>
    <row r="98">
      <c r="A98" s="10" t="inlineStr">
        <is>
          <t>PB-10</t>
        </is>
      </c>
      <c r="B98" s="11" t="inlineStr">
        <is>
          <t>Kampania gads-search-hosting-202607 — uruchomienie</t>
        </is>
      </c>
      <c r="C98" s="10" t="inlineStr">
        <is>
          <t>poza audytem</t>
        </is>
      </c>
      <c r="D98" s="10" t="inlineStr">
        <is>
          <t>Praca spoza audytu</t>
        </is>
      </c>
      <c r="E98" s="10" t="inlineStr">
        <is>
          <t>ŚREDNI</t>
        </is>
      </c>
      <c r="F98" s="10" t="n">
        <v>8</v>
      </c>
      <c r="G98" s="10" t="n">
        <v>20</v>
      </c>
      <c r="H98" s="10" t="inlineStr"/>
      <c r="I98" s="10" t="inlineStr">
        <is>
          <t>2027-01-11</t>
        </is>
      </c>
      <c r="J98" s="10" t="inlineStr">
        <is>
          <t>2027-01-15</t>
        </is>
      </c>
      <c r="K98" s="10" t="inlineStr">
        <is>
          <t>—</t>
        </is>
      </c>
      <c r="L98" s="11" t="inlineStr">
        <is>
          <t>—</t>
        </is>
      </c>
      <c r="M98" s="11" t="inlineStr">
        <is>
          <t>PB-06 (kampania kieruje na landing)</t>
        </is>
      </c>
      <c r="N98" s="11" t="inlineStr">
        <is>
          <t>Kampania utworzona wstrzymana, konwersje podpięte, budżet i stawki ustawione. Start dopiero po PB-05.</t>
        </is>
      </c>
      <c r="O98" s="11" t="inlineStr">
        <is>
          <t>Konfiguracja kampanii wyszukiwarkowej, budżet 500–1000 zł/mies., oś przekazu: migracja bez przestoju.</t>
        </is>
      </c>
      <c r="P98" s="10" t="inlineStr">
        <is>
          <t>do zrobienia</t>
        </is>
      </c>
    </row>
    <row r="99">
      <c r="A99" s="10" t="inlineStr">
        <is>
          <t>Z-18</t>
        </is>
      </c>
      <c r="B99" s="11" t="inlineStr">
        <is>
          <t>Prawdziwa przyczyna błędu provisioningu nie ginie po drodze (część)</t>
        </is>
      </c>
      <c r="C99" s="10" t="inlineStr">
        <is>
          <t>audyt</t>
        </is>
      </c>
      <c r="D99" s="10" t="inlineStr">
        <is>
          <t>Z — Pass adwersaryjny</t>
        </is>
      </c>
      <c r="E99" s="10" t="inlineStr">
        <is>
          <t>BLOKER STARTU</t>
        </is>
      </c>
      <c r="F99" s="10" t="n">
        <v>2</v>
      </c>
      <c r="G99" s="10" t="n">
        <v>21</v>
      </c>
      <c r="H99" s="10" t="inlineStr"/>
      <c r="I99" s="10" t="inlineStr">
        <is>
          <t>2027-01-18</t>
        </is>
      </c>
      <c r="J99" s="10" t="inlineStr">
        <is>
          <t>2027-01-22</t>
        </is>
      </c>
      <c r="K99" s="10" t="inlineStr">
        <is>
          <t>CZĘŚCIOWE</t>
        </is>
      </c>
      <c r="L9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99" s="11" t="inlineStr">
        <is>
          <t>—</t>
        </is>
      </c>
      <c r="N99" s="11" t="inlineStr">
        <is>
          <t>Ograniczenie opisane w uwagach macierzy zniknęło; test potwierdza zachowanie także w scenariuszu awaryjnym.</t>
        </is>
      </c>
      <c r="O9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docs/archiwum/zadania/Z-18-blad-provisioningu-nie-klamie.md</t>
        </is>
      </c>
      <c r="P99" s="10" t="inlineStr">
        <is>
          <t>do zrobienia</t>
        </is>
      </c>
    </row>
    <row r="100">
      <c r="A100" s="10" t="inlineStr">
        <is>
          <t>NODE-02</t>
        </is>
      </c>
      <c r="B100" s="11" t="inlineStr">
        <is>
          <t>`main()` nie sprawdza kodów powrotu</t>
        </is>
      </c>
      <c r="C100" s="10" t="inlineStr">
        <is>
          <t>audyt</t>
        </is>
      </c>
      <c r="D100" s="10" t="inlineStr">
        <is>
          <t>Q — Przewaga</t>
        </is>
      </c>
      <c r="E100" s="10" t="inlineStr">
        <is>
          <t>WYSOKA</t>
        </is>
      </c>
      <c r="F100" s="10" t="n">
        <v>6</v>
      </c>
      <c r="G100" s="10" t="n">
        <v>21</v>
      </c>
      <c r="H100" s="10" t="inlineStr"/>
      <c r="I100" s="10" t="inlineStr">
        <is>
          <t>2027-01-18</t>
        </is>
      </c>
      <c r="J100" s="10" t="inlineStr">
        <is>
          <t>2027-01-22</t>
        </is>
      </c>
      <c r="K100" s="10" t="inlineStr">
        <is>
          <t>CZĘŚCIOWE</t>
        </is>
      </c>
      <c r="L100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100" s="11" t="inlineStr">
        <is>
          <t>—</t>
        </is>
      </c>
      <c r="N100" s="11" t="inlineStr">
        <is>
          <t>Ograniczenie opisane w uwagach macierzy zniknęło; test potwierdza zachowanie także w scenariuszu awaryjnym.</t>
        </is>
      </c>
      <c r="O100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100" s="10" t="inlineStr">
        <is>
          <t>do zrobienia</t>
        </is>
      </c>
    </row>
    <row r="101">
      <c r="A101" s="10" t="inlineStr">
        <is>
          <t>J-01</t>
        </is>
      </c>
      <c r="B101" s="11" t="inlineStr">
        <is>
          <t>LiteSpeed / serwer o wysokiej wydajności</t>
        </is>
      </c>
      <c r="C101" s="10" t="inlineStr">
        <is>
          <t>audyt</t>
        </is>
      </c>
      <c r="D101" s="10" t="inlineStr">
        <is>
          <t>J — Wydajność i cache</t>
        </is>
      </c>
      <c r="E101" s="10" t="inlineStr">
        <is>
          <t>WYSOKA</t>
        </is>
      </c>
      <c r="F101" s="10" t="n">
        <v>6</v>
      </c>
      <c r="G101" s="10" t="n">
        <v>21</v>
      </c>
      <c r="H101" s="10" t="inlineStr"/>
      <c r="I101" s="10" t="inlineStr">
        <is>
          <t>2027-01-18</t>
        </is>
      </c>
      <c r="J101" s="10" t="inlineStr">
        <is>
          <t>2027-01-22</t>
        </is>
      </c>
      <c r="K101" s="10" t="inlineStr">
        <is>
          <t>b.d.</t>
        </is>
      </c>
      <c r="L101" s="11" t="inlineStr">
        <is>
          <t>decyzja infrastrukturalna, poza kodem panelu</t>
        </is>
      </c>
      <c r="M101" s="11" t="inlineStr">
        <is>
          <t>—</t>
        </is>
      </c>
      <c r="N101" s="11" t="inlineStr">
        <is>
          <t>Stan zweryfikowany na produkcji z timestampem (poziom D3), wynik zapisany w repo.</t>
        </is>
      </c>
      <c r="O101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101" s="10" t="inlineStr">
        <is>
          <t>do zrobienia</t>
        </is>
      </c>
    </row>
    <row r="102">
      <c r="A102" s="10" t="inlineStr">
        <is>
          <t>J-04</t>
        </is>
      </c>
      <c r="B102" s="11" t="inlineStr">
        <is>
          <t>HTTP/3</t>
        </is>
      </c>
      <c r="C102" s="10" t="inlineStr">
        <is>
          <t>audyt</t>
        </is>
      </c>
      <c r="D102" s="10" t="inlineStr">
        <is>
          <t>J — Wydajność i cache</t>
        </is>
      </c>
      <c r="E102" s="10" t="inlineStr">
        <is>
          <t>ŚREDNIA</t>
        </is>
      </c>
      <c r="F102" s="10" t="n">
        <v>6</v>
      </c>
      <c r="G102" s="10" t="n">
        <v>21</v>
      </c>
      <c r="H102" s="10" t="inlineStr"/>
      <c r="I102" s="10" t="inlineStr">
        <is>
          <t>2027-01-18</t>
        </is>
      </c>
      <c r="J102" s="10" t="inlineStr">
        <is>
          <t>2027-01-22</t>
        </is>
      </c>
      <c r="K102" s="10" t="inlineStr">
        <is>
          <t>b.d.</t>
        </is>
      </c>
      <c r="L102" s="11" t="inlineStr">
        <is>
          <t>poza kodem panelu</t>
        </is>
      </c>
      <c r="M102" s="11" t="inlineStr">
        <is>
          <t>—</t>
        </is>
      </c>
      <c r="N102" s="11" t="inlineStr">
        <is>
          <t>Stan zweryfikowany na produkcji z timestampem (poziom D3), wynik zapisany w repo.</t>
        </is>
      </c>
      <c r="O102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102" s="10" t="inlineStr">
        <is>
          <t>do zrobienia</t>
        </is>
      </c>
    </row>
    <row r="103">
      <c r="A103" s="10" t="inlineStr">
        <is>
          <t>B-01</t>
        </is>
      </c>
      <c r="B103" s="11" t="inlineStr">
        <is>
          <t>Zmiana wersji PHP dla całego konta</t>
        </is>
      </c>
      <c r="C103" s="10" t="inlineStr">
        <is>
          <t>audyt</t>
        </is>
      </c>
      <c r="D103" s="10" t="inlineStr">
        <is>
          <t>B — Runtime WWW</t>
        </is>
      </c>
      <c r="E103" s="10" t="inlineStr">
        <is>
          <t>WYSOKA</t>
        </is>
      </c>
      <c r="F103" s="10" t="n">
        <v>6</v>
      </c>
      <c r="G103" s="10" t="n">
        <v>21</v>
      </c>
      <c r="H103" s="10" t="inlineStr"/>
      <c r="I103" s="10" t="inlineStr">
        <is>
          <t>2027-01-18</t>
        </is>
      </c>
      <c r="J103" s="10" t="inlineStr">
        <is>
          <t>2027-01-22</t>
        </is>
      </c>
      <c r="K103" s="10" t="inlineStr">
        <is>
          <t>CZĘŚCIOWE</t>
        </is>
      </c>
      <c r="L103" s="11" t="inlineStr">
        <is>
          <t>services.controller.ts:125</t>
        </is>
      </c>
      <c r="M103" s="11" t="inlineStr">
        <is>
          <t>—</t>
        </is>
      </c>
      <c r="N103" s="11" t="inlineStr">
        <is>
          <t>Ograniczenie opisane w uwagach macierzy zniknęło; test potwierdza zachowanie także w scenariuszu awaryjnym.</t>
        </is>
      </c>
      <c r="O103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 | 2026-09-22: przeniesione do sprintu 18 — kod i obraz sa gotowe, zostal wylacznie dowod D3 (PHP_APPLY na zywym wezle).</t>
        </is>
      </c>
      <c r="P103" s="10" t="inlineStr">
        <is>
          <t>do zrobienia</t>
        </is>
      </c>
    </row>
    <row r="104">
      <c r="A104" s="10" t="inlineStr">
        <is>
          <t>PB-02</t>
        </is>
      </c>
      <c r="B104" s="11" t="inlineStr">
        <is>
          <t>Onboarding produkcyjnego węzła #1 (Hetzner AX102)</t>
        </is>
      </c>
      <c r="C104" s="10" t="inlineStr">
        <is>
          <t>poza audytem</t>
        </is>
      </c>
      <c r="D104" s="10" t="inlineStr">
        <is>
          <t>Praca spoza audytu</t>
        </is>
      </c>
      <c r="E104" s="10" t="inlineStr">
        <is>
          <t>WYSOKI</t>
        </is>
      </c>
      <c r="F104" s="10" t="n">
        <v>16</v>
      </c>
      <c r="G104" s="10" t="n">
        <v>21</v>
      </c>
      <c r="H104" s="10" t="inlineStr"/>
      <c r="I104" s="10" t="inlineStr">
        <is>
          <t>2027-01-18</t>
        </is>
      </c>
      <c r="J104" s="10" t="inlineStr">
        <is>
          <t>2027-01-22</t>
        </is>
      </c>
      <c r="K104" s="10" t="inlineStr">
        <is>
          <t>—</t>
        </is>
      </c>
      <c r="L104" s="11" t="inlineStr">
        <is>
          <t>—</t>
        </is>
      </c>
      <c r="M104" s="11" t="inlineStr">
        <is>
          <t>—</t>
        </is>
      </c>
      <c r="N104" s="11" t="inlineStr">
        <is>
          <t>Węzeł przechodzi wszystkie 14 checków live-readiness. /etc/verris-backup.conf istnieje, pierwszy backup off-site wykonany i zaraportowany do control-plane.</t>
        </is>
      </c>
      <c r="O104" s="11" t="inlineStr">
        <is>
          <t>Pełny przebieg node-onboard-live.sh na docelowym serwerze, z konfiguracją backupu off-site jako krokiem obowiązkowym.</t>
        </is>
      </c>
      <c r="P104" s="10" t="inlineStr">
        <is>
          <t>do zrobienia</t>
        </is>
      </c>
    </row>
    <row r="105">
      <c r="A105" s="10" t="inlineStr">
        <is>
          <t>PB-05</t>
        </is>
      </c>
      <c r="B105" s="11" t="inlineStr">
        <is>
          <t>Test end-to-end „pierwszy klient”</t>
        </is>
      </c>
      <c r="C105" s="10" t="inlineStr">
        <is>
          <t>poza audytem</t>
        </is>
      </c>
      <c r="D105" s="10" t="inlineStr">
        <is>
          <t>Praca spoza audytu</t>
        </is>
      </c>
      <c r="E105" s="10" t="inlineStr">
        <is>
          <t>BLOKER BIZNESOWY</t>
        </is>
      </c>
      <c r="F105" s="10" t="n">
        <v>16</v>
      </c>
      <c r="G105" s="10" t="n">
        <v>22</v>
      </c>
      <c r="H105" s="10" t="inlineStr"/>
      <c r="I105" s="10" t="inlineStr">
        <is>
          <t>2027-01-25</t>
        </is>
      </c>
      <c r="J105" s="10" t="inlineStr">
        <is>
          <t>2027-01-29</t>
        </is>
      </c>
      <c r="K105" s="10" t="inlineStr">
        <is>
          <t>—</t>
        </is>
      </c>
      <c r="L105" s="11" t="inlineStr">
        <is>
          <t>—</t>
        </is>
      </c>
      <c r="M105" s="11" t="inlineStr">
        <is>
          <t>wszystkie blokery zamknięte (sprint 8)</t>
        </is>
      </c>
      <c r="N105" s="11" t="inlineStr">
        <is>
          <t>Zapisany przebieg z timestampami dla każdego kroku — to jest dowód poziomu D3, jedyny w całym projekcie. Każdy nieudany krok wraca do backlogu jako bloker.</t>
        </is>
      </c>
      <c r="O105" s="11" t="inlineStr">
        <is>
          <t>Przejście całej ścieżki na produkcji jako realny klient: rejestracja, zakup, płatność, provisioning, migracja strony, wystawienie faktury, KSeF, backup, odtworzenie.</t>
        </is>
      </c>
      <c r="P105" s="10" t="inlineStr">
        <is>
          <t>do zrobienia</t>
        </is>
      </c>
    </row>
    <row r="106">
      <c r="A106" s="10" t="inlineStr">
        <is>
          <t>PB-12</t>
        </is>
      </c>
      <c r="B106" s="11" t="inlineStr">
        <is>
          <t>Runbook startu i decyzja GO</t>
        </is>
      </c>
      <c r="C106" s="10" t="inlineStr">
        <is>
          <t>poza audytem</t>
        </is>
      </c>
      <c r="D106" s="10" t="inlineStr">
        <is>
          <t>Praca spoza audytu</t>
        </is>
      </c>
      <c r="E106" s="10" t="inlineStr">
        <is>
          <t>BLOKER BIZNESOWY</t>
        </is>
      </c>
      <c r="F106" s="10" t="n">
        <v>8</v>
      </c>
      <c r="G106" s="10" t="n">
        <v>22</v>
      </c>
      <c r="H106" s="10" t="inlineStr"/>
      <c r="I106" s="10" t="inlineStr">
        <is>
          <t>2027-01-25</t>
        </is>
      </c>
      <c r="J106" s="10" t="inlineStr">
        <is>
          <t>2027-01-29</t>
        </is>
      </c>
      <c r="K106" s="10" t="inlineStr">
        <is>
          <t>—</t>
        </is>
      </c>
      <c r="L106" s="11" t="inlineStr">
        <is>
          <t>—</t>
        </is>
      </c>
      <c r="M106" s="11" t="inlineStr">
        <is>
          <t>PB-05 (decyzja GO po przejściu ścieżki na produkcji)</t>
        </is>
      </c>
      <c r="N106" s="11" t="inlineStr">
        <is>
          <t>Każdy z 11 blokerów ma wpis: co zrobiono, gdzie jest dowód, kto potwierdził. Bez formuły „warunkowe GO”.</t>
        </is>
      </c>
      <c r="O106" s="11" t="inlineStr">
        <is>
          <t>Domknięcie: przegląd wszystkich blokerów z dowodem zamknięcia, decyzja GO/NO-GO zapisana z datą.</t>
        </is>
      </c>
      <c r="P106" s="10" t="inlineStr">
        <is>
          <t>do zrobienia</t>
        </is>
      </c>
    </row>
  </sheetData>
  <autoFilter ref="A1:P106"/>
  <conditionalFormatting sqref="E2:E106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106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startu'!$G$2:$G$106,A2)</f>
        <v/>
      </c>
      <c r="G2" s="10">
        <f>SUMIF('Backlog do startu'!$G$2:$G$106,A2,'Backlog do startu'!$F$2:$F$106)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startu'!$G$2:$G$106,A3)</f>
        <v/>
      </c>
      <c r="G3" s="10">
        <f>SUMIF('Backlog do startu'!$G$2:$G$106,A3,'Backlog do startu'!$F$2:$F$106)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 | 2026-09-22: Z-18 zdjete z listy tego sprintu (kod zrobiony tutaj, D2) — pozycja otwarta czeka na dowod D3 w sprincie 18, a generator przypisuje pozycje do pierwszego sprintu, w ktorym wystepuje.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startu'!$G$2:$G$106,A4)</f>
        <v/>
      </c>
      <c r="G4" s="10">
        <f>SUMIF('Backlog do startu'!$G$2:$G$106,A4,'Backlog do startu'!$F$2:$F$106)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startu'!$G$2:$G$106,A5)</f>
        <v/>
      </c>
      <c r="G5" s="10">
        <f>SUMIF('Backlog do startu'!$G$2:$G$106,A5,'Backlog do startu'!$F$2:$F$106)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startu'!$G$2:$G$106,A6)</f>
        <v/>
      </c>
      <c r="G6" s="10">
        <f>SUMIF('Backlog do startu'!$G$2:$G$106,A6,'Backlog do startu'!$F$2:$F$106)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Fundament designu i edytor DNS</t>
        </is>
      </c>
      <c r="F7" s="10">
        <f>COUNTIF('Backlog do startu'!$G$2:$G$106,A7)</f>
        <v/>
      </c>
      <c r="G7" s="10">
        <f>SUMIF('Backlog do startu'!$G$2:$G$106,A7,'Backlog do startu'!$F$2:$F$106)</f>
        <v/>
      </c>
      <c r="H7" s="10" t="n">
        <v>30</v>
      </c>
      <c r="I7" s="12">
        <f>IFERROR(G7/H7,0)</f>
        <v/>
      </c>
      <c r="J7" s="11" t="inlineStr">
        <is>
          <t>Najpierw system wizualny i jeden ekran-wzorzec do akceptacji — wszystko dalej budujemy juz w nowym stylu. F-01/F-02 (edytor DNS) maja kod z 2026-09-22; D3 przy wezle. | PRZEPLANOWANIE 2026-09-22 (3): decyzja wlasciciela — przed startem design (PB-15/16), asystent v1 (PB-17) i tickety v2 (PB-18); plan wydluza sie o 3 sprinty.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Ekrany panelu klienta w nowym designie</t>
        </is>
      </c>
      <c r="F8" s="10">
        <f>COUNTIF('Backlog do startu'!$G$2:$G$106,A8)</f>
        <v/>
      </c>
      <c r="G8" s="10">
        <f>SUMIF('Backlog do startu'!$G$2:$G$106,A8,'Backlog do startu'!$F$2:$F$106)</f>
        <v/>
      </c>
      <c r="H8" s="10" t="n">
        <v>30</v>
      </c>
      <c r="I8" s="12">
        <f>IFERROR(G8/H8,0)</f>
        <v/>
      </c>
      <c r="J8" s="11" t="inlineStr">
        <is>
          <t>Przeniesienie ekranow po akceptacji wzorca z PB-15. Ryzyko: zakres — ekranow jest duzo; kolejnosc od najczesciej uzywanych. | PRZEPLANOWANIE 2026-09-22 (3): decyzja wlasciciela — przed startem design (PB-15/16), asystent v1 (PB-17) i tickety v2 (PB-18); plan wydluza sie o 3 sprinty.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Poczta: dostarczalnosc i skrzynki</t>
        </is>
      </c>
      <c r="F9" s="10">
        <f>COUNTIF('Backlog do startu'!$G$2:$G$106,A9)</f>
        <v/>
      </c>
      <c r="G9" s="10">
        <f>SUMIF('Backlog do startu'!$G$2:$G$106,A9,'Backlog do startu'!$F$2:$F$106)</f>
        <v/>
      </c>
      <c r="H9" s="10" t="n">
        <v>30</v>
      </c>
      <c r="I9" s="12">
        <f>IFERROR(G9/H9,0)</f>
        <v/>
      </c>
      <c r="J9" s="11" t="inlineStr">
        <is>
          <t>Brak SPF/DKIM w panelu to najczestsza przyczyna "moja poczta trafia do spamu". Backend dziala — to glownie podpiecie osieroconego komponentu. | PRZEPLANOWANIE 2026-09-22 (decyzja wlasciciela): wszystko, co wymaga nowego serwera, na koniec — zakup AX102 dopiero w sprincie 18, zeby serwer nie stal pusty i nie generowal kosztow. Najpierw panel, funkcje i poprawki na istniejacej infrastrukturze. | PRZEPLANOWANIE 2026-09-22 (3): decyzja wlasciciela — przed startem design (PB-15/16), asystent v1 (PB-17) i tickety v2 (PB-18); plan wydluza sie o 3 sprinty.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Asystent v1</t>
        </is>
      </c>
      <c r="F10" s="10">
        <f>COUNTIF('Backlog do startu'!$G$2:$G$106,A10)</f>
        <v/>
      </c>
      <c r="G10" s="10">
        <f>SUMIF('Backlog do startu'!$G$2:$G$106,A10,'Backlog do startu'!$F$2:$F$106)</f>
        <v/>
      </c>
      <c r="H10" s="10" t="n">
        <v>30</v>
      </c>
      <c r="I10" s="12">
        <f>IFERROR(G10/H10,0)</f>
        <v/>
      </c>
      <c r="J10" s="11" t="inlineStr">
        <is>
          <t>Dymki na regulach i naprawy odwracalne — bez kosztow AI i bez akcji destrukcyjnych. Agent wykonujacy akcje: po starcie. | PRZEPLANOWANIE 2026-09-22 (3): decyzja wlasciciela — przed startem design (PB-15/16), asystent v1 (PB-17) i tickety v2 (PB-18); plan wydluza sie o 3 sprinty.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Tickety v2</t>
        </is>
      </c>
      <c r="F11" s="10">
        <f>COUNTIF('Backlog do startu'!$G$2:$G$106,A11)</f>
        <v/>
      </c>
      <c r="G11" s="10">
        <f>SUMIF('Backlog do startu'!$G$2:$G$106,A11,'Backlog do startu'!$F$2:$F$106)</f>
        <v/>
      </c>
      <c r="H11" s="10" t="n">
        <v>30</v>
      </c>
      <c r="I11" s="12">
        <f>IFERROR(G11/H11,0)</f>
        <v/>
      </c>
      <c r="J11" s="11" t="inlineStr">
        <is>
          <t>Od pierwszego klienta support musi byc szybki; auto-wysylka odpowiedzi dopiero po zebraniu danych o trafnosci szkicow. | PRZEPLANOWANIE 2026-09-22 (3): decyzja wlasciciela — przed startem design (PB-15/16), asystent v1 (PB-17) i tickety v2 (PB-18); plan wydluza sie o 3 sprinty.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Warstwa operatorska: zatrzymywanie szkody</t>
        </is>
      </c>
      <c r="F12" s="10">
        <f>COUNTIF('Backlog do startu'!$G$2:$G$106,A12)</f>
        <v/>
      </c>
      <c r="G12" s="10">
        <f>SUMIF('Backlog do startu'!$G$2:$G$106,A12,'Backlog do startu'!$F$2:$F$106)</f>
        <v/>
      </c>
      <c r="H12" s="10" t="n">
        <v>30</v>
      </c>
      <c r="I12" s="12">
        <f>IFERROR(G12/H12,0)</f>
        <v/>
      </c>
      <c r="J12" s="11" t="inlineStr">
        <is>
          <t>Bez tego pierwszy incydent obslugujesz curlem o drugiej w nocy. Pierwsze cztery pozycje to endpointy, ktore juz dzialaja.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Backup i staging</t>
        </is>
      </c>
      <c r="F13" s="10">
        <f>COUNTIF('Backlog do startu'!$G$2:$G$106,A13)</f>
        <v/>
      </c>
      <c r="G13" s="10">
        <f>SUMIF('Backlog do startu'!$G$2:$G$106,A13,'Backlog do startu'!$F$2:$F$106)</f>
        <v/>
      </c>
      <c r="H13" s="10" t="n">
        <v>30</v>
      </c>
      <c r="I13" s="12">
        <f>IFERROR(G13/H13,0)</f>
        <v/>
      </c>
      <c r="J13" s="11" t="inlineStr">
        <is>
          <t>H-17 bylo zalezne od H-20 — zamkniete 2026-08-23 dowodem D4, wiec zaleznosc spelniona. | PRZEPLANOWANIE 2026-09-22 (decyzja wlasciciela): wszystko, co wymaga nowego serwera, na koniec — zakup AX102 dopiero w sprincie 18, zeby serwer nie stal pusty i nie generowal kosztow. Najpierw panel, funkcje i poprawki na istniejacej infrastrukturze. Pozycje, ktore okaza sie wymagac wezla do dowodu D3, dostaja kod tutaj, a dowod w sprincie 18.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Ogony, zaleznosci i dokumenty VOID</t>
        </is>
      </c>
      <c r="F14" s="10">
        <f>COUNTIF('Backlog do startu'!$G$2:$G$106,A14)</f>
        <v/>
      </c>
      <c r="G14" s="10">
        <f>SUMIF('Backlog do startu'!$G$2:$G$106,A14,'Backlog do startu'!$F$2:$F$106)</f>
        <v/>
      </c>
      <c r="H14" s="10" t="n">
        <v>30</v>
      </c>
      <c r="I14" s="12">
        <f>IFERROR(G14/H14,0)</f>
        <v/>
      </c>
      <c r="J14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 X-31 i X-32 zamkniete 2026-09-22 (D3) — zostaja tu jako zapis.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Rozliczenia klienta i pomiar</t>
        </is>
      </c>
      <c r="F15" s="10">
        <f>COUNTIF('Backlog do startu'!$G$2:$G$106,A15)</f>
        <v/>
      </c>
      <c r="G15" s="10">
        <f>SUMIF('Backlog do startu'!$G$2:$G$106,A15,'Backlog do startu'!$F$2:$F$106)</f>
        <v/>
      </c>
      <c r="H15" s="10" t="n">
        <v>30</v>
      </c>
      <c r="I15" s="12">
        <f>IFERROR(G15/H15,0)</f>
        <v/>
      </c>
      <c r="J15" s="11" t="inlineStr">
        <is>
          <t>Ostatni sprint kodowy przed blokiem dokumentow. PB-08 (Consent Mode v2 + dedup event_id) jest tu, a nie przy landingu, bo to kod w panelu, nie tresc — landing tylko z niego korzysta. | PRZEPLANOWANIE 2026-09-22 (decyzja wlasciciela): wszystko, co wymaga nowego serwera, na koniec — zakup AX102 dopiero w sprincie 18, zeby serwer nie stal pusty i nie generowal kosztow. Najpierw panel, funkcje i poprawki na istniejacej infrastrukturze. NODE-03 (pojemnosc wezla z telemetrii) dolozone tutaj z sprintu 13 dla pojemnosci — kod bez wezla, dowod przy wezle.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Egress: pelne pokrycie ruchu (control-plane)</t>
        </is>
      </c>
      <c r="F16" s="10">
        <f>COUNTIF('Backlog do startu'!$G$2:$G$106,A16)</f>
        <v/>
      </c>
      <c r="G16" s="10">
        <f>SUMIF('Backlog do startu'!$G$2:$G$106,A16,'Backlog do startu'!$F$2:$F$106)</f>
        <v/>
      </c>
      <c r="H16" s="10" t="n">
        <v>30</v>
      </c>
      <c r="I16" s="12">
        <f>IFERROR(G16/H16,0)</f>
        <v/>
      </c>
      <c r="J16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 | PRZEPLANOWANIE 2026-09-22 (decyzja wlasciciela): wszystko, co wymaga nowego serwera, na koniec — zakup AX102 dopiero w sprincie 18, zeby serwer nie stal pusty i nie generowal kosztow. Najpierw panel, funkcje i poprawki na istniejacej infrastrukturze. Pomiar z SEC-05 dziala od 2026-09-22, wiec egzekwowanie w FORWARD i UDP/53/SMTP ma juz na czym sie oprzec. Po panelu (sprinty 6-11), bezposrednio przed wlaczeniem strict — oba to ta sama robota na zaporze control-plane, a pomiar dostaje przez ten czas kilka tygodni danych.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Strict egress na control-plane</t>
        </is>
      </c>
      <c r="F17" s="10">
        <f>COUNTIF('Backlog do startu'!$G$2:$G$106,A17)</f>
        <v/>
      </c>
      <c r="G17" s="10">
        <f>SUMIF('Backlog do startu'!$G$2:$G$106,A17,'Backlog do startu'!$F$2:$F$106)</f>
        <v/>
      </c>
      <c r="H17" s="10" t="n">
        <v>30</v>
      </c>
      <c r="I17" s="12">
        <f>IFERROR(G17/H17,0)</f>
        <v/>
      </c>
      <c r="J17" s="11" t="inlineStr">
        <is>
          <t>Kod SEC-05/04/01 gotowy 2026-09-22 (pomiar na produkcji od 09:23 UTC). Tutaj: allowlista z kilku tygodni pelnego pomiaru (SEC-06), odswiezanie adresow Stripe (SEC-02), wlaczenie --strict (warunek wstepny w skrypcie sam odmowi, jesli pomiar widzi cele spoza listy).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Dokumenty prawne, DPA i naduzycia</t>
        </is>
      </c>
      <c r="F18" s="10">
        <f>COUNTIF('Backlog do startu'!$G$2:$G$106,A18)</f>
        <v/>
      </c>
      <c r="G18" s="10">
        <f>SUMIF('Backlog do startu'!$G$2:$G$106,A18,'Backlog do startu'!$F$2:$F$106)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 Polityka prywatnosci opisuje lokalizacje przetwarzania DE/FI (ADR-2026-09-22-wezel-1-hetzner).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Cennik, SLA i zastepstwo</t>
        </is>
      </c>
      <c r="F19" s="10">
        <f>COUNTIF('Backlog do startu'!$G$2:$G$106,A19)</f>
        <v/>
      </c>
      <c r="G19" s="10">
        <f>SUMIF('Backlog do startu'!$G$2:$G$106,A19,'Backlog do startu'!$F$2:$F$106)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 | 2026-09-23: PB-21 (DNS platformy i D3 edytora DNS/poczty) tutaj, bo w tym sprincie pojawia się serwer testowy.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Landing i baza wiedzy</t>
        </is>
      </c>
      <c r="F20" s="10">
        <f>COUNTIF('Backlog do startu'!$G$2:$G$106,A20)</f>
        <v/>
      </c>
      <c r="G20" s="10">
        <f>SUMIF('Backlog do startu'!$G$2:$G$106,A20,'Backlog do startu'!$F$2:$F$106)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1">
      <c r="A21" s="10" t="n">
        <v>20</v>
      </c>
      <c r="B21" s="10" t="inlineStr">
        <is>
          <t>2027-01-11</t>
        </is>
      </c>
      <c r="C21" s="10" t="inlineStr">
        <is>
          <t>2027-01-15</t>
        </is>
      </c>
      <c r="D21" s="11" t="inlineStr"/>
      <c r="E21" s="11" t="inlineStr">
        <is>
          <t>Kampania (wstrzymana)</t>
        </is>
      </c>
      <c r="F21" s="10">
        <f>COUNTIF('Backlog do startu'!$G$2:$G$106,A21)</f>
        <v/>
      </c>
      <c r="G21" s="10">
        <f>SUMIF('Backlog do startu'!$G$2:$G$106,A21,'Backlog do startu'!$F$2:$F$106)</f>
        <v/>
      </c>
      <c r="H21" s="10" t="n">
        <v>30</v>
      </c>
      <c r="I21" s="12">
        <f>IFERROR(G21/H21,0)</f>
        <v/>
      </c>
      <c r="J21" s="11" t="inlineStr">
        <is>
          <t>Kampania powstaje wstrzymana — wlaczenie dopiero po decyzji GO.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22">
      <c r="A22" s="10" t="n">
        <v>21</v>
      </c>
      <c r="B22" s="10" t="inlineStr">
        <is>
          <t>2027-01-18</t>
        </is>
      </c>
      <c r="C22" s="10" t="inlineStr">
        <is>
          <t>2027-01-22</t>
        </is>
      </c>
      <c r="D22" s="11" t="inlineStr"/>
      <c r="E22" s="11" t="inlineStr">
        <is>
          <t>Wezel produkcyjny #1 (Hetzner AX102)</t>
        </is>
      </c>
      <c r="F22" s="10">
        <f>COUNTIF('Backlog do startu'!$G$2:$G$106,A22)</f>
        <v/>
      </c>
      <c r="G22" s="10">
        <f>SUMIF('Backlog do startu'!$G$2:$G$106,A22,'Backlog do startu'!$F$2:$F$106)</f>
        <v/>
      </c>
      <c r="H22" s="10" t="n">
        <v>30</v>
      </c>
      <c r="I22" s="12">
        <f>IFERROR(G22/H22,0)</f>
        <v/>
      </c>
      <c r="J22" s="11" t="inlineStr">
        <is>
          <t>ZAKUP SERWERA TUTAJ, nie wczesniej (decyzja wlasciciela 2026-09-22: bez kosztow za pusty serwer). Zamowienie na poczatku sprintu: AX102 w centrum danych Panelu, licencje DirectAdmin/CloudLinux/Imunify, Storage Box BX21 w innej lokalizacji. NODE-02 ma kod i D2 (instalator zatrzymuje sie na bledzie) — tu dowod D3 przy pierwszym onboardingu. Z-18 dostaje D3 (provisioning z przerwanym polaczeniem do DA) i przestaje byc blokerem. J-01 i J-04 — weryfikacja na wezle z timestampem.</t>
        </is>
      </c>
    </row>
    <row r="23">
      <c r="A23" s="10" t="n">
        <v>22</v>
      </c>
      <c r="B23" s="10" t="inlineStr">
        <is>
          <t>2027-01-25</t>
        </is>
      </c>
      <c r="C23" s="10" t="inlineStr">
        <is>
          <t>2027-01-29</t>
        </is>
      </c>
      <c r="D23" s="11" t="inlineStr"/>
      <c r="E23" s="11" t="inlineStr">
        <is>
          <t>Sciezka pierwszego klienta i decyzja GO</t>
        </is>
      </c>
      <c r="F23" s="10">
        <f>COUNTIF('Backlog do startu'!$G$2:$G$106,A23)</f>
        <v/>
      </c>
      <c r="G23" s="10">
        <f>SUMIF('Backlog do startu'!$G$2:$G$106,A23,'Backlog do startu'!$F$2:$F$106)</f>
        <v/>
      </c>
      <c r="H23" s="10" t="n">
        <v>30</v>
      </c>
      <c r="I23" s="12">
        <f>IFERROR(G23/H23,0)</f>
        <v/>
      </c>
      <c r="J23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 PB-05 wymaga wezla, dlatego stoi zaraz po sprincie 18.</t>
        </is>
      </c>
    </row>
  </sheetData>
  <autoFilter ref="A1:J23"/>
  <conditionalFormatting sqref="G2:G23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2026-09-23T10:08:53Z</dcterms:created>
  <dcterms:modified xmlns:dcterms="http://purl.org/dc/terms/" xmlns:xsi="http://www.w3.org/2001/XMLSchema-instance" xsi:type="dcterms:W3CDTF">2026-09-23T10:08:53Z</dcterms:modified>
</cp:coreProperties>
</file>