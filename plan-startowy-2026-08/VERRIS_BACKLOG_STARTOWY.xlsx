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dsumowanie" sheetId="1" state="visible" r:id="rId1"/>
    <sheet xmlns:r="http://schemas.openxmlformats.org/officeDocument/2006/relationships" name="Backlog do startu" sheetId="2" state="visible" r:id="rId2"/>
    <sheet xmlns:r="http://schemas.openxmlformats.org/officeDocument/2006/relationships" name="Sprinty" sheetId="3" state="visible" r:id="rId3"/>
    <sheet xmlns:r="http://schemas.openxmlformats.org/officeDocument/2006/relationships" name="Po starcie" sheetId="4" state="visible" r:id="rId4"/>
    <sheet xmlns:r="http://schemas.openxmlformats.org/officeDocument/2006/relationships" name="Poza zakresem" sheetId="5" state="visible" r:id="rId5"/>
  </sheets>
  <definedNames>
    <definedName name="_xlnm._FilterDatabase" localSheetId="1" hidden="1">'Backlog do startu'!$A$1:$P$138</definedName>
    <definedName name="_xlnm._FilterDatabase" localSheetId="2" hidden="1">'Sprinty'!$A$1:$J$24</definedName>
    <definedName name="_xlnm._FilterDatabase" localSheetId="3" hidden="1">'Po starcie'!$A$1:$K$19</definedName>
    <definedName name="_xlnm._FilterDatabase" localSheetId="4" hidden="1">'Poza zakresem'!$A$1:$D$22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10"/>
    </font>
    <font>
      <name val="Arial"/>
      <b val="1"/>
      <color rgb="001F3A5F"/>
      <sz val="15"/>
    </font>
    <font>
      <name val="Arial"/>
      <i val="1"/>
      <color rgb="00606060"/>
      <sz val="10"/>
    </font>
    <font>
      <name val="Arial"/>
      <b val="1"/>
      <color rgb="001F3A5F"/>
      <sz val="13"/>
    </font>
    <font>
      <name val="Arial"/>
      <b val="1"/>
      <sz val="10"/>
    </font>
    <font>
      <name val="Arial"/>
      <b val="1"/>
      <color rgb="00C00000"/>
      <sz val="10"/>
    </font>
    <font>
      <name val="Arial"/>
      <b val="1"/>
      <color rgb="00C00000"/>
      <sz val="11"/>
    </font>
  </fonts>
  <fills count="3">
    <fill>
      <patternFill/>
    </fill>
    <fill>
      <patternFill patternType="gray125"/>
    </fill>
    <fill>
      <patternFill patternType="solid">
        <fgColor rgb="001F3A5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3">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2" fillId="0" borderId="0" pivotButton="0" quotePrefix="0" xfId="0"/>
    <xf numFmtId="0" fontId="6" fillId="0" borderId="0" pivotButton="0" quotePrefix="0" xfId="0"/>
    <xf numFmtId="0" fontId="7" fillId="0" borderId="0" pivotButton="0" quotePrefix="0" xfId="0"/>
    <xf numFmtId="0" fontId="8" fillId="0" borderId="0" pivotButton="0" quotePrefix="0" xfId="0"/>
    <xf numFmtId="9" fontId="6"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9" fontId="2" fillId="0" borderId="1" applyAlignment="1" pivotButton="0" quotePrefix="0" xfId="0">
      <alignment vertical="top"/>
    </xf>
  </cellXfs>
  <cellStyles count="1">
    <cellStyle name="Normal" xfId="0" builtinId="0" hidden="0"/>
  </cellStyles>
  <dxfs count="4">
    <dxf>
      <font>
        <name val="Arial"/>
        <b val="1"/>
        <color rgb="00FFFFFF"/>
        <sz val="10"/>
      </font>
      <fill>
        <patternFill patternType="solid">
          <fgColor rgb="00C00000"/>
        </patternFill>
      </fill>
    </dxf>
    <dxf>
      <font>
        <name val="Arial"/>
        <b val="1"/>
        <color rgb="00000000"/>
        <sz val="10"/>
      </font>
      <fill>
        <patternFill patternType="solid">
          <fgColor rgb="00F8CBAD"/>
        </patternFill>
      </fill>
    </dxf>
    <dxf>
      <font>
        <name val="Arial"/>
        <b val="1"/>
        <color rgb="00000000"/>
        <sz val="10"/>
      </font>
      <fill>
        <patternFill patternType="solid">
          <fgColor rgb="00FFF2CC"/>
        </patternFill>
      </fill>
    </dxf>
    <dxf>
      <font>
        <name val="Arial"/>
        <b val="1"/>
        <color rgb="000C6B0C"/>
        <sz val="10"/>
      </font>
      <fill>
        <patternFill patternType="solid">
          <fgColor rgb="00D6EF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0" customWidth="1" min="1" max="1"/>
    <col width="78" customWidth="1" min="2" max="2"/>
  </cols>
  <sheetData>
    <row r="1">
      <c r="A1" s="1" t="inlineStr">
        <is>
          <t>Verris — backlog do startu</t>
        </is>
      </c>
    </row>
    <row r="2">
      <c r="A2" s="2" t="inlineStr">
        <is>
          <t>23 sprintów · 65 h netto na sprint · wygenerowane 2026-10-11 z audyt/dane/</t>
        </is>
      </c>
    </row>
    <row r="4">
      <c r="A4" s="3" t="inlineStr">
        <is>
          <t>Kluczowe liczby</t>
        </is>
      </c>
    </row>
    <row r="6">
      <c r="A6" s="4" t="inlineStr">
        <is>
          <t>Zadań w planie</t>
        </is>
      </c>
      <c r="B6" s="5">
        <f>COUNTA('Backlog do startu'!$A$2:$A$138)</f>
        <v/>
      </c>
    </row>
    <row r="7">
      <c r="A7" s="4" t="inlineStr">
        <is>
          <t>Godzin w planie</t>
        </is>
      </c>
      <c r="B7" s="5">
        <f>SUM('Backlog do startu'!$F$2:$F$138)</f>
        <v/>
      </c>
    </row>
    <row r="8">
      <c r="A8" s="4" t="inlineStr">
        <is>
          <t>Pojemność</t>
        </is>
      </c>
      <c r="B8" s="5" t="n">
        <v>1495</v>
      </c>
    </row>
    <row r="9">
      <c r="A9" s="4" t="inlineStr">
        <is>
          <t>Zapas</t>
        </is>
      </c>
      <c r="B9" s="5">
        <f>B7-B6</f>
        <v/>
      </c>
    </row>
    <row r="10">
      <c r="A10" s="6" t="inlineStr">
        <is>
          <t>Blokerów</t>
        </is>
      </c>
      <c r="B10" s="7">
        <f>COUNTIF('Backlog do startu'!$E$2:$E$138,"BLOKER STARTU")+COUNTIF('Backlog do startu'!$E$2:$E$138,"BLOKER BIZNESOWY")</f>
        <v/>
      </c>
    </row>
    <row r="11">
      <c r="A11" s="4" t="inlineStr">
        <is>
          <t>Zadań zrobionych</t>
        </is>
      </c>
      <c r="B11" s="5">
        <f>COUNTIF('Backlog do startu'!$P$2:$P$138,"zrobione")</f>
        <v/>
      </c>
    </row>
    <row r="12">
      <c r="A12" s="4" t="inlineStr">
        <is>
          <t>Godzin zrobionych</t>
        </is>
      </c>
      <c r="B12" s="5">
        <f>SUMIF('Backlog do startu'!$P$2:$P$138,"zrobione",'Backlog do startu'!$F$2:$F$138)</f>
        <v/>
      </c>
    </row>
    <row r="13">
      <c r="A13" s="4" t="inlineStr">
        <is>
          <t>Postęp</t>
        </is>
      </c>
      <c r="B13" s="8">
        <f>IFERROR(B12/B6,0)</f>
        <v/>
      </c>
    </row>
    <row r="15">
      <c r="A15" s="3" t="inlineStr">
        <is>
          <t>Praca poza planem sprintów</t>
        </is>
      </c>
    </row>
    <row r="16">
      <c r="A16" s="4" t="inlineStr">
        <is>
          <t>Pozycji w roadmapie po starcie</t>
        </is>
      </c>
      <c r="B16" s="5" t="n">
        <v>18</v>
      </c>
    </row>
    <row r="17">
      <c r="A17" s="4" t="inlineStr">
        <is>
          <t>Godzin</t>
        </is>
      </c>
      <c r="B17" s="5" t="n">
        <v>444</v>
      </c>
    </row>
    <row r="18">
      <c r="A18" s="4" t="inlineStr">
        <is>
          <t>Sprintów po tyle godzin</t>
        </is>
      </c>
      <c r="B18" s="5" t="n">
        <v>6.8</v>
      </c>
    </row>
    <row r="19">
      <c r="A19" s="4" t="inlineStr">
        <is>
          <t>Pozycji poza zakresem</t>
        </is>
      </c>
      <c r="B19" s="5" t="n">
        <v>21</v>
      </c>
    </row>
    <row r="21">
      <c r="A21" s="3" t="inlineStr">
        <is>
          <t>Jak używać tego pliku</t>
        </is>
      </c>
    </row>
    <row r="22">
      <c r="A22" s="4" t="inlineStr">
        <is>
          <t>• Edytuje się WYŁĄCZNIE kolumnę Status w arkuszu „Backlog do startu”: do zrobienia / w toku / zrobione.</t>
        </is>
      </c>
    </row>
    <row r="23">
      <c r="A23" s="4" t="inlineStr">
        <is>
          <t>• Liczby powyżej i obciążenie sprintów przeliczają się same.</t>
        </is>
      </c>
    </row>
    <row r="24">
      <c r="A24" s="4" t="inlineStr">
        <is>
          <t>• „Zrobione” = spełniona definicja ukończenia z kolumny N, nie „kod napisany”.</t>
        </is>
      </c>
    </row>
    <row r="25">
      <c r="A25" s="4" t="inlineStr">
        <is>
          <t>• Nic poniżej D2 (test w CI) nie jest zrobione. Pieniądze, dane i dostęp → D3. Backupy i DR → D4.</t>
        </is>
      </c>
    </row>
    <row r="26">
      <c r="A26" s="4" t="inlineStr">
        <is>
          <t>• Reszta pliku jest generowana z audyt/dane/ — zmiany rób tam i uruchom audyt/generate.py.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44" customWidth="1" min="2" max="2"/>
    <col width="13" customWidth="1" min="3" max="3"/>
    <col width="26" customWidth="1" min="4" max="4"/>
    <col width="17" customWidth="1" min="5" max="5"/>
    <col width="5" customWidth="1" min="6" max="6"/>
    <col width="7" customWidth="1" min="7" max="7"/>
    <col width="42" customWidth="1" min="8" max="8"/>
    <col width="11" customWidth="1" min="9" max="9"/>
    <col width="11" customWidth="1" min="10" max="10"/>
    <col width="17" customWidth="1" min="11" max="11"/>
    <col width="44" customWidth="1" min="12" max="12"/>
    <col width="40" customWidth="1" min="13" max="13"/>
    <col width="60" customWidth="1" min="14" max="14"/>
    <col width="60" customWidth="1" min="15" max="15"/>
    <col width="14" customWidth="1" min="16" max="16"/>
  </cols>
  <sheetData>
    <row r="1" ht="30" customHeight="1">
      <c r="A1" s="9" t="inlineStr">
        <is>
          <t>ID</t>
        </is>
      </c>
      <c r="B1" s="9" t="inlineStr">
        <is>
          <t>Zadanie</t>
        </is>
      </c>
      <c r="C1" s="9" t="inlineStr">
        <is>
          <t>Typ</t>
        </is>
      </c>
      <c r="D1" s="9" t="inlineStr">
        <is>
          <t>Kategoria</t>
        </is>
      </c>
      <c r="E1" s="9" t="inlineStr">
        <is>
          <t>Priorytet</t>
        </is>
      </c>
      <c r="F1" s="9" t="inlineStr">
        <is>
          <t>h</t>
        </is>
      </c>
      <c r="G1" s="9" t="inlineStr">
        <is>
          <t>Sprint</t>
        </is>
      </c>
      <c r="H1" s="9" t="inlineStr">
        <is>
          <t>Faza</t>
        </is>
      </c>
      <c r="I1" s="9" t="inlineStr">
        <is>
          <t>Od</t>
        </is>
      </c>
      <c r="J1" s="9" t="inlineStr">
        <is>
          <t>Do</t>
        </is>
      </c>
      <c r="K1" s="9" t="inlineStr">
        <is>
          <t>Stan w kodzie</t>
        </is>
      </c>
      <c r="L1" s="9" t="inlineStr">
        <is>
          <t>Dowód (plik:linia)</t>
        </is>
      </c>
      <c r="M1" s="9" t="inlineStr">
        <is>
          <t>Zależy od</t>
        </is>
      </c>
      <c r="N1" s="9" t="inlineStr">
        <is>
          <t>Definicja ukończenia</t>
        </is>
      </c>
      <c r="O1" s="9" t="inlineStr">
        <is>
          <t>Kontekst</t>
        </is>
      </c>
      <c r="P1" s="9" t="inlineStr">
        <is>
          <t>Status</t>
        </is>
      </c>
    </row>
    <row r="2">
      <c r="A2" s="10" t="inlineStr">
        <is>
          <t>X-01</t>
        </is>
      </c>
      <c r="B2" s="11" t="inlineStr">
        <is>
          <t>CI uruchamiające testy</t>
        </is>
      </c>
      <c r="C2" s="10" t="inlineStr">
        <is>
          <t>audyt</t>
        </is>
      </c>
      <c r="D2" s="10" t="inlineStr">
        <is>
          <t>X — Infrastruktura jakości</t>
        </is>
      </c>
      <c r="E2" s="10" t="inlineStr">
        <is>
          <t>—</t>
        </is>
      </c>
      <c r="F2" s="10" t="n">
        <v>6</v>
      </c>
      <c r="G2" s="10" t="n">
        <v>1</v>
      </c>
      <c r="H2" s="10" t="inlineStr">
        <is>
          <t>Faza 0 — Zatrzymać krwawienie</t>
        </is>
      </c>
      <c r="I2" s="10" t="inlineStr">
        <is>
          <t>2026-08-31</t>
        </is>
      </c>
      <c r="J2" s="10" t="inlineStr">
        <is>
          <t>2026-09-04</t>
        </is>
      </c>
      <c r="K2" s="10" t="inlineStr">
        <is>
          <t>DZIAŁA</t>
        </is>
      </c>
      <c r="L2" s="11" t="inlineStr">
        <is>
          <t>.github/workflows/ci.yml — typecheck, testy API, build, smoke migracji Prisma, gitleaks, pnpm audit, Trivy, dependabot</t>
        </is>
      </c>
      <c r="M2" s="11" t="inlineStr">
        <is>
          <t>—</t>
        </is>
      </c>
      <c r="N2" s="11" t="inlineStr">
        <is>
          <t>Funkcja dostępna z panelu klienta bez wychodzenia do DirectAdmina; test uruchamiany w CI.</t>
        </is>
      </c>
      <c r="O2" s="11" t="inlineStr">
        <is>
          <t>SPROSTOWANIE: pierwotny zapis „katalog .github NIE ISTNIEJE" był mój błąd — .github wypadło z archiwum, na którym pracowałem, i wziąłem to za brak w repo. CI istniało i było sensowne, ale chodziło wyłącznie na main/master, podczas gdy praca toczy się na feature/support-v2 (301 commitów do przodu) — czyli faktycznie nie chodziło nigdzie. Od 2026-08-21 uruchamiane na push do każdej gałęzi, na PR i ręcznie. Pierwszy zielony przebieg: CI #18, commit e122ae4, 2026-08-21, 2m17s — cztery joby zielone, „API unit tests" wykonane: 37 zestawów, 194 testy, wszystkie przeszły. Poziom dowodu D2 osiągnięty. Przebieg #17 (pierwszy w ogóle) był czerwony na dwóch rzeczach zastanych: zły tag akcji Trivy i apps/www niePrzechodzący typechecku — obie naprawione w e122ae4.</t>
        </is>
      </c>
      <c r="P2" s="10" t="inlineStr">
        <is>
          <t>do zrobienia</t>
        </is>
      </c>
    </row>
    <row r="3">
      <c r="A3" s="10" t="inlineStr">
        <is>
          <t>X-02</t>
        </is>
      </c>
      <c r="B3" s="11" t="inlineStr">
        <is>
          <t>Status wymagany do merge</t>
        </is>
      </c>
      <c r="C3" s="10" t="inlineStr">
        <is>
          <t>audyt</t>
        </is>
      </c>
      <c r="D3" s="10" t="inlineStr">
        <is>
          <t>X — Infrastruktura jakości</t>
        </is>
      </c>
      <c r="E3" s="10" t="inlineStr">
        <is>
          <t>—</t>
        </is>
      </c>
      <c r="F3" s="10" t="n">
        <v>6</v>
      </c>
      <c r="G3" s="10" t="n">
        <v>1</v>
      </c>
      <c r="H3" s="10" t="inlineStr">
        <is>
          <t>Faza 0 — Zatrzymać krwawienie</t>
        </is>
      </c>
      <c r="I3" s="10" t="inlineStr">
        <is>
          <t>2026-08-31</t>
        </is>
      </c>
      <c r="J3" s="10" t="inlineStr">
        <is>
          <t>2026-09-04</t>
        </is>
      </c>
      <c r="K3" s="10" t="inlineStr">
        <is>
          <t>DZIAŁA</t>
        </is>
      </c>
      <c r="L3" s="11" t="inlineStr">
        <is>
          <t>ruleset „gałęzie wdrożeniowe — wymagaj zielonego CI" (id 21161479), Active, zakres: gałąź domyślna + live-release-readiness; wymagane 4 checki z ci.yml</t>
        </is>
      </c>
      <c r="M3" s="11" t="inlineStr">
        <is>
          <t>—</t>
        </is>
      </c>
      <c r="N3" s="11" t="inlineStr">
        <is>
          <t>Funkcja dostępna z panelu klienta bez wychodzenia do DirectAdmina; test uruchamiany w CI.</t>
        </is>
      </c>
      <c r="O3" s="11" t="inlineStr">
        <is>
          <t>Wykonane 2026-08-21 w interfejsie GitHuba. Użyty ruleset zamiast klasycznej ochrony gałęzi, bo klasyczny formularz pozwala wybrać wyłącznie checki widziane w ciągu ostatniego tygodnia, a CI nie przebiegło jeszcze ani razu — ruleset przyjmuje check po nazwie. Rozszerzony 2026-08-21 na live-release-readiness — to z niej idą realne wdrożenia, więc ochrona samego main nie pilnowała niczego, co trafia na serwer. Konsekwencja: scalanie na gałąź wdrożeniową przez PR albo fast-forward; lokalny merge commit zostanie zablokowany, bo nie ma własnego przebiegu CI. Obejście: Repository admin (wyjście awaryjne dla jednoosobowego zespołu). Konfiguracja NIE jest w repozytorium — jej jedyny zapis to docs/archiwum/zadania/X-02-status-wymagany-do-merge.md. Poziom dowodu D4.</t>
        </is>
      </c>
      <c r="P3" s="10" t="inlineStr">
        <is>
          <t>do zrobienia</t>
        </is>
      </c>
    </row>
    <row r="4">
      <c r="A4" s="10" t="inlineStr">
        <is>
          <t>X-03</t>
        </is>
      </c>
      <c r="B4" s="11" t="inlineStr">
        <is>
          <t>Testy uruchamiane przed wdrożeniem</t>
        </is>
      </c>
      <c r="C4" s="10" t="inlineStr">
        <is>
          <t>audyt</t>
        </is>
      </c>
      <c r="D4" s="10" t="inlineStr">
        <is>
          <t>X — Infrastruktura jakości</t>
        </is>
      </c>
      <c r="E4" s="10" t="inlineStr">
        <is>
          <t>WYSOKA</t>
        </is>
      </c>
      <c r="F4" s="10" t="n">
        <v>6</v>
      </c>
      <c r="G4" s="10" t="n">
        <v>1</v>
      </c>
      <c r="H4" s="10" t="inlineStr">
        <is>
          <t>Faza 0 — Zatrzymać krwawienie</t>
        </is>
      </c>
      <c r="I4" s="10" t="inlineStr">
        <is>
          <t>2026-08-31</t>
        </is>
      </c>
      <c r="J4" s="10" t="inlineStr">
        <is>
          <t>2026-09-04</t>
        </is>
      </c>
      <c r="K4" s="10" t="inlineStr">
        <is>
          <t>DZIAŁA</t>
        </is>
      </c>
      <c r="L4" s="11" t="inlineStr">
        <is>
          <t>.github/workflows/deploy.yml — job test-gate (typecheck + pnpm --filter api test), build-push ma needs: test-gate; ops/scripts/lib/bramka-recznego-wdrozenia.sh — poza Actions odmowa (kod 2) bez WDROZENIE_RECZNE_POWOD (min. 15 znakow), wpis jednoliniowy w /var/log/verris/wdrozenia-reczne.log + syslog verris-wdrozenie; prod-deploy-ghcr.sh / prod-deploy-release.sh / prod-deploy-rolling.sh wolaja bramke przed pierwszym git/docker; deploy.yml eksportuje VERRIS_WDROZENIE_Z_ACTIONS=1 + GITHUB_RUN_ID; test: apps/api/src/test/wdrozenie-reczne-jawne.spec.ts (zachowanie biblioteki + kolejnosc w skryptach)</t>
        </is>
      </c>
      <c r="M4" s="11" t="inlineStr">
        <is>
          <t>—</t>
        </is>
      </c>
      <c r="N4" s="11" t="inlineStr">
        <is>
          <t>Funkcja dostępna z panelu klienta bez wychodzenia do DirectAdmina; test uruchamiany w CI.</t>
        </is>
      </c>
      <c r="O4" s="11" t="inlineStr">
        <is>
          <t>Ścieżka automatyczna (push → build → deploy) od 2026-08-21 nie przepuszcza czerwonych testów. Ścieżka ręczna ops/scripts/prod-deploy-ghcr.sh nadal nie uruchamia żadnych testów — dlatego CZĘŚCIOWE, nie DZIAŁA. | 2026-09-22: sciezka reczna nie jest juz ukryta — jest jawna decyzja z powodem i sladem. Swiadomie NIE blokujemy jej calkiem: to droga awaryjna (rollback, lezacy GitHub). Reczne ustawienie flagi Actions jest mozliwe, ale jest swiadomym klamstwem w poleceniu, nie przeoczeniem. Przy okazji X-13: domyslna galaz w release/rolling zmieniona z porzuconej live-release-readiness na main. D2 2026-09-22: wdrozenie-reczne-jawne.spec.ts zielony lokalnie i w CI #182. Dokumentacja: docs/archiwum/zadania/X-03-testy-uruchamiane-przed-wdrozeniem.md (sekcja 2026-09-22)</t>
        </is>
      </c>
      <c r="P4" s="10" t="inlineStr">
        <is>
          <t>do zrobienia</t>
        </is>
      </c>
    </row>
    <row r="5">
      <c r="A5" s="10" t="inlineStr">
        <is>
          <t>Z-02</t>
        </is>
      </c>
      <c r="B5" s="11" t="inlineStr">
        <is>
          <t>Blokada zamówienia usługi bez opłaty przez klienta</t>
        </is>
      </c>
      <c r="C5" s="10" t="inlineStr">
        <is>
          <t>audyt</t>
        </is>
      </c>
      <c r="D5" s="10" t="inlineStr">
        <is>
          <t>M — Rozliczenia</t>
        </is>
      </c>
      <c r="E5" s="10" t="inlineStr">
        <is>
          <t>—</t>
        </is>
      </c>
      <c r="F5" s="10" t="n">
        <v>6</v>
      </c>
      <c r="G5" s="10" t="n">
        <v>1</v>
      </c>
      <c r="H5" s="10" t="inlineStr">
        <is>
          <t>Faza 0 — Zatrzymać krwawienie</t>
        </is>
      </c>
      <c r="I5" s="10" t="inlineStr">
        <is>
          <t>2026-08-31</t>
        </is>
      </c>
      <c r="J5" s="10" t="inlineStr">
        <is>
          <t>2026-09-04</t>
        </is>
      </c>
      <c r="K5" s="10" t="inlineStr">
        <is>
          <t>DZIAŁA</t>
        </is>
      </c>
      <c r="L5" s="11" t="inlineStr">
        <is>
          <t>dto/subscription.dto.ts — @IsIn(CLIENT_PAYMENT_SOURCES); subscriptions.service.ts — ForbiddenException dla MANUAL bez allowManual; test subscriptions.create-guard.spec.ts</t>
        </is>
      </c>
      <c r="M5" s="11" t="inlineStr">
        <is>
          <t>—</t>
        </is>
      </c>
      <c r="N5" s="11" t="inlineStr">
        <is>
          <t>Funkcja dostępna z panelu klienta bez wychodzenia do DirectAdmina; test uruchamiany w CI.</t>
        </is>
      </c>
      <c r="O5" s="11" t="inlineStr">
        <is>
          <t>Zamknięte 2026-08-21 (commit fcf58db). Dwie warstwy: walidacja DTO i twardy warunek w serwisie. Osiem przypadków testowych, sprawdzone też w drugą stronę — na starym kodzie test świeci na czerwono. Dodatkowo @RateLimit 10/h na POST /subscriptions. D2 potwierdzone w CI #18 (2026-08-21): 194 testy zielone, w tym 8 przypadków tego zadania. Dokumentacja: docs/archiwum/zadania/Z-02-blokada-zamowienia-uslugi-bez-oplaty.md</t>
        </is>
      </c>
      <c r="P5" s="10" t="inlineStr">
        <is>
          <t>do zrobienia</t>
        </is>
      </c>
    </row>
    <row r="6">
      <c r="A6" s="10" t="inlineStr">
        <is>
          <t>X-11</t>
        </is>
      </c>
      <c r="B6" s="11" t="inlineStr">
        <is>
          <t>Testy API w osobnym jobie CI, nie za typecheckiem</t>
        </is>
      </c>
      <c r="C6" s="10" t="inlineStr">
        <is>
          <t>audyt</t>
        </is>
      </c>
      <c r="D6" s="10" t="inlineStr">
        <is>
          <t>X — Infrastruktura jakości</t>
        </is>
      </c>
      <c r="E6" s="10" t="inlineStr">
        <is>
          <t>—</t>
        </is>
      </c>
      <c r="F6" s="10" t="n">
        <v>6</v>
      </c>
      <c r="G6" s="10" t="n">
        <v>1</v>
      </c>
      <c r="H6" s="10" t="inlineStr">
        <is>
          <t>Faza 0 — Zatrzymać krwawienie</t>
        </is>
      </c>
      <c r="I6" s="10" t="inlineStr">
        <is>
          <t>2026-08-31</t>
        </is>
      </c>
      <c r="J6" s="10" t="inlineStr">
        <is>
          <t>2026-09-04</t>
        </is>
      </c>
      <c r="K6" s="10" t="inlineStr">
        <is>
          <t>DZIAŁA</t>
        </is>
      </c>
      <c r="L6" s="11" t="inlineStr">
        <is>
          <t>.github/workflows/ci.yml — osobny job api-tests o nazwie „API unit tests"</t>
        </is>
      </c>
      <c r="M6" s="11" t="inlineStr">
        <is>
          <t>—</t>
        </is>
      </c>
      <c r="N6" s="11" t="inlineStr">
        <is>
          <t>Funkcja dostępna z panelu klienta bez wychodzenia do DirectAdmina; test uruchamiany w CI.</t>
        </is>
      </c>
      <c r="O6" s="11" t="inlineStr">
        <is>
          <t>Zamknięte 2026-08-21. Zasada: krok, który DOWODZI, nie może stać za krokiem, który tylko sprawdza higienę. Przy przebiegu #17 typecheck wywalił się na apps/www — panelu niezwiązanym z tamtą pracą — i 194 testy nie uruchomiły się ani razu. Koszt rozdzielenia: jeden dodatkowy pnpm install, joby i tak biegną równolegle. deploy.yml celowo zostaje z testami w jednym jobie z typecheckiem, bo zadaniem bramki jest zablokować wdrożenie, a nie dostarczyć dowód. Check „API unit tests" dopisany do rulesetu z X-02 tego samego dnia — bez tego rozdzielenie jobów otwierałoby dziurę: testy widoczne, ale niewymagane do scalenia. Dokumentacja: docs/archiwum/zadania/X-11-testy-api-w-osobnym-jobie.md | KOREKTA 2026-08-22: podział jobów zabrał testom budowanie bibliotek, które wcześniej działo się przy okazji przez pnpm typecheck (Turbo, dependsOn ^build). Job „API unit tests” był przez to CZERWONY od tego commita aż do X-17, mimo że zgłosiłem pozycję jako zamkniętą na podstawie zielonych testów lokalnych. Sam przebieg CI sprawdziłem dopiero przy #56. Wniosek zapisany w X-17: pozycja dotycząca CI nie może być zamknięta bez obejrzenia przebiegu, którego dotyczy.</t>
        </is>
      </c>
      <c r="P6" s="10" t="inlineStr">
        <is>
          <t>do zrobienia</t>
        </is>
      </c>
    </row>
    <row r="7">
      <c r="A7" s="10" t="inlineStr">
        <is>
          <t>X-12</t>
        </is>
      </c>
      <c r="B7" s="11" t="inlineStr">
        <is>
          <t>Skrypty węzła serwowane przez API obecne w obrazie produkcyjnym</t>
        </is>
      </c>
      <c r="C7" s="10" t="inlineStr">
        <is>
          <t>audyt</t>
        </is>
      </c>
      <c r="D7" s="10" t="inlineStr">
        <is>
          <t>X — Infrastruktura jakości</t>
        </is>
      </c>
      <c r="E7" s="10" t="inlineStr">
        <is>
          <t>—</t>
        </is>
      </c>
      <c r="F7" s="10" t="n">
        <v>6</v>
      </c>
      <c r="G7" s="10" t="n">
        <v>1</v>
      </c>
      <c r="H7" s="10" t="inlineStr">
        <is>
          <t>Faza 0 — Zatrzymać krwawienie</t>
        </is>
      </c>
      <c r="I7" s="10" t="inlineStr">
        <is>
          <t>2026-08-31</t>
        </is>
      </c>
      <c r="J7" s="10" t="inlineStr">
        <is>
          <t>2026-09-04</t>
        </is>
      </c>
      <c r="K7" s="10" t="inlineStr">
        <is>
          <t>DZIAŁA</t>
        </is>
      </c>
      <c r="L7" s="11" t="inlineStr">
        <is>
          <t>Dockerfile.api — COPY dla 10 skryptów; apps/api/src/test/dockerfile-scripts.spec.ts; D3: 2026-08-21 21:57 — `docker exec &lt;api&gt; ls -la ops/scripts/` na control-plane pokazuje 10 plików, w tym node-php-apply.sh, node-app-install.sh i node-account-restore.sh; D3 na węźle: 2026-09-28 — t1.verris.pl (AlmaLinux/CloudLinux 10, DA 1.710): /agent/tasks/{php-apply,app-install,offsite-restore}/script → 3× 200 z tożsamością węzła (X-Server-Id/X-Server-Token)</t>
        </is>
      </c>
      <c r="M7" s="11" t="inlineStr">
        <is>
          <t>—</t>
        </is>
      </c>
      <c r="N7" s="11" t="inlineStr">
        <is>
          <t>Funkcja dostępna z panelu klienta bez wychodzenia do DirectAdmina; test uruchamiany w CI.</t>
        </is>
      </c>
      <c r="O7" s="11" t="inlineStr">
        <is>
          <t>Nowa klasa błędu, której audyt nie widział: „skrypt jest w repozytorium, ale nie ma go w obrazie". Lokalnie wszystko działa, bo monorepo leży obok; w kontenerze jest tylko to, co wymienia Dockerfile. Brakowały trzy: node-account-restore.sh, node-app-install.sh, node-php-apply.sh. Skutek: trzy rodzaje zadań agenta nie wykonywały się na produkcji, przy zielonych testach i zielonym buildzie. Test statyczny wyciąga ścieżki z loaderów i porównuje z COPY — kosztuje milisekundy, zamyka całą klasę. | D3 OSIĄGNIĘTE 2026-08-21 21:57 po wdrożeniu #62: wszystkie dziesięć skryptów obecne w obrazie na serwerze. To pierwsza pozycja w tym audycie z dowodem poziomu D3.</t>
        </is>
      </c>
      <c r="P7" s="10" t="inlineStr">
        <is>
          <t>do zrobienia</t>
        </is>
      </c>
    </row>
    <row r="8">
      <c r="A8" s="10" t="inlineStr">
        <is>
          <t>X-13</t>
        </is>
      </c>
      <c r="B8" s="11" t="inlineStr">
        <is>
          <t>Jedna gałąź wdrożeniowa — main</t>
        </is>
      </c>
      <c r="C8" s="10" t="inlineStr">
        <is>
          <t>audyt</t>
        </is>
      </c>
      <c r="D8" s="10" t="inlineStr">
        <is>
          <t>X — Infrastruktura jakości</t>
        </is>
      </c>
      <c r="E8" s="10" t="inlineStr">
        <is>
          <t>—</t>
        </is>
      </c>
      <c r="F8" s="10" t="n">
        <v>6</v>
      </c>
      <c r="G8" s="10" t="n">
        <v>1</v>
      </c>
      <c r="H8" s="10" t="inlineStr">
        <is>
          <t>Faza 0 — Zatrzymać krwawienie</t>
        </is>
      </c>
      <c r="I8" s="10" t="inlineStr">
        <is>
          <t>2026-08-31</t>
        </is>
      </c>
      <c r="J8" s="10" t="inlineStr">
        <is>
          <t>2026-09-04</t>
        </is>
      </c>
      <c r="K8" s="10" t="inlineStr">
        <is>
          <t>DZIAŁA</t>
        </is>
      </c>
      <c r="L8" s="11" t="inlineStr">
        <is>
          <t>.github/workflows/deploy.yml — on.push.branches: [main]</t>
        </is>
      </c>
      <c r="M8" s="11" t="inlineStr">
        <is>
          <t>—</t>
        </is>
      </c>
      <c r="N8" s="11" t="inlineStr">
        <is>
          <t>Funkcja dostępna z panelu klienta bez wychodzenia do DirectAdmina; test uruchamiany w CI.</t>
        </is>
      </c>
      <c r="O8" s="11" t="inlineStr">
        <is>
          <t>Do 2026-08-21 wdrożenie wyzwalały trzy gałęzie: main, master i live-release-readiness. Realne wdrożenia szły z live-release-readiness, master w repozytorium nie istniał, a main stał od czerwca. Trzy wyzwalacze to trzy odpowiedzi na pytanie „co jest na produkcji" — czyli brak odpowiedzi. Decyzja PM-a: zostaje sam main, chroniony rulesetem z X-02 i bramką testową z X-03. Konsekwencja: live-release-readiness przestaje być gałęzią wdrożeniową i zostaje jako zapis historii do czasu wycofania.</t>
        </is>
      </c>
      <c r="P8" s="10" t="inlineStr">
        <is>
          <t>do zrobienia</t>
        </is>
      </c>
    </row>
    <row r="9">
      <c r="A9" s="10" t="inlineStr">
        <is>
          <t>X-14</t>
        </is>
      </c>
      <c r="B9" s="11" t="inlineStr">
        <is>
          <t>CI sprawdza DANE po migracji, nie tylko czy migracja się wykonała</t>
        </is>
      </c>
      <c r="C9" s="10" t="inlineStr">
        <is>
          <t>audyt</t>
        </is>
      </c>
      <c r="D9" s="10" t="inlineStr">
        <is>
          <t>X — Infrastruktura jakości</t>
        </is>
      </c>
      <c r="E9" s="10" t="inlineStr">
        <is>
          <t>—</t>
        </is>
      </c>
      <c r="F9" s="10" t="n">
        <v>6</v>
      </c>
      <c r="G9" s="10" t="n">
        <v>1</v>
      </c>
      <c r="H9" s="10" t="inlineStr">
        <is>
          <t>Faza 0 — Zatrzymać krwawienie</t>
        </is>
      </c>
      <c r="I9" s="10" t="inlineStr">
        <is>
          <t>2026-08-31</t>
        </is>
      </c>
      <c r="J9" s="10" t="inlineStr">
        <is>
          <t>2026-09-04</t>
        </is>
      </c>
      <c r="K9" s="10" t="inlineStr">
        <is>
          <t>DZIAŁA</t>
        </is>
      </c>
      <c r="L9" s="11" t="inlineStr">
        <is>
          <t>.github/workflows/ci.yml — job migrations: kroki „Seed reference data” i „Verify migrated data (Z-12, Z-13, Z-16)”; ops/sql/sprawdz-baze-po-migracji.sql — 5 bloków asercji kończących się RAISE EXCEPTION</t>
        </is>
      </c>
      <c r="M9" s="11" t="inlineStr">
        <is>
          <t>—</t>
        </is>
      </c>
      <c r="N9" s="11" t="inlineStr">
        <is>
          <t>Funkcja dostępna z panelu klienta bez wychodzenia do DirectAdmina; test uruchamiany w CI.</t>
        </is>
      </c>
      <c r="O9" s="11" t="inlineStr">
        <is>
          <t>Zamknięte 2026-08-22. Job migrations sprawdzał wyłącznie, czy migracje dają się zastosować i czy schemat nie ma dryfu. Nie sprawdzał, czy DANE, które migracje wstawiają, tam są i mają właściwe wartości — a Z-12 i Z-13 to migracje danych, których poprawność testy jednostkowe potwierdzały wyłącznie przez czytanie SQL-a jako TEKSTU. | Teraz CI odpytuje bazę: czy plan verris-hosting istnieje z ceną 45,00 brutto i limitami 200/8192/51200, czy publiczny pakiet hostingowy jest dokładnie jeden, czy prototypy są wycofane ale nie zdezaktywowane, czy kolumny overcommit mają NEUTRALNĄ domyślną 1, czy księga pojemności zgadza się z sumą limitów kont żywych. | Sprawdzone na prawdziwym Postgresie 16 ze wszystkimi 100 migracjami: komplet przechodzi, a podmiana ceny na 49,00 i podniesienie domyślnej nadsubskrypcji do 4 wywalają job z kodem 3. | ODKRYTE PRZY TESTOWANIU: na bazie z samych migracji plany prototypowe w ogóle nie istnieją (tworzy je seed), więc asercja o ich wycofaniu przechodziła TRYWIALNIE — w logu CI wygląda to identycznie jak prawdziwe „wszystko w porządku”. Stąd krok seeda przed asercjami plus jawny warunek: zero znalezionych prototypów to błąd, nie sukces. Przy okazji CI po raz pierwszy weryfikuje, że seed w ogóle wykonuje się na świeżej bazie. | Dokumentacja: docs/archiwum/zadania/X-14-asercje-danych-po-migracji.md</t>
        </is>
      </c>
      <c r="P9" s="10" t="inlineStr">
        <is>
          <t>do zrobienia</t>
        </is>
      </c>
    </row>
    <row r="10">
      <c r="A10" s="10" t="inlineStr">
        <is>
          <t>X-15</t>
        </is>
      </c>
      <c r="B10" s="11" t="inlineStr">
        <is>
          <t>Niezmiennik księgi pojemności sprawdzany liczbowo, nie tekstowo</t>
        </is>
      </c>
      <c r="C10" s="10" t="inlineStr">
        <is>
          <t>audyt</t>
        </is>
      </c>
      <c r="D10" s="10" t="inlineStr">
        <is>
          <t>X — Infrastruktura jakości</t>
        </is>
      </c>
      <c r="E10" s="10" t="inlineStr">
        <is>
          <t>—</t>
        </is>
      </c>
      <c r="F10" s="10" t="n">
        <v>6</v>
      </c>
      <c r="G10" s="10" t="n">
        <v>1</v>
      </c>
      <c r="H10" s="10" t="inlineStr">
        <is>
          <t>Faza 0 — Zatrzymać krwawienie</t>
        </is>
      </c>
      <c r="I10" s="10" t="inlineStr">
        <is>
          <t>2026-08-31</t>
        </is>
      </c>
      <c r="J10" s="10" t="inlineStr">
        <is>
          <t>2026-09-04</t>
        </is>
      </c>
      <c r="K10" s="10" t="inlineStr">
        <is>
          <t>DZIAŁA</t>
        </is>
      </c>
      <c r="L10" s="11" t="inlineStr">
        <is>
          <t>apps/api/src/subscriptions/ksiega-niezmiennik.spec.ts — 15 testów: losowe ciągi operacji (założenie konta, skalowanie w górę i w dół, zmiana planu, usunięcie) z porównaniem księgi z prawdą po KAŻDYM kroku; node-capacity.ts — deltaKsiegi/limityEfektywne/ksiegaUpdateData jako jedyna arytmetyka księgi w projekcie</t>
        </is>
      </c>
      <c r="M10" s="11" t="inlineStr">
        <is>
          <t>—</t>
        </is>
      </c>
      <c r="N10" s="11" t="inlineStr">
        <is>
          <t>Funkcja dostępna z panelu klienta bez wychodzenia do DirectAdmina; test uruchamiany w CI.</t>
        </is>
      </c>
      <c r="O10" s="11" t="inlineStr">
        <is>
          <t>Zamknięte 2026-08-22. Strażniki z Z-16 były statyczne — czytały tekst źródłowy. Złapią usunięcie linii (i złapały, gdy arytmetyka poszła do wspólnych funkcji), ale nie złapią błędu w ZNAKU delty ani pomylonych argumentów: deltaKsiegi(po, przed) zamiast deltaKsiegi(przed, po) przechodzi każdy test tekstowy i rozjeżdża księgę przy pierwszej operacji. | Test sprawdza jedyną rzecz, która musi być prawdziwa: allocated* równa się sumie limitów efektywnych kont żywych po dowolnym ciągu operacji. Deterministyczny generator, sześć ziaren, sprawdzenie po każdym kroku — żeby dwa błędy nie zniosły się nawzajem. | Uczciwość testu polega na tym, że symulator używa DOKŁADNIE tych samych funkcji co produkcja; gdyby liczył po swojemu, sprawdzałby siebie. Warunkiem było wyciągnięcie arytmetyki z czterech serwisów do node-capacity.ts — przy okazji piąty rozjazd nie ma już gdzie powstać. | Zweryfikowane: odwrócenie znaku w JEDNYM zasobie czerwieni 10 z 15 testów niezmiennika. Test statyczny tego nie widzi. | Czego to nie sprawdza: czy serwisy wołają te funkcje w odpowiednim momencie i z odpowiednimi argumentami — to jest rola X-04. Tu weryfikowana jest arytmetyka, tam okablowanie.</t>
        </is>
      </c>
      <c r="P10" s="10" t="inlineStr">
        <is>
          <t>do zrobienia</t>
        </is>
      </c>
    </row>
    <row r="11">
      <c r="A11" s="10" t="inlineStr">
        <is>
          <t>X-17</t>
        </is>
      </c>
      <c r="B11" s="11" t="inlineStr">
        <is>
          <t>Joby CI budują zależności workspace'u zanim uruchomią testy</t>
        </is>
      </c>
      <c r="C11" s="10" t="inlineStr">
        <is>
          <t>audyt</t>
        </is>
      </c>
      <c r="D11" s="10" t="inlineStr">
        <is>
          <t>X — Infrastruktura jakości</t>
        </is>
      </c>
      <c r="E11" s="10" t="inlineStr">
        <is>
          <t>—</t>
        </is>
      </c>
      <c r="F11" s="10" t="n">
        <v>6</v>
      </c>
      <c r="G11" s="10" t="n">
        <v>1</v>
      </c>
      <c r="H11" s="10" t="inlineStr">
        <is>
          <t>Faza 0 — Zatrzymać krwawienie</t>
        </is>
      </c>
      <c r="I11" s="10" t="inlineStr">
        <is>
          <t>2026-08-31</t>
        </is>
      </c>
      <c r="J11" s="10" t="inlineStr">
        <is>
          <t>2026-09-04</t>
        </is>
      </c>
      <c r="K11" s="10" t="inlineStr">
        <is>
          <t>DZIAŁA</t>
        </is>
      </c>
      <c r="L11" s="11" t="inlineStr">
        <is>
          <t>.github/workflows/ci.yml — krok „Build workspace libraries” w jobie api-tests, „Generate Prisma client” w jobie migrations; turbo.json — zadanie test dostaje dependsOn ^build; apps/api/src/test/ci-joby.spec.ts — 6 testów strażnika</t>
        </is>
      </c>
      <c r="M11" s="11" t="inlineStr">
        <is>
          <t>—</t>
        </is>
      </c>
      <c r="N11" s="11" t="inlineStr">
        <is>
          <t>Funkcja dostępna z panelu klienta bez wychodzenia do DirectAdmina; test uruchamiany w CI.</t>
        </is>
      </c>
      <c r="O11" s="11" t="inlineStr">
        <is>
          <t>Zamknięte 2026-08-22 po przejrzeniu przebiegu CI #56. To jest MÓJ błąd i dokładnie ten wzorzec, który X-11 miał naprawiać. | @verris/database ma main: dist/index.js. Bez zbudowanego dist/ jest nie rozwiąże modułu i 32 z 48 zestawów NIE STARTUJĄ — nie failują, tylko się nie uruchamiają. W logu wygląda to jak awaria testów, a jest awarią konfiguracji. | Przed X-11 testy biegły wewnątrz joba static-checks, którego krok pnpm typecheck idzie przez Turbo, a typecheck ma dependsOn ^build. Biblioteki budowały się PRZY OKAZJI — nikt tego nie zaprojektował, więc nikt nie zauważył, gdy zniknęło. X-11 wydzieliło testy do własnego joba, który nie budował niczego; pnpm --filter api test omija Turbo, a zadanie test nie miało dependsOn. | Job był czerwony przez trzy wdrożenia (CI #54, #55, #56) przy 415 zielonych testach na maszynie, gdzie dist/ leżało zbudowane z dawnych uruchomień. Zgłosiłem X-11 jako zamknięte, nie sprawdziwszy przebiegu CI — „zielono lokalnie” potraktowałem jako dowód, a to jest dokładnie ten skrót, przed którym skala dowodowa tego audytu ma chronić. | Drugi błąd, świeższy: krok „Seed reference data” dodany do joba migrations w commicie d381a64 wołał seed importujący @verris/database, a ten job nigdy nie generował klienta. Job przeszedł z zielonego na czerwony. | Poprawka na trzech poziomach: jawne kroki w obu jobach, dependsOn ^build w turbo.json (żeby pnpm test był poprawny też lokalnie i w każdym przyszłym jobie) oraz strażnik, który przemiata ci.yml i zapala się, gdy job uruchamia testy bez zbudowania bibliotek. | Strażnik w pierwszej wersji dał FAŁSZYWY ALARM — wzorzec \bjest\b trafiał w polskie słowo „jest” w moich własnych komentarzach. Zawężony do faktycznych wywołań komend, komentarze odfiltrowane przed dopasowaniem. Narzędzie, którego jedynym zadaniem jest nie kłamać, samo skłamało za pierwszym razem. | Dokumentacja: docs/archiwum/zadania/X-17-joby-ci-buduja-zaleznosci.md | D2 OSIĄGNIĘTE 2026-08-22: przebieg CI #57 zielony w komplecie — sześć jobów, w tym „API integration tests" z Postgresem 16.</t>
        </is>
      </c>
      <c r="P11" s="10" t="inlineStr">
        <is>
          <t>do zrobienia</t>
        </is>
      </c>
    </row>
    <row r="12">
      <c r="A12" s="10" t="inlineStr">
        <is>
          <t>PB-01</t>
        </is>
      </c>
      <c r="B12" s="11" t="inlineStr">
        <is>
          <t>Unit economics węzła vs cena 45 zł/mies. brutto (399 zł/rok)</t>
        </is>
      </c>
      <c r="C12" s="10" t="inlineStr">
        <is>
          <t>poza audytem</t>
        </is>
      </c>
      <c r="D12" s="10" t="inlineStr">
        <is>
          <t>Praca spoza audytu</t>
        </is>
      </c>
      <c r="E12" s="10" t="inlineStr">
        <is>
          <t>BLOKER BIZNESOWY</t>
        </is>
      </c>
      <c r="F12" s="10" t="n">
        <v>8</v>
      </c>
      <c r="G12" s="10" t="n">
        <v>1</v>
      </c>
      <c r="H12" s="10" t="inlineStr">
        <is>
          <t>Faza 0 — Zatrzymać krwawienie</t>
        </is>
      </c>
      <c r="I12" s="10" t="inlineStr">
        <is>
          <t>2026-08-31</t>
        </is>
      </c>
      <c r="J12" s="10" t="inlineStr">
        <is>
          <t>2026-09-04</t>
        </is>
      </c>
      <c r="K12" s="10" t="inlineStr">
        <is>
          <t>—</t>
        </is>
      </c>
      <c r="L12" s="11" t="inlineStr">
        <is>
          <t>—</t>
        </is>
      </c>
      <c r="M12" s="11" t="inlineStr">
        <is>
          <t>—</t>
        </is>
      </c>
      <c r="N12" s="11" t="inlineStr">
        <is>
          <t>Arkusz z kosztem miesięcznym węzła, liczbą kont na węzeł, marżą jednostkową i progiem rentowności. Decyzja: cena zostaje albo się zmienia — zapisana w repo.</t>
        </is>
      </c>
      <c r="O12" s="11" t="inlineStr">
        <is>
          <t>Policzyć pełny koszt węzła: serwer + CloudLinux + LiteSpeed + DirectAdmin + Imunify + backup S3 + amortyzacja wsparcia. Wyliczyć próg rentowności w kontach na węzeł i marżę przy 45 zł brutto (36,59 zł netto).</t>
        </is>
      </c>
      <c r="P12" s="10" t="inlineStr">
        <is>
          <t>do zrobienia</t>
        </is>
      </c>
    </row>
    <row r="13">
      <c r="A13" s="10" t="inlineStr">
        <is>
          <t>Z-04</t>
        </is>
      </c>
      <c r="B13" s="11" t="inlineStr">
        <is>
          <t>Guard uprawnień subkont — domyślna odmowa</t>
        </is>
      </c>
      <c r="C13" s="10" t="inlineStr">
        <is>
          <t>audyt</t>
        </is>
      </c>
      <c r="D13" s="10" t="inlineStr">
        <is>
          <t>O — Multi-user i reseller</t>
        </is>
      </c>
      <c r="E13" s="10" t="inlineStr">
        <is>
          <t>—</t>
        </is>
      </c>
      <c r="F13" s="10" t="n">
        <v>6</v>
      </c>
      <c r="G13" s="10" t="n">
        <v>2</v>
      </c>
      <c r="H13" s="10" t="inlineStr">
        <is>
          <t>Faza 0 — Zatrzymać krwawienie</t>
        </is>
      </c>
      <c r="I13" s="10" t="inlineStr">
        <is>
          <t>2026-09-07</t>
        </is>
      </c>
      <c r="J13" s="10" t="inlineStr">
        <is>
          <t>2026-09-11</t>
        </is>
      </c>
      <c r="K13" s="10" t="inlineStr">
        <is>
          <t>DZIAŁA</t>
        </is>
      </c>
      <c r="L13" s="11" t="inlineStr">
        <is>
          <t>customer-permissions.guard.ts — typ WymogTrasy, REGULY_TRAS, domyślne 'ODMOWA'; customer-permissions-coverage.spec.ts — 55 tras zamkniętych, lista jawna</t>
        </is>
      </c>
      <c r="M13" s="11" t="inlineStr">
        <is>
          <t>—</t>
        </is>
      </c>
      <c r="N13" s="11" t="inlineStr">
        <is>
          <t>Funkcja dostępna z panelu klienta bez wychodzenia do DirectAdmina; test uruchamiany w CI.</t>
        </is>
      </c>
      <c r="O13" s="11" t="inlineStr">
        <is>
          <t>Zamknięte 2026-08-21. Przemiatanie tras pokazało większą skalę niż pierwotny opis: 148 z 347 tras dostępnych dla konta klienckiego nie wymagało żadnego uprawnienia, w tym POST /me/account-deletion (usunięcie konta właściciela), POST /partners/me/payouts/bank (wypłata prowizji na konto bankowe) i POST /users/iam/invites. Domyślna odpowiedź odwrócona na odmowę; rzeczy właściciela zamknięte twardo, niezależnie od nadanych uprawnień. Testy na zachowaniu strażnika, nie na metadanych — 15 z 28 czerwieniło się na starej wersji. Dokumentacja: docs/archiwum/zadania/Z-04-guard-uprawnien-subkont.md</t>
        </is>
      </c>
      <c r="P13" s="10" t="inlineStr">
        <is>
          <t>do zrobienia</t>
        </is>
      </c>
    </row>
    <row r="14">
      <c r="A14" s="10" t="inlineStr">
        <is>
          <t>Z-03</t>
        </is>
      </c>
      <c r="B14" s="11" t="inlineStr">
        <is>
          <t>Walidacja danych migracji przed użyciem w poleceniu powłoki</t>
        </is>
      </c>
      <c r="C14" s="10" t="inlineStr">
        <is>
          <t>audyt</t>
        </is>
      </c>
      <c r="D14" s="10" t="inlineStr">
        <is>
          <t>G — SSL i bezpieczeństwo</t>
        </is>
      </c>
      <c r="E14" s="10" t="inlineStr">
        <is>
          <t>—</t>
        </is>
      </c>
      <c r="F14" s="10" t="n">
        <v>16</v>
      </c>
      <c r="G14" s="10" t="n">
        <v>2</v>
      </c>
      <c r="H14" s="10" t="inlineStr">
        <is>
          <t>Faza 0 — Zatrzymać krwawienie</t>
        </is>
      </c>
      <c r="I14" s="10" t="inlineStr">
        <is>
          <t>2026-09-07</t>
        </is>
      </c>
      <c r="J14" s="10" t="inlineStr">
        <is>
          <t>2026-09-11</t>
        </is>
      </c>
      <c r="K14" s="10" t="inlineStr">
        <is>
          <t>DZIAŁA</t>
        </is>
      </c>
      <c r="L14" s="11" t="inlineStr">
        <is>
          <t>dto/migration.dto.ts — MIGRACJA_WZORCE + @Matches na 17 polach; ops/scripts/lib/migration-input-guard.sh — vg_require; node-migration-worker.sh — fail-closed source + zero eval; D3 na węźle: 2026-09-28 — t1.verris.pl: bez /usr/local/sbin/verris-migration-guard.sh `verris-migration-worker once` → rc=78, żadne zlecenie nie pobrane; plik przywrócony</t>
        </is>
      </c>
      <c r="M14" s="11" t="inlineStr">
        <is>
          <t>—</t>
        </is>
      </c>
      <c r="N14" s="11" t="inlineStr">
        <is>
          <t>Funkcja dostępna z panelu klienta bez wychodzenia do DirectAdmina; test uruchamiany w CI.</t>
        </is>
      </c>
      <c r="O14" s="11" t="inlineStr">
        <is>
          <t>Zamknięte 2026-08-21. Trzy wektory: eval z nazwą bazy, łańcuch poleceń lftp ze ścieżką zdalną, eval przy imporcie — wszystkie usunięte, plus allowlista znaków na obu warstwach (DTO i węzeł). Worker startuje fail-closed bez biblioteki walidacji (kod 78), sprawdzone zachowaniem w teście. 70 przypadków testowych, 48 czerwieniło się na starym kodzie. D3 wymagane po wdrożeniu, bo pozycja dotyczy dostępu. Dokumentacja: docs/archiwum/zadania/Z-03-walidacja-danych-migracji.md</t>
        </is>
      </c>
      <c r="P14" s="10" t="inlineStr">
        <is>
          <t>do zrobienia</t>
        </is>
      </c>
    </row>
    <row r="15">
      <c r="A15" s="10" t="inlineStr">
        <is>
          <t>Z-06</t>
        </is>
      </c>
      <c r="B15" s="11" t="inlineStr">
        <is>
          <t>Klucz idempotencji obciążenia za dodatek</t>
        </is>
      </c>
      <c r="C15" s="10" t="inlineStr">
        <is>
          <t>audyt</t>
        </is>
      </c>
      <c r="D15" s="10" t="inlineStr">
        <is>
          <t>M — Rozliczenia</t>
        </is>
      </c>
      <c r="E15" s="10" t="inlineStr">
        <is>
          <t>—</t>
        </is>
      </c>
      <c r="F15" s="10" t="n">
        <v>6</v>
      </c>
      <c r="G15" s="10" t="n">
        <v>2</v>
      </c>
      <c r="H15" s="10" t="inlineStr">
        <is>
          <t>Faza 0 — Zatrzymać krwawienie</t>
        </is>
      </c>
      <c r="I15" s="10" t="inlineStr">
        <is>
          <t>2026-09-07</t>
        </is>
      </c>
      <c r="J15" s="10" t="inlineStr">
        <is>
          <t>2026-09-11</t>
        </is>
      </c>
      <c r="K15" s="10" t="inlineStr">
        <is>
          <t>DZIAŁA</t>
        </is>
      </c>
      <c r="L15" s="11" t="inlineStr">
        <is>
          <t>addon.service.ts — kluczIdempotencji + sprawdzenie duplikatu przed obciążeniem + obsługa P2002; schema.prisma — PurchasedAddon.idempotencyKey @unique; migracja 20260821220000_addon_idempotency</t>
        </is>
      </c>
      <c r="M15" s="11" t="inlineStr">
        <is>
          <t>—</t>
        </is>
      </c>
      <c r="N15" s="11" t="inlineStr">
        <is>
          <t>Funkcja dostępna z panelu klienta bez wychodzenia do DirectAdmina; test uruchamiany w CI.</t>
        </is>
      </c>
      <c r="O15" s="11" t="inlineStr">
        <is>
          <t>Zamknięte 2026-08-21. Mechanizm idempotencji w księdze portfela był poprawny — nie miał czego porównywać, bo Date.now() w kluczu dawał inny klucz przy każdym kliknięciu. Poprawka na dwóch drogach: klucz od klienta (panel, useRef, jeden na decyzję zakupu) i okno czasu jako zapas. Sprawdzenie duplikatu idzie PRZED obciążeniem, więc nie powtarzają się też skutki uboczne — bez tego klient dostawałby dziesięć zgłoszeń do BOK-u przy jednym obciążeniu. Wyścig domyka unikalny indeks w bazie. 20 testów, 10 czerwieniło się na starym kodzie. D3 wymagane po wdrożeniu, bo pozycja dotyczy pieniędzy. Dokumentacja: docs/archiwum/zadania/Z-06-klucz-idempotencji-dodatku.md</t>
        </is>
      </c>
      <c r="P15" s="10" t="inlineStr">
        <is>
          <t>do zrobienia</t>
        </is>
      </c>
    </row>
    <row r="16">
      <c r="A16" s="10" t="inlineStr">
        <is>
          <t>X-18</t>
        </is>
      </c>
      <c r="B16" s="11" t="inlineStr">
        <is>
          <t>Zależności podniesione do najnowszych bezpiecznych wersji</t>
        </is>
      </c>
      <c r="C16" s="10" t="inlineStr">
        <is>
          <t>audyt</t>
        </is>
      </c>
      <c r="D16" s="10" t="inlineStr">
        <is>
          <t>X — Infrastruktura jakości</t>
        </is>
      </c>
      <c r="E16" s="10" t="inlineStr">
        <is>
          <t>—</t>
        </is>
      </c>
      <c r="F16" s="10" t="n">
        <v>16</v>
      </c>
      <c r="G16" s="10" t="n">
        <v>2</v>
      </c>
      <c r="H16" s="10" t="inlineStr">
        <is>
          <t>Faza 0 — Zatrzymać krwawienie</t>
        </is>
      </c>
      <c r="I16" s="10" t="inlineStr">
        <is>
          <t>2026-09-07</t>
        </is>
      </c>
      <c r="J16" s="10" t="inlineStr">
        <is>
          <t>2026-09-11</t>
        </is>
      </c>
      <c r="K16" s="10" t="inlineStr">
        <is>
          <t>DZIAŁA</t>
        </is>
      </c>
      <c r="L16" s="11" t="inlineStr">
        <is>
          <t>package.json — 16 pnpm.overrides na zależności przechodnie; apps/www next 15.4.4 → 16.3.2; wszystkie panele next 16.3.2; NestJS 11.2.1; React 19.2.8; Payload 3.88.0; recharts 3; @types/node 26; ioredis 6; bullmq 6; graphql 17; sharp 0.35.3; libs/typescript-config/nestjs.json target ES2022 + lib ES2023</t>
        </is>
      </c>
      <c r="M16" s="11" t="inlineStr">
        <is>
          <t>—</t>
        </is>
      </c>
      <c r="N16" s="11" t="inlineStr">
        <is>
          <t>Funkcja dostępna z panelu klienta bez wychodzenia do DirectAdmina; test uruchamiany w CI.</t>
        </is>
      </c>
      <c r="O16" s="11" t="inlineStr">
        <is>
          <t>Zamknięte 2026-08-22. Podatności: 142 → 2 (krytyczne 2 → 0, wysokie 61 → 1, średnie 69 → 0). | NAJWAŻNIEJSZE: apps/www stało na next 15.4.4 z krytycznym RCE w protokole React flight (łatka od 15.4.8) i wysokim DoS przez Server Components (od 15.4.9). To jest PUBLICZNA strona verris.pl. Panele były na 16.2.7 i ich to nie dotyczyło. Podniesione do 16.3.2 — Payload 3.88 deklaruje wsparcie dla &gt;=16.2.6, więc to ścieżka sankcjonowana przez dostawcę, nie obejście. Build www przechodzi. | Zależności PRZECHODNIE, których nie da się podnieść przez rodzica, domknięte przez pnpm.overrides. Przy pierwszym podejściu użyłem zakresów bez górnej granicy ("&gt;=1.1.18") — pnpm podstawił NAJWYŻSZĄ pasującą wersję, dla brace-expansion@1 było to 5.0.9 o innym kształcie eksportu, co wywaliło minimatch@3 komunikatem „expand is not a function". Każdy override jest teraz ograniczony do linii majora. | CZEGO NIE PODNIOSŁEM I DLACZEGO — trzy rzeczy, w których ekosystem nie nadąża: (1) Prisma 6.19.3 → 7.x to NIE jest podniesienie wersji, tylko zmiana architektury warstwy danych: `url` znika ze schematu na rzecz prisma.config.ts, a PrismaClient wymaga driver adaptera; dotyka każdego wywołania bazy, seeda, CI i wdrożenia produkcyjnego. Osobna pozycja: X-20. (2) TypeScript 5.9.3 → 7.0.2 — ts-jest ma peer &gt;=4.3 &lt;7, typescript-eslint &gt;=4.8.4 &lt;6.1.0; podniesienie wyłączyłoby jednocześnie testy i linter. Dodany override pinujący, bo TS 7 wchodził do drzewa jako zależność przechodnia mimo "^5" wszędzie. (3) ESLint 9.39.5 → 10.9.0 — eslint-plugin-react 7.37.5 wywala się w runtime („contextOrFilename.getFilename is not a function"), a to on stoi za konfiguracją Next. | Zostały 2 podatności: deepmerge-ts (wysoka, tylko przez Prismę 6 — znika z X-20) i jedna niska. | Wymuszone zmiany w kodzie: recharts 3 usunęło prop activeIndex z &lt;Pie&gt; (podświetlenie przepisane na przezroczystość &lt;Cell&gt;); @types/node 26 zawęziło typ chunka w zdarzeniu 'data' i zmieniło response.json() z any na unknown; bullmq 6 usunęło 'paused' z JobType; Array.prototype.at wymusiło lib ES2023. | Weryfikacja: lint 7/7, typecheck 8/8, 421 testów jednostkowych, 15 integracyjnych, build www — wszystko na prawdziwym Postgresie w kontenerze. Dokumentacja: docs/archiwum/zadania/X-18-podniesienie-zaleznosci.md | KOREKTA 2026-08-22 (X-21): graphql cofnięty z ^17.0.2 do ^16.14.2 — jedynym konsumentem jest Payload 3.88, który deklaruje peera ^16.8.1, a nasz kod nie importuje graphql ani razu. Podniosłem major pod biblioteką, która go nie wspiera, bo wersja była wyższa — na PUBLICZNEJ stronie. Build www przechodzi na 16, ostrzeżenie o peerze znikło. | Domknięty body-parser override'em ^2.3.0: podatności 2 → 1 (została deepmerge-ts, wysoka, tylko przez Prismę 6 — znika z X-20). | engines.node podniesione z "&gt;=22" do "&gt;=22.12" — patrz X-21.</t>
        </is>
      </c>
      <c r="P16" s="10" t="inlineStr">
        <is>
          <t>do zrobienia</t>
        </is>
      </c>
    </row>
    <row r="17">
      <c r="A17" s="10" t="inlineStr">
        <is>
          <t>X-21</t>
        </is>
      </c>
      <c r="B17" s="11" t="inlineStr">
        <is>
          <t>Deklaracje typów opisują tę wersję biblioteki, która jest zainstalowana</t>
        </is>
      </c>
      <c r="C17" s="10" t="inlineStr">
        <is>
          <t>audyt</t>
        </is>
      </c>
      <c r="D17" s="10" t="inlineStr">
        <is>
          <t>X — Infrastruktura jakości</t>
        </is>
      </c>
      <c r="E17" s="10" t="inlineStr">
        <is>
          <t>—</t>
        </is>
      </c>
      <c r="F17" s="10" t="n">
        <v>6</v>
      </c>
      <c r="G17" s="10" t="n">
        <v>2</v>
      </c>
      <c r="H17" s="10" t="inlineStr">
        <is>
          <t>Faza 0 — Zatrzymać krwawienie</t>
        </is>
      </c>
      <c r="I17" s="10" t="inlineStr">
        <is>
          <t>2026-09-07</t>
        </is>
      </c>
      <c r="J17" s="10" t="inlineStr">
        <is>
          <t>2026-09-11</t>
        </is>
      </c>
      <c r="K17" s="10" t="inlineStr">
        <is>
          <t>DZIAŁA</t>
        </is>
      </c>
      <c r="L17" s="11" t="inlineStr">
        <is>
          <t>apps/api/package.json — @types/archiver ^8.0.0 przy archiver ^8.0.0; apps/api/src/test/typy-zgodne-z-runtime.spec.ts — 12 testów; package.json — engines.node "&gt;=22.12"</t>
        </is>
      </c>
      <c r="M17" s="11" t="inlineStr">
        <is>
          <t>—</t>
        </is>
      </c>
      <c r="N17" s="11" t="inlineStr">
        <is>
          <t>Funkcja dostępna z panelu klienta bez wychodzenia do DirectAdmina; test uruchamiany w CI.</t>
        </is>
      </c>
      <c r="O17" s="11" t="inlineStr">
        <is>
          <t>Zamknięte 2026-08-22. BŁĄD PRODUKCYJNY znaleziony przy X-18, siedzący w kodzie PRZED podniesieniem. apps/api/package.json deklarował jednocześnie archiver ^8.0.0 i @types/archiver ^7.0.0. Archiver 8 usunął fabrykę create() na rzecz klas per format — kod wołał archiver.create('zip'/'tar'), typecheck był ZIELONY, bo typy z linii 7 tę funkcję opisywały, a w runtime jej nie było. Sprawdzone realnie: Object.keys(require('archiver')) = ['Archiver','JsonArchive','TarArchive','ZipArchive'], create === undefined. | CO TO PSUŁO: (1) data-export.service.ts → buildZipToFile — eksport danych osobowych (RODO art. 20, prawo do przenoszenia) wywalał się przy KAŻDYM żądaniu; (2) default-hosting-page.assets.ts → buildDefaultHostingPageBundle — budowa paczki domyślnej strony wywalała się przy KAŻDYM provisioningu konta. Nie „czasem" — zawsze, od momentu podniesienia archivera. | DLACZEGO NIKT TEGO NIE ZOBACZYŁ: typecheck czytał typy opisujące nieistniejącą wersję, żaden test nie dotykał tych dwóch funkcji, lint nie ma reguły na „ta metoda nie istnieje w runtime". Typecheck jest bramką wdrożenia — jeżeli typy opisują inną wersję niż zainstalowana, bramka przepuszcza kod, który się nie uruchomi, i robi to cicho, na zielono. | DRUGIE DNO: archiver 8 jest czystym ESM-em ("type": "module", brak wejścia CJS), a API kompiluje się do CommonJS-a. Node obsługuje require(esm) bez flagi dopiero od 22.12, a engines.node stał na "&gt;=22". Obrazy używają taga node:22 (dziś 22.22), więc realnie nic się nie paliło, ale deklaracja pozwalała na konfigurację, która by się paliła — ERR_REQUIRE_ESM w tych samych dwóch ścieżkach. Podniesione do "&gt;=22.12". | STRAŻNIK NA CAŁĄ KLASĘ, nie na sam archiver: żadne @types/X w monorepo nie może opisywać innego majora niż zainstalowany X. Test runtime'u wywołuje osobny proces Node'a (execFileSync), bo transformacja jesta nie ładuje zależności ESM i sprawdzałaby ładowarkę jesta zamiast produkcji. | Czerwieni się na starym kodzie: cofnięcie wszystkich trzech rzeczy daje 3 czerwone z 12, każdy z wykonalnym komunikatem. | Strażnik po raz TRZECI w tym projekcie trafił sam w siebie — szukana fraza padała w treści jego własnego komunikatu błędu (ta sama pułapka co polskie „jest" w X-17). Pominięty __filename + osobny test na spreparowanym wejściu. | PRZY OKAZJI: body-parser (niska, DoS przy cichym wyłączeniu limitu rozmiaru) domknięty override'em ^2.3.0 — podatności 2 → 1; graphql cofnięty z ^17.0.2 do ^16.14.2, bo jedynym konsumentem jest Payload 3.88 deklarujący peera ^16.8.1, a nasz kod nie importuje graphql ani razu — to korekta mojego własnego błędu z X-18: podniosłem wersję, bo była wyższa, nie sprawdzając, kto z niej korzysta. | Weryfikacja: 433 testy jednostkowe, 15 integracyjnych, lint 7/7, typecheck 8/8, build www. Dokumentacja: docs/archiwum/zadania/X-21-typy-klamaly-o-runtime.md</t>
        </is>
      </c>
      <c r="P17" s="10" t="inlineStr">
        <is>
          <t>do zrobienia</t>
        </is>
      </c>
    </row>
    <row r="18">
      <c r="A18" s="10" t="inlineStr">
        <is>
          <t>X-23</t>
        </is>
      </c>
      <c r="B18" s="11" t="inlineStr">
        <is>
          <t>Bramka podatności zatrzymuje wdrożenie, a nie tylko dopisuje adnotację</t>
        </is>
      </c>
      <c r="C18" s="10" t="inlineStr">
        <is>
          <t>audyt</t>
        </is>
      </c>
      <c r="D18" s="10" t="inlineStr">
        <is>
          <t>X — Infrastruktura jakości</t>
        </is>
      </c>
      <c r="E18" s="10" t="inlineStr">
        <is>
          <t>WYSOKA</t>
        </is>
      </c>
      <c r="F18" s="10" t="n">
        <v>6</v>
      </c>
      <c r="G18" s="10" t="n">
        <v>2</v>
      </c>
      <c r="H18" s="10" t="inlineStr">
        <is>
          <t>Faza 0 — Zatrzymać krwawienie</t>
        </is>
      </c>
      <c r="I18" s="10" t="inlineStr">
        <is>
          <t>2026-09-07</t>
        </is>
      </c>
      <c r="J18" s="10" t="inlineStr">
        <is>
          <t>2026-09-11</t>
        </is>
      </c>
      <c r="K18" s="10" t="inlineStr">
        <is>
          <t>DZIAŁA</t>
        </is>
      </c>
      <c r="L18" s="11" t="inlineStr">
        <is>
          <t>.github/workflows/ci.yml:388 — jedyne wywolanie ops/ci/audyt-bramka.cjs, w jobie security-scans (ci.yml:349). .github/workflows/deploy.yml — job test-gate robi typecheck, lint i testy, NIE wola bramki podatnosci (zero trafien na audyt-bramka/trivy/gitleaks/audit). Ruleset 21161479 "galezie wdrozeniowe — wymagaj zielonego CI": wymagane checki to Static checks, Build, Prisma migrate deploy, API unit tests, API integration tests — security-scans NIE JEST na liscie. Obserwacja 2026-09-19: PR #37 ma czerwone "Security scans" i jednoczesnie badge "Able to merge".</t>
        </is>
      </c>
      <c r="M18" s="11" t="inlineStr">
        <is>
          <t>—</t>
        </is>
      </c>
      <c r="N18" s="11" t="inlineStr">
        <is>
          <t>Funkcja dostępna z panelu klienta bez wychodzenia do DirectAdmina; test uruchamiany w CI.</t>
        </is>
      </c>
      <c r="O18" s="11" t="inlineStr">
        <is>
          <t>Zamknięte w kodzie 2026-08-22, D1 do czasu obejrzenia przebiegu CI. Znalezione przy oglądaniu przebiegu CI #58, który zakończył się statusem Success — a w adnotacjach miał „Security scans: Process completed with exit code 1". Krok `pnpm audit --prod --audit-level high` wychodził z kodem 1 i nie zatrzymywał niczego, bo miał continue-on-error: true. | Powód był prawdziwy: w drzewie siedzi jedna wysoka podatność (deepmerge-ts przez Prismę 6, GHSA-ggr8-5vv4-36mx), której nie da się domknąć bez migracji na Prismę 7 — czyli X-20, świadomie odłożone. Bez continue-on-error każdy przebieg byłby czerwony. SKUTEK: nowa KRYTYCZNA podatność też by nie zatrzymała wdrożenia; job świeciłby na zielono z adnotacją, która przez kilkanaście przebiegów znaczyła „to ta znana". | Ta sama klasa błędu co X-17 — bramka, która nie bramkuje. Wzorzec wart nazwania, bo wraca: kiedy alarm dzwoni na coś, czego nie da się dziś naprawić, odruchem jest wyłączenie alarmu — i to działa, do pierwszej rzeczy, którą dałoby się naprawić, gdyby ktoś o niej usłyszał. | ROZWIĄZANIE: lista świadomych zgód z terminem ważności. Czerwone gdy: (a) nowa high/critical spoza listy, (b) zgoda po terminie, (c) zgoda na podatność, której już nie ma. Punkt (c) jest najłatwiejszy do uznania za przesadę i najważniejszy w dłuższym horyzoncie — lista wyjątków, z której nic nigdy nie znika, po pół roku przestaje cokolwiek znaczyć. Termin dalszy niż 90 dni odrzucany: „zgoda do 2030" to usunięcie bramki pod inną nazwą. Zgoda wymaga powodu min. 80 znaków i wskazania istniejącej pozycji macierzy. | STAN: 1 zgoda (deepmerge-ts, termin 2026-11-15 — mniej więcej wtedy X-20 i tak musi zostać rozstrzygnięte; jeśli nie zostanie, CI o tym przypomni, zatrzymując wdrożenie). | CZEGO TO NIE ROBI: gitleaks nadal ma continue-on-error (fałszywe trafienia na przykładowych konfiguracjach w ops/, wyciszanie to osobna robota z .gitleaksignore — zaostrzenie dziś skończyłoby się ponownym wyłączeniem alarmu); pnpm audit --prod pomija zależności deweloperskie; Trivy zostaje raportujący, bo dubluje zakres pnpm audit. | Strażnik po raz CZWARTY trafił we własny komentarz (fraza --audit-level w wyjaśnieniu, dlaczego tego kroku już nie ma) — po „jest" z X-17 i archiver.create z X-21. Reguła do zapamiętania: strażnik czytający treść pliku patrzy na kod, nie na prozę; komentarze wypadają przed dopasowaniem domyślnie, nie po pierwszym fałszywym alarmie. | Czerwieni się na starym kodzie: przywrócenie kroku z continue-on-error daje 2 czerwone z 15, a przywrócenie continue-on-error na kroku Lint — kolejne 2. | DRUGIE ZNALEZISKO w tym samym pliku: krok Lint miał continue-on-error z komentarzem „lint jest miękki, bramką jest typecheck". Komentarz był kiedyś prawdziwy — dziś pnpm lint wychodzi z zerem we wszystkich siedmiu pakietach (0 błędów, 270 ostrzeżeń — dług z X-19), więc miękkość nie chroniła już przed niczym poza NOWYM błędem lintera. Zdjęta; ostrzeżenia nadal przechodzą. Do tego biała lista MIEKKIE_DOZWOLONE: dołożenie miękkiego kroku ma być widoczną decyzją, a nie linijką dopisaną, bo się świeciło na czerwono. | Pierwsza wersja strażnika miękkich kroków używała jednego wyrażenia regularnego przez cały plik i przeciekała na następny krok — meldowała „Install pnpm jest miękki", choć miękki był krok obok. Przepisane na rozkład po wcięciu myślnika: strażnik, który wskazuje nie ten element, kosztuje tyle samo co brak strażnika. Dokumentacja: docs/archiwum/zadania/X-23-bramka-podatnosci.md | TRZECIE ZNALEZISKO — wyciszenia Dependabota. PR-y #15 (Prisma 7) i #16 (TypeScript 7) wracałyby co tydzień, bo świadomie zostajemy na 6.x i 5.x. Naturalnym ruchem jest reguła ignore w .github/dependabot.yml — i naturalnym skutkiem, że po pół roku nikt nie pamięta, dlaczego tam jest ani czy powód nadal obowiązuje. Każde wyciszenie ma więc obowiązkowo dwa komentarze: „# pozycja: X-nn" (kto odpowiada) i „# przegląd: RRRR-MM-DD" (do kiedy). apps/api/src/test/dependabot-wyciszenia.spec.ts — 6 testów — czerwieni CI, gdy termin minie, gdy brakuje któregoś komentarza albo gdy wskazana pozycja nie istnieje w macierzy. Parser czyta komentarze, bo parser YAML-a ich nie widzi, a to w nich siedzi odpowiedzialność. | Termin 2026-11-15 jest TEN SAM co zgoda na deepmerge-ts w liście bramki — jeden termin do pilnowania zamiast trzech, wszystkie prowadzą do X-20. | PR-y Dependabota: #15 i #16 zamknie sam Dependabot jako objęte ignore; pozostałych 11 (#4–#14, #17, #18) zamknie się samo po scaleniu feat/sprint-2 do main, bo Dependabot zamyka własne PR-y, gdy gałąź bazowa dogoni wersję. Żadnego nie zamykam ręcznie. | Weryfikacja: 457 testów jednostkowych, 15 integracyjnych, lint 7/7 (0 błędów), typecheck 8/8. | D2 OSIĄGNIĘTE 2026-08-22: przebieg CI #59 zielony w komplecie, sześć jobów, ZERO adnotacji błędu — krok „Bramka podatności" przeszedł bez continue-on-error, a adnotacja „Process completed with exit code 1", która towarzyszyła każdemu wcześniejszemu przebiegowi, zniknęła. | KOREKTA 2026-09-19: DZIALA -&gt; CZESCIOWE. Pozycja twierdzila, ze bramka "zatrzymuje wdrozenie, a nie tylko dopisuje adnotacje". Bramka jest zbudowana dobrze i dziala — ale nie jest podlaczona do niczego, co moze cokolwiek zatrzymac. Trzy niezalezne drogi obok niej: (1) deploy.yml w ogole jej nie wola, a wdrozenie wyzwala push na main, nie zielony ci.yml; (2) security-scans nie jest checkiem wymaganym w rulesecie, wiec merge przechodzi mimo czerwieni; (3) repository admin ma bypass na wszystko, co i tak bylo zapisane przy X-02. To ta sama rodzina co X-42, tylko o poziom wyzej: tam bramka wdrozenia byla SLABSZA od ci.yml i dolozylismy lint. Nikt wtedy nie sprawdzil, czy brakuje jeszcze czegos — brakowalo bramki podatnosci. Naprawa: X-50. | 2026-09-22 ZAMKNIETE przez X-50 (D2): bramka podatnosci wolana w test-gate deploy.yml oraz 'Security scans' w wymaganych checkach rulesetu. Obie sciezki z korekty 2026-09-19 zamkniete; trzecia (bypass admina) zostaje swiadomie i jest opisana w X-50.</t>
        </is>
      </c>
      <c r="P18" s="10" t="inlineStr">
        <is>
          <t>do zrobienia</t>
        </is>
      </c>
    </row>
    <row r="19">
      <c r="A19" s="10" t="inlineStr">
        <is>
          <t>X-24</t>
        </is>
      </c>
      <c r="B19" s="11" t="inlineStr">
        <is>
          <t>Panel admina woła ścieżki, które API naprawdę wystawia</t>
        </is>
      </c>
      <c r="C19" s="10" t="inlineStr">
        <is>
          <t>audyt</t>
        </is>
      </c>
      <c r="D19" s="10" t="inlineStr">
        <is>
          <t>X — Infrastruktura jakości</t>
        </is>
      </c>
      <c r="E19" s="10" t="inlineStr">
        <is>
          <t>—</t>
        </is>
      </c>
      <c r="F19" s="10" t="n">
        <v>6</v>
      </c>
      <c r="G19" s="10" t="n">
        <v>2</v>
      </c>
      <c r="H19" s="10" t="inlineStr">
        <is>
          <t>Faza 0 — Zatrzymać krwawienie</t>
        </is>
      </c>
      <c r="I19" s="10" t="inlineStr">
        <is>
          <t>2026-09-07</t>
        </is>
      </c>
      <c r="J19" s="10" t="inlineStr">
        <is>
          <t>2026-09-11</t>
        </is>
      </c>
      <c r="K19" s="10" t="inlineStr">
        <is>
          <t>DZIAŁA</t>
        </is>
      </c>
      <c r="L19" s="11" t="inlineStr">
        <is>
          <t>apps/api/src/test/sciezki-panelu.spec.ts — 5 testów; porównuje wywołania adminApi() z panelu z trasami zadeklarowanymi w kontrolerach API</t>
        </is>
      </c>
      <c r="M19" s="11" t="inlineStr">
        <is>
          <t>—</t>
        </is>
      </c>
      <c r="N19" s="11" t="inlineStr">
        <is>
          <t>Funkcja dostępna z panelu klienta bez wychodzenia do DirectAdmina; test uruchamiany w CI.</t>
        </is>
      </c>
      <c r="O19" s="11" t="inlineStr">
        <is>
          <t>Odkryte przy M-06. Formularz faktury ręcznej z Z-01 wołał /admin/billing/invoices/reczna, a kontroler wystawia /admin/invoices/reczna. Kod się kompilował, testy jednostkowe przechodziły, panel się budował — 404 wyszłoby dopiero pod palcem operatora. | To ta sama rodzina co „bliźniacze miejsca", rozciągnięta na dwa pakiety: ścieżka zapisana dwa razy, w panelu i w kontrolerze, a nic ich nie łączy. Kompilator nie pomoże, bo po obu stronach to zwykły napis. | Strażnik wyciąga wywołania adminApi() z panelu i trasy z kontrolerów, porównuje kształt ścieżki i metodę HTTP. Segmenty dynamiczne (${id} w panelu, :id w kontrolerze) pasują do wszystkiego. | STRAŻNIK ZACZĄŁ OD JEDENASTU FAŁSZYWYCH ALARMÓW: (1) czytał 220 znaków po wywołaniu szukając `method:` i łapał metodę z NASTĘPNEGO wywołania — zwykły GET raportowany jako POST; (2) zamieniał wstawkę ${qs} na gwiazdkę w miejscu, produkując segment „webhooki*", który nie pasował do niczego; (3) grupował warianty ścieżki po wartości pochodnej zamiast po oryginale, więc wariant pełny zawsze zostawał sam i zawsze wyglądał na niepokryty. Jedenaście fałszywych alarmów przy dwóch prawdziwych znaleziskach. Strażnik, który tonie we własnym szumie, zostanie wyciszony — doprowadzenie do zera fałszywych alarmów było warunkiem działania, nie dopieszczaniem. | PIĄTE wystąpienie tej rodziny: „jest" (X-17), archiver.create (X-21), --audit-level (X-23), endsWith('billing.service.ts') (Z-05), teraz ścieżki panelu. | Czerwieni się na starym kodzie: przywrócenie błędnej ścieżki daje 1 czerwony z 5. | CZEGO NIE ROBI: nie sprawdza kształtu ciała żądania ani odpowiedzi — tylko ścieżkę i metodę; nie obejmuje panelu klienta ani panelu staff (te wołają inne bazowe adresy).</t>
        </is>
      </c>
      <c r="P19" s="10" t="inlineStr">
        <is>
          <t>do zrobienia</t>
        </is>
      </c>
    </row>
    <row r="20">
      <c r="A20" s="10" t="inlineStr">
        <is>
          <t>X-25</t>
        </is>
      </c>
      <c r="B20" s="11" t="inlineStr">
        <is>
          <t>Asercje po migracji biegną także na produkcji, z rollbackiem przy naruszeniu</t>
        </is>
      </c>
      <c r="C20" s="10" t="inlineStr">
        <is>
          <t>audyt</t>
        </is>
      </c>
      <c r="D20" s="10" t="inlineStr">
        <is>
          <t>X — Infrastruktura jakości</t>
        </is>
      </c>
      <c r="E20" s="10" t="inlineStr">
        <is>
          <t>—</t>
        </is>
      </c>
      <c r="F20" s="10" t="n">
        <v>6</v>
      </c>
      <c r="G20" s="10" t="n">
        <v>2</v>
      </c>
      <c r="H20" s="10" t="inlineStr">
        <is>
          <t>Faza 0 — Zatrzymać krwawienie</t>
        </is>
      </c>
      <c r="I20" s="10" t="inlineStr">
        <is>
          <t>2026-09-07</t>
        </is>
      </c>
      <c r="J20" s="10" t="inlineStr">
        <is>
          <t>2026-09-11</t>
        </is>
      </c>
      <c r="K20" s="10" t="inlineStr">
        <is>
          <t>DZIAŁA</t>
        </is>
      </c>
      <c r="L20" s="11" t="inlineStr">
        <is>
          <t>ops/sql/po-migracji-niezmienniki.sql — CI I PRODUKCJA, 14 RAISE EXCEPTION (Z-01, Z-05, Z-12, Z-13, Z-16, M-06); ops/sql/po-migracji-katalog.sql — tylko CI, wartości z oferty; ops/sql/po-migracji-historia.sql — raport, ZERO RAISE EXCEPTION w kodzie; ops/scripts/prod-deploy-ghcr.sh:79-133 — krok 3.5 (bramka + rollback) i 3.6 (raport); .github/workflows/ci.yml — cztery kroki po seedzie; ops/scripts/asercje-czerwienia-sie.sh — 10 naruszeń, każde na właściwej asercji; apps/api/src/test/asercje-po-migracji.spec.ts (36). Usunięte: ops/sql/sprawdz-baze-po-migracji.sql</t>
        </is>
      </c>
      <c r="M20" s="11" t="inlineStr">
        <is>
          <t>—</t>
        </is>
      </c>
      <c r="N20" s="11" t="inlineStr">
        <is>
          <t>Funkcja dostępna z panelu klienta bez wychodzenia do DirectAdmina; test uruchamiany w CI.</t>
        </is>
      </c>
      <c r="O20" s="11" t="inlineStr">
        <is>
          <t>Stan 2026-08-22: ZAMKNIĘTE. Sześć zamkniętych blokerów zostawiło plik asercji o stanie bazy po migracjach. Plik był porządny i biegł w JEDNYM miejscu: w CI, na świeżej bazie testowej — czyli dokładnie tam, gdzie nie ma prawdziwych danych. Produkcja po `prisma migrate deploy` nie była sprawdzana NICZYM; `migrate deploy` kończy się zerem, gdy pliki SQL się wykonały, i nie mówi nic o tym, czy baza jest po nich w stanie, w którym kod policzy dobrze. | DLACZEGO NIE DAŁO SIĘ PO PROSTU DOPISAĆ TEGO PLIKU DO DEPLOYU: część twierdzeń wywaliłaby wdrożenie bez powodu. Asercja „są plany prototypowe" dotyczy rzeczy, które tworzy SEED, a seed na produkcji nie biegnie. Gorsza była druga: pilnowała, żeby verris-hosting kosztował dokładnie 45,00 — a cenę WOLNO zmienić z panelu (plans.service.ts, updatePlan). Pierwsza legalna podwyżka zamieniłaby każde kolejne wdrożenie w rollback, a wtedy ktoś słusznie wyłączyłby całe sprawdzanie. Tego nie zauważyłem od razu — zobaczyłem dopiero, gdy własny strażnik zapalił się na isPublic i zamiast go poluzować sprawdziłem, czy cena jest edytowalna. Była. | TRZY PLIKI, TRZY RÓŻNE ŻYCIA: niezmienniki (CI i produkcja, blokują) — twierdzenia, których nie unieważni żadna legalna zmiana biznesowa; katalog (TYLKO CI) — dzisiejsza decyzja handlowa, w CI zmienia się w jednym commicie razem z PLAN_PRODUKCYJNY i treścią strony; historia (CI i produkcja, tylko raport) — dane sprzed migracji, których migracja nie naprawia i nie miała naprawiać; wycofanie wdrożenia z tego powodu byłoby karą za przeszłość, nie ochroną przed błędem. | Z Z-13 do niezmienników przeszły dwa twierdzenia, których panel nie może naruszyć: istnienie wiersza o slugu verris-hosting (slug stoi na sztywno w plan-produkcyjny.ts) oraz reguła cennika, którą API wymusza przy zapisie (ceny dodatnie, rok &gt;= 6x miesiąc) — API pilnuje jej przy zapisie, baza nie pilnuje wcale, a migracja danych zapisuje Z POMINIĘCIEM API. | JEDNA REGUŁA, JEDNO MIEJSCE: blok M-06 sprawdzał sumy korekty, które obejmuje już Z-01 (korekta to wiersz w Invoice) — druga kopia nigdy by nie wystartowała, a przy zmianie zasad ktoś poprawiłby jedną z dwóch. Usunięta. | DWIE CICHE PUŁAPKI W SAMYM WYWOŁANIU: `psql -U "${POSTGRES_USER:?}"` — przy pustej zmiennej psql połączyłby się z bazą o nazwie użytkownika i asercje przeszłyby na PUSTEJ, NIEWŁAŚCIWEJ bazie; `sh -c` zamiast `sh -lc` — skrypt profilu czytający stdin zjadłby SQL i psql dostałby pusty plik. | ASERCJA, KTÓRA SIĘ NIE CZERWIENI, NIE JEST BRAMKĄ: ops/scripts/asercje-czerwienia-sie.sh psuje po jednym niezmienniku naraz w transakcji z ROLLBACK-iem i sprawdza DWIE rzeczy — kod wyjścia różny od zera ORAZ że powodem jest TA asercja. Drugi warunek nie jest ozdobą: w pierwszym przebiegu trzy przypadki M-06 świeciły na czerwono, a naprawdę odbijał je CHECK w bazie, zanim asercja zdążyła cokolwiek zobaczyć (ta sama lekcja co Z-01 i H-20). | Czerwieni się na starym kodzie: jeden plik + brak asercji w deployu → 11 z 36; `|| true` zamiast bramki → 1; RAISE EXCEPTION w pliku historii → 1; katalog wpuszczony na produkcję → 1. | CZEGO NIE ROBI: nie cofa schematu (rollback wraca do poprzedniego obrazu, migracje zostają); nie sprawdza katalogu na produkcji — cena może się tam rozjechać z PLAN_PRODUKCYJNY i deploy tego nie zauważy (to bliżej monitoringu niż bramki); asercje-czerwienia-sie.sh NIE WOLNO uruchamiać na produkcji, bo zdejmuje ograniczenia CHECK wewnątrz transakcji. | D3 powstanie przy pierwszym deployu na main, w logu wdrożenia, z datą. Dokumentacja: docs/archiwum/zadania/X-25-asercje-po-migracji.md</t>
        </is>
      </c>
      <c r="P20" s="10" t="inlineStr">
        <is>
          <t>do zrobienia</t>
        </is>
      </c>
    </row>
    <row r="21">
      <c r="A21" s="10" t="inlineStr">
        <is>
          <t>X-26</t>
        </is>
      </c>
      <c r="B21" s="11" t="inlineStr">
        <is>
          <t>Skrypty powłoki mają bit wykonywalności — także po świeżym git clone</t>
        </is>
      </c>
      <c r="C21" s="10" t="inlineStr">
        <is>
          <t>audyt</t>
        </is>
      </c>
      <c r="D21" s="10" t="inlineStr">
        <is>
          <t>X — Infrastruktura jakości</t>
        </is>
      </c>
      <c r="E21" s="10" t="inlineStr">
        <is>
          <t>—</t>
        </is>
      </c>
      <c r="F21" s="10" t="n">
        <v>6</v>
      </c>
      <c r="G21" s="10" t="n">
        <v>2</v>
      </c>
      <c r="H21" s="10" t="inlineStr">
        <is>
          <t>Faza 0 — Zatrzymać krwawienie</t>
        </is>
      </c>
      <c r="I21" s="10" t="inlineStr">
        <is>
          <t>2026-09-07</t>
        </is>
      </c>
      <c r="J21" s="10" t="inlineStr">
        <is>
          <t>2026-09-11</t>
        </is>
      </c>
      <c r="K21" s="10" t="inlineStr">
        <is>
          <t>DZIAŁA</t>
        </is>
      </c>
      <c r="L21" s="11" t="inlineStr">
        <is>
          <t>apps/api/src/test/skrypty-wykonywalne.spec.ts (3) — żaden .sh w repozytorium bez bitu wykonywalności; 82 skrypty przestawione na tryb 100755 (16 z nich miało 100644, w tym restore-drill-isolated.sh z bramki startu i pięć uruchamianych na węzłach produkcyjnych); docs/ops/RESTORE_TEST.md — usunięte obejście `chmod +x` sprzed uruchomienia</t>
        </is>
      </c>
      <c r="M21" s="11" t="inlineStr">
        <is>
          <t>—</t>
        </is>
      </c>
      <c r="N21" s="11" t="inlineStr">
        <is>
          <t>Funkcja dostępna z panelu klienta bez wychodzenia do DirectAdmina; test uruchamiany w CI.</t>
        </is>
      </c>
      <c r="O21" s="11" t="inlineStr">
        <is>
          <t>Odkryte przy X-25, dzień po zamknięciu mechanizmu H-20. Runbook, dokumentacja zadania i MAIL PRZYPOMINAJĄCY do administratora mówią jednym głosem: `cd /opt/verris &amp;&amp; ./ops/scripts/restore-drill-isolated.sh --owner "…"` — a plik miał w gicie tryb 100644. Na świeżym `git clone` to polecenie kończy się „Permission denied". Czyli procedura, którą właśnie zamieniliśmy w bramkę startu sprzedaży, nie dawała się wykonać w sposób, w jaki sama każe siebie wykonywać. | Szesnaście skryptów miało ten sam problem, w tym pięć uruchamianych na węzłach produkcyjnych (node-app-install, node-db-upgrade, node-offsite-backup, node-php-apply, node-wp-install). | ŚLAD PO TYM BŁĘDZIE LEŻAŁ W REPOZYTORIUM OD DAWNA: docs/ops/RESTORE_TEST.md kazał wpisać `chmod +x` PRZED uruchomieniem, a Dockerfile.api robi `chmod +x` na entrypoincie. Obejścia działały, więc nikt nie naprawił przyczyny — a każde z nich było zapisanym w repozytorium dowodem, że przyczyna istnieje. To jest ten sam kształt co „bramka, która raportuje zamiast bramkować": objaw obsłużony, przyczyna zostaje. | REGUŁA JEST BEZWYJĄTKOWA i to jest jej najważniejsza cecha. Lista „te skrypty wolno mieć nieuruchamialne, bo woła je bash" musiałaby być utrzymywana obok prawdziwych wywołań, czyli byłaby kolejnym wystąpieniem bliźniaczych miejsc (Z-12, Z-16, M-06, X-24). Skrypt wykonywalny działa pod `bash x.sh` tak samo dobrze, więc reguła bez wyjątków nic nie kosztuje. | Strażnik czyta TRYB Z DYSKU, nie z indeksu gita: liczy się to, co dostaje maszyna po `git clone`, a actions/checkout wypisuje pliki dokładnie z trybami z indeksu. Czytanie dysku działa też tam, gdzie kopia robocza nie jest repozytorium, i nie wymaga drugiej ścieżki kodu na wypadek braku gita. | Ma też kontrolę „strażnik w ogóle coś widzi" (ponad 50 skryptów, w tym ten z bramki startu) — bez niej cała reszta przechodziłaby trywialnie na pustej liście, gdyby `find` przestał trafiać. | Czerwieni się na starym kodzie: 1 z 3 testów, z wypisaną listą wszystkich szesnastu plików. | CZEGO NIE ROBI: nie sprawdza shebangów ani tego, czy skrypt w ogóle da się uruchomić — tylko bit wykonywalności.</t>
        </is>
      </c>
      <c r="P21" s="10" t="inlineStr">
        <is>
          <t>do zrobienia</t>
        </is>
      </c>
    </row>
    <row r="22">
      <c r="A22" s="10" t="inlineStr">
        <is>
          <t>X-27</t>
        </is>
      </c>
      <c r="B22" s="11" t="inlineStr">
        <is>
          <t>Obraz, który trafia na serwer, buduje się przed scaleniem</t>
        </is>
      </c>
      <c r="C22" s="10" t="inlineStr">
        <is>
          <t>audyt</t>
        </is>
      </c>
      <c r="D22" s="10" t="inlineStr">
        <is>
          <t>X — Infrastruktura jakości</t>
        </is>
      </c>
      <c r="E22" s="10" t="inlineStr">
        <is>
          <t>—</t>
        </is>
      </c>
      <c r="F22" s="10" t="n">
        <v>6</v>
      </c>
      <c r="G22" s="10" t="n">
        <v>2</v>
      </c>
      <c r="H22" s="10" t="inlineStr">
        <is>
          <t>Faza 0 — Zatrzymać krwawienie</t>
        </is>
      </c>
      <c r="I22" s="10" t="inlineStr">
        <is>
          <t>2026-09-07</t>
        </is>
      </c>
      <c r="J22" s="10" t="inlineStr">
        <is>
          <t>2026-09-11</t>
        </is>
      </c>
      <c r="K22" s="10" t="inlineStr">
        <is>
          <t>DZIAŁA</t>
        </is>
      </c>
      <c r="L22" s="11" t="inlineStr">
        <is>
          <t>Dockerfile.api / Dockerfile.panel — ponowna instalacja PO `COPY libs libs`; package.json — pnpm.overrides @prisma/client 6.19.3 (drzewo znów ma jedną wersję); .github/workflows/ci.yml — job `Obraz API (build bez push)`; apps/api/src/test/obrazy-dockera.spec.ts (14). Przyczyna deployu #63: „Could not resolve @prisma/client"</t>
        </is>
      </c>
      <c r="M22" s="11" t="inlineStr">
        <is>
          <t>—</t>
        </is>
      </c>
      <c r="N22" s="11" t="inlineStr">
        <is>
          <t>Funkcja dostępna z panelu klienta bez wychodzenia do DirectAdmina; test uruchamiany w CI.</t>
        </is>
      </c>
      <c r="O22" s="11" t="inlineStr">
        <is>
          <t>Zamknięte 2026-08-22, wykryte przez wdrożenie #63 — pierwsze po scaleniu sprintu 2. Wysypał się build obrazu verris-api, czyli krok PRZED dotknięciem serwera: produkcja została nietknięta, migracje nie poszły. | DWIE PRZYCZYNY, NIE JEDNA. (1) `COPY libs libs` w etapie budowania kładzie katalogi pakietów na te, które zostawił etap `deps`, i pakiet traci WŁASNE node_modules. Dopóki każda zależność lądowała w node_modules katalogu głównego (linker hoisted), nie było tego widać — założenie trzymało się PRZYPADKIEM. (2) Przestało być prawdą przy X-18: apps/www podniosło Payloada, jego adapter postgresowy ciągnie drizzle-orm, a to ma @prisma/client jako peer OPCJONALNY; pnpm dociąga takie peery samo (autoInstallPeers), więc w drzewie stanęły DWIE wersje — 7.9.1 na górze i nasza 6.19.3 w libs/database. Po COPY zostawała tylko ta z góry, a `prisma generate` z CLI 6.19.3 nie umie pracować z klientem 7.x. | Poprawki są dwie, bo błędy są dwa: pnpm.overrides sprowadza drzewo do jednej wersji klienta (to naprawia TEN przypadek i chroni też obraz runtime, który kopiuje node_modules katalogu głównego), a ponowna instalacja w obrazach znosi założenie o hoistowaniu (to chroni przed następnym pakietem w dwóch wersjach). Dockerfile.panel dostał tę samą poprawkę mimo że jeszcze nie wybuchł — naprawiona jedna kopia i zostawiona druga to wzorzec, który dał Z-12, Z-16 i X-24. | NAJWAŻNIEJSZE ZNALEZISKO STRUKTURALNE: obraz, który JAKO JEDYNY trafia na serwer, powstawał wyłącznie w workflow wdrożeniowym — czyli PO scaleniu do main. Bramka scalenia sprawdzała lint, typy, 605 testów, migracje i asercje bazy, i nie sprawdzała tej jednej rzeczy. `pnpm build` w repozytorium przechodzi, bo tam node_modules są kompletne; rozjeżdżało się wyłącznie w układzie plików wewnątrz obrazu. Dlatego CI dostało job budujący Dockerfile.api bez pushowania. | DWA RAZY UWIERZYŁEM W WYNIK, KTÓRY NICZEGO NIE DOWODZIŁ: raz pnpm nie przeliczył lockfile'a i override wyglądał na nieskuteczny; raz uproszczone repozytorium testowe nie zawierało package.json apps/www, czyli pakietu ciągnącego 7.9.1 — więc wynik wyglądał dobrze z niewłaściwego powodu. Rozstrzygnięte dopiero na pełnym drzewie zależności. Ta sama rodzina co Z-01 i H-20. | Czerwieni się na starym kodzie: 7 z 14. | CZEGO NIE ROBI: CI nie buduje obrazów paneli (własny Dockerfile, ~2,5 min każdy, bez Prismy) — jeżeli kiedyś wywali się panel, job dostanie drugą pozycję w macierzy, a nie listę wyjątków. Dokumentacja: docs/archiwum/zadania/X-27-obraz-api-w-ci.md</t>
        </is>
      </c>
      <c r="P22" s="10" t="inlineStr">
        <is>
          <t>do zrobienia</t>
        </is>
      </c>
    </row>
    <row r="23">
      <c r="A23" s="10" t="inlineStr">
        <is>
          <t>H-24</t>
        </is>
      </c>
      <c r="B23" s="11" t="inlineStr">
        <is>
          <t>Nazwa obiektu kopii i drill odtworzeniowy mają po jednym miejscu</t>
        </is>
      </c>
      <c r="C23" s="10" t="inlineStr">
        <is>
          <t>audyt</t>
        </is>
      </c>
      <c r="D23" s="10" t="inlineStr">
        <is>
          <t>H — Backup i odtwarzanie</t>
        </is>
      </c>
      <c r="E23" s="10" t="inlineStr">
        <is>
          <t>—</t>
        </is>
      </c>
      <c r="F23" s="10" t="n">
        <v>6</v>
      </c>
      <c r="G23" s="10" t="n">
        <v>2</v>
      </c>
      <c r="H23" s="10" t="inlineStr">
        <is>
          <t>Faza 0 — Zatrzymać krwawienie</t>
        </is>
      </c>
      <c r="I23" s="10" t="inlineStr">
        <is>
          <t>2026-09-07</t>
        </is>
      </c>
      <c r="J23" s="10" t="inlineStr">
        <is>
          <t>2026-09-11</t>
        </is>
      </c>
      <c r="K23" s="10" t="inlineStr">
        <is>
          <t>DZIAŁA</t>
        </is>
      </c>
      <c r="L23" s="11" t="inlineStr">
        <is>
          <t>ops/lib/backup-crypto.sh — backup_crypto_latest_object(), jedno źródło nazwy obiektu; ops/scripts/restore-drill-isolated.sh — nazwa z biblioteki + weryfikacja SHA-256 + deszyfrowanie age; ops/scripts/prod-health-snapshot.sh, ops/restore-postgres.sh — nazwa z biblioteki; apps/api/src/storage/object-storage.service.ts — stała OBIEKT_KOPII_LATEST; USUNIĘTY ops/backup-verify.sh (druga kopia drilla); apps/api/src/test/nazwa-obiektu-kopii.spec.ts (12)</t>
        </is>
      </c>
      <c r="M23" s="11" t="inlineStr">
        <is>
          <t>—</t>
        </is>
      </c>
      <c r="N23" s="11" t="inlineStr">
        <is>
          <t>Funkcja dostępna z panelu klienta bez wychodzenia do DirectAdmina; test uruchamiany w CI.</t>
        </is>
      </c>
      <c r="O23" s="11" t="inlineStr">
        <is>
          <t>Odkryte 2026-08-22 przy pierwszym prawdziwym uruchomieniu drilla z H-20. | DWA SKRYPTY DO JEDNEGO ZADANIA. ops/backup-verify.sh robił wszystko POPRAWNIE: właściwa nazwa obiektu (latest.sql.gz.age), weryfikacja SHA-256, deszyfrowanie age, odtworzenie do osobnej bazy, sanity-check. I nie wołał go NIKT — żaden cron, runbook ani dokument; jedyne wystąpienia nazwy tego pliku w repozytorium to jego własny nagłówek. Obok stał ops/scripts/restore-drill-isolated.sh: zła nazwa obiektu, bez sumy kontrolnej, bez deszyfrowania, za to wpięty w runbook, w mail przypominający i w gotowość do startu. Utwardzanie H-20 poszło w tę drugą kopię — dołożyłem progi na pięciu tabelach, tabelę RestoreDrill, właściciela, pomiar czasu i bramkę, przykręcając to wszystko do skryptu, który nie mógł zadziałać. To moja pomyłka i to na pozycji, której całym sensem było sprawdzenie, czy naprawdę potrafimy odtworzyć bazę. Rodzina „bliźniaczych miejsc": Z-12, Z-16, M-06, X-24, teraz tu — tym razem najdroższa, bo dotyczyła DR. | NAZWA OBIEKTU W CZTERECH MIEJSCACH: drill, prod-health-snapshot.sh, restore-postgres.sh i metryka Prometheusa. Trzy z czterech miały „latest.sql.gz", a backup wysyła „latest.sql.gz.age", bo szyfrowanie jest w produkcji obowiązkowe. | PRECYZYJNIE O SKUTKU, bo łatwo tu przesadzić: w sierpniu metryka pokazywała zero ZGODNIE Z PRAWDĄ — kopii nie było w ogóle, więc zła nazwa nie ukryła TAMTEJ awarii. Ukryłaby NASTĘPNĄ: po naprawie kopii metryka nadal czytałaby nieistniejący obiekt, alert VerrisPostgresBackupStale krzyczałby bez końca przy działających kopiach, a wtedy ktoś by go wyciszył. Alarm, który kłamie, kończy tak samo jak alarm, którego nie ma. | ROZWIĄZANIE: nazwa wyprowadzana z backup_crypto_latest_object(), obok backup_crypto_enabled — żeby odpowiedź na „czy .age" brała się z tego samego miejsca co decyzja o szyfrowaniu. TypeScript nie zaimportuje funkcji basha, więc stała OBIEKT_KOPII_LATEST jest wiązana z biblioteką testem czytającym oba pliki (ta sama technika co X-24 i Z-03). | Drill dostał to, czego mu brakowało: weryfikację sumy kontrolnej pobranego obiektu (bez niej dowodziłby, że da się odtworzyć TO, CO POBRAŁ, a nie to, co zapisała kopia) i deszyfrowanie przed gunzipem. | Czerwieni się na starym kodzie: 4 z 12. | CZEGO NIE ROBI: nie odpowiada, dlaczego krytyczny alert nie dotarł do nikogo przez miesiąc — to konfiguracja Alertmanagera, poza kodem repozytorium. Dokumentacja: docs/archiwum/zadania/H-24-jedna-nazwa-jeden-drill.md</t>
        </is>
      </c>
      <c r="P23" s="10" t="inlineStr">
        <is>
          <t>do zrobienia</t>
        </is>
      </c>
    </row>
    <row r="24">
      <c r="A24" s="10" t="inlineStr">
        <is>
          <t>X-28</t>
        </is>
      </c>
      <c r="B24" s="11" t="inlineStr">
        <is>
          <t>Reguła alertowa ma odbiorcę, a nie tylko próg</t>
        </is>
      </c>
      <c r="C24" s="10" t="inlineStr">
        <is>
          <t>audyt</t>
        </is>
      </c>
      <c r="D24" s="10" t="inlineStr">
        <is>
          <t>X — Infrastruktura jakości</t>
        </is>
      </c>
      <c r="E24" s="10" t="inlineStr">
        <is>
          <t>—</t>
        </is>
      </c>
      <c r="F24" s="10" t="n">
        <v>6</v>
      </c>
      <c r="G24" s="10" t="n">
        <v>2</v>
      </c>
      <c r="H24" s="10" t="inlineStr">
        <is>
          <t>Faza 0 — Zatrzymać krwawienie</t>
        </is>
      </c>
      <c r="I24" s="10" t="inlineStr">
        <is>
          <t>2026-09-07</t>
        </is>
      </c>
      <c r="J24" s="10" t="inlineStr">
        <is>
          <t>2026-09-11</t>
        </is>
      </c>
      <c r="K24" s="10" t="inlineStr">
        <is>
          <t>DZIAŁA</t>
        </is>
      </c>
      <c r="L24" s="11" t="inlineStr">
        <is>
          <t>ops/observability/grafana/provisioning/alerting/rules.yaml — 13 reguł, 2 grupy, provisionowane z repo; ops/observability/prometheus.yml — bez rule_files, z opisem dlaczego; ops/observability/grafana/provisioning/datasources/datasources.yml — uid: Prometheus; docker-compose.prod.yml — bez montowania usuniętego alerts.yml; ops/observability/grafana/migracja-regul-do-grafany.py — zapis, jak powstał wynik; apps/api/src/test/routing-alertow.spec.ts (31); docs/ops/GRAFANA_ALERTING.md</t>
        </is>
      </c>
      <c r="M24" s="11" t="inlineStr">
        <is>
          <t>—</t>
        </is>
      </c>
      <c r="N24" s="11" t="inlineStr">
        <is>
          <t>Funkcja dostępna z panelu klienta bez wychodzenia do DirectAdmina; test uruchamiany w CI.</t>
        </is>
      </c>
      <c r="O24" s="11" t="inlineStr">
        <is>
          <t>Zamknięte 2026-08-22. Wykryte przy zamykaniu H-23: kopia bazy nie wykonała się ani razu przez ponad miesiąc, a reguła VerrisPostgresBackupStale z severity: critical i progiem 25 h zapaliła się POPRAWNIE — tylko nie miała dokąd. | DWIE POŁOWY JEDNEGO MECHANIZMU, ŻADNA NIE DZIAŁA BEZ DRUGIEJ. Prometheus miał trzynaście reguł (pięć krytycznych) ładowanych przez rule_files i NIE MIAŁ sekcji `alerting:`; w całym repozytorium nie było usługi alertmanager. Grafana miała punkt kontaktowy (dominik@hvln.pl), politykę powiadomień i działający SMTP — i ZERO reguł. | DOKUMENT BYŁ CZĘŚCIĄ PROBLEMU: docs/ops/GRAFANA_ALERTING.md kazał „ręcznie odzwierciedlić progi z pliku YAML". Instrukcja ręcznego przepisania trzynastu progów przez człowieka to opis długu, nie procedura; nikt tego nie zrobił i nie było jak zauważyć, że nie zrobił. | RODZINA: ta sama co X-14, X-23, H-19, H-20, X-27 — kontrola, która melduje zamiast zatrzymywać — tylko o krok dalej. Tam mechanizm istniał i niczego nie bramkował; tu alarm istnieje, działa i nie ma odbiorcy. Sygnał bez odbiorcy jest gorszy od braku sygnału, bo wygląda jak zabezpieczenie. | PRZENIESIONE, NIE SKOPIOWANE. Reguły stoją teraz po stronie Grafany, alerts.yml usunięty, rule_files wycięte, montowanie wyjęte z compose. Skopiowanie dałoby SZÓSTE wystąpienie „bliźniaczych miejsc" (Z-12, Z-16, M-06, X-24, H-24): dwa egzemplarze jednej reguły, jeden poprawiony przy zmianie progu, drugi zapomniany. | UID ŹRÓDŁA DANYCH wpisany wprost — bez niego Grafana nadaje go losowo, a odwołanie do nieistniejącego źródła nie rzuca błędem: panel jest pusty, reguła nie ma czego policzyć. Ten sam cichy tryb awarii co reszta pozycji. | JEDNA REGUŁA INNA OD POZOSTAŁYCH: VerrisPostgresBackupStale ma noDataState: Alerting, reszta OK. Dla dwunastu reguł brak serii poprawnie znaczy „warunek niespełniony"; dla kopii bazy „metryka zniknęła" i „kopia jest świeża" wyglądałyby identycznie — a to jest dokładnie ten przypadek, który kosztował miesiąc. `for: 30m` chroni przed alarmem przy restarcie API. | PRZEPISYWANIE SKRYPTOWE, nie ręczne: trzynaście progów przepisanych palcami to trzynaście okazji na literówkę, której nikt nie sprawdzi. | Czerwieni się na starym kodzie: 26 z 31. Pięć asercji przechodziło i przed poprawką (punkt kontaktowy, polityka) — bo ta połowa naprawdę była w porządku; strażnik, który czerwieni się cały, zwykle sprawdza własną tezę zamiast kodu. | CZEGO NIE DOWODZI: że mail DOCHODZI. To dowód D3 — wymaga zapalonego alertu na produkcji i listu w skrzynce, z datą. Otwarty punkt w docs/ops/GRAFANA_ALERTING.md §3; najtaniej sprawdzić na VerrisSecurityWatchStale (zatrzymać timer na 20 minut). Uznanie pozycji za domkniętą na podstawie samego provisioningu byłoby rozumowaniem zakazanym w tym projekcie. | CZEGO NIE OBEJMUJE: eskalacji i dyżurów (jeden odbiorca, jeden adres — przy jednoosobowym zespole to właściwa wielkość), Slacka (wyłączony do czasu kanału), wyciszeń. Dokumentacja: docs/archiwum/zadania/X-28-alert-bez-adresata.md | DOWÓD D3 DOSTARCZALNOŚCI — 2026-08-23, dostarczony przez awarię, nie przez test. Przy X-30 reguły z execErrState: Alerting zapaliły się na błędzie ewaluacji i DZIESIĘĆ maili dotarło na dominik@hvln.pl z tematami [FIRING:1] &lt;alertname&gt; &lt;severity&gt; (Verris). Droga Grafana → SMTP → Postfix na panelu → mail.hvln.pl → skrzynka jest potwierdzona na całej długości. | TEN PRZYPADEK POTWIERDZIŁ TRZY RZECZY, KTÓRYCH PLANOWANY TEST JEDNEGO ALERTU BY NIE POTWIERDZIŁ: (1) droga do skrzynki działa; (2) migracja nie pogubiła nazw ani wag — tematy pokazały critical przy VerrisRuntimeErrorsHigh, VerrisOpenMajorIncident, VerrisSecurityWatchFindings i VerrisProvisioningQueueFailed oraz warning przy pozostałych, dokładnie jak w usuniętym alerts.yml; (3) progi `for:` przetrwały migrację — zapaliło się DZIESIĘĆ z trzynastu, a nie zapaliły się dokładnie te trzy z najdłuższym for: VerrisPostgresBackupStale (30 m), VerrisStatusWebhookFailed (30 m) i VerrisSecurityWatchStale (20 m), bo od restartu nie minęło tyle czasu. Skrypt migracyjny mógł te wartości po cichu przekręcić i żaden test w CI by tego nie zobaczył — zobaczyła to skrzynka.</t>
        </is>
      </c>
      <c r="P24" s="10" t="inlineStr">
        <is>
          <t>do zrobienia</t>
        </is>
      </c>
    </row>
    <row r="25">
      <c r="A25" s="10" t="inlineStr">
        <is>
          <t>X-29</t>
        </is>
      </c>
      <c r="B25" s="11" t="inlineStr">
        <is>
          <t>Wdrożenie dowozi konfigurację obserwowalności na serwer</t>
        </is>
      </c>
      <c r="C25" s="10" t="inlineStr">
        <is>
          <t>audyt</t>
        </is>
      </c>
      <c r="D25" s="10" t="inlineStr">
        <is>
          <t>X — Infrastruktura jakości</t>
        </is>
      </c>
      <c r="E25" s="10" t="inlineStr">
        <is>
          <t>—</t>
        </is>
      </c>
      <c r="F25" s="10" t="n">
        <v>6</v>
      </c>
      <c r="G25" s="10" t="n">
        <v>2</v>
      </c>
      <c r="H25" s="10" t="inlineStr">
        <is>
          <t>Faza 0 — Zatrzymać krwawienie</t>
        </is>
      </c>
      <c r="I25" s="10" t="inlineStr">
        <is>
          <t>2026-09-07</t>
        </is>
      </c>
      <c r="J25" s="10" t="inlineStr">
        <is>
          <t>2026-09-11</t>
        </is>
      </c>
      <c r="K25" s="10" t="inlineStr">
        <is>
          <t>DZIAŁA</t>
        </is>
      </c>
      <c r="L25" s="11" t="inlineStr">
        <is>
          <t>ops/scripts/prod-deploy-ghcr.sh — krok 4.5: OBS_SERVICES, promtool check config przed restartem, compose up -d + compose restart, sprawdzenie /api/health i /-/healthy po restarcie, exit 1 gdy nie wrócą; apps/api/src/test/wdrozenie-obserwowalnosci.spec.ts (8)</t>
        </is>
      </c>
      <c r="M25" s="11" t="inlineStr">
        <is>
          <t>—</t>
        </is>
      </c>
      <c r="N25" s="11" t="inlineStr">
        <is>
          <t>Funkcja dostępna z panelu klienta bez wychodzenia do DirectAdmina; test uruchamiany w CI.</t>
        </is>
      </c>
      <c r="O25" s="11" t="inlineStr">
        <is>
          <t>Zamknięte 2026-08-23. Wykryte przy X-28, pytaniem kontrolnym: co się właściwie stanie po wdrożeniu poprawki, która przenosi reguły alertowe do Grafany? Odpowiedź: NIC. | MECHANIZM: prod-deploy-ghcr.sh robi na serwerze checkout repozytorium do wdrażanego SHA, więc nowe pliki lądują na dysku — po czym restartuje wyłącznie APP_SERVICES="api client-panel staff-panel admin-panel status-page www". Prometheusa i Grafany na tej liście nie ma, a oba czytają konfigurację TYLKO przy starcie kontenera i oba mają ją podmontowaną z repozytorium. | ZASIĘG SZERSZY NIŻ ALERTY: tą samą drogą nie docierało na produkcję wszystko pod ops/observability/ — cele scrapowania i retencja w prometheus.yml, źródła danych, dwadzieścia kilka dashboardów Grafany, punkty kontaktowe i polityki. Każda zmiana w tych plikach od ostatniego RĘCZNEGO restartu Grafany istniała wyłącznie w repozytorium. | RODZINA: ten sam kształt co X-28 (alarm bez odbiorcy), X-14 i X-23 (kontrola, która melduje zamiast zatrzymywać) i H-20 (procedura bez dowodu wykonania) — COŚ WYGLĄDA NA ZROBIONE, BO ISTNIEJE. Zielone CI, zielony deploy, plik na dysku, pozycja zamknięta — i zero zmiany w działającym systemie. Różnica: tu zawodziło ostatnie ogniwo, nie budowa ani test, tylko DOSTARCZENIE. | POPRAWKA: krok 4.5, dwa polecenia zamiast jednego. `up -d` odtwarza kontener, gdy zmieniła się DEFINICJA usługi (X-28 usunęło montowanie alerts.yml); `restart` wymusza ponowne wczytanie, gdy zmieniła się tylko TREŚĆ podmontowanego pliku — tego compose nie widzi. | BEZWARUNKOWO, nie „gdy się zmieniło": porównanie z poprzednim SHA wymagałoby obu wersji w repozytorium na serwerze, a fetch jest tam płytki (--depth 1); nieudane porównanie skończyłoby się cichym „brak zmian → nie restartuj", czyli dokładnie tym błędem, który ta pozycja naprawia. Kilkanaście sekund przerwy w metrykach kontra miesiąc bez kopii bazy. | SPRAWDZENIE PRZED: promtool check config przez `compose run --rm --no-deps --entrypoint promtool`, a nie `exec` — świeży kontener z tą samą definicją, więc sprawdzenie działa także wtedy, gdy Prometheus akurat leży; przy `exec` padałoby w jedynym momencie, w którym naprawdę zależy nam na restarcie. Restart na zepsutej konfiguracji zdejmuje monitoring, a zauważyć to miał właśnie monitoring. | SPRAWDZENIE PO: „wydałem polecenie restartu" to nie to samo co „wróciły" — /api/health Grafany i /-/healthy Prometheusa (pytany Z KONTENERA Grafany, bo obraz Prometheusa nie ma czym wykonać zapytania HTTP), 20 prób co 3 s, potem exit 1. | KOLEJNOŚĆ W DWIE STRONY: krok jest PO bramce zdrowia i PO zapisaniu .last-good-image-tag, żeby awaria monitoringu nie wywróciła sprawnego wdrożenia; kończy się exit 1, a nie ostrzeżeniem, żeby wdrożenie nie uchodziło za skończone, zanim monitoring dostanie nową konfigurację. | Czerwieni się na starym kodzie: 6 z 8. Dwie przechodziły i przedtem — w tym ta o APP_SERVICES, bo Prometheusa i Grafany naprawdę tam nie było (tyle że nie było ich też nigdzie indziej). | CZEGO NIE DOWODZI: że po najbliższym wdrożeniu Grafana MA reguły — to obserwacja na produkcji (D3): Alerting → Alert rules powinno pokazać trzynaście reguł w folderze Verris. | Deploy #66 (scalenie X-28) poszedł jeszcze STARYM skryptem, więc pliki wjechały na serwer, a monitoring został z poprzednią konfiguracją; naprawia się to samo przy pierwszym wdrożeniu z tą zmianą. Dokumentacja: docs/archiwum/zadania/X-29-obserwowalnosc-nie-docierala-na-produkcje.md</t>
        </is>
      </c>
      <c r="P25" s="10" t="inlineStr">
        <is>
          <t>do zrobienia</t>
        </is>
      </c>
    </row>
    <row r="26">
      <c r="A26" s="10" t="inlineStr">
        <is>
          <t>X-30</t>
        </is>
      </c>
      <c r="B26" s="11" t="inlineStr">
        <is>
          <t>Reguły alertowe nie tylko są wczytane, ale się liczą</t>
        </is>
      </c>
      <c r="C26" s="10" t="inlineStr">
        <is>
          <t>audyt</t>
        </is>
      </c>
      <c r="D26" s="10" t="inlineStr">
        <is>
          <t>X — Infrastruktura jakości</t>
        </is>
      </c>
      <c r="E26" s="10" t="inlineStr">
        <is>
          <t>—</t>
        </is>
      </c>
      <c r="F26" s="10" t="n">
        <v>6</v>
      </c>
      <c r="G26" s="10" t="n">
        <v>2</v>
      </c>
      <c r="H26" s="10" t="inlineStr">
        <is>
          <t>Faza 0 — Zatrzymać krwawienie</t>
        </is>
      </c>
      <c r="I26" s="10" t="inlineStr">
        <is>
          <t>2026-09-07</t>
        </is>
      </c>
      <c r="J26" s="10" t="inlineStr">
        <is>
          <t>2026-09-11</t>
        </is>
      </c>
      <c r="K26" s="10" t="inlineStr">
        <is>
          <t>DZIAŁA</t>
        </is>
      </c>
      <c r="L26" s="11" t="inlineStr">
        <is>
          <t>ops/observability/grafana/provisioning/datasources/datasources.yml — deleteDatasources przed deklaracją, uid: Prometheus; ops/scripts/prod-deploy-ghcr.sh — krok 4.6: grafana_alerting_rule_group_rules &gt; 0 oraz podwójny odczyt grafana_alerting_rule_evaluation_failures_total w odstępie 75 s, exit 1 przy przyroście; apps/api/src/test/reguly-alertowe-licza-sie.spec.ts (11). DOWÓD D3: wdrożenie #68 zielone przez krok 4.6; log Grafany po restarcie 11:01:46 bez „Failed to build rule evaluator" (wszystkie wystąpienia 10:58–11:01:39, czyli sprzed restartu); „inserting datasource from configuration" name=Prometheus uid=Prometheus.</t>
        </is>
      </c>
      <c r="M26" s="11" t="inlineStr">
        <is>
          <t>—</t>
        </is>
      </c>
      <c r="N26" s="11" t="inlineStr">
        <is>
          <t>Funkcja dostępna z panelu klienta bez wychodzenia do DirectAdmina; test uruchamiany w CI.</t>
        </is>
      </c>
      <c r="O26" s="11" t="inlineStr">
        <is>
          <t>ZAMKNIĘTE 2026-08-23. | CO SIĘ STAŁO: wdrożenie #67 przeszło na zielono, krok X-29 zrobił swoje (promtool przyjął konfigurację, oba kontenery wstały, oba odpowiedziały na health-check), Grafana zalogowała „starting to provision alerting" i „finished", trzynaście reguł stanęło w jej bazie — i wszystkie trzynaście waliło się co trzydzieści sekund: „Failed to build rule evaluator / failed to build query 'A': data source not found". Łącznie z VerrisPostgresBackupStale, czyli tą jedyną, dla której to wszystko było robione. | PRZYCZYNA: reguły odwołują się do źródła danych po uid. X-28 dopisało uid: Prometheus do datasources.yml i to NIE WYSTARCZYŁO — Grafana przy provisioningu aktualizuje istniejące źródło po NAZWIE i zostawia mu uid nadany przy pierwszym utworzeniu, czyli losowy. Dashboardy tego nie zauważyły, bo mają starą, nazwową ścieżkę zgodności; reguły alertowe takiej nie mają. | MÓJ BŁĄD, NAZWANY WPROST: strażnik X-28 sprawdzał, że datasourceUid użyty w regułach WYSTĘPUJE w datasources.yml. Występował. Plik był spójny z plikiem — i to nie dowodziło niczego o działającym systemie, bo pytanie nie brzmiało „czy napis się zgadza", tylko „czy Grafana rozwiąże to odwołanie". Test zgodności plików nie widzi semantyki upsertu Grafany. Ta sama pułapka co Z-01, H-20 i dwa razy przy diagnozie @prisma/client: test przechodzi, system nie działa. Napisałem o niej w komentarzu do X-28 i wpadłem w nią godzinę później. | POPRAWKA 1 — źródło danych jest ODTWARZANE, nie aktualizowane: deleteDatasources wykonuje się PRZED wstawieniem, więc źródło powstaje od nowa z uid-em z repozytorium. Rekord jest w całości zadeklarowany w pliku, więc nie ma czego stracić. Przy okazji naprawia dashboardy: przestają zależeć od ścieżki zgodności. | POPRAWKA 2 — krok 4.6 pyta DZIAŁAJĄCĄ Grafanę: grafana_alerting_rule_group_rules musi być &gt; 0 (pusty provisioning wygląda identycznie jak zdrowa Grafana), a grafana_alerting_rule_evaluation_failures_total odczytywany DWA RAZY w odstępie 75 s — liczy się PRZYROST, nie wartość, bo pojedyncze niepowodzenie tuż po restarcie jest normalne, a odstęp musi być dłuższy niż cykl najkrótszej grupy (30 s), inaczej zero błędów znaczy tylko „nic się jeszcze nie policzyło". | CZEGO SIĘ NIE DA ZROBIĆ INACZEJ: naturalny odruch to „alarm o niedziałających alarmach", czyli reguła na increase(...failures_total). NIE ZADZIAŁA w tym przypadku — meta-reguła jest regułą Grafany i liczy się z tego samego źródła danych; gdy źródło jest zepsute, ona też milczy. Łapie pojedynczą regułę z błędnym wyrażeniem, nie łapie złamanego źródła. Ten przypadek łapie WYŁĄCZNIE bramka we wdrożeniu, bo pyta z zewnątrz. Nie dokładam meta-reguły, bo dałaby poczucie pokrycia, którego nie ma. | Czerwieni się na starym kodzie: 7 z 11. routing-alertow.spec.ts zostaje bez zmian — sprawdzanie zgodności plików jest POTRZEBNE, okazało się tylko NIEWYSTARCZAJĄCE. | JAK ZAMKNĄĆ: zielony deploy + brak „Failed to build rule evaluator" w logu Grafany. Dokumentacja: docs/archiwum/zadania/X-30-reguly-wczytane-ale-nieliczace-sie.md | ZAMKNIĘTE 2026-08-23 — DOWÓD D3 Z LOGU PRODUKCYJNEJ GRAFANY. Wdrożenie #68 (2788011) przeszło przez nowy krok 4.6 i trwało 9m54s, czyli o te 75 sekund dłużej — krok przechodzi tylko wtedy, gdy Grafana ma reguły I licznik nieudanych ewaluacji nie urósł. W logu: 11:01:46 „deleted datasource based on configuration" name=Prometheus, zaraz po tym „inserting datasource from configuration" name=Prometheus uid=Prometheus. Wszystkie wpisy „Failed to build rule evaluator" mają znacznik 10:58–11:01:39, czyli SPRZED restartu; po 11:01:46 nie ma ANI JEDNEGO. Wpisy „Detected stale state entry ... reason=Error" o 11:02–11:03 to Grafana sprzątająca stare wpisy w stanie Alerting-z-powodu-błędu, stąd wiadomości [RESOLVED]. | POTWIERDZENIE UBOCZNE, MOCNIEJSZE OD SAMEGO LOGU: reguła VerrisProvisioningQueueFailed NIE ucichła po naprawie — wysyła alarm co minutę od 11:12, a ma for: 10m przy restarcie 11:01:46, więc pierwsze zapalenie o 11:12 zgadza się co do sekundy. To znaczy, że warunek verris_provisioning_queue_depth{state="failed"} &gt; 0 jest PRAWDZIWIE spełniony: alerting zaczął działać i w ciągu dziesięciu minut znalazł na produkcji coś realnego. Reguła, która zapala się z właściwego powodu, dowodzi więcej niż cisza. Osobna pozycja.</t>
        </is>
      </c>
      <c r="P26" s="10" t="inlineStr">
        <is>
          <t>do zrobienia</t>
        </is>
      </c>
    </row>
    <row r="27">
      <c r="A27" s="10" t="inlineStr">
        <is>
          <t>X-31</t>
        </is>
      </c>
      <c r="B27" s="11" t="inlineStr">
        <is>
          <t>Kanał alertów daje znak życia (dead man's switch)</t>
        </is>
      </c>
      <c r="C27" s="10" t="inlineStr">
        <is>
          <t>audyt</t>
        </is>
      </c>
      <c r="D27" s="10" t="inlineStr">
        <is>
          <t>X — Infrastruktura jakości</t>
        </is>
      </c>
      <c r="E27" s="10" t="inlineStr">
        <is>
          <t>—</t>
        </is>
      </c>
      <c r="F27" s="10" t="n">
        <v>6</v>
      </c>
      <c r="G27" s="10" t="n">
        <v>2</v>
      </c>
      <c r="H27" s="10" t="inlineStr">
        <is>
          <t>Faza 0 — Zatrzymać krwawienie</t>
        </is>
      </c>
      <c r="I27" s="10" t="inlineStr">
        <is>
          <t>2026-09-07</t>
        </is>
      </c>
      <c r="J27" s="10" t="inlineStr">
        <is>
          <t>2026-09-11</t>
        </is>
      </c>
      <c r="K27" s="10" t="inlineStr">
        <is>
          <t>DZIAŁA</t>
        </is>
      </c>
      <c r="L27" s="11" t="inlineStr">
        <is>
          <t>ops/observability/grafana/provisioning/alerting/rules.yaml — grupa verris_kanal_alertow, reguła VerrisKanalAlertowZyje (vector(1), for: 0s, oba stany awaryjne na Alerting, etykieta kanal: heartbeat); policies.yaml — gałąź object_matchers kanal=heartbeat, repeat_interval 24h; apps/api/src/test/routing-alertow.spec.ts (5 asercji X-31); docs/ops/GRAFANA_ALERTING.md §4. BRAK: pierwszego maila [FIRING:1] VerrisKanalAlertowZyje — dowód D3 jeszcze nie powstał.</t>
        </is>
      </c>
      <c r="M27" s="11" t="inlineStr">
        <is>
          <t>—</t>
        </is>
      </c>
      <c r="N27" s="11" t="inlineStr">
        <is>
          <t>Funkcja dostępna z panelu klienta bez wychodzenia do DirectAdmina; test uruchamiany w CI.</t>
        </is>
      </c>
      <c r="O27" s="11" t="inlineStr">
        <is>
          <t>Stan 2026-08-23: ZROBIONE W KODZIE (D2), D3 powstanie przy pierwszym mailu. Decyzja właściciela produktu: wariant „jeden mail na dobę". | PROBLEM: po naprawie X-30 alerty ucichną, a cisza będzie znaczyła „nic się nie pali" — i będzie wyglądała IDENTYCZNIE jak: Grafana padła, Postfix przestał przyjmować, mail.hvln.pl zaczął odrzucać albo wrzucać do spamu, ktoś zmienił adres w punkcie kontaktowym, polityka przestała pasować do etykiet. To dokładnie ta sama cisza, która przez miesiąc znaczyła „kopia bazy jest w porządku" (H-23) i kosztowała wszystkie kopie zapasowe. | ROZWIĄZANIE: VerrisKanalAlertowZyje — reguła vector(1), pali się ZAWSZE, jej BRAK jest sygnałem. for: 0s, noDataState: Alerting, execErrState: Alerting — nie da się jej „nie zapalić": normalnie warunek jest spełniony, a gdyby źródło danych przestało odpowiadać, oba stany awaryjne też prowadzą do Alerting. Milczenie ma znaczyć awarię, nigdy spokój. | JEDEN MAIL NA DOBĘ, NIE SZEŚĆ: osobna gałąź polityki na etykiecie kanal: heartbeat z repeat_interval 24h. Na domyślnej (4h) byłoby sześć dziennie, a alert przychodzący sześć razy dziennie przestaje być czytany po tygodniu — wtedy przestaje cokolwiek dawać, bo jego BRAK jest jedyną informacją, jaką niesie. Strażnik pilnuje osobno, że polityka domyślna NIE została przy okazji przestawiona na dobę: prawdziwy alarm ma się przypominać co cztery godziny. | HACZYK, KTÓRY TRZEBA NAZWAĆ: mail, którego się nie czyta, wraca do punktu wyjścia. Jeśli po tygodniu przestanie być zauważany, reguła przestaje działać — nie dlatego, że jest zepsuta, tylko dlatego, że przestała być czytana. Tego nie da się naprawić kodem. | CZEGO NIE OBEJMUJE: awarii całego serwera (heartbeat mieszka na tej samej maszynie co Grafana i milczy razem z nią — odporny byłby watchdog SPOZA naszej infrastruktury, pukany cronem; nie ma go i to świadoma decyzja, nie przeoczenie) ani poprawności pozostałych reguł (tego pilnuje bramka z X-30). | Czerwieni się na starym kodzie: 5 z 36. | Doszła lista DOPISANE_POZNIEJ, trzymana osobno od ALERTY: tamta odpowiada na pytanie „czy migracja czegoś nie zgubiła" i ma zostać zamrożona, ta na „czy ktoś czegoś po cichu nie dołożył". Dokumentacja: docs/archiwum/zadania/X-31-znak-zycia-kanalu-alertow.md | 2026-09-22 D3: wlasciciel potwierdza, ze mail [FIRING:1] VerrisKanalAlertowZyje przychodzi codziennie. Kanal alertow dziala koniec-do-konca.</t>
        </is>
      </c>
      <c r="P27" s="10" t="inlineStr">
        <is>
          <t>do zrobienia</t>
        </is>
      </c>
    </row>
    <row r="28">
      <c r="A28" s="10" t="inlineStr">
        <is>
          <t>X-32</t>
        </is>
      </c>
      <c r="B28" s="11" t="inlineStr">
        <is>
          <t>Martwy job da się odrzucić z panelu, ze śladem w audycie</t>
        </is>
      </c>
      <c r="C28" s="10" t="inlineStr">
        <is>
          <t>audyt</t>
        </is>
      </c>
      <c r="D28" s="10" t="inlineStr">
        <is>
          <t>X — Infrastruktura jakości</t>
        </is>
      </c>
      <c r="E28" s="10" t="inlineStr">
        <is>
          <t>—</t>
        </is>
      </c>
      <c r="F28" s="10" t="n">
        <v>6</v>
      </c>
      <c r="G28" s="10" t="n">
        <v>2</v>
      </c>
      <c r="H28" s="10" t="inlineStr">
        <is>
          <t>Faza 0 — Zatrzymać krwawienie</t>
        </is>
      </c>
      <c r="I28" s="10" t="inlineStr">
        <is>
          <t>2026-09-07</t>
        </is>
      </c>
      <c r="J28" s="10" t="inlineStr">
        <is>
          <t>2026-09-11</t>
        </is>
      </c>
      <c r="K28" s="10" t="inlineStr">
        <is>
          <t>DZIAŁA</t>
        </is>
      </c>
      <c r="L28" s="11" t="inlineStr">
        <is>
          <t>apps/api/src/common/audit/audit.actions.ts — PROVISIONING_JOB_DISCARDED_BY_ADMIN; provisioning-queue.service.ts — odrzucJob (getState() === failed, ślad przed job.remove(), audyt z subskrypcją, typem, liczbą prób, failedReason i powodem); provisioning-queue.admin.controller.ts — POST :id/odrzuc za @StaffPerm('PROVISIONING_MANAGE'); apps/admin-panel/.../provisioning-queue/ — actions.ts, odrzuc-button.tsx (dwa kliknięcia, powód ≥5 znaków, zdanie o nietkniętej subskrypcji), page.tsx; apps/api/src/test/odrzucenie-martwego-joba.spec.ts (13). BRAK: pierwszego odrzucenia na produkcji — dowód D3 jeszcze nie powstał.</t>
        </is>
      </c>
      <c r="M28" s="11" t="inlineStr">
        <is>
          <t>—</t>
        </is>
      </c>
      <c r="N28" s="11" t="inlineStr">
        <is>
          <t>Funkcja dostępna z panelu klienta bez wychodzenia do DirectAdmina; test uruchamiany w CI.</t>
        </is>
      </c>
      <c r="O28" s="11" t="inlineStr">
        <is>
          <t>Stan 2026-08-23: ZROBIONE W KODZIE (D2), D3 przy pierwszym odrzuceniu na produkcji — a to da się zrobić od razu po wdrożeniu, w odróżnieniu od Z-18, który czeka na węzeł. Decyzja właściciela produktu: dorobić akcję w panelu zamiast jednorazowego czyszczenia Redisa. | JAK TO WYSZŁO: X-30 naprawiło alerting, VerrisProvisioningQueueFailed zapalił się z prawdziwego powodu i wskazał cztery martwe joby (to z nich wyszło Z-18). Naturalny następny ruch — usunąć je — okazał się NIEWYKONALNY: panel ma przy nich wyłącznie „Retry", a kontroler administracyjny dokładnie dwa endpointy, listowanie i ponowienie. Retry nic nie daje, bo węzła nie ma: job padnie ponownie, podbije licznik prób i dołoży wpisy do audytu — cztery martwe joby zamieniają się w cztery martwe joby z dłuższą historią. Zostawało grzebanie w Redisie ręcznie, czyli zmiana stanu produkcyjnego dotyczącego subskrypcji klientów BEZ ŚLADU W AUDYCIE. | TO NIE JEST USTERKA TYCH CZTERECH JOBÓW, tylko luka w warstwie operatorskiej, która ujawni się ponownie przy pierwszym prawdziwym niepowodzeniu provisioningu — z tą różnicą, że wtedy po drugiej stronie będzie klient. | ROZWIĄZANIE: POST /admin/provisioning-queue/:id/odrzuc + przycisk „Odrzuć" obok Retry. TRZY REGUŁY: (1) TYLKO STAN failed — usunięcie joba aktywnego albo czekającego osierociłoby provisioning w trakcie, konto na węźle mogłoby powstać, a system przestałby o nim wiedzieć; ograniczenie siedzi w usłudze, nie w kontrolerze, bo to reguła o kolejce, nie o HTTP; (2) POWÓD WYMAGANY, tak samo jak przy retry — operacja bez powodu to operacja, której za pół roku nikt nie wyjaśni; (3) NAJPIERW ODCZYT, POTEM USUNIĘCIE — ślad zbierany PRZED job.remove(), bo po usunięciu nie ma już czego odczytać; zapisujemy subskrypcję, joba, typ, liczbę prób, ostatni błąd i powód. Po Z-18 ten ostatni błąd niesie PRAWDZIWĄ przyczynę, więc wpis ma realną wartość dowodową — jeszcze wczoraj zapisałby zdanie o brakującym pakiecie DirectAdmina, którego nigdy nie brakowało. | OSOBNA AKCJA AUDYTU (PROVISIONING_JOB_DISCARDED_BY_ADMIN), nie wariant retry: w raportach odrzucenie i ponowienie to dwie różne decyzje i nie wolno im się zlewać. | DWA KLIKNIĘCIA, NIE JEDNO: retry można cofnąć następnym retry, odrzucenia nie da się cofnąć wcale. Potwierdzenie jest po to, żeby ta różnica była wyczuwalna w palcach. | ZDANIE PRZY PRZYCISKU: „Usuwa wpis z kolejki bez możliwości cofnięcia. Subskrypcja zostaje nietknięta." Operator ma prawo założyć, że „odrzuć" anuluje zamówienie — nie anuluje. Musi to być napisane tam, gdzie się klika, a nie w dokumentacji, której nikt nie otworzy w trakcie incydentu. | Czerwieni się na starym kodzie: 11 z 13. | DWIE UWAGI O SAMYCH TESTACH: odczyty plików panelu są LENIWE, bo odczyt na poziomie describe wywalał cały plik testowy, zanim cokolwiek się policzyło — a wtedy nie wiadomo, ILE asercji się czerwieni, tylko że „nie skompilowało się"; asercja o warunku row.failedReason nie mierzy odległości w znakach, tylko relację między warunkiem a przyciskiem, bo wersja licząca znaki zepsuła się od dopisania komentarza i kusiło, żeby poszerzyć okno zamiast poprawić asercję — to byłoby naprawianie testu zamiast kodu. | CZEGO NIE OBEJMUJE: losu czterech subskrypcji, które dostały zwrot i status PENDING_PAYMENT (odrzucenie joba ich nie dotyka — osobne sprzątanie po stronie bazy); odrzucania hurtem — świadomie, bo przycisk „odrzuć wszystkie" jest wygodny dokładnie do momentu, w którym ktoś kliknie go na kolejce z prawdziwym zamówieniem. | JAK ZAMKNĄĆ: odrzucić jeden z czterech martwych jobów, obejrzeć wpis PROVISIONING_JOB_DISCARDED_BY_ADMIN w audycie i sprawdzić, że verris_provisioning_queue_depth{state="failed"} spadło o jeden. Dokumentacja: docs/archiwum/zadania/X-32-odrzucenie-martwego-joba.md | 2026-09-22 D3: wlasciciel odrzucil martwy job przyciskiem 'Odrzuc' w panelu admina na produkcji (potwierdzenie wlasciciela; wpis PROVISIONING_JOB_DISCARDED_BY_ADMIN w audycie).</t>
        </is>
      </c>
      <c r="P28" s="10" t="inlineStr">
        <is>
          <t>do zrobienia</t>
        </is>
      </c>
    </row>
    <row r="29">
      <c r="A29" s="10" t="inlineStr">
        <is>
          <t>X-33</t>
        </is>
      </c>
      <c r="B29" s="11" t="inlineStr">
        <is>
          <t>Bramka alertów odróżnia „nie ma" od „jeszcze nie ma"</t>
        </is>
      </c>
      <c r="C29" s="10" t="inlineStr">
        <is>
          <t>audyt</t>
        </is>
      </c>
      <c r="D29" s="10" t="inlineStr">
        <is>
          <t>X — Infrastruktura jakości</t>
        </is>
      </c>
      <c r="E29" s="10" t="inlineStr">
        <is>
          <t>—</t>
        </is>
      </c>
      <c r="F29" s="10" t="n">
        <v>6</v>
      </c>
      <c r="G29" s="10" t="n">
        <v>2</v>
      </c>
      <c r="H29" s="10" t="inlineStr">
        <is>
          <t>Faza 0 — Zatrzymać krwawienie</t>
        </is>
      </c>
      <c r="I29" s="10" t="inlineStr">
        <is>
          <t>2026-09-07</t>
        </is>
      </c>
      <c r="J29" s="10" t="inlineStr">
        <is>
          <t>2026-09-11</t>
        </is>
      </c>
      <c r="K29" s="10" t="inlineStr">
        <is>
          <t>DZIAŁA</t>
        </is>
      </c>
      <c r="L29" s="11" t="inlineStr">
        <is>
          <t>ops/scripts/lib/bramka-regul-alertowych.sh — czekaj_na_reguly (do 20 prób co 3 s, warunek: aktywne == oczekiwane i paused == 0), policz_reguly_w_pliku (liczba odniesienia z rules.yaml), regul_w_stanie, metryka_istnieje (rozróżnienie braku linii od linii z zerem); ops/scripts/prod-deploy-ghcr.sh — krok 4.6a; apps/api/src/test/bramka-regul-nie-myli-braku-z-oczekiwaniem.spec.ts (9 asercji, uruchamia prawdziwą funkcję bashową z atrapą Grafany); apps/api/src/test/reguly-alertowe-licza-sie.spec.ts — kodZBibliotekami(). D3: wdrożenie #73 (2026-08-24) — „OK: 14/14 reguł aktywnych (próba 4)" (dowód z #71 unieważniony przez X-34). ops/scripts/lib/bramka-regul-alertowych.sh — okno_bramki_sekundy (jedno źródło okna, 180 s).</t>
        </is>
      </c>
      <c r="M29" s="11" t="inlineStr">
        <is>
          <t>—</t>
        </is>
      </c>
      <c r="N29" s="11" t="inlineStr">
        <is>
          <t>Funkcja dostępna z panelu klienta bez wychodzenia do DirectAdmina; test uruchamiany w CI.</t>
        </is>
      </c>
      <c r="O29" s="11" t="inlineStr">
        <is>
          <t>Stan 2026-08-23: ZROBIONE W KODZIE (D2), D3 przy pierwszym ZIELONYM wdrożeniu. | CO SIĘ STAŁO: wdrożenie #70 (b64db02, scalenie X-32) padło na bramce X-30 z komunikatem „Grafana nie ma ANI JEDNEJ reguły alertowej", podczas gdy Grafana miała w tej samej chwili CZTERNAŚCIE aktywnych reguł (grafana_alerting_rule_group_rules{state="active"}=14, paused=0). Oś czasu z logu: 15:43:09 restart, 15:43:15 /api/health OK, 15:43:16 odczyt metryki → zero → FAIL. Siedem sekund od restartu. | DLACZEGO ZERO NIE ZNACZYŁO ZERA: w Grafanie 10.4.2 grafana_alerting_rule_group_rules to GaugeVec z etykietami org i state, ustawiany w processTick() — na pierwszym takcie schedulera alertów (domyślnie 10 s), nie przy starcie procesu. Do tego momentu metryka NIE MA W /metrics ANI JEDNEJ LINII; suma z pustki przez awk daje zero i wygląda identycznie jak katastrofa. /api/health odpowiada dużo wcześniej. Wdrożenia #68 i #69 wygrały ten wyścig, #70 przegrało — o werdykcie bramki decydowała szybkość startu, nie stan systemu. | DLACZEGO TO POWAŻNIEJSZE NIŻ JEDEN CZERWONY DEPLOY: bramka, która potrafi zapalić się na zdrowym systemie, uczy człowieka klikać „re-run" — od tej chwili nie chroni już niczego, a nadal figuruje w audycie jako dowód D2. | NOWY TYP W KOLEKCJI: „kontrola, która nie odróżnia NIE MA od JESZCZE NIE MA". Mieliśmy bramki meldujące zamiast bramkować (X-14, X-23, H-19, H-20, X-27, X-28), testy niczego niedowodzące (Z-01, H-20, M-06, X-28) i poprawną kontrolę, której się kłamie (Z-18). Pytanie do każdej przyszłej bramki: CZY BRAK DANYCH I ZŁA WARTOŚĆ DAJĄ W NIEJ TEN SAM WYNIK? Jeśli tak — bramka mierzy czas, a nie stan. | ROZWIĄZANIE: logika w osobnym pliku ops/scripts/lib/bramka-regul-alertowych.sh, wczytywanym przez skrypt wdrożeniowy. czekaj_na_reguly odpytuje Grafanę do 20 razy co 3 s i przechodzi dopiero, gdy liczba reguł aktywnych zgadza się z oczekiwaną i żadna nie wisi w stanie paused. TO NIE JEST POLUZOWANIE: stara wersja przepuszczała 9 reguł z 14 (bo 9 &gt; 0) i odrzucała 14 z 14 (bo mierzyła za wcześnie) — nowa robi odwrotnie w obu przypadkach. | TRZY RÓŻNE NIEPOWODZENIA, TRZY RÓŻNE KOMUNIKATY: brak metryki → „scheduler nie wystartował" (naprawiaj Grafanę); za mało reguł → „prowizjonowanie CZĘŚCIOWE: 9 z 14" (naprawiaj rules.yaml); reguły paused → „wczytane, ale NIE LICZĄ SIĘ". Bramka mówiąca jedno zdanie na trzy awarie każe diagnozować od zera — ta sama lekcja co Z-18. | LICZBA ODNIESIENIA Z PLIKU: policz_reguly_w_pliku liczy wpisy „- uid:" w rules.yaml w chwili wdrożenia. Wpisanie „14" do skryptu byłoby SZÓSTYM BLIŹNIACZYM MIEJSCEM (Z-12, Z-16, M-06, X-24, H-24). | CZEGO ŚWIADOMIE NIE ZROBILIŚMY: nie skróciliśmy taktu schedulera Grafany — zmiana ustawienia produkcyjnego po to, żeby zadowolić bramkę, odwraca zależność. | STRAŻNIK WYGLĄDA INACZEJ NIŻ POPRZEDNIE i to jest jego sedno: ani jednej asercji typu „w skrypcie występuje słowo sleep". Test URUCHAMIA PRAWDZIWĄ FUNKCJĘ BASHOWĄ i podstawia jej atrapę Grafany zachowującą się dokładnie tak, jak Grafana o 15:43:16 (trzy odpowiedzi bez metryki, potem czternaście reguł). Właśnie po to logika trafiła do osobnego pliku — dopóki siedziała w skrypcie, jedyną możliwą asercją było czytanie tekstu skryptu, czyli błąd X-28. | Czerwieni się na starym kodzie: 9 z 9 — ale ta liczba jest mało pouczająca, bo na starym stanie repozytorium biblioteki nie ma wcale i wszystko wysypuje się na braku pliku. Zmierzone drugi raz, ze STARĄ SEMANTYKĄ podstawioną pod ten sam interfejs (jeden odczyt, warunek „&gt; 0"): 7 z 9. To uczciwsza liczba — oddziela zmianę zachowania od zniknięcia pliku. | CO ZŁAPALI STRAŻNICY, KTÓRZY JUŻ BYLI (oba miały rację): (1) skrypty-wykonywalne.spec.ts — nowa biblioteka nie miała bitu wykonywalności; kusiło dopisać wyjątek „to plik wczytywany", ale komentarz tego strażnika mówi wprost, że reguła jest bezwyjątkowa właśnie dlatego, że lista wyjątków byłaby kolejnym bliźniaczym miejscem — chmod +x, strażnik bez zmian; poluzowanie go byłoby JEDENASTYM wystąpieniem rodziny „strażnik dopasowuje własną prozę"; (2) reguly-alertowe-licza-sie.spec.ts (strażnik X-30) — sprawdzał treść prod-deploy-ghcr.sh, a logika przeniosła się do biblioteki; samo usunięcie asercji sprawiłoby, że X-30 pilnuje mniej niż wcześniej nie mówiąc o tym ani słowem, więc strażnik czyta teraz skrypt RAZEM Z BIBLIOTEKAMI, które sam wczytuje, a asercja o pustym provisioningu została WZMOCNIONA z „więcej niż zero" do „komplet reguł". | STAN PRODUKCJI PO #70: exit 1 w tym miejscu kończy skrypt PRZED sekcją rollbacku, więc nic się nie cofnęło — na produkcji stoi b64db02, /healthz przeszedł, .last-good-image-tag zapisany, przycisk „Odrzuć" z X-32 jest live, czternaście reguł się liczy. Wdrożenie było UDANE; nieudana była bramka. | JAK ZAMKNĄĆ: pierwsze zielone wdrożenie z linią „[deploy] OK: 14/14 reguł aktywnych (próba N)" w logu. Jeżeli N &gt; 1, mamy w logu bezpośredni dowód, że wyścig był prawdziwy. | DOWÓD D3 — WDROŻENIE #71 (2026-08-24, zielone, wszystkie 8 zadań): „09:30:43 czekam na scheduler alertów (oczekuję 14 reguł); 09:31:37 OK: 14/14 reguł aktywnych (PRÓBA 17); 09:32:52 reguły liczą się bez błędów (0 → 0)". PRÓBA SIEDEMNASTA, nie pierwsza: metryka pojawiła się 54 SEKUNDY po restarcie, nie siedem i nie dziesięć. To nie jest dowód „bramka przeszła", tylko dowód, że w tym samym miejscu poprzednia wersja padłaby PO RAZ DRUGI na zdrowym systemie. Wdrożenie trwało 3 m 58 s zamiast ~3 m — cała różnica to te 54 sekundy czekania. | TEN SAM LOG WYKRYŁ BŁĄD W MOJEJ WŁASNEJ LICZBIE: zakładałem takt schedulera ~10 s i ustawiłem okno na 60 s (20 prób); zużyliśmy 17, czyli zapas wynosił TRZY PRÓBY — dziewięć sekund. Przy odrobinę wolniejszym starcie Grafany kolejne wdrożenie padłoby dokładnie tak jak #70 i z dokładnie tego samego nie-powodu. Mechanizm był dobry, liczba dobrana na wyczucie, a wyczucie o 80% za optymistyczne. OKNO PODNIESIONE DO 180 s (60 prób co 3 s) — decyzja właściciela produktu: trzykrotny zapas, nie dwukrotny, bo 54 s to JEDNA OBSERWACJA, nie rozkład. Dłuższe okno NIE SPOWALNIA zdrowego wdrożenia ani o sekundę: pętla kończy się w chwili, w której reguły się zgadzają; płacimy wyłącznie przy prawdziwej awarii prowizjonowania — błąd po trzech minutach zamiast po jednej. Dobry kurs wymiany: fałszywy alarm uczy klikać „re-run", a dwie minuty dłuższego czekania na prawdziwą awarię nie uczą niczego. | I OD RAZU BLIŹNIACZE MIEJSCE, KTÓREGO OMAL NIE ZROBIŁEM: pierwsza wersja poprawki wpisywała 180 do komunikatu w skrypcie, a 60 prób do biblioteki — log mówiłby „do 180 s" niezależnie od tego, ile bramka naprawdę czeka, i okłamałby pierwszą osobę czytającą go w trakcie awarii. Okno podaje teraz okno_bramki_sekundy i tylko ona. Dwie dodatkowe asercje (razem 11), obie czerwone na kodzie sprzed #71. | DOWÓD D3 COFNIĘTY 2026-08-24: wdrożenie #71 przeszło PRZYPADKIEM, nie dlatego, że bramka działała. „Próba 17" nie była czasem startu Grafany, tylko czasem, przez który kłamał odczyt (X-34: SIGPIPE + pipefail; metryka zdążyła się pojawić, zanim odpowiedź /metrics przekroczyła 64 KB). Uzasadnienie okna 180 s oparte na tych 54 sekundach było fałszywe. D3 wróci przy zielonym wdrożeniu z biblioteką po X-34. | D3 PRZYWRÓCONE 2026-08-24 na wdrożeniu #73 („próba 4", 10 s) — tym razem na ZROZUMIANYM mechanizmie, po naprawie X-34. Bramka przeszła dlatego, że działa, a nie dlatego, że miała szczęście. Dokumentacja: docs/archiwum/zadania/X-33-bramka-mierzyla-szybkosc-startu.md</t>
        </is>
      </c>
      <c r="P29" s="10" t="inlineStr">
        <is>
          <t>do zrobienia</t>
        </is>
      </c>
    </row>
    <row r="30">
      <c r="A30" s="10" t="inlineStr">
        <is>
          <t>X-34</t>
        </is>
      </c>
      <c r="B30" s="11" t="inlineStr">
        <is>
          <t>Bramka alertów czyta metryki bez potoku (SIGPIPE + pipefail)</t>
        </is>
      </c>
      <c r="C30" s="10" t="inlineStr">
        <is>
          <t>audyt</t>
        </is>
      </c>
      <c r="D30" s="10" t="inlineStr">
        <is>
          <t>X — Infrastruktura jakości</t>
        </is>
      </c>
      <c r="E30" s="10" t="inlineStr">
        <is>
          <t>—</t>
        </is>
      </c>
      <c r="F30" s="10" t="n">
        <v>6</v>
      </c>
      <c r="G30" s="10" t="n">
        <v>2</v>
      </c>
      <c r="H30" s="10" t="inlineStr">
        <is>
          <t>Faza 0 — Zatrzymać krwawienie</t>
        </is>
      </c>
      <c r="I30" s="10" t="inlineStr">
        <is>
          <t>2026-09-07</t>
        </is>
      </c>
      <c r="J30" s="10" t="inlineStr">
        <is>
          <t>2026-09-11</t>
        </is>
      </c>
      <c r="K30" s="10" t="inlineStr">
        <is>
          <t>DZIAŁA</t>
        </is>
      </c>
      <c r="L30" s="11" t="inlineStr">
        <is>
          <t>ops/scripts/lib/bramka-regul-alertowych.sh — metryka_istnieje bez potoku (dopasowanie wzorcem w powłoce), regul_w_stanie przez &lt;&lt;&lt; zamiast |; apps/api/src/test/bramka-regul-nie-myli-braku-z-oczekiwaniem.spec.ts (13 asercji, atrapa &gt; 64 KB, harness z set -Eeuo pipefail). D3: wdrożenie #73 (2026-08-24) — „OK: 14/14 reguł aktywnych (próba 4)", 10 sekund.</t>
        </is>
      </c>
      <c r="M30" s="11" t="inlineStr">
        <is>
          <t>—</t>
        </is>
      </c>
      <c r="N30" s="11" t="inlineStr">
        <is>
          <t>Funkcja dostępna z panelu klienta bez wychodzenia do DirectAdmina; test uruchamiany w CI.</t>
        </is>
      </c>
      <c r="O30" s="11" t="inlineStr">
        <is>
          <t>Stan 2026-08-24: ZROBIONE W KODZIE (D2), D3 przy pierwszym zielonym wdrożeniu. | CO SIĘ STAŁO: wdrożenie #72 padło z komunikatem „Grafana nie opublikowała metryki grafana_alerting_rule_group_rules w ciągu 60 prób co 3s. Scheduler alertów nie wystartował" — 193 sekundy bez ani jednej linii. Log SAMEJ GRAFANY z tej samej minuty mówi coś przeciwnego: 09:53:15.845 ngalert.scheduler „Starting scheduler" tickInterval=10s; 09:53:15.845 ngalert.state.manager „State cache has been initialized" states=14; 09:53:31.549 pierwsze alerty. Scheduler wystartował CZTERY SEKUNDY po restarcie. GRAFANA BYŁA ZDROWA — KŁAMAŁ MÓJ ODCZYT. | PRZYCZYNA, jedna linijka: printf '%s\n' "$metryki" | grep -q '^grafana_alerting_rule_group_rules{' przy set -Eeuo pipefail. grep -q kończy się NATYCHMIAST po dopasowaniu, printf wciąż pisze resztę; gdy odpowiedź nie mieści się w buforze potoku, printf dostaje SIGPIPE (141), a pipefail przepisuje ten status na cały potok — sprawdzenie zwraca BŁĄD DOKŁADNIE WTEDY, GDY METRYKA JEST. Zmierzone, deterministyczne, próg na buforze potoku: 16 KB → znaleziono, 32 KB → znaleziono, 63 KB → znaleziono, 64 KB → BRAK, 80 KB → BRAK, 128 KB → BRAK. | TO WYJAŚNIA WSZYSTKO, CZEGO NIE UMIAŁEM WYJAŚNIĆ: /metrics Grafany ROŚNIE w miarę rejestrowania kolektorów, więc wyścig toczył się nie między bramką a schedulerem, tylko między POJAWIENIEM SIĘ METRYKI a PRZEKROCZENIEM 64 KB. #71: metryka zdążyła, gdy odpowiedź była jeszcze &lt; 64 KB → odczyt udał się na 17. próbie, a ja odczytałem to jako „scheduler potrzebuje 54 sekund". #72: odpowiedź przekroczyła 64 KB pierwsza → 60 odczytów z rzędu skłamało, a ja odczytałem to jako „scheduler nie wystartował". OBIE INTERPRETACJE BYŁY FAŁSZYWE, a na podstawie pierwszej zdążyłem podnieść okno i napisać uzasadnienie, które brzmiało solidnie. Ten sam mechanizm prawdopodobnie stoi za #70. | DLACZEGO STARA BRAMKA TEGO NIE MIAŁA: czytała przez „| awk", a AWK CZYTA WEJŚCIE DO KOŃCA — nie zamyka potoku wcześniej, więc SIGPIPE nie powstaje. Wdrożenia #68 i #69 działały nie ze szczęścia, tylko dlatego, że nie miały tej usterki. TEN BŁĄD WPROWADZIŁEM JA, RAZEM Z grep -q. | ROZWIĄZANIE: w bibliotece NIE MA JUŻ ANI JEDNEGO POTOKU — obecność metryki dopasowuje sama powłoka wzorcem na zmiennej (case), a awk dostaje wejście przez &lt;&lt;&lt; (here-string to przekierowanie, nie potok, więc pipefail nie ma czego zepsuć). | OKNO ZOSTAJE 180 s, ALE Z INNEGO POWODU: stare uzasadnienie („zmierzone 54 s × 3") było nieprawdziwe i zostało w komentarzu przekreślone, żeby nikt go nie odtworzył. Prawdziwy pomiar z logu Grafany: scheduler startuje ~4 s po restarcie. 60 s by wystarczyło; 180 s zostaje, bo CZEKANIE JEST DARMOWE (pętla kończy się w chwili zgodności), a nie dlatego, że tyle zmierzono. Ta liczba NIE MA maskować usterki odczytu — gdyby bramka znów czekała minutami, odpowiedzią jest diagnoza, nie 300 s. | DLACZEGO STRAŻNIK Z X-33 TEGO NIE ZŁAPAŁ — NAJWAŻNIEJSZA CZĘŚĆ: test był ZIELONY, a kod kłamał 60 razy z rzędu. Nie dlatego, że sprawdzał złą rzecz — dlatego, że JEGO ŚRODOWISKO RÓŻNIŁO SIĘ OD PRODUKCYJNEGO W DWÓCH WYMIARACH, KTÓRE DECYDOWAŁY O WYNIKU: (1) atrapa ważyła 200 bajtów, a prawdziwe /metrics setki kilobajtów — przy 200 bajtach printf zdąży zapisać wszystko do bufora, zanim grep się zamknie, więc SIGPIPE nigdy nie powstanie; (2) harness ustawiał set -u, a produkcja set -Eeuo pipefail — BEZ PIPEFAIL TA USTERKA NIE ISTNIEJE. Testowałem inną powłokę niż ta, która to uruchamia. To NOWA ODMIANA rodziny „test, który niczego nie dowodzi" (Z-01, H-20, M-06, X-28): nie fałszywa asercja, tylko FAŁSZYWE ŚRODOWISKO. Asercje były dobre, kłamały dane wejściowe. PYTANIE DO KAŻDEGO PRZYSZŁEGO HARNESSU: czym moja atrapa różni się od produkcji i czy któraś z tych różnic może decydować o wyniku? Rozmiar wejścia i flagi powłoki to nie szczegóły techniczne, tylko warunki, w których kod działa albo nie. | STRAŻNIK (13 asercji, było 11): atrapa waży ponad 64 KB i test to ASERTUJE, żeby nikt jej nie „uprościł"; harness ustawia dokładnie te flagi co skrypt wdrożeniowy; osobna asercja, że odpowiedź większa niż bufor potoku nie zamienia się w „brak metryki"; asercja o treści biblioteki (żadnego | grep, żadnego printf |) stojąca OBOK zachowaniowej, nie zamiast niej — tamta łapie usterkę, ta pilnuje, żeby nie wróciła tą samą drogą. | Czerwieni się na kodzie sprzed X-34: 7 z 13. | JAK ZAMKNĄĆ: zielone wdrożenie z tą biblioteką, z NISKIM numerem próby (kilkanaście sekund, nie pięćdziesiąt cztery). Dwucyfrowy numer oznaczałby, że nadal czegoś nie rozumiem. | DOWÓD D3 — WDROŻENIE #73 (2026-08-24, zielone, 3 m 08 s): „10:45:36 restart obserwowalności; 10:45:43 czekam na scheduler alertów (oczekuję 14 reguł, do 180 s); 10:45:53 OK: 14/14 reguł aktywnych (PRÓBA 4); 10:47:08 reguły liczą się bez błędów (0 → 0)". PRÓBA 4 — DZIESIĘĆ SEKUND. Przed wdrożeniem zapisałem FALSYFIKOWALNĄ PRZEPOWIEDNIĘ: jeśli diagnoza jest trafna, numer próby będzie NISKI, a dwucyfrowy oznaczałby, że nadal czegoś nie rozumiem. Wyszła czwarta próba i zgadza się co do rzędu wielkości z logiem samej Grafany (scheduler ~4 s po restarcie, takt 10 s) — czyli z jedynym pomiarem w całej tej historii, który nie pochodził z zepsutego odczytu. Porównanie czasów: #71 — 3 m 58 s (54 s czekania na własne kłamstwo), #72 — 4 m 54 s zakończone błędem, #73 — 3 m 08 s. Dokumentacja: docs/archiwum/zadania/X-34-bramka-klamala-o-wlasnym-odczycie.md</t>
        </is>
      </c>
      <c r="P30" s="10" t="inlineStr">
        <is>
          <t>do zrobienia</t>
        </is>
      </c>
    </row>
    <row r="31">
      <c r="A31" s="10" t="inlineStr">
        <is>
          <t>Z-12</t>
        </is>
      </c>
      <c r="B31" s="11" t="inlineStr">
        <is>
          <t>Placement kont nadsubskrybuje zasoby węzła zamiast rezerwować pełne limity planu</t>
        </is>
      </c>
      <c r="C31" s="10" t="inlineStr">
        <is>
          <t>audyt</t>
        </is>
      </c>
      <c r="D31" s="10" t="inlineStr">
        <is>
          <t>K — Statystyki, logi, limity</t>
        </is>
      </c>
      <c r="E31" s="10" t="inlineStr">
        <is>
          <t>—</t>
        </is>
      </c>
      <c r="F31" s="10" t="n">
        <v>16</v>
      </c>
      <c r="G31" s="10" t="n">
        <v>3</v>
      </c>
      <c r="H31" s="10" t="inlineStr">
        <is>
          <t>Faza 0 — Zatrzymać krwawienie</t>
        </is>
      </c>
      <c r="I31" s="10" t="inlineStr">
        <is>
          <t>2026-09-14</t>
        </is>
      </c>
      <c r="J31" s="10" t="inlineStr">
        <is>
          <t>2026-09-18</t>
        </is>
      </c>
      <c r="K31" s="10" t="inlineStr">
        <is>
          <t>DZIAŁA</t>
        </is>
      </c>
      <c r="L31" s="11" t="inlineStr">
        <is>
          <t>node-capacity.ts — czyZmiesciSie z dwiema bramkami (handlową: sprzedane + limit planu ≤ pojemność × overcommit; fizyczną: realne zużycie ≤ pojemność × (1 − headroom)); node-selector.service.ts — realneZuzycieWezlow z okna 30 min, jedna najnowsza próbka na subskrypcję; schema.prisma — Server.overcommitCpu/Ram/Disk Float @default(1); migracja 20260822090000_node_overcommit; node-capacity.spec.ts (21 testów) + node-selector.service.spec.ts (9 testów)</t>
        </is>
      </c>
      <c r="M31" s="11" t="inlineStr">
        <is>
          <t>—</t>
        </is>
      </c>
      <c r="N31" s="11" t="inlineStr">
        <is>
          <t>Funkcja dostępna z panelu klienta bez wychodzenia do DirectAdmina; test uruchamiany w CI.</t>
        </is>
      </c>
      <c r="O31" s="11" t="inlineStr">
        <is>
          <t>Zamknięte 2026-08-22, D3 wymagane po wdrożeniu (pozycja dotyczy pojemności produkcyjnej i pieniędzy). Błąd był kategorii, nie arytmetyki: allocated* to suma limitów planów, czyli ZOBOWIĄZANIE HANDLOWE, a kod porównywał je z pojemnością fizyczną tak, jakby były zajętością maszyny. W LVE MemoryMax i SPEED są sufitami burst — rezerwowanie sufitu to to samo, co trzymanie stolika dla każdego, kto MÓGŁBY przyjść. | Rozwiązanie ma dwie bramki, nie jedną: sama handlowa to hazard, sama fizyczna to stan sprzed poprawki z inną etykietą. | Zmiana semantyki headroomu: wcześniej pomniejszał księgę handlową (mieszanie jednostek), teraz chroni realne zużycie. Arkusz PB-01 podaje przez to 51 kont tam, gdzie kod daje 64 — model jest zachowawczy wobec implementacji, nie sprzeczny; uwaga dopisana w zakładce Gestosc. | Dysk ma osobny, niższy limit overcommitu (3× wobec 8×), bo quota dyskowa jest realnie egzekwowana i klient MOŻE ją wypełnić w całości. | Domyślne 1,0 celowo: migracja nie zmienia zachowania placementu, nadsubskrypcję włącza admin świadomie per węzeł. Wycofanie = przestawienie pola w panelu, bez rollbacku. | Brak telemetrii degraduje overcommit do 1,0 zamiast blokować sprzedaż — awaria agenta nie ma zatrzymywać firmy. Węzeł z zerem kont traktowany jako zużycie ZNANE i zerowe, nie nieznane. | Przy okazji naprawiony planer drenażu (OPS-4) w servers.service.ts, który miał DOKŁADNIE tę samą arytmetykę — plan ewakuacji mówiłby „nie ma dokąd przenieść kont” w chwili, gdy miejsce jest. Drugi raz w tym audycie poprawka miała bliźniaka; stąd wyniesienie arytmetyki do osobnego modułu. | 6 z 30 testów czerwieniło się na kodzie sprzed zmiany. Dokumentacja: docs/archiwum/zadania/Z-12-nadsubskrypcja-pojemnosci-wezla.md | 2026-10-10: D3 (karta węzła t1, 10.10 ok. 13:00): pula sprzedażowa TEST-NRB-01 wyczerpana przez dysk — przydzielone kontom 100 GB na 75 GB, zapas 0 kont. Bramka handlowa działa zgodnie z kodem, ale po wznowieniu nowych kont 18.10 testerzy bety nie kupią hostingu, dopóki nie zmieni się nadsubskrypcja dysku albo przydziały — decyzja właściciela: PB-55.</t>
        </is>
      </c>
      <c r="P31" s="10" t="inlineStr">
        <is>
          <t>do zrobienia</t>
        </is>
      </c>
    </row>
    <row r="32">
      <c r="A32" s="10" t="inlineStr">
        <is>
          <t>Z-13</t>
        </is>
      </c>
      <c r="B32" s="11" t="inlineStr">
        <is>
          <t>Pakiet sprzedawany na stronie istnieje jako plan w bazie</t>
        </is>
      </c>
      <c r="C32" s="10" t="inlineStr">
        <is>
          <t>audyt</t>
        </is>
      </c>
      <c r="D32" s="10" t="inlineStr">
        <is>
          <t>M — Rozliczenia</t>
        </is>
      </c>
      <c r="E32" s="10" t="inlineStr">
        <is>
          <t>—</t>
        </is>
      </c>
      <c r="F32" s="10" t="n">
        <v>6</v>
      </c>
      <c r="G32" s="10" t="n">
        <v>3</v>
      </c>
      <c r="H32" s="10" t="inlineStr">
        <is>
          <t>Faza 0 — Zatrzymać krwawienie</t>
        </is>
      </c>
      <c r="I32" s="10" t="inlineStr">
        <is>
          <t>2026-09-14</t>
        </is>
      </c>
      <c r="J32" s="10" t="inlineStr">
        <is>
          <t>2026-09-18</t>
        </is>
      </c>
      <c r="K32" s="10" t="inlineStr">
        <is>
          <t>DZIAŁA</t>
        </is>
      </c>
      <c r="L32" s="11" t="inlineStr">
        <is>
          <t>apps/api/src/plans/plan-produkcyjny.ts — PLAN_PRODUKCYJNY jako źródło prawdy; migracja 20260822120000_plan_produkcyjny (INSERT ... ON CONFLICT DO UPDATE, wycofanie planów prototypowych z isPublic); seed.ts — starter/pro/business isPublic: false; plan-produkcyjny.spec.ts — 20 testów uzgadniających treść strony, definicję w kodzie i migrację SQL</t>
        </is>
      </c>
      <c r="M32" s="11" t="inlineStr">
        <is>
          <t>—</t>
        </is>
      </c>
      <c r="N32" s="11" t="inlineStr">
        <is>
          <t>Funkcja dostępna z panelu klienta bez wychodzenia do DirectAdmina; test uruchamiany w CI.</t>
        </is>
      </c>
      <c r="O32" s="11" t="inlineStr">
        <is>
          <t>Zamknięte 2026-08-22. Strona sprzedawała pakiet, którego nie było gdzie kupić: w bazie istniały wyłącznie trzy plany z czasów prototypu (19,99/49,99/99,99 zł) o innych limitach, i to one były jedynymi publicznymi. | Sprawa nie kończyła się na cenniku — z rekordu Plan czyta wycena zamówienia i odnowienia, placement konta na węźle (limity bazowe), synchronizacja pakietów DirectAdmina (prod-sync-server-da-packages.sh) i sufity autoskalowania. | Ceny są BRUTTO: invoices.service.ts:293 traktuje kwotę obciążenia jako brutto i rozbija ją na netto + VAT 23%. Wpisanie netto zawyżyłoby każdą fakturę o 23%. Sprawdzone w kodzie, nie założone. | Plan powstaje w MIGRACJI, nie w seedzie — dzięki temu istnieje na każdym środowisku bez uruchamiania seeda, a ON CONFLICT DO UPDATE sprawia, że migracja jest źródłem prawdy także przy zmianie ceny. | Plany prototypowe wycofane przez isPublic=false, a NIE isActive=false: dezaktywacja planu wywróciłaby odnowienie ewentualnej subskrypcji na nim założonej. | Test uzgadnia TRZY warstwy, które mówiły trzy różne rzeczy: treść strony, definicję w kodzie i migrację SQL. Sprawdzone przez podmianę ceny w SQL — test zapala się na czerwono. | Przy okazji odkryte Z-16: sufit autoskalowania z oferty (24 vCPU, 1000 GB) jest nieosiągalny, bo silnik przycina krotność do 10×. Dokumentacja: docs/archiwum/zadania/Z-13-plan-produkcyjny-w-bazie.md | 2026-09-25: plan verris-hosting miał w pakiecie DA domyślną politykę (1 domena, 25 skrzynek, 5 baz) wbrew ofercie „bez limitu stron i skrzynek”; dodana polityka bez limitu liczbowego (sufitem są zasoby) + test.</t>
        </is>
      </c>
      <c r="P32" s="10" t="inlineStr">
        <is>
          <t>do zrobienia</t>
        </is>
      </c>
    </row>
    <row r="33">
      <c r="A33" s="10" t="inlineStr">
        <is>
          <t>Z-16</t>
        </is>
      </c>
      <c r="B33" s="11" t="inlineStr">
        <is>
          <t>Autoskalowanie pyta węzeł o pojemność i dowozi sufit obiecany w ofercie</t>
        </is>
      </c>
      <c r="C33" s="10" t="inlineStr">
        <is>
          <t>audyt</t>
        </is>
      </c>
      <c r="D33" s="10" t="inlineStr">
        <is>
          <t>J — Wydajność i cache</t>
        </is>
      </c>
      <c r="E33" s="10" t="inlineStr">
        <is>
          <t>—</t>
        </is>
      </c>
      <c r="F33" s="10" t="n">
        <v>16</v>
      </c>
      <c r="G33" s="10" t="n">
        <v>3</v>
      </c>
      <c r="H33" s="10" t="inlineStr">
        <is>
          <t>Faza 0 — Zatrzymać krwawienie</t>
        </is>
      </c>
      <c r="I33" s="10" t="inlineStr">
        <is>
          <t>2026-09-14</t>
        </is>
      </c>
      <c r="J33" s="10" t="inlineStr">
        <is>
          <t>2026-09-18</t>
        </is>
      </c>
      <c r="K33" s="10" t="inlineStr">
        <is>
          <t>DZIAŁA</t>
        </is>
      </c>
      <c r="L33" s="11" t="inlineStr">
        <is>
          <t>node-capacity.ts — wolneDoZadysponowania + krotnoscAutoskalowania (MAKS 32×, koniec zaszytego sufitu 10×); autoscaling-engine.service.ts — ogranicznikPojemnosciWezla przed guardScaleUp, realneZuzycieWezla, allocated* incrementowane w tej samej transakcji co zapis konta; account-deletion.service.ts — zwolnienie limitów efektywnych przy DELETED; node-selector.service.ts — maxAccounts pomija DELETED; plan-change.service.ts — delta od limitów efektywnych; migracja 20260822150000_uzgodnienie_ksiegi_wezla; node-capacity-z16.spec.ts + ksiega-wezla.spec.ts + przepisany blok w plan-produkcyjny.spec.ts</t>
        </is>
      </c>
      <c r="M33" s="11" t="inlineStr">
        <is>
          <t>—</t>
        </is>
      </c>
      <c r="N33" s="11" t="inlineStr">
        <is>
          <t>Funkcja dostępna z panelu klienta bez wychodzenia do DirectAdmina; test uruchamiany w CI.</t>
        </is>
      </c>
      <c r="O33" s="11" t="inlineStr">
        <is>
          <t>Zamknięte 2026-08-22, D3 wymagane. Silnik autoskalowania nie miał w całym pliku ani jednego odwołania do Server ani do allocated*. Dwa skutki, jedna przyczyna. | PIERWSZY: sufit 10× zaszyty w silniku niezależnie od planu sprawiał, że oferta (24 vCPU, 1000 GB) była nieosiągalna — realnie 20 vCPU i 500 GB. Klient płacił godzinowo za nadwyżkę, której nie dostawał. | DRUGI: silnik podnosił limity w DirectAdminie bez pytania węzła o pojemność i bez zapisu w księdze. Po Z-12 znaczyło to dwie warstwy nadsubskrybujące ten sam węzeł bez wiedzy o sobie; jedno konto mogło urosnąć do 1000 GB na węźle 1,92 TB. | KOLEJNOŚĆ MIAŁA ZNACZENIE: przy Z-13 świadomie NIE podniosłem sufitu i utrwaliłem rozbieżność testem, bo wyższy sufit bez zabezpieczenia pojemności powiększyłby promień rażenia. Ten test zapalił się przy zmianie progu dokładnie tak, jak miał — ratchet zadziałał. | Przycinanie zamiast odmowy: brak pojemności węzła nie jest winą klienta i nie może mu wyłączać autoskalowania. Konto dostaje mniej, nie traci usługi; każde obcięcie zostawia wpis AUTOSCALING_OGRANICZONE_POJEMNOSCIA_WEZLA — to sygnał do dołożenia węzła. | Zmiana znaczenia księgi allocated* wymusiła przegląd wszystkich jej pisarzy i wyszły CZTERY przecieki: (1) autoskalowanie nie dopisywało nadwyżki, (2) usunięcie konta nigdy nie zwalniało limitów — węzeł z czasem przestawał przyjmować konta mając miejsce, (3) maxAccounts liczył konta DELETED, (4) zmiana planu liczyła deltę od baz planów, co było poprawne PRZED Z-16 i stałoby się błędem PO. Czwarty nie istniał — powstałby przez tę poprawkę. | Migracja PRZELICZA księgę z limitów efektywnych kont żywych, więc prostuje też przeszłość; LEFT JOIN, bo węzeł bez kont też mógł mieć allocated* &gt; 0. | 27 nowych testów, czerwień na starym kodzie zebrana trzykrotnie (1/20, 3/21, 4/11). Dokumentacja: docs/archiwum/zadania/Z-16-autoskalowanie-pyta-wezel.md</t>
        </is>
      </c>
      <c r="P33" s="10" t="inlineStr">
        <is>
          <t>do zrobienia</t>
        </is>
      </c>
    </row>
    <row r="34">
      <c r="A34" s="10" t="inlineStr">
        <is>
          <t>PB-14</t>
        </is>
      </c>
      <c r="B34" s="11" t="inlineStr">
        <is>
          <t>Wybór dostawcy i lokalizacji węzła produkcyjnego #1</t>
        </is>
      </c>
      <c r="C34" s="10" t="inlineStr">
        <is>
          <t>poza audytem</t>
        </is>
      </c>
      <c r="D34" s="10" t="inlineStr">
        <is>
          <t>Praca spoza audytu</t>
        </is>
      </c>
      <c r="E34" s="10" t="inlineStr">
        <is>
          <t>WYSOKI</t>
        </is>
      </c>
      <c r="F34" s="10" t="n">
        <v>6</v>
      </c>
      <c r="G34" s="10" t="n">
        <v>3</v>
      </c>
      <c r="H34" s="10" t="inlineStr">
        <is>
          <t>Faza 0 — Zatrzymać krwawienie</t>
        </is>
      </c>
      <c r="I34" s="10" t="inlineStr">
        <is>
          <t>2026-09-14</t>
        </is>
      </c>
      <c r="J34" s="10" t="inlineStr">
        <is>
          <t>2026-09-18</t>
        </is>
      </c>
      <c r="K34" s="10" t="inlineStr">
        <is>
          <t>—</t>
        </is>
      </c>
      <c r="L34" s="11" t="inlineStr">
        <is>
          <t>—</t>
        </is>
      </c>
      <c r="M34" s="11" t="inlineStr">
        <is>
          <t>—</t>
        </is>
      </c>
      <c r="N34" s="11" t="inlineStr">
        <is>
          <t>Decyzja zapisana w repo z datą, przed zamówieniem serwera. Jeśli wybrany dostawca spoza Polski — polityka prywatności i DPA opisują lokalizację przetwarzania przed startem sprzedaży.</t>
        </is>
      </c>
      <c r="O34" s="11" t="inlineStr">
        <is>
          <t>PB-01 pokazało, że wybór dostawcy przesądza o rentowności przy cenie 45 zł. Hetzner AX102 ma cenę progową 44,20 zł, OVH Advance-2 w WAW1 — 67,76 zł, bo 960 GB dysku ogranicza węzeł do 30 kont. Sprawdzić realną cenę opcji dysku 1,92 TB w WAW1 (wzrosła o ok. 89% w lipcu 2026) i zestawić premię za lokalizację w Polsce z jej wartością sprzedażową i wpływem na RODO oraz DPA.</t>
        </is>
      </c>
      <c r="P34" s="10" t="inlineStr">
        <is>
          <t>do zrobienia</t>
        </is>
      </c>
    </row>
    <row r="35">
      <c r="A35" s="10" t="inlineStr">
        <is>
          <t>DEV-01</t>
        </is>
      </c>
      <c r="B35" s="11" t="inlineStr">
        <is>
          <t>Baza deweloperska jest nieosiągalna, a `docker-compose.yml` opisuje stan, którego nie ma</t>
        </is>
      </c>
      <c r="C35" s="10" t="inlineStr">
        <is>
          <t>audyt</t>
        </is>
      </c>
      <c r="D35" s="10" t="inlineStr">
        <is>
          <t>X — Infrastruktura jakości</t>
        </is>
      </c>
      <c r="E35" s="10" t="inlineStr">
        <is>
          <t>WYSOKA</t>
        </is>
      </c>
      <c r="F35" s="10" t="n">
        <v>6</v>
      </c>
      <c r="G35" s="10" t="n">
        <v>4</v>
      </c>
      <c r="H35" s="10" t="inlineStr">
        <is>
          <t>Faza 1 — Rozliczenia i dowód odtworzenia</t>
        </is>
      </c>
      <c r="I35" s="10" t="inlineStr">
        <is>
          <t>2026-09-21</t>
        </is>
      </c>
      <c r="J35" s="10" t="inlineStr">
        <is>
          <t>2026-09-25</t>
        </is>
      </c>
      <c r="K35" s="10" t="inlineStr">
        <is>
          <t>DZIAŁA</t>
        </is>
      </c>
      <c r="L35" s="11" t="inlineStr">
        <is>
          <t>docker-compose.yml — wolumen postgres_data_v2 + healthcheck logujący się jako verris (psql select 1); LOCAL_DEV.md — sekcja o starym wolumenie</t>
        </is>
      </c>
      <c r="M35" s="11" t="inlineStr">
        <is>
          <t>—</t>
        </is>
      </c>
      <c r="N35" s="11" t="inlineStr">
        <is>
          <t>Funkcja dostępna z panelu klienta bez wychodzenia do DirectAdmina; test uruchamiany w CI.</t>
        </is>
      </c>
      <c r="O35" s="11" t="inlineStr">
        <is>
          <t>2026-09-24: ZAMKNIĘTE (D1 — do potwierdzenia przy najbliższym docker compose up na Macu): nowy wolumen zamiast ręcznego naprawiania starego (stary zostaje nietknięty), healthcheck sprawdza logowanie, więc zły stan jest widoczny jako „unhealthy”, a nie „zielony kontener bez roli”. | Przepisane do macierzy 2026-08-28 w ramach X-49 — pozycja powstala 2026-08-28 i do tego dnia istniala WYLACZNIE w dashboardzie, poza zasiegiem straznikow repozytorium. Obszar: środowisko lokalne. Krytycznosc i naklad zostaly puste SWIADOMIE: dashboard ich nie niosl, a wpisanie ich teraz byloby zgadywaniem. Do uzupelnienia przy najblizszym przegladzie tej pozycji. | TRESC ZE ZRODLA: Baza deweloperska jest nieosiągalna, a `docker-compose.yml` opisuje stan, którego nie ma. Wolumen `ekohost_postgres_data` zainicjowano z innym `POSTGRES_USER` niż dzisiejszy `verris`. Wejściówka obrazu Postgresa uruchamia `initdb` tylko przy PUSTYM katalogu danych — przy każdym kolejnym starcie `POSTGRES_USER` i `POSTGRES_PASSWORD` są ignorowane w całości. Kontener wstaje zielony, `pg_isready` odpowiada, a logowanie odbija: ani rola `postgres`, ani `verris` nie istnieje. Ktoś klonujący repozytorium dziś dostanie działający `docker compose up`, po którym nic się nie połączy. | WYCENA 2026-09-19: krytycznosc i naklad uzupelnione przy wznowieniu. Pozycje przepisane 2026-08-28 w ramach X-49 zostaly bez wyceny, przez co nie liczyly sie do budzetu godzin i nie stały w zadnym sprincie. Podstawa wyceny: Odzyskanie nazwy roli w trybie single-user, bez kasowania wolumenu (decyzja 2026-08-28). Blokuje bramke lokalna, czyli JEDYNA realna bramke przed main.</t>
        </is>
      </c>
      <c r="P35" s="10" t="inlineStr">
        <is>
          <t>do zrobienia</t>
        </is>
      </c>
    </row>
    <row r="36">
      <c r="A36" s="10" t="inlineStr">
        <is>
          <t>DEP-01</t>
        </is>
      </c>
      <c r="B36" s="11" t="inlineStr">
        <is>
          <t>Osiem otwartych pull requestów Dependabota, żaden niescalony</t>
        </is>
      </c>
      <c r="C36" s="10" t="inlineStr">
        <is>
          <t>audyt</t>
        </is>
      </c>
      <c r="D36" s="10" t="inlineStr">
        <is>
          <t>X — Infrastruktura jakości</t>
        </is>
      </c>
      <c r="E36" s="10" t="inlineStr">
        <is>
          <t>WYSOKA</t>
        </is>
      </c>
      <c r="F36" s="10" t="n">
        <v>6</v>
      </c>
      <c r="G36" s="10" t="n">
        <v>4</v>
      </c>
      <c r="H36" s="10" t="inlineStr">
        <is>
          <t>Faza 1 — Rozliczenia i dowód odtworzenia</t>
        </is>
      </c>
      <c r="I36" s="10" t="inlineStr">
        <is>
          <t>2026-09-21</t>
        </is>
      </c>
      <c r="J36" s="10" t="inlineStr">
        <is>
          <t>2026-09-25</t>
        </is>
      </c>
      <c r="K36" s="10" t="inlineStr">
        <is>
          <t>DZIAŁA</t>
        </is>
      </c>
      <c r="L36" s="11" t="inlineStr">
        <is>
          <t>2026-09-24: #39 (22 × minor/patch, lockfile wprost z PR), #30–#33 (akcje GitHuba) wciągnięte na main lokalnie; #28 (graphql 17) wyciszony w .github/dependabot.yml z pozycją X-21 i przeglądem 2026-12-15</t>
        </is>
      </c>
      <c r="M36" s="11" t="inlineStr">
        <is>
          <t>—</t>
        </is>
      </c>
      <c r="N36" s="11" t="inlineStr">
        <is>
          <t>Funkcja dostępna z panelu klienta bez wychodzenia do DirectAdmina; test uruchamiany w CI.</t>
        </is>
      </c>
      <c r="O36" s="11" t="inlineStr">
        <is>
          <t>Przepisane do macierzy 2026-08-28 w ramach X-49 — pozycja powstala 2026-08-28 i do tego dnia istniala WYLACZNIE w dashboardzie, poza zasiegiem straznikow repozytorium. Obszar: zależności / bezpieczeństwo. Krytycznosc i naklad zostaly puste SWIADOMIE: dashboard ich nie niosl, a wpisanie ich teraz byloby zgadywaniem. Do uzupelnienia przy najblizszym przegladzie tej pozycji. | TRESC ZE ZRODLA: Osiem otwartych pull requestów Dependabota, żaden niescalony. Kolejka CI zapchana przebiegami #147–#150 (numeracja `ci.yml` przeskoczyła z #127 na #136 właśnie przez nie). Sam zator jest kosmetyczny — problemem jest to, że job `Security scans` skanuje CVE w zależnościach, a poprawki tych zależności leżą niescalone. Skan wykrywa i nikt nie działa — ta sama rodzina co SEC-01 i NODE-02. | WYCENA 2026-09-19: krytycznosc i naklad uzupelnione przy wznowieniu. Pozycje przepisane 2026-08-28 w ramach X-49 zostaly bez wyceny, przez co nie liczyly sie do budzetu godzin i nie stały w zadnym sprincie. Podstawa wyceny: Przeglad i scalenie kolejki PR-ow Dependabota jednym wsadem z pelna bramka. Security scans wykrywa CVE, a poprawki leza niescalone. | 2026-09-24: PR-y Dependabota nie były „do scalenia” — ich jedyny czerwony check (API integration tests) był czerwony też na main (X-04). Po pushu Dependabot sam zamknie #30–#33 i #39; #28 po wyciszeniu. OTWARTE: potwierdzić zamknięcie PR-ów i zielony CI; #2 (AGENTS.md z Cloud Agenta) — decyzja właściciela, zamknąć ręcznie. | D3 2026-09-24: po pushu Dependabot sam zamknął #28, #30–#33 i #39; otwarty został tylko #2 (AGENTS.md — do decyzji właściciela, nie zależność).</t>
        </is>
      </c>
      <c r="P36" s="10" t="inlineStr">
        <is>
          <t>do zrobienia</t>
        </is>
      </c>
    </row>
    <row r="37">
      <c r="A37" s="10" t="inlineStr">
        <is>
          <t>ENV-01</t>
        </is>
      </c>
      <c r="B37" s="11" t="inlineStr">
        <is>
          <t>Bramka lokalna biegnie na Node 20, CI na Node 22</t>
        </is>
      </c>
      <c r="C37" s="10" t="inlineStr">
        <is>
          <t>audyt</t>
        </is>
      </c>
      <c r="D37" s="10" t="inlineStr">
        <is>
          <t>X — Infrastruktura jakości</t>
        </is>
      </c>
      <c r="E37" s="10" t="inlineStr">
        <is>
          <t>ŚREDNIA</t>
        </is>
      </c>
      <c r="F37" s="10" t="n">
        <v>6</v>
      </c>
      <c r="G37" s="10" t="n">
        <v>4</v>
      </c>
      <c r="H37" s="10" t="inlineStr">
        <is>
          <t>Faza 1 — Rozliczenia i dowód odtworzenia</t>
        </is>
      </c>
      <c r="I37" s="10" t="inlineStr">
        <is>
          <t>2026-09-21</t>
        </is>
      </c>
      <c r="J37" s="10" t="inlineStr">
        <is>
          <t>2026-09-25</t>
        </is>
      </c>
      <c r="K37" s="10" t="inlineStr">
        <is>
          <t>DZIAŁA</t>
        </is>
      </c>
      <c r="L37" s="11" t="inlineStr">
        <is>
          <t>D3: ostrzeżenie `pnpm` przy każdym `pnpm test` wobec `node-version: 22` w `ci.yml`. Zamknięte częściowo 2026-08-28: `.nvmrc` = 22, strażnik `wersja-node.spec.ts` (4 testy) wyprowadza wymagany major z `engines.node` i sprawdza `.nvmrc`, wszystkie 7 kroków `node-version:` w `ci.yml`+`deploy.yml` oraz oba `ARG NODE_VERSION` w Dockerfile’ach. Bramka lokalna potwierdzona na v22.23.2 (841 testów jednostkowych, 78 integracyjnych). Świadomie odłożone: `engine-strict=true` w `.npmrc` — włączone wcześniej zablokowałoby Twój `pnpm install` bez Twojej zgody.</t>
        </is>
      </c>
      <c r="M37" s="11" t="inlineStr">
        <is>
          <t>—</t>
        </is>
      </c>
      <c r="N37" s="11" t="inlineStr">
        <is>
          <t>Funkcja dostępna z panelu klienta bez wychodzenia do DirectAdmina; test uruchamiany w CI.</t>
        </is>
      </c>
      <c r="O37" s="11" t="inlineStr">
        <is>
          <t>Przepisane do macierzy 2026-08-28 w ramach X-49 — pozycja powstala 2026-08-28 i do tego dnia istniala WYLACZNIE w dashboardzie, poza zasiegiem straznikow repozytorium. Obszar: bramki / środowisko. Krytycznosc i naklad zostaly puste SWIADOMIE: dashboard ich nie niosl, a wpisanie ich teraz byloby zgadywaniem. Do uzupelnienia przy najblizszym przegladzie tej pozycji. | TRESC ZE ZRODLA: Bramka lokalna biegnie na Node 20, CI na Node 22. `pnpm` ostrzega o tym przy każdym uruchomieniu (`Unsupported engine: wanted &gt;=22.12, current v20.19.2`), a `ci.yml` ma `node-version: 22`. Samo w sobie kosmetyczne — przestaje takie być po decyzji z 28.08, która ustala, że jedyną realną bramką przed `main` jest bramka uruchamiana lokalnie (push admina omija wszystkie wymagane checki). „Zielone u mnie” jest wtedy słabszym dowodem, niż wygląda, i to dokładnie w miejscu, na którym oparliśmy proces. | WYCENA 2026-09-19: krytycznosc i naklad uzupelnione przy wznowieniu. Pozycje przepisane 2026-08-28 w ramach X-49 zostaly bez wyceny, przez co nie liczyly sie do budzetu godzin i nie stały w zadnym sprincie. Podstawa wyceny: Zostaje engine-strict=true w .npmrc, swiadomie odlozone 2026-08-28. Reszta pozycji zamknieta strazniekiem wersja-node.spec.ts. | 2026-09-22 ZAMKNIETE (D2): engine-strict=true w .npmrc od 2026-09-19 (zgoda wlasciciela), pelna bramka lokalna 2026-09-22 zielona na Node 22 z engine-strict (lint, typecheck 8/8, 878 testow jednostkowych) — to byl ostatni brakujacy element.</t>
        </is>
      </c>
      <c r="P37" s="10" t="inlineStr">
        <is>
          <t>do zrobienia</t>
        </is>
      </c>
    </row>
    <row r="38">
      <c r="A38" s="10" t="inlineStr">
        <is>
          <t>X-50</t>
        </is>
      </c>
      <c r="B38" s="11" t="inlineStr">
        <is>
          <t>Bramka podatnosci zatrzymuje cokolwiek — jest wymagana do merge i wolana przez wdrozenie</t>
        </is>
      </c>
      <c r="C38" s="10" t="inlineStr">
        <is>
          <t>audyt</t>
        </is>
      </c>
      <c r="D38" s="10" t="inlineStr">
        <is>
          <t>X — Infrastruktura jakości</t>
        </is>
      </c>
      <c r="E38" s="10" t="inlineStr">
        <is>
          <t>WYSOKA</t>
        </is>
      </c>
      <c r="F38" s="10" t="n">
        <v>6</v>
      </c>
      <c r="G38" s="10" t="n">
        <v>4</v>
      </c>
      <c r="H38" s="10" t="inlineStr">
        <is>
          <t>Faza 1 — Rozliczenia i dowód odtworzenia</t>
        </is>
      </c>
      <c r="I38" s="10" t="inlineStr">
        <is>
          <t>2026-09-21</t>
        </is>
      </c>
      <c r="J38" s="10" t="inlineStr">
        <is>
          <t>2026-09-25</t>
        </is>
      </c>
      <c r="K38" s="10" t="inlineStr">
        <is>
          <t>DZIAŁA</t>
        </is>
      </c>
      <c r="L38" s="11" t="inlineStr">
        <is>
          <t>D2 2026-09-19: .github/workflows/deploy.yml — krok "Bramka podatnosci" w jobie test-gate; ruleset 21161479 — "Security scans (gitleaks + audit + trivy)" dopisane do checkow wymaganych (szesc checkow, potwierdzenie "Ruleset updated"); apps/api/src/test/bramki-nie-rozjezdzaja-sie.spec.ts — wzorzec katalogowy BRAMKOWY_SKRYPT plus asercja imienna, przechodzi w bramce lokalnej.</t>
        </is>
      </c>
      <c r="M38" s="11" t="inlineStr">
        <is>
          <t>—</t>
        </is>
      </c>
      <c r="N38" s="11" t="inlineStr">
        <is>
          <t>Funkcja dostępna z panelu klienta bez wychodzenia do DirectAdmina; test uruchamiany w CI.</t>
        </is>
      </c>
      <c r="O38" s="11" t="inlineStr">
        <is>
          <t>Odkryte 2026-09-19 przy SEC-07. Koryguje X-23, ktore stalo jako DZIALA z obietnica "bramka zatrzymuje wdrozenie". | CO TRZEBA ZROBIC: dopisac security-scans do wymaganych checkow w rulesecie ORAZ wolac bramke podatnosci w test-gate deploy.yml. Jedno bez drugiego nie wystarczy: wdrozenie wyzwala push na main niezaleznie od ci.yml, a admin i tak omija ruleset. Ruleset zyje poza repozytorium (ryzyko zapisane w SPRINT-01), wiec zmiana wymaga wpisu w docs/zadania — inaczej nie odtworzy sie z kodu. | PYTANIE DO KAZDEJ PRZYSZLEJ BRAMKI, analogiczne do tego z X-34: co dokladnie ta bramka zatrzymuje i po jakiej sciezce to sprawdzilem? Bramka, ktora sie czerwieni i niczego nie blokuje, jest gorsza niz jej brak, bo zamyka pytanie. | STAN 2026-09-19: polowa zrobiona. Dolozony krok w deploy.yml zamyka droge "push na main omija ci.yml". Zostaje dopisanie security-scans do wymaganych checkow w rulesecie — wymaga kliknięcia w ustawieniach GitHuba, wiec czeka na decyzje wlasciciela. | PRZY OKAZJI, WAZNIEJSZE NIZ SAMA NAPRAWA: straznik bramki-nie-rozjezdzaja-sie.spec.ts BYL ZIELONY, kiedy deploy.yml nie wolal bramki podatnosci. Nie sprawdzal zlej rzeczy — jego definicja "polecenia bramkowego" byla lista trzech komend istniejacych w dniu jego powstania (pnpm lint/typecheck/test), a bramka podatnosci uruchamia sie jako node ops/ci/audyt-bramka.cjs i byla dla tego wyrazenia niewidzialna. To NOWA ODMIANA rodziny "test, ktory niczego nie dowodzi": po falszywej asercji (Z-01, H-20) i falszywym srodowisku (X-34) — ZA WASKA DEFINICJA KLASY. Wzorzec zamieniony na katalogowy (ops/ci/*.cjs|mjs|js), wiec nowa bramka trafia pod straznika sama. PYTANIE DO KAZDEGO PRZYSZLEGO STRAZNIKA KLASY: czy moj wzorzec obejmuje kontrole, ktore dopiero powstana, czy tylko te, ktore widzialem przy pisaniu? | ZAMKNIETE 2026-09-19, obie polowy. Zostaje zapisane wprost, bo to nie jest teoretyczne: ruleset NIE chroni przed wlascicielem repozytorium. Push z 2026-09-19 przeszedl z komunikatem "Bypassed rule violations — 5 of 5 required status checks are expected", czyli bez ani jednego uruchomionego checka. Dopisanie security-scans do wymaganych zamyka droge przez merge i przez wdrozenie, ale nie zamyka pusha admina. Jedyna bramka, ktora zatrzyma wlasciciela, to bramka uruchamiana lokalnie przed pushem — i to sie nie zmienilo.</t>
        </is>
      </c>
      <c r="P38" s="10" t="inlineStr">
        <is>
          <t>do zrobienia</t>
        </is>
      </c>
    </row>
    <row r="39">
      <c r="A39" s="10" t="inlineStr">
        <is>
          <t>X-51</t>
        </is>
      </c>
      <c r="B39" s="11" t="inlineStr">
        <is>
          <t>Etykiety z dependabot.yml istnieja w repozytorium</t>
        </is>
      </c>
      <c r="C39" s="10" t="inlineStr">
        <is>
          <t>audyt</t>
        </is>
      </c>
      <c r="D39" s="10" t="inlineStr">
        <is>
          <t>X — Infrastruktura jakości</t>
        </is>
      </c>
      <c r="E39" s="10" t="inlineStr">
        <is>
          <t>NISKA</t>
        </is>
      </c>
      <c r="F39" s="10" t="n">
        <v>6</v>
      </c>
      <c r="G39" s="10" t="n">
        <v>4</v>
      </c>
      <c r="H39" s="10" t="inlineStr">
        <is>
          <t>Faza 1 — Rozliczenia i dowód odtworzenia</t>
        </is>
      </c>
      <c r="I39" s="10" t="inlineStr">
        <is>
          <t>2026-09-21</t>
        </is>
      </c>
      <c r="J39" s="10" t="inlineStr">
        <is>
          <t>2026-09-25</t>
        </is>
      </c>
      <c r="K39" s="10" t="inlineStr">
        <is>
          <t>DZIAŁA</t>
        </is>
      </c>
      <c r="L39" s="11" t="inlineStr">
        <is>
          <t>D2 2026-09-19: utworzone etykiety dependencies, security, docker, ci — 9 -&gt; 13 etykiet w repozytorium; pokrywaja wszystkie trzy sekcje labels: w .github/dependabot.yml.</t>
        </is>
      </c>
      <c r="M39" s="11" t="inlineStr">
        <is>
          <t>—</t>
        </is>
      </c>
      <c r="N39" s="11" t="inlineStr">
        <is>
          <t>Funkcja dostępna z panelu klienta bez wychodzenia do DirectAdmina; test uruchamiany w CI.</t>
        </is>
      </c>
      <c r="O39" s="11" t="inlineStr">
        <is>
          <t>Odkryte 2026-09-19. Dwa drobne rozjazdy tego samego rodzaju: repozytorium mowi jedno, konfiguracja po stronie GitHuba drugie. | Etykiety: zadna z szesciu etykiet z dependabot.yml nie istnieje w repo, wiec PR-y Dependabota przychodza bez etykiet, a kazdy PR niesie komunikat o bledzie konfiguracji. Filtr "po etykiecie security" nie zwroci nic — co jest gorsze niz brak filtra, bo pusty wynik wyglada jak brak problemow. | Ruleset: celuje w galaz, ktorej rola zostala zniesiona przez X-13. Sama w sobie nieszkodliwa, ale to dokladnie ten typ zapisu, ktory pozniej czyta sie jako intencje. | Oba naprawia sie w minuty; sa tu dlatego, ze konfiguracja poza repozytorium nie ma zadnego straznika i wychodzi wylacznie przypadkiem. | ZAMKNIETE 2026-09-19 — ale W WEZSZYM ZAKRESIE niz opisano przy zgloszeniu, i to jest korekta mojego wlasnego znaleziska. Pierwotnie pozycja obejmowala TEZ ruleset celujacy w live-release-readiness. Sprawdzenie przed zmiana pokazalo, ze ta galaz NADAL ISTNIEJE w repozytorium. Zdjecie jej z rulesetu byloby zdjeciem ochrony (restrict deletions, block force pushes) z zywej galezi — czyli ruchem w zla strone, zrobionym dlatego, ze wczesniej zapisalem to jako usterke. Rozjazd jest realny, ale dotyczy NAZWY i INTENCJI ("galezie wdrozeniowe" w liczbie mnogiej wobec X-13 "jedna galaz wdrozeniowa"), a nie samej ochrony. Wlasciwym porzadkiem jest usuniecie martwych galezi, nie zdejmowanie z nich ochrony — osobna, mniejsza sprawa. Wniosek metodyczny: zapisane znalezisko nie jest powodem, zeby wykonac zapisana czynnosc, jesli sprawdzenie w chwili wykonania mowi co innego.</t>
        </is>
      </c>
      <c r="P39" s="10" t="inlineStr">
        <is>
          <t>do zrobienia</t>
        </is>
      </c>
    </row>
    <row r="40">
      <c r="A40" s="10" t="inlineStr">
        <is>
          <t>SEC-07</t>
        </is>
      </c>
      <c r="B40" s="11" t="inlineStr">
        <is>
          <t>Trzy podatnosci HIGH w multerze — zdalny DoS bez uwierzytelnienia na sciezce uploadu</t>
        </is>
      </c>
      <c r="C40" s="10" t="inlineStr">
        <is>
          <t>audyt</t>
        </is>
      </c>
      <c r="D40" s="10" t="inlineStr">
        <is>
          <t>G — SSL i bezpieczeństwo</t>
        </is>
      </c>
      <c r="E40" s="10" t="inlineStr">
        <is>
          <t>WYSOKA</t>
        </is>
      </c>
      <c r="F40" s="10" t="n">
        <v>16</v>
      </c>
      <c r="G40" s="10" t="n">
        <v>4</v>
      </c>
      <c r="H40" s="10" t="inlineStr">
        <is>
          <t>Faza 1 — Rozliczenia i dowód odtworzenia</t>
        </is>
      </c>
      <c r="I40" s="10" t="inlineStr">
        <is>
          <t>2026-09-21</t>
        </is>
      </c>
      <c r="J40" s="10" t="inlineStr">
        <is>
          <t>2026-09-25</t>
        </is>
      </c>
      <c r="K40" s="10" t="inlineStr">
        <is>
          <t>DZIAŁA</t>
        </is>
      </c>
      <c r="L40" s="11" t="inlineStr">
        <is>
          <t>D2 2026-09-19: bramka lokalna zielona — 850 testow jednostkowych w 81 pakietach, w tym multer-limity.spec.ts (7 asercji) i bramki-nie-rozjezdzaja-sie.spec.ts; lint 0 bledow, typecheck 12/12. pnpm-lock.yaml:6670 — multer@2.4.0 jako JEDYNA kopia. node ops/ci/audyt-bramka.cjs: multer znikl z listy blokujacych. apps/api/src/common/upload/multer-limity.ts — fieldArrayIndexLimit=10 w obu interceptorach.</t>
        </is>
      </c>
      <c r="M40" s="11" t="inlineStr">
        <is>
          <t>—</t>
        </is>
      </c>
      <c r="N40" s="11" t="inlineStr">
        <is>
          <t>Funkcja dostępna z panelu klienta bez wychodzenia do DirectAdmina; test uruchamiany w CI.</t>
        </is>
      </c>
      <c r="O40" s="11" t="inlineStr">
        <is>
          <t>Odkryte 2026-09-19 przy przegladzie kolejki Dependabota (DEP-01). CVSS 7.5, wektor sieciowy, BEZ uwierzytelnienia i bez interakcji uzytkownika: jedno zadanie multipart/form-data konczy proces Node. API obsluguje uploady zalacznikow do zgloszen, wiec sciezka jest wystawiona. | DLACZEGO PR #37 TEGO NIE NAPRAWIA, CHOC WYGLADA, JAKBY NAPRAWIAL: PR podnosi multer 2.2.0 -&gt; 2.3.0, czyli dokladnie do wersji zalatanej. Ale @nestjs/platform-express@11.2.1 deklaruje "multer": "2.2.0" — PIN DOKLADNY, bez karety. Po merge w drzewie stana DWIE kopie: 2.3.0 dla apps/api i 2.2.0 pod platform-express. Multipart parsuje FileInterceptor, ktory pochodzi z platform-express, czyli z kopii PODATNEJ. Bezposrednia zaleznosc wygladalaby na zalatana, a dziura zostalaby tam, gdzie leci ruch. | DRUGA POLOWA, LATWA DO PRZEOCZENIA: GHSA-535w-7cp7-47q4 wymaga NIE TYLKO wersji 2.3.0, ale i skonfigurowania limits.fieldArrayIndexLimit ("Users should upgrade to 2.3.0 AND configure limits.fieldArrayIndexLimit"). Sama wersja nie wystarcza — potrzebna zmiana w kodzie, w opcjach interceptora. Podbicie wersji i uznanie sprawy za zamknieta byloby tu wlasnie tym, przed czym ostrzega cala rodzina "wyglada na zrobione". | DROGI NAPRAWY: (a) pnpm.overrides na multer ^2.3.0 w korzeniu — wymusza jedna kopie mimo pinu Nesta, dziala od reki, rusza lockfile; (b) docelowo @nestjs/platform-express &gt;= 12.0.2 (12.0.2 pinuje 2.3.0, 12.0.3 pinuje 2.4.0) — ale to major Nesta, osobna praca; (c) zgoda w podatnosci-dopuszczone.json — ODRZUCONE: zdalny DoS bez uwierzytelnienia na produkcie hostingowym nie jest czyms, na co sie godzimy z terminem. | Do wykonania razem: override, konfiguracja fieldArrayIndexLimit, test, ktory czerwieni sie na starym kodzie, i dopiero potem merge PR #37. | STAN 2026-09-19: NAPRAWIONE W KODZIE (D1), POZYCJA OTWARTA. Dokumentacja: docs/archiwum/zadania/SEC-07-multer-jedno-zadanie-klado-proces.md. Naprawa przez pnpm.overrides, nie przez bump w apps/api — bump nie rusza kopii pinowanej przez platform-express. DO ZAMKNIECIA POTRZEBNY ZIELONY JOB "Security scans", nie numer wersji w package.json: dokladnie taki dowod dawal PR #37, ktory niczego nie naprawial. Zmiany powstaly w powloce bez pnpm i Dockera, wiec zaden z siedmiu straznikow nie zostal uruchomiony — jedyna weryfikacja to typecheck. | ZAMKNIETE 2026-09-19. Liczba testow jednostkowych 841 -&gt; 850, czyli dokladnie tyle, ile dolozyly nowe asercje (7+2) — potwierdzenie, ze straznik faktycznie sie wykonal, a nie tylko lezy w repozytorium (lekcja z X-40).</t>
        </is>
      </c>
      <c r="P40" s="10" t="inlineStr">
        <is>
          <t>do zrobienia</t>
        </is>
      </c>
    </row>
    <row r="41">
      <c r="A41" s="10" t="inlineStr">
        <is>
          <t>SEC-08</t>
        </is>
      </c>
      <c r="B41" s="11" t="inlineStr">
        <is>
          <t>Dwa niezauwierzytelnione RCE w Next.js lezaly w drzewie 22 dni</t>
        </is>
      </c>
      <c r="C41" s="10" t="inlineStr">
        <is>
          <t>audyt</t>
        </is>
      </c>
      <c r="D41" s="10" t="inlineStr">
        <is>
          <t>G — SSL i bezpieczeństwo</t>
        </is>
      </c>
      <c r="E41" s="10" t="inlineStr">
        <is>
          <t>WYSOKA</t>
        </is>
      </c>
      <c r="F41" s="10" t="n">
        <v>6</v>
      </c>
      <c r="G41" s="10" t="n">
        <v>4</v>
      </c>
      <c r="H41" s="10" t="inlineStr">
        <is>
          <t>Faza 1 — Rozliczenia i dowód odtworzenia</t>
        </is>
      </c>
      <c r="I41" s="10" t="inlineStr">
        <is>
          <t>2026-09-21</t>
        </is>
      </c>
      <c r="J41" s="10" t="inlineStr">
        <is>
          <t>2026-09-25</t>
        </is>
      </c>
      <c r="K41" s="10" t="inlineStr">
        <is>
          <t>DZIAŁA</t>
        </is>
      </c>
      <c r="L41" s="11" t="inlineStr">
        <is>
          <t>Przed: node ops/ci/audyt-bramka.cjs 2026-09-19 — "Podatnosci blokujace (high/critical): 11", w tym CRITICAL next GHSA-p293-qw3h-jr36 i GHSA-2xp9-vwfh-vxw4, oba podatne &gt;=16.0.0 &lt;16.3.3, w drzewie 16.3.2. Po: ta sama bramka — "Podatnosci blokujace: 1", jedyna pozostala to deepmerge-ts ze zgoda do 2026-11-15 (X-20), komunikat "Bramka podatnosci: zielone". | D2 2026-09-19 na maszynie deweloperskiej, po podniesieniu: lint 0 bledow (7 pakietow, CACHE MISS — realne wykonanie, nie odtworzenie logow), typecheck 8/8 cache miss, 850 testow w 81 pakietach, bramka podatnosci zielona. Cache miss jest tu istotny: potwierdza, ze kontrole przeszly przez Next 16.3.4, a nie odtworzyly wyniku sprzed podniesienia — dokladnie ten rozjazd opisuje ENV-02.</t>
        </is>
      </c>
      <c r="M41" s="11" t="inlineStr">
        <is>
          <t>—</t>
        </is>
      </c>
      <c r="N41" s="11" t="inlineStr">
        <is>
          <t>Funkcja dostępna z panelu klienta bez wychodzenia do DirectAdmina; test uruchamiany w CI.</t>
        </is>
      </c>
      <c r="O41" s="11" t="inlineStr">
        <is>
          <t>Odkryte 2026-09-19 przy zamykaniu SEC-07 — bramke uruchomiono na zywym drzewie po raz pierwszy od 2026-08-28. | CO LEZALO: dwa CRITICAL w Next.js, oba ZDALNE WYKONANIE KODU BEZ UWIERZYTELNIENIA (GHSA-2xp9-vwfh-vxw4 przez Image Optimization API przy plikach AVIF; GHSA-p293-qw3h-jr36 na serwerach hostowanych na Windows — u nas Linux, wiec drugie nie dotyczy nas w praktyce, ale pierwsze tak i dotyczy WSZYSTKICH pieciu paneli). Do tego osiem HIGH: browserslist x2, fast-uri x4, js-yaml x3, sharp x1. | DLACZEGO TO NIE JEST "ZALEGLOSC W AKTUALIZACJACH": wszystkie te advisory opublikowano PO 2026-08-28, czyli w trakcie przerwy. Drzewo nie zgnilo — swiat sie przesunal, a nikt nie zapytal. Bramka istniala, dzialala i nie byla uruchamiana, bo nie byla podpieta do niczego (X-50). Trzy tygodnie ciszy wygladaly dokladnie tak samo jak trzy tygodnie bezpieczenstwa. | NAPRAWA: next i eslint-config-next 16.3.2 -&gt; 16.3.4 w pieciu pakietach (16.3.3 to minimum, 16.3.4 to wersja z PR #37 Dependabota), sharp ^0.35.3 -&gt; ^0.35.4, oraz cztery nadpisania na zaleznosci przechodnie: browserslist ^4.28.7, fast-uri ^3.1.4 -&gt; ^3.1.6, js-yaml@4 ^4.3.1 -&gt; ^4.3.2, js-yaml@3 ^3.15.2 (nowe). | WNIOSEK NA STALE: przerwa w pracy nie jest przerwa w ekspozycji. Pierwsza rzecza po kazdej dluzszej przerwie jest uruchomienie bramki podatnosci, przed czytaniem czegokolwiek innego — w tym sprincie zrobilismy to dopiero po dwoch dniach pracy nad czym innym. | ZWERYFIKOWANE 2026-09-19: pelna bramka lokalna zielona po podniesieniu, bez ani jednej poprawki w kodzie paneli. Podniesienie Next w obrebie 16.3.x okazalo sie bezkosztowe — co bylo najbardziej prawdopodobnym, ale nie pewnym wynikiem, i dlatego bramka byla warunkiem, a nie formalnoscia. | SKUTEK DLA DEP-01: PR #37 Dependabota jest teraz w czesci nieaktualny — next, sharp i multer sa juz podniesione w main, wiec PR albo zostanie przebazowany, albo zamkniety przez samego Dependabota. Zostaja w nim pozostale pozycje z grupy minor-and-patch, ktore nie dotyczyly bezpieczenstwa.</t>
        </is>
      </c>
      <c r="P41" s="10" t="inlineStr">
        <is>
          <t>do zrobienia</t>
        </is>
      </c>
    </row>
    <row r="42">
      <c r="A42" s="10" t="inlineStr">
        <is>
          <t>PB-13</t>
        </is>
      </c>
      <c r="B42" s="11" t="inlineStr">
        <is>
          <t>Decyzja: własny KSeF czy integracja z programem księgowym</t>
        </is>
      </c>
      <c r="C42" s="10" t="inlineStr">
        <is>
          <t>poza audytem</t>
        </is>
      </c>
      <c r="D42" s="10" t="inlineStr">
        <is>
          <t>Praca spoza audytu</t>
        </is>
      </c>
      <c r="E42" s="10" t="inlineStr">
        <is>
          <t>BLOKER BIZNESOWY</t>
        </is>
      </c>
      <c r="F42" s="10" t="n">
        <v>6</v>
      </c>
      <c r="G42" s="10" t="n">
        <v>4</v>
      </c>
      <c r="H42" s="10" t="inlineStr">
        <is>
          <t>Faza 1 — Rozliczenia i dowód odtworzenia</t>
        </is>
      </c>
      <c r="I42" s="10" t="inlineStr">
        <is>
          <t>2026-09-21</t>
        </is>
      </c>
      <c r="J42" s="10" t="inlineStr">
        <is>
          <t>2026-09-25</t>
        </is>
      </c>
      <c r="K42" s="10" t="inlineStr">
        <is>
          <t>—</t>
        </is>
      </c>
      <c r="L42" s="11" t="inlineStr">
        <is>
          <t>—</t>
        </is>
      </c>
      <c r="M42" s="11" t="inlineStr">
        <is>
          <t>—</t>
        </is>
      </c>
      <c r="N42" s="11" t="inlineStr">
        <is>
          <t>Decyzja zapisana w repo z uzasadnieniem i datą. Jeśli wybrana integracja — sprint 18 zmienia zakres z dokończenia modułu na wdrożenie eksportu do programu księgowego. Decyzja musi zapaść przed sprintem 18, inaczej blokuje start.</t>
        </is>
      </c>
      <c r="O42" s="11" t="inlineStr">
        <is>
          <t>Porównać dwie ścieżki: dokończenie własnego modułu KSeF (tryb offline, walidacja XSD, UPO) kontra przekazanie fakturowania do programu księgowego z gotową integracją KSeF. Kryteria: koszt, czas, ryzyko zgodności, kto odpowiada za błąd wysyłki, co się dzieje przy awarii MF.</t>
        </is>
      </c>
      <c r="P42" s="10" t="inlineStr">
        <is>
          <t>do zrobienia</t>
        </is>
      </c>
    </row>
    <row r="43">
      <c r="A43" s="10" t="inlineStr">
        <is>
          <t>FAK-01</t>
        </is>
      </c>
      <c r="B43" s="11" t="inlineStr">
        <is>
          <t>Panel nie wystawia faktury VAT rownolegle z programem ksiegowym</t>
        </is>
      </c>
      <c r="C43" s="10" t="inlineStr">
        <is>
          <t>audyt</t>
        </is>
      </c>
      <c r="D43" s="10" t="inlineStr">
        <is>
          <t>M — Rozliczenia</t>
        </is>
      </c>
      <c r="E43" s="10" t="inlineStr">
        <is>
          <t>—</t>
        </is>
      </c>
      <c r="F43" s="10" t="n">
        <v>16</v>
      </c>
      <c r="G43" s="10" t="n">
        <v>5</v>
      </c>
      <c r="H43" s="10" t="inlineStr">
        <is>
          <t>Faza 1 — Rozliczenia i dowód odtworzenia</t>
        </is>
      </c>
      <c r="I43" s="10" t="inlineStr">
        <is>
          <t>2026-09-28</t>
        </is>
      </c>
      <c r="J43" s="10" t="inlineStr">
        <is>
          <t>2026-10-02</t>
        </is>
      </c>
      <c r="K43" s="10" t="inlineStr">
        <is>
          <t>DZIAŁA</t>
        </is>
      </c>
      <c r="L43" s="11" t="inlineStr">
        <is>
          <t>billing/tryb-fakturowania.ts — przelacznik faktury.tryb (fail-safe: wszystko poza dokladnym 'panel' = zewnetrzny), serie VDR/VDK, straznik KSeF; billing/faktura-za-portfel.ts — nadajNumerDokumentu jedynym wejsciem dla 5 miejsc (portfel, zbiorcza, reczna, Stripe, korekta; korekta idzie za rodzajem dokumentu pierwotnego); migracja 20260922120000_faktury_tryb_zewnetrzny — rodzajPrawny + 3 CHECK (seria zgodna z rodzajem, numer zewnetrzny tylko przy dokumencie rozliczeniowym); ksef.service.ts qualifies/tick — dokument rozliczeniowy nigdy do KSeF; platform-settings.service.ts — ksef.enabled efektywnie 0 w trybie zewnetrznym, wlaczenie odrzucane; PDF i mail: 'Dokument rozliczeniowy' + adnotacja 'nie jest faktura VAT'; panel klienta: etykieta + numer faktury zewnetrznej; API admina GET /admin/invoices/czeka-na-fakture, POST /admin/invoices/:id/faktura-zewnetrzna (raz, audyt, unikalnosc); po-migracji-niezmienniki.sql FAK-01 + asercje-czerwienia-sie.sh; testy: tryb-fakturowania.spec.ts, faktura-portfel.int-spec.ts (FAK-01).</t>
        </is>
      </c>
      <c r="M43" s="11" t="inlineStr">
        <is>
          <t>PB-13 (kierunek fakturowania — zamkniete 2026-09-22)</t>
        </is>
      </c>
      <c r="N43" s="11" t="inlineStr">
        <is>
          <t>Funkcja dostępna z panelu klienta bez wychodzenia do DirectAdmina; test uruchamiany w CI.</t>
        </is>
      </c>
      <c r="O43" s="11" t="inlineStr">
        <is>
          <t>Powstalo 2026-09-22 z decyzji wlasciciela: faktury VAT wystawiane recznie w programie ksiegowym, potem integracja po API (ADR-2026-09-22). | PROBLEM: panel juz dzis wystawia faktury z wlasna numeracja w tej samej transakcji co obciazenie (Z-01) i korekty (M-06). Przy recznym wystawianiu w programie ksiegowym jedna platnosc dostaje DWIE faktury w DWOCH seriach. Wylaczony KSeF chroni przed wyslaniem drugiej do MF, nie przed jej wystawieniem i doreczeniem klientowi. | ROZWIAZANIE (wariant C z ADR): przelacznik faktury.tryb = panel | zewnetrzny, domyslnie zewnetrzny. W trybie zewnetrznym ten sam rekord co dzis, bez numeru z serii panelu, status CZEKA_NA_FAKTURE_ZEWNETRZNA; klient widzi "dokument rozliczeniowy"; operator wpisuje numer faktury z programu; straznik blokuje kombinacje tryb zewnetrzny + ksef.enabled. To jest szew pod pozniejsza integracje po API — nic nie budujemy na wyrzucenie. | BLOKER, bo dopiero po nim M-16 i M-17 moga przestac blokowac start. | 2026-09-22 KOD: wariant C zaimplementowany (bez osobnego statusu — 'czeka na fakture' wynika z danych: rodzaj DOKUMENT_ROZLICZENIOWY i brak externalInvoiceNumber). Ekran admina: /invoices/czeka-na-fakture (kolejka + dopisanie numeru). D2 2026-09-22: lokalnie lint + typecheck + 878 testow jednostkowych zielone; CI #182 (a006c8e) zielone w calosci — migracja na swiezej bazie bez dryfu, niezmienniki FAK-01, asercje czerwienia sie (2 nowe przypadki FAK-01), testy integracyjne (5 nowych FAK-01). Bloker zdjety. Dokumentacja: docs/archiwum/zadania/FAK-01-faktury-w-programie-ksiegowym.md</t>
        </is>
      </c>
      <c r="P43" s="10" t="inlineStr">
        <is>
          <t>do zrobienia</t>
        </is>
      </c>
    </row>
    <row r="44">
      <c r="A44" s="10" t="inlineStr">
        <is>
          <t>X-03</t>
        </is>
      </c>
      <c r="B44" s="11" t="inlineStr">
        <is>
          <t>Testy uruchamiane przed wdrożeniem</t>
        </is>
      </c>
      <c r="C44" s="10" t="inlineStr">
        <is>
          <t>audyt</t>
        </is>
      </c>
      <c r="D44" s="10" t="inlineStr">
        <is>
          <t>X — Infrastruktura jakości</t>
        </is>
      </c>
      <c r="E44" s="10" t="inlineStr">
        <is>
          <t>WYSOKA</t>
        </is>
      </c>
      <c r="F44" s="10" t="n">
        <v>6</v>
      </c>
      <c r="G44" s="10" t="n">
        <v>5</v>
      </c>
      <c r="H44" s="10" t="inlineStr">
        <is>
          <t>Faza 1 — Rozliczenia i dowód odtworzenia</t>
        </is>
      </c>
      <c r="I44" s="10" t="inlineStr">
        <is>
          <t>2026-09-28</t>
        </is>
      </c>
      <c r="J44" s="10" t="inlineStr">
        <is>
          <t>2026-10-02</t>
        </is>
      </c>
      <c r="K44" s="10" t="inlineStr">
        <is>
          <t>DZIAŁA</t>
        </is>
      </c>
      <c r="L44" s="11" t="inlineStr">
        <is>
          <t>.github/workflows/deploy.yml — job test-gate (typecheck + pnpm --filter api test), build-push ma needs: test-gate; ops/scripts/lib/bramka-recznego-wdrozenia.sh — poza Actions odmowa (kod 2) bez WDROZENIE_RECZNE_POWOD (min. 15 znakow), wpis jednoliniowy w /var/log/verris/wdrozenia-reczne.log + syslog verris-wdrozenie; prod-deploy-ghcr.sh / prod-deploy-release.sh / prod-deploy-rolling.sh wolaja bramke przed pierwszym git/docker; deploy.yml eksportuje VERRIS_WDROZENIE_Z_ACTIONS=1 + GITHUB_RUN_ID; test: apps/api/src/test/wdrozenie-reczne-jawne.spec.ts (zachowanie biblioteki + kolejnosc w skryptach)</t>
        </is>
      </c>
      <c r="M44" s="11" t="inlineStr">
        <is>
          <t>—</t>
        </is>
      </c>
      <c r="N44" s="11" t="inlineStr">
        <is>
          <t>Funkcja dostępna z panelu klienta bez wychodzenia do DirectAdmina; test uruchamiany w CI.</t>
        </is>
      </c>
      <c r="O44" s="11" t="inlineStr">
        <is>
          <t>Ścieżka automatyczna (push → build → deploy) od 2026-08-21 nie przepuszcza czerwonych testów. Ścieżka ręczna ops/scripts/prod-deploy-ghcr.sh nadal nie uruchamia żadnych testów — dlatego CZĘŚCIOWE, nie DZIAŁA. | 2026-09-22: sciezka reczna nie jest juz ukryta — jest jawna decyzja z powodem i sladem. Swiadomie NIE blokujemy jej calkiem: to droga awaryjna (rollback, lezacy GitHub). Reczne ustawienie flagi Actions jest mozliwe, ale jest swiadomym klamstwem w poleceniu, nie przeoczeniem. Przy okazji X-13: domyslna galaz w release/rolling zmieniona z porzuconej live-release-readiness na main. D2 2026-09-22: wdrozenie-reczne-jawne.spec.ts zielony lokalnie i w CI #182. Dokumentacja: docs/archiwum/zadania/X-03-testy-uruchamiane-przed-wdrozeniem.md (sekcja 2026-09-22)</t>
        </is>
      </c>
      <c r="P44" s="10" t="inlineStr">
        <is>
          <t>do zrobienia</t>
        </is>
      </c>
    </row>
    <row r="45">
      <c r="A45" s="10" t="inlineStr">
        <is>
          <t>PB-14</t>
        </is>
      </c>
      <c r="B45" s="11" t="inlineStr">
        <is>
          <t>Wybór dostawcy i lokalizacji węzła produkcyjnego #1</t>
        </is>
      </c>
      <c r="C45" s="10" t="inlineStr">
        <is>
          <t>poza audytem</t>
        </is>
      </c>
      <c r="D45" s="10" t="inlineStr">
        <is>
          <t>Praca spoza audytu</t>
        </is>
      </c>
      <c r="E45" s="10" t="inlineStr">
        <is>
          <t>WYSOKI</t>
        </is>
      </c>
      <c r="F45" s="10" t="n">
        <v>6</v>
      </c>
      <c r="G45" s="10" t="n">
        <v>5</v>
      </c>
      <c r="H45" s="10" t="inlineStr">
        <is>
          <t>Faza 1 — Rozliczenia i dowód odtworzenia</t>
        </is>
      </c>
      <c r="I45" s="10" t="inlineStr">
        <is>
          <t>2026-09-28</t>
        </is>
      </c>
      <c r="J45" s="10" t="inlineStr">
        <is>
          <t>2026-10-02</t>
        </is>
      </c>
      <c r="K45" s="10" t="inlineStr">
        <is>
          <t>—</t>
        </is>
      </c>
      <c r="L45" s="11" t="inlineStr">
        <is>
          <t>—</t>
        </is>
      </c>
      <c r="M45" s="11" t="inlineStr">
        <is>
          <t>—</t>
        </is>
      </c>
      <c r="N45" s="11" t="inlineStr">
        <is>
          <t>Decyzja zapisana w repo z datą, przed zamówieniem serwera. Jeśli wybrany dostawca spoza Polski — polityka prywatności i DPA opisują lokalizację przetwarzania przed startem sprzedaży.</t>
        </is>
      </c>
      <c r="O45" s="11" t="inlineStr">
        <is>
          <t>PB-01 pokazało, że wybór dostawcy przesądza o rentowności przy cenie 45 zł. Hetzner AX102 ma cenę progową 44,20 zł, OVH Advance-2 w WAW1 — 67,76 zł, bo 960 GB dysku ogranicza węzeł do 30 kont. Sprawdzić realną cenę opcji dysku 1,92 TB w WAW1 (wzrosła o ok. 89% w lipcu 2026) i zestawić premię za lokalizację w Polsce z jej wartością sprzedażową i wpływem na RODO oraz DPA.</t>
        </is>
      </c>
      <c r="P45" s="10" t="inlineStr">
        <is>
          <t>do zrobienia</t>
        </is>
      </c>
    </row>
    <row r="46">
      <c r="A46" s="10" t="inlineStr">
        <is>
          <t>F-01</t>
        </is>
      </c>
      <c r="B46" s="11" t="inlineStr">
        <is>
          <t>Edytor rekordów DNS (A/CNAME/MX/TXT)</t>
        </is>
      </c>
      <c r="C46" s="10" t="inlineStr">
        <is>
          <t>audyt</t>
        </is>
      </c>
      <c r="D46" s="10" t="inlineStr">
        <is>
          <t>F — DNS</t>
        </is>
      </c>
      <c r="E46" s="10" t="inlineStr">
        <is>
          <t>—</t>
        </is>
      </c>
      <c r="F46" s="10" t="n">
        <v>6</v>
      </c>
      <c r="G46" s="10" t="n">
        <v>6</v>
      </c>
      <c r="H46" s="10" t="inlineStr">
        <is>
          <t>Faza 1 — Rozliczenia i dowód odtworzenia</t>
        </is>
      </c>
      <c r="I46" s="10" t="inlineStr">
        <is>
          <t>2026-10-05</t>
        </is>
      </c>
      <c r="J46" s="10" t="inlineStr">
        <is>
          <t>2026-10-09</t>
        </is>
      </c>
      <c r="K46" s="10" t="inlineStr">
        <is>
          <t>DZIAŁA</t>
        </is>
      </c>
      <c r="L46" s="11" t="inlineStr">
        <is>
          <t>2026-09-22 D1: components/hosting/DnsZoneSection.tsx — edytor strefy w zakladce Domeny huba uslugi (wybor domeny, DnsManager z onChanged); dns-manager.tsx typy A/AAAA/CNAME/MX/TXT/SRV/NS/CAA; API subscriptions/dto/hosting-dns.dto.ts (whitelista typow, wzorzec nazwy, zakaz znakow sterujacych, TTL 60-86400) + assertDomainOnSubscription przy odczycie/dodaniu/usunieciu; test hosting-dns-dto.spec.ts; D3 t1 28.09: lista zawsze pusta (POST action=select = usuwanie) → GET json=yes records[]; usuwanie &lt;typ&gt;recs0 + kontrola listy (directadmin.domeny.spec.ts); retest; D3 t1 (d3.hvln.pl) 28.09–29.09: lista 12–13 rekordów, dodanie A verris-test, edycja na .11, usunięcie; DMARC jednym kliknięciem</t>
        </is>
      </c>
      <c r="M46" s="11" t="inlineStr">
        <is>
          <t>—</t>
        </is>
      </c>
      <c r="N46" s="11" t="inlineStr">
        <is>
          <t>Funkcja dostępna z panelu klienta bez wychodzenia do DirectAdmina; test uruchamiany w CI.</t>
        </is>
      </c>
      <c r="O46" s="11" t="inlineStr">
        <is>
          <t>Skorygowane: obejściem jest link do DirectAdmina (services.controller.ts:350) z poświadczeniami z „dane dostępowe”. Uwaga — SSO nie działa, trasa hosting-sso-url nie istnieje w API, więc klient trafia do obcego panelu i loguje się ręcznie. | 2026-09-22 KOREKTA OPISU: trasa hosting-sso-url ISTNIEJE w API (services.controller.ts, SPRINT-1c) — opis z audytu byl nieaktualny. KOD: komponent DnsManager byl gotowy i nigdzie nie wyrenderowany; podpiety w zakladce Domeny. Przy okazji zamknieta luka na granicy zaufania: body rekordu bylo nietypowane (dowolny typ, znak nowej linii w wartosci = drugi rekord w strefie), a domena z zapytania nie byla sprawdzana wobec konta. OTWARTE do D3 (sprint 18, wezel): format usuwania rekordu w CMD_API_DNS_CONTROL nie jest potwierdzony na zywym DA (komentarz ponytail w directadmin.service.ts) — edycja robi create-then-delete, wiec nieudane usuniecie daloby duplikat. | 2026-09-23: usuwanie rekordu wymaga potwierdzenia; preset „SPF (poczta Verris)” poprawiony na v=spf1 a mx ~all.</t>
        </is>
      </c>
      <c r="P46" s="10" t="inlineStr">
        <is>
          <t>do zrobienia</t>
        </is>
      </c>
    </row>
    <row r="47">
      <c r="A47" s="10" t="inlineStr">
        <is>
          <t>F-02</t>
        </is>
      </c>
      <c r="B47" s="11" t="inlineStr">
        <is>
          <t>Rekordy SRV / CAA</t>
        </is>
      </c>
      <c r="C47" s="10" t="inlineStr">
        <is>
          <t>audyt</t>
        </is>
      </c>
      <c r="D47" s="10" t="inlineStr">
        <is>
          <t>F — DNS</t>
        </is>
      </c>
      <c r="E47" s="10" t="inlineStr">
        <is>
          <t>WYSOKA</t>
        </is>
      </c>
      <c r="F47" s="10" t="n">
        <v>6</v>
      </c>
      <c r="G47" s="10" t="n">
        <v>6</v>
      </c>
      <c r="H47" s="10" t="inlineStr">
        <is>
          <t>Faza 1 — Rozliczenia i dowód odtworzenia</t>
        </is>
      </c>
      <c r="I47" s="10" t="inlineStr">
        <is>
          <t>2026-10-05</t>
        </is>
      </c>
      <c r="J47" s="10" t="inlineStr">
        <is>
          <t>2026-10-09</t>
        </is>
      </c>
      <c r="K47" s="10" t="inlineStr">
        <is>
          <t>DZIAŁA</t>
        </is>
      </c>
      <c r="L47" s="11" t="inlineStr">
        <is>
          <t>2026-09-22 D1: components/hosting/DnsZoneSection.tsx — edytor strefy w zakladce Domeny huba uslugi (wybor domeny, DnsManager z onChanged); dns-manager.tsx typy A/AAAA/CNAME/MX/TXT/SRV/NS/CAA; API subscriptions/dto/hosting-dns.dto.ts (whitelista typow, wzorzec nazwy, zakaz znakow sterujacych, TTL 60-86400) + assertDomainOnSubscription przy odczycie/dodaniu/usunieciu; test hosting-dns-dto.spec.ts; D3 t1 (d3.hvln.pl) 29.09 po wdrożeniu 13:00 (panel klienta): CAA 0 issue "letsencrypt.org" dodany z panelu i widoczny w strefie; SRV nie sprawdzany; usuwanie/zmiana takich rekordów — poprawka 3b508f6; D3 t1 29.09 (panel klienta, d3.hvln.pl): CAA dodany wcześniej; SRV _sip._tcp „10 5 5060 mail.d3.hvln.pl.” dodany i usunięty z panelu (wartość ze spacjami, bez duplikatu), licznik 15→16→15</t>
        </is>
      </c>
      <c r="M47" s="11" t="inlineStr">
        <is>
          <t>F-01 (ten sam edytor)</t>
        </is>
      </c>
      <c r="N47" s="11" t="inlineStr">
        <is>
          <t>Funkcja dostępna z panelu klienta bez wychodzenia do DirectAdmina; test uruchamiany w CI.</t>
        </is>
      </c>
      <c r="O47" s="11" t="inlineStr">
        <is>
          <t xml:space="preserve"> | 2026-09-22 KOREKTA OPISU: trasa hosting-sso-url ISTNIEJE w API (services.controller.ts, SPRINT-1c) — opis z audytu byl nieaktualny. KOD: komponent DnsManager byl gotowy i nigdzie nie wyrenderowany; podpiety w zakladce Domeny. Przy okazji zamknieta luka na granicy zaufania: body rekordu bylo nietypowane (dowolny typ, znak nowej linii w wartosci = drugi rekord w strefie), a domena z zapytania nie byla sprawdzana wobec konta. OTWARTE do D3 (sprint 18, wezel): format usuwania rekordu w CMD_API_DNS_CONTROL nie jest potwierdzony na zywym DA (komentarz ponytail w directadmin.service.ts) — edycja robi create-then-delete, wiec nieudane usuniecie daloby duplikat. | 2026-09-23: usuwanie rekordu wymaga potwierdzenia; preset „SPF (poczta Verris)” poprawiony na v=spf1 a mx ~all.</t>
        </is>
      </c>
      <c r="P47" s="10" t="inlineStr">
        <is>
          <t>do zrobienia</t>
        </is>
      </c>
    </row>
    <row r="48">
      <c r="A48" s="10" t="inlineStr">
        <is>
          <t>PB-15</t>
        </is>
      </c>
      <c r="B48" s="11" t="inlineStr">
        <is>
          <t>Fundament nowego designu panelu</t>
        </is>
      </c>
      <c r="C48" s="10" t="inlineStr">
        <is>
          <t>poza audytem</t>
        </is>
      </c>
      <c r="D48" s="10" t="inlineStr">
        <is>
          <t>Praca spoza audytu</t>
        </is>
      </c>
      <c r="E48" s="10" t="inlineStr">
        <is>
          <t>WYSOKI</t>
        </is>
      </c>
      <c r="F48" s="10" t="n">
        <v>30</v>
      </c>
      <c r="G48" s="10" t="n">
        <v>6</v>
      </c>
      <c r="H48" s="10" t="inlineStr">
        <is>
          <t>Faza 1 — Rozliczenia i dowód odtworzenia</t>
        </is>
      </c>
      <c r="I48" s="10" t="inlineStr">
        <is>
          <t>2026-10-05</t>
        </is>
      </c>
      <c r="J48" s="10" t="inlineStr">
        <is>
          <t>2026-10-09</t>
        </is>
      </c>
      <c r="K48" s="10" t="inlineStr">
        <is>
          <t>—</t>
        </is>
      </c>
      <c r="L48" s="11" t="inlineStr">
        <is>
          <t>—</t>
        </is>
      </c>
      <c r="M48" s="11" t="inlineStr">
        <is>
          <t>—</t>
        </is>
      </c>
      <c r="N48" s="11" t="inlineStr">
        <is>
          <t>Ekran-wzorzec zaakceptowany przez właściciela; tokeny i komponenty w @verris/ui lub components/panel; ciemny i jasny motyw; kontrast WCAG AA; brak regresji w testach.</t>
        </is>
      </c>
      <c r="O48" s="11" t="inlineStr">
        <is>
          <t>Własny system wizualny zamiast domyślnego Tailwinda: tokeny (kolor marki, neutralne, stany), typografia z charakterem (nie Inter), skala odstępów i promieni, ~10 komponentów bazowych (przycisk, pole, tabela o zmiennej gęstości, karta metryki z wykresem, pasek stanu, dymek asystenta, pusty stan, pasek akcji, nawigacja, modal z podglądem skutku). Jeden ekran-wzorzec: strona usługi w panelu klienta. Kierunek i inspiracje: docs/VERRIS.md.</t>
        </is>
      </c>
      <c r="P48" s="10" t="inlineStr">
        <is>
          <t>do zrobienia</t>
        </is>
      </c>
    </row>
    <row r="49">
      <c r="A49" s="10" t="inlineStr">
        <is>
          <t>PB-16</t>
        </is>
      </c>
      <c r="B49" s="11" t="inlineStr">
        <is>
          <t>Ekrany panelu klienta w nowym designie + tryb Prosty/Pełny + wyszukiwarka „/”</t>
        </is>
      </c>
      <c r="C49" s="10" t="inlineStr">
        <is>
          <t>poza audytem</t>
        </is>
      </c>
      <c r="D49" s="10" t="inlineStr">
        <is>
          <t>Praca spoza audytu</t>
        </is>
      </c>
      <c r="E49" s="10" t="inlineStr">
        <is>
          <t>WYSOKI</t>
        </is>
      </c>
      <c r="F49" s="10" t="n">
        <v>40</v>
      </c>
      <c r="G49" s="10" t="n">
        <v>7</v>
      </c>
      <c r="H49" s="10" t="inlineStr">
        <is>
          <t>Faza 1 — Rozliczenia i dowód odtworzenia</t>
        </is>
      </c>
      <c r="I49" s="10" t="inlineStr">
        <is>
          <t>2026-10-12</t>
        </is>
      </c>
      <c r="J49" s="10" t="inlineStr">
        <is>
          <t>2026-10-16</t>
        </is>
      </c>
      <c r="K49" s="10" t="inlineStr">
        <is>
          <t>—</t>
        </is>
      </c>
      <c r="L49" s="11" t="inlineStr">
        <is>
          <t>—</t>
        </is>
      </c>
      <c r="M49" s="11" t="inlineStr">
        <is>
          <t>—</t>
        </is>
      </c>
      <c r="N49" s="11" t="inlineStr">
        <is>
          <t>Wszystkie trasy panelu klienta na nowych komponentach; tryb zapamiętany per użytkownik; „/” działa na każdym ekranie; zrzuty mobile/desktop sprawdzone.</t>
        </is>
      </c>
      <c r="O49" s="11" t="inlineStr">
        <is>
          <t>Przeniesienie wszystkich ekranów panelu klienta na komponenty z PB-15. Tryb Prosty (laik) / Pełny (pro) jako gęstość informacji tego samego panelu. Globalne wyszukiwanie pod „/” (usługi, domeny, ustawienia, baza wiedzy). Puste stany jako instrukcje. | 2026-09-25 STAN: mapa w docs/VERRIS.md (3.3) ma ✅ dla pulpitu, usług, widoku usługi i strony, płatności, pomocy, domen i „Więcej” (2026-09-22); tryb Prosty/Pełny i „/” działają. PRZEGLĄD ZRZUTAMI: panel uruchomiony lokalnie (API + PostgreSQL + Redis, konto testowe z usługą), 53 trasy × 390 px i 1440 px (Playwright) — żadnego przewijania w bok. Znalezione i naprawione: (1) na telefonie tytuł KAŻDEJ strony chował się pod górnym paskiem — klasy pt/h/top-mobile-header były w @layer utilities, a Tailwind 4 generuje warianty (max-lg:) tylko dla @utility; (2) przy chwilowym braku /users/me middleware odpowiadał HTML-em 503 także akcjom serwera, więc klient widział angielskie „An unexpected response was received from the server” — akcje idą dalej, API samo sprawdza uprawnienia (test middleware.spec.ts); (3) liczby z kropką (80.48 K, 0.0662 K/h) w 24 plikach → lib/liczba.ts (pl-PL); (4) ~15 komunikatów API dla klienta mówiło „DirectAdmin” (np. Narzędzia WWW) — przepisane, nowy strażnik w bez-nazwy-directadmina.spec.ts; (5) reguła „password” mapowała każdą wzmiankę o haśle na „Hasło nie spełnia wymagań” (Menedżer plików) — zawężona; (6) brak key na pulpicie. ZOSTAJE: stare zakładki usługi mają paletę wzorca przez .v2-skin, ale nie są przepisane na klocki v2 (kosmetyka, bez wpływu na działanie); sprawdzenie na prawdziwym telefonie (Q-09 D3). | 2026-09-26: stare klasy palety w components/hosting/*.tsx (37 plików) zamienione na tokeny v2 (bg-card, border-line, text-muted-foreground, crit/warn/data…) — mapowanie 1:1 z reguł .v2-skin w globals.css, więc wygląd bez zmian. Weryfikacja: zrzuty 20 zakładek × ciemny/jasny przed i po na tych samych danych — różnice tylko w danych (znaczniki czasu, limit zapytań); jedyna różnica stylu: nagłówki tabeli w Deploy wracają do stylu v2 (th wyciszony, jak w makiecie). Bramka zielona. | SPRAWDZONE NA PRODUKCJI 26.09 wieczorem: zakładki usługi (przegląd, poczta, domeny i DNS, bazy, kopie) w motywie ciemnym i jasnym — renderują się, przy niedostępnym DirectAdminie łagodny komunikat „Serwer hostingowy jest chwilowo niedostępny”. Naprawione po drodze: nagłówek usługi czekał ~20 s na DA; link do zakładki zaawansowanej w trybie prostym zostawiał na Przeglądzie. | 2026-09-27: ZAMKNIĘTE — trasy na komponentach v2, tryb Prosty/Pełny zapisany na koncie (PB-16 wcześniej), paleta „/”, przejście na produkcji 26.09 w obu motywach.</t>
        </is>
      </c>
      <c r="P49" s="10" t="inlineStr">
        <is>
          <t>do zrobienia</t>
        </is>
      </c>
    </row>
    <row r="50">
      <c r="A50" s="10" t="inlineStr">
        <is>
          <t>PB-20</t>
        </is>
      </c>
      <c r="B50" s="11" t="inlineStr">
        <is>
          <t>Tryb agencji: przełącznik klienta w menu bocznym</t>
        </is>
      </c>
      <c r="C50" s="10" t="inlineStr">
        <is>
          <t>poza audytem</t>
        </is>
      </c>
      <c r="D50" s="10" t="inlineStr">
        <is>
          <t>Praca spoza audytu</t>
        </is>
      </c>
      <c r="E50" s="10" t="inlineStr">
        <is>
          <t>ŚREDNI</t>
        </is>
      </c>
      <c r="F50" s="10" t="n">
        <v>16</v>
      </c>
      <c r="G50" s="10" t="n">
        <v>7</v>
      </c>
      <c r="H50" s="10" t="inlineStr">
        <is>
          <t>Faza 1 — Rozliczenia i dowód odtworzenia</t>
        </is>
      </c>
      <c r="I50" s="10" t="inlineStr">
        <is>
          <t>2026-10-12</t>
        </is>
      </c>
      <c r="J50" s="10" t="inlineStr">
        <is>
          <t>2026-10-16</t>
        </is>
      </c>
      <c r="K50" s="10" t="inlineStr">
        <is>
          <t>—</t>
        </is>
      </c>
      <c r="L50" s="11" t="inlineStr">
        <is>
          <t>—</t>
        </is>
      </c>
      <c r="M50" s="11" t="inlineStr">
        <is>
          <t>—</t>
        </is>
      </c>
      <c r="N50" s="11" t="inlineStr">
        <is>
          <t>Decyzja o modelu zapisana w docs/VERRIS.md; przełącznik widoczny tylko dla kont z klientami; przełączenie zmienia kontekst usług, domen i płatności; guard uprawnień obejmuje nowe trasy (Z-04); testy w CI.</t>
        </is>
      </c>
      <c r="O50" s="11" t="inlineStr">
        <is>
          <t>Element makiety („Piekarnia Zdrój · klient · 3 usługi” nad menu): konto agencji/resellera przełącza się między swoimi klientami bez wylogowania. Wymaga decyzji, jak Reseller (white-label) mapuje klientów na konta i uprawnienia (IAM). | DECYZJA WŁAŚCICIELA 2026-09-25: PO STARCIE. Dziś reseller ma listę swoich klientów i narzut; przełącznik klienta wraca przy pierwszych agencjach, gdy będzie wiadomo, jak z niego korzystają (mniej ryzyka przy dostępie do cudzych kont). Model do wyboru wtedy: przełączenie na konto klienta (jak impersonacja, tylko własni klienci, dziennik obu stron) albo klienci w koncie agencji. | DECYZJA WŁAŚCICIELA 2026-09-25 (2): PRZED STARTEM, razem z udostępnianiem wybranych usług (IAM v2) — klient udostępnia całe konto albo wybrane usługi deweloperowi/resellerowi, deweloper z własnym kontem przełącza się między kontami bez nowego loginu. | 2026-09-26 ZROBIONE W KODZIE: zaproszenie IAM z zakresem (całe konto albo wybrane usługi), adres z kontem Verris przyjmuje zaproszenie ze swojego konta (CustomerMembership), przełącznik kont w menu bocznym (POST /auth/switch-account — token z actingFor, ta sama sesja), pasek „Pracujesz na koncie X” z powrotem, zakres egzekwowany w API (zakres-uslug.ts w CustomerPermissionsGuard + filtr GET /services) i w nawigacji; strategia JWT sprawdza członkostwo przy każdym żądaniu (odebrany dostęp działa od razu). Testy: iam-czlonkostwo.int-spec.ts (4), zakres-uslug.spec.ts. Zostało: przejście na produkcji. | 2026-09-27 PRODUKCJA (D4): właściciel zaprosił dominiumyt@gmail.com (konto Verris założone przez resellera testowego) z „Usługi: podgląd” tylko dla tprstudio.pl; zaproszenie przyjęte z własnego konta; w menu „Moje konto ⇄ Dominik Kowalski · wybrane usługi (1)”; po przełączeniu pasek „Pracujesz na koncie…”, widać tylko tprstudio.pl, domeny/portfel/zgłoszenia „brak uprawnień”; dwie pozostałe usługi właściciela — odmowa; „Wróć do swojego konta” działa; „Odbierz dostęp” działa od razu (następne wejście na usługę już bez dostępu). Poprawione przy okazji (d1987ef0): czerwona ramka EKO na koncie z zakresem, komunikat odmowy dla usługi, etykiety dziennika IAM, komunikat „Odbierz dostęp”. Zamknięte. | 2026-10-08 PRODUKCJA (D3), ścieżka nowego adresu (subkonto): właściciel d3 zaprosił dominik+dev@dkowalski.pl z zakresem „Wybrane usługi: d3.hvln.pl”, etykieta IT; mail „Zaproszenie do konta Verris” (zaproszający, tylko d3.hvln.pl, etykieta, link 7 dni) → aktywacja z ustawieniem hasła. Po zalogowaniu subkonta: menu Pulpit/Usługi/Powiadomienia/Baza wiedzy/Ustawienia, widać tylko d3.hvln.pl, domeny/portfel/zgłoszenia „brak uprawnień”; /dashboard/billing, /domains, /iam, /reseller, /support, /vps, /migrations → przekierowanie na pulpit; Ustawienia: „Konto operatora (subkonto)”, e-mail zmienia właściciel. Admin: „Subkonto konta dominik@dkowalski.pl”.</t>
        </is>
      </c>
      <c r="P50" s="10" t="inlineStr">
        <is>
          <t>do zrobienia</t>
        </is>
      </c>
    </row>
    <row r="51">
      <c r="A51" s="10" t="inlineStr">
        <is>
          <t>PB-34</t>
        </is>
      </c>
      <c r="B51" s="11" t="inlineStr">
        <is>
          <t>Panele admina i obsługi na poziomie panelu klienta</t>
        </is>
      </c>
      <c r="C51" s="10" t="inlineStr">
        <is>
          <t>poza audytem</t>
        </is>
      </c>
      <c r="D51" s="10" t="inlineStr">
        <is>
          <t>Praca spoza audytu</t>
        </is>
      </c>
      <c r="E51" s="10" t="inlineStr">
        <is>
          <t>WYSOKI</t>
        </is>
      </c>
      <c r="F51" s="10" t="n">
        <v>40</v>
      </c>
      <c r="G51" s="10" t="n">
        <v>7</v>
      </c>
      <c r="H51" s="10" t="inlineStr">
        <is>
          <t>Faza 1 — Rozliczenia i dowód odtworzenia</t>
        </is>
      </c>
      <c r="I51" s="10" t="inlineStr">
        <is>
          <t>2026-10-12</t>
        </is>
      </c>
      <c r="J51" s="10" t="inlineStr">
        <is>
          <t>2026-10-16</t>
        </is>
      </c>
      <c r="K51" s="10" t="inlineStr">
        <is>
          <t>—</t>
        </is>
      </c>
      <c r="L51" s="11" t="inlineStr">
        <is>
          <t>—</t>
        </is>
      </c>
      <c r="M51" s="11" t="inlineStr">
        <is>
          <t>—</t>
        </is>
      </c>
      <c r="N51" s="11" t="inlineStr">
        <is>
          <t>Makieta zaakceptowana; wszystkie ekrany admina i obsługi na v2, bramka a11y zielona.</t>
        </is>
      </c>
      <c r="O51" s="11" t="inlineStr">
        <is>
          <t>Decyzja właściciela 2026-09-26: najpierw makieta 3–4 kluczowych ekranów (pulpit, węzły/węzeł, karta klienta, zgłoszenie) do akceptacji, potem przeniesienie wszystkich ekranów 1:1 na tokeny i komponenty v2 (jasny i ciemny motyw). DEV_HANDOFF.md przewidywał „ten sam zestaw tokenów, później”. | 2026-09-26: makieta zaakceptowana (właściciel: „wyglądają super”, dodać podpowiedzi na zgłoszeniu — zrobione jako PB-37). PANEL OBSŁUGI PRZENIESIONY: menu i pasek 1:1 z makietą (ciemne menu, jasna treść, przełącznik motywu, menu na telefonie), skrzynka od nowa (Moje, Czeka na klienta, terminy), zgłoszenie 1:1 z makietą; pozostałe ekrany obsługi na tokenach v2 przez warstwę .v2-skin (jak PB-16). 2026-09-26 (popołudnie): PANEL ADMINA PRZENIESIONY — menu 1:1 z makietą (strony spoza makiety jako zakładki nad treścią, strażnik widoki-w-nawigacji), pulpit „Stan platformy” z bazy (Wymaga uwagi, flota z CPU realnym, KPI, zdarzenia), strona węzła i karta klienta 1:1 z makietą (dotychczasowe panele w zakładkach), listy węzłów/klientów/usług/zgłoszeń w języku makiety; reszta ekranów na tokenach v2 przez .v2-skin. Kontrast i etykiety sprawdzone na wszystkich ekranach admina (ciemny i jasny). ZOSTAJE: przejście po wdrożeniu. | 2026-09-26 PRZEJŚCIE NA PRODUKCJI: pulpit, węzły i strona węzła, karta klienta, usługi, zgłoszenia, faktury, resellerzy, dziennik, plany, kolejka zakładania, ustawienia — wszystko się ładuje. Poprawione przy okazji: liczba klientów na pulpicie liczyła subkonta i konta usunięte (9 zamiast 4); karta subkonta mówi, czyje to konto; tabele faktur, dziennika i planów łamały etykiety w pół słowa (min. szerokość + nowrap); tytuły bez dopisków deweloperskich („Faktury (admin)”, „Sprint 5 / R-11+B-7…”, „Resellerzy (white-label)”); resellera włącza się po e-mailu zamiast UUID. Uwaga: konto admin@verris.pl nie ma 2FA. | 2026-10-10: dalsze prace nad panelami operatora poza tym zadaniem — pakiet obsługi z 08.10 (oznaczenia PB-41–PB-48 w kodzie i commitach, bez wierszy w tej tablicy: diagnostyka ze zgłoszenia, karta usługi dla L1, migracja za klienta ze zgodą, spójna karta klienta z dziennikiem odczytów, role L1–L4, wnioski o operację), porządki panelu admina (PB-49) i Fala 1 audytu paneli operatora (PB-50) — obie zamknięte 10.10. Audyt paneli operatora z 10.10: pokrycie standardu rynku 41% — wygląd v2 jest, zakres funkcji nie; dalej PB-51 (Fala 2), PB-52 (blokada wysyłki, bloker), PB-53 (Fala 3). Panele obsługi i admina od 09.10 tylko przez VPN (Q-18). D3 10.10 ok. 13:00: karta węzła t1, karta klienta d3 i kody promocyjne działają.</t>
        </is>
      </c>
      <c r="P51" s="10" t="inlineStr">
        <is>
          <t>do zrobienia</t>
        </is>
      </c>
    </row>
    <row r="52">
      <c r="A52" s="10" t="inlineStr">
        <is>
          <t>PB-37</t>
        </is>
      </c>
      <c r="B52" s="11" t="inlineStr">
        <is>
          <t>Opieka nad zgłoszeniem: podpowiedzi dla obsługi, automatyczne wiadomości, oceny opiekuna</t>
        </is>
      </c>
      <c r="C52" s="10" t="inlineStr">
        <is>
          <t>poza audytem</t>
        </is>
      </c>
      <c r="D52" s="10" t="inlineStr">
        <is>
          <t>Praca spoza audytu</t>
        </is>
      </c>
      <c r="E52" s="10" t="inlineStr">
        <is>
          <t>WYSOKI</t>
        </is>
      </c>
      <c r="F52" s="10" t="n">
        <v>16</v>
      </c>
      <c r="G52" s="10" t="n">
        <v>7</v>
      </c>
      <c r="H52" s="10" t="inlineStr">
        <is>
          <t>Faza 1 — Rozliczenia i dowód odtworzenia</t>
        </is>
      </c>
      <c r="I52" s="10" t="inlineStr">
        <is>
          <t>2026-10-12</t>
        </is>
      </c>
      <c r="J52" s="10" t="inlineStr">
        <is>
          <t>2026-10-16</t>
        </is>
      </c>
      <c r="K52" s="10" t="inlineStr">
        <is>
          <t>—</t>
        </is>
      </c>
      <c r="L52" s="11" t="inlineStr">
        <is>
          <t>—</t>
        </is>
      </c>
      <c r="M52" s="11" t="inlineStr">
        <is>
          <t>—</t>
        </is>
      </c>
      <c r="N52" s="11" t="inlineStr">
        <is>
          <t>Klient dostaje potwierdzenie z opiekunem i terminem, widzi „przeczytane” i postęp; po zamknięciu ocenia opiekuna i obsługę; obsługa ma szkic i szablony w jednym bloku.</t>
        </is>
      </c>
      <c r="O52" s="11" t="inlineStr">
        <is>
          <t>Decyzja właściciela 2026-09-26 (formularz): cztery automatyczne wiadomości (potwierdzenie z opiekunem i terminem, „opiekun się tym zajmuje”, „wciąż nad tym pracujemy” po połowie czasu odpowiedzi najwyżej raz na dobę, podziękowanie z oceną), ocena opiekuna + obsługi ogólnie + „czy rozwiązane”, szkic asystenta gotowy sam przy otwarciu. | 2026-09-26 ZROBIONE W KODZIE: OpiekaZgloszenService (treści w platform_settings, edycja: Admin → Opieka nad zgłoszeniami), wiadomości jako wpis w wątku + e-mail, NIE liczą się jako odpowiedź (SLA, stan, metryki czasu odpowiedzi bez zmian); „przeczytane” (otwarcie przez opiekuna), ponowne otwarcie do 7 dni, szkic asystenta w tle po każdej wiadomości klienta; obsługa: blok Podpowiedzi (szkic / szablony wg sytuacji / baza wiedzy, /skrót w polu odpowiedzi), „Co widzi klient”, „Twoje oceny”, „Wyślij” vs „Wyślij i czekaj na klienta”; klient: postęp (przyjęte → opiekun → przeczytane → odpowiedź → rozwiązane), opiekun z imienia, ocena i ponowne otwarcie; szablony z kategorią i skrótem (seed + formularz admina). Testy na PostgreSQL (5). Panel klienta nie widzi już notatek wewnętrznych obsługi (ryzyko, eskalacja, szkic, id pracowników). | 2026-10-08 DECYZJA WŁAŚCICIELA (d874df4b): „Wciąż nad tym pracujemy” po połowie czasu odpowiedzi, ale najwcześniej po 2 h (URGENT/HIGH 2 h, NORMAL 6 h, LOW 12 h) — zgłoszenie z eskalacji migracji (URGENT, 1 h) dostawało ją po 35 min, przed terminem z maila migracji. Test na PostgreSQL (opieka-zgloszen.int-spec.ts).</t>
        </is>
      </c>
      <c r="P52" s="10" t="inlineStr">
        <is>
          <t>do zrobienia</t>
        </is>
      </c>
    </row>
    <row r="53">
      <c r="A53" s="10" t="inlineStr">
        <is>
          <t>PB-38</t>
        </is>
      </c>
      <c r="B53" s="11" t="inlineStr">
        <is>
          <t>Najnowsze stabilne wersje narzędzi i bibliotek przed startem</t>
        </is>
      </c>
      <c r="C53" s="10" t="inlineStr">
        <is>
          <t>poza audytem</t>
        </is>
      </c>
      <c r="D53" s="10" t="inlineStr">
        <is>
          <t>Praca spoza audytu</t>
        </is>
      </c>
      <c r="E53" s="10" t="inlineStr">
        <is>
          <t>WYSOKI</t>
        </is>
      </c>
      <c r="F53" s="10" t="n">
        <v>30</v>
      </c>
      <c r="G53" s="10" t="n">
        <v>7</v>
      </c>
      <c r="H53" s="10" t="inlineStr">
        <is>
          <t>Faza 1 — Rozliczenia i dowód odtworzenia</t>
        </is>
      </c>
      <c r="I53" s="10" t="inlineStr">
        <is>
          <t>2026-10-12</t>
        </is>
      </c>
      <c r="J53" s="10" t="inlineStr">
        <is>
          <t>2026-10-16</t>
        </is>
      </c>
      <c r="K53" s="10" t="inlineStr">
        <is>
          <t>—</t>
        </is>
      </c>
      <c r="L53" s="11" t="inlineStr">
        <is>
          <t>—</t>
        </is>
      </c>
      <c r="M53" s="11" t="inlineStr">
        <is>
          <t>—</t>
        </is>
      </c>
      <c r="N53" s="11" t="inlineStr">
        <is>
          <t>Bramka (lint, typecheck, testy) i testy integracyjne zielone na nowych wersjach; obrazy budują się w CI; wdrożenie produkcyjne bez błędów; Dependabot i strażnik EOL działają.</t>
        </is>
      </c>
      <c r="O53" s="11" t="inlineStr">
        <is>
          <t>Decyzja właściciela 2026-09-26 (formularz): Node 24 teraz, 26 po wejściu w LTS; TypeScript 6.0 teraz, 7.x gdy typescript-eslint go obsłuży; MinIO zostaje do węzła testowego (potem Hetzner Object Storage); Dependabot + raport w tablicy. Fala 1: Node 24, TS 6, pnpm 12, Debian 13, łatki (Next 16.3.6, Payload 3.90). Fala 2: NestJS 12, ESLint 10, SimpleWebAuthn 14, GraphQL 17. Fala 3: Postgres 18 (procedura z kopią), Redis 8, monitoring. Fala 4: Dependabot, strażnik EOL w CI, kafelek wersji.</t>
        </is>
      </c>
      <c r="P53" s="10" t="inlineStr">
        <is>
          <t>do zrobienia</t>
        </is>
      </c>
    </row>
    <row r="54">
      <c r="A54" s="10" t="inlineStr">
        <is>
          <t>PB-39</t>
        </is>
      </c>
      <c r="B54" s="11" t="inlineStr">
        <is>
          <t>API i biblioteki jako ESM (Vitest, Prisma prisma-client)</t>
        </is>
      </c>
      <c r="C54" s="10" t="inlineStr">
        <is>
          <t>poza audytem</t>
        </is>
      </c>
      <c r="D54" s="10" t="inlineStr">
        <is>
          <t>Praca spoza audytu</t>
        </is>
      </c>
      <c r="E54" s="10" t="inlineStr">
        <is>
          <t>WYSOKI</t>
        </is>
      </c>
      <c r="F54" s="10" t="n">
        <v>14</v>
      </c>
      <c r="G54" s="10" t="n">
        <v>7</v>
      </c>
      <c r="H54" s="10" t="inlineStr">
        <is>
          <t>Faza 1 — Rozliczenia i dowód odtworzenia</t>
        </is>
      </c>
      <c r="I54" s="10" t="inlineStr">
        <is>
          <t>2026-10-12</t>
        </is>
      </c>
      <c r="J54" s="10" t="inlineStr">
        <is>
          <t>2026-10-16</t>
        </is>
      </c>
      <c r="K54" s="10" t="inlineStr">
        <is>
          <t>—</t>
        </is>
      </c>
      <c r="L54" s="11" t="inlineStr">
        <is>
          <t>—</t>
        </is>
      </c>
      <c r="M54" s="11" t="inlineStr">
        <is>
          <t>—</t>
        </is>
      </c>
      <c r="N54" s="11" t="inlineStr">
        <is>
          <t>Bramka i testy integracyjne zielone na Vitest; obraz API buduje się w CI; wdrożenie produkcyjne bez błędów; główne ścieżki działają po wdrożeniu.</t>
        </is>
      </c>
      <c r="O54" s="11" t="inlineStr">
        <is>
          <t>Decyzja właściciela 2026-09-26 (formularz): przechodzimy teraz, przed falą 3. ESM to domyślny format NestJS 12; znika eksperymentalna flaga Jesta; prisma-client-js jest wycofany.</t>
        </is>
      </c>
      <c r="P54" s="10" t="inlineStr">
        <is>
          <t>do zrobienia</t>
        </is>
      </c>
    </row>
    <row r="55">
      <c r="A55" s="10" t="inlineStr">
        <is>
          <t>E-15</t>
        </is>
      </c>
      <c r="B55" s="11" t="inlineStr">
        <is>
          <t>Rekordy SPF — kreator</t>
        </is>
      </c>
      <c r="C55" s="10" t="inlineStr">
        <is>
          <t>audyt</t>
        </is>
      </c>
      <c r="D55" s="10" t="inlineStr">
        <is>
          <t>E — Poczta</t>
        </is>
      </c>
      <c r="E55" s="10" t="inlineStr">
        <is>
          <t>—</t>
        </is>
      </c>
      <c r="F55" s="10" t="n">
        <v>6</v>
      </c>
      <c r="G55" s="10" t="n">
        <v>8</v>
      </c>
      <c r="H55" s="10" t="inlineStr">
        <is>
          <t>Faza 1 — Rozliczenia i dowód odtworzenia</t>
        </is>
      </c>
      <c r="I55" s="10" t="inlineStr">
        <is>
          <t>2026-10-19</t>
        </is>
      </c>
      <c r="J55" s="10" t="inlineStr">
        <is>
          <t>2026-10-23</t>
        </is>
      </c>
      <c r="K55" s="10" t="inlineStr">
        <is>
          <t>DZIAŁA</t>
        </is>
      </c>
      <c r="L55" s="11" t="inlineStr">
        <is>
          <t>2026-09-23 D1: deliverability/mail-auth.ts (buildMailAuthChecks) + deliverability.service.ts (strefa DA + delegacja NS); UI app/dashboard/email/deliverability-panel.tsx podpięty w MailTab (zakładka Poczta); test mail-auth.spec.ts; D3 t1 (d3.hvln.pl) 29.09: SPF „v=spf1 a mx ip4:… ip6:… ~all” rozpoznany jako poprawny, wynik dostarczalności 88/100</t>
        </is>
      </c>
      <c r="M55" s="11" t="inlineStr">
        <is>
          <t>—</t>
        </is>
      </c>
      <c r="N55" s="11" t="inlineStr">
        <is>
          <t>Funkcja dostępna z panelu klienta bez wychodzenia do DirectAdmina; test uruchamiany w CI.</t>
        </is>
      </c>
      <c r="O55" s="11" t="inlineStr">
        <is>
          <t>deliverability-panel.tsx:26 to komponent osierocony — nikt go nie importuje | KOD: kreator pokazuje stan z publicznego DNS i gotowy rekord — „Dodaj/Zamień rekord w DNS” gdy domena na NS Verris, inaczej do skopiowania u dostawcy DNS. Zalecany SPF to `v=spf1 a mx ip4:&lt;IP węzła&gt; ~all`. ZNALEZISKO: dotychczasowa podpowiedź include:_spf.verris.pl odwołuje się do nieistniejącego rekordu (NXDOMAIN) → SPF permerror; usunięta z podpowiedzi, presetu DNS i artykułów KB, a kreator wykrywa ją u klientów. OTWARTE do D3 (węzeł): zapis rekordu przez CMD_API_DNS_CONTROL.</t>
        </is>
      </c>
      <c r="P55" s="10" t="inlineStr">
        <is>
          <t>do zrobienia</t>
        </is>
      </c>
    </row>
    <row r="56">
      <c r="A56" s="10" t="inlineStr">
        <is>
          <t>E-16</t>
        </is>
      </c>
      <c r="B56" s="11" t="inlineStr">
        <is>
          <t>Rekordy DKIM — konfiguracja</t>
        </is>
      </c>
      <c r="C56" s="10" t="inlineStr">
        <is>
          <t>audyt</t>
        </is>
      </c>
      <c r="D56" s="10" t="inlineStr">
        <is>
          <t>E — Poczta</t>
        </is>
      </c>
      <c r="E56" s="10" t="inlineStr">
        <is>
          <t>WYSOKA</t>
        </is>
      </c>
      <c r="F56" s="10" t="n">
        <v>6</v>
      </c>
      <c r="G56" s="10" t="n">
        <v>8</v>
      </c>
      <c r="H56" s="10" t="inlineStr">
        <is>
          <t>Faza 1 — Rozliczenia i dowód odtworzenia</t>
        </is>
      </c>
      <c r="I56" s="10" t="inlineStr">
        <is>
          <t>2026-10-19</t>
        </is>
      </c>
      <c r="J56" s="10" t="inlineStr">
        <is>
          <t>2026-10-23</t>
        </is>
      </c>
      <c r="K56" s="10" t="inlineStr">
        <is>
          <t>DZIAŁA</t>
        </is>
      </c>
      <c r="L56" s="11" t="inlineStr">
        <is>
          <t>deliverability/mail-auth.ts (akcja enable-dkim); servers/directadmin.service.ts enableHostingDkim; POST /services/:id/hosting-email/dkim; email/deliverability-panel.tsx; testy mail-auth.spec.ts, directadmin.narzedzia.spec.ts</t>
        </is>
      </c>
      <c r="M56" s="11" t="inlineStr">
        <is>
          <t>E-15 (ten sam panel dostarczalności)</t>
        </is>
      </c>
      <c r="N56" s="11" t="inlineStr">
        <is>
          <t>Funkcja dostępna z panelu klienta bez wychodzenia do DirectAdmina; test uruchamiany w CI.</t>
        </is>
      </c>
      <c r="O56" s="11" t="inlineStr">
        <is>
          <t>j.w. | KOD: DKIM odczytywany ze strefy DA (DA dopisuje klucz sam przy włączonym DKIM). Brak klucza = link do zgłoszenia. OTWARTE: włączanie DKIM z panelu (komenda DA niepotwierdzona bez węzła) — D3 w sprincie 18. | 2026-09-25: KOD (D2) — „Włącz DKIM dla &lt;domena&gt;” w sekcji Dostarczalność zamiast „napisz zgłoszenie”. Komenda DA potwierdzona w dokumentacji (changelog 1.57.2): CMD_API_EMAIL_POP action=set_dkim&amp;domain=…&amp;enable=… — DA tworzy klucze i dopisuje rekord TXT do strefy. Tylko domena z konta usługi, konto zawieszone bez zmian, wpis w dzienniku (HOSTING_DKIM_ENABLED). Wyłączenia celowo brak: ponowne włączenie generuje nowe klucze i rekord u zewnętrznego DNS przestałby pasować. Przy DNS u innego dostawcy panel po włączeniu pokazuje rekord do skopiowania (istniejąca ścieżka „klucz w strefie”). D3: pierwsze włączenie na węźle. | 2026-09-25 (dokumentacja DirectAdmin „Exim → DKIM”): dkim=2 udostępnia włączanie DKIM użytkownikom per domena, dkim=1 generuje klucze automatycznie przy tworzeniu domeny (tylko gdy DNS jest lokalny). Profil węzła ustawia dkim=1 — przycisk w panelu pojawia się tylko dla domen bez klucza. D3 ma potwierdzić, że set_dkim działa przy dkim=1; jeśli nie — alternatywa z dokumentacji: scripts/dkim_create.sh &lt;domena&gt; po stronie węzła (zadanie agenta). | 2026-09-30 D3 t1: 30.09 d3.hvln.pl: sekcja Dostarczalność odczytuje DKIM ze strefy (selektor „x”, poprawny). Przycisk „Włącz DKIM” niesprawdzony — d3 ma już klucz, a sekcja pokazuje tylko domenę główną. | 2026-10-01 D3 t1: raport dostarczalności i DKIM dla każdej domeny usługi (03d5611); nowa domena test4.d3.hvln.pl ma DKIM od razu po dodaniu z panelu.</t>
        </is>
      </c>
      <c r="P56" s="10" t="inlineStr">
        <is>
          <t>do zrobienia</t>
        </is>
      </c>
    </row>
    <row r="57">
      <c r="A57" s="10" t="inlineStr">
        <is>
          <t>E-17</t>
        </is>
      </c>
      <c r="B57" s="11" t="inlineStr">
        <is>
          <t>Rekord DMARC — konfiguracja</t>
        </is>
      </c>
      <c r="C57" s="10" t="inlineStr">
        <is>
          <t>audyt</t>
        </is>
      </c>
      <c r="D57" s="10" t="inlineStr">
        <is>
          <t>E — Poczta</t>
        </is>
      </c>
      <c r="E57" s="10" t="inlineStr">
        <is>
          <t>—</t>
        </is>
      </c>
      <c r="F57" s="10" t="n">
        <v>6</v>
      </c>
      <c r="G57" s="10" t="n">
        <v>8</v>
      </c>
      <c r="H57" s="10" t="inlineStr">
        <is>
          <t>Faza 1 — Rozliczenia i dowód odtworzenia</t>
        </is>
      </c>
      <c r="I57" s="10" t="inlineStr">
        <is>
          <t>2026-10-19</t>
        </is>
      </c>
      <c r="J57" s="10" t="inlineStr">
        <is>
          <t>2026-10-23</t>
        </is>
      </c>
      <c r="K57" s="10" t="inlineStr">
        <is>
          <t>DZIAŁA</t>
        </is>
      </c>
      <c r="L57" s="11" t="inlineStr">
        <is>
          <t>2026-09-23 D1: mail-auth.ts dmarcCheck (brak / p=none / kilka rekordów) + lib/dmarc.ts tuneDmarc (polityka + adres raportów) w deliverability-panel.tsx; testy mail-auth.spec.ts, dmarc.spec.ts; D3 t1 (d3.hvln.pl) 29.09 00:07: DMARC dodany z panelu, sprawdzenie pokazuje p=quarantine</t>
        </is>
      </c>
      <c r="M57" s="11" t="inlineStr">
        <is>
          <t>E-15</t>
        </is>
      </c>
      <c r="N57" s="11" t="inlineStr">
        <is>
          <t>Funkcja dostępna z panelu klienta bez wychodzenia do DirectAdmina; test uruchamiany w CI.</t>
        </is>
      </c>
      <c r="O57" s="11" t="inlineStr">
        <is>
          <t>j.w. | KOD: kreator DMARC — wybór polityki i opcjonalny adres raportów, zachowuje pozostałe tagi. Sugestia bez rua na verris.pl (raporty do obcej domeny wymagają rekordu autoryzacji). OTWARTE do D3: zapis do strefy DA.</t>
        </is>
      </c>
      <c r="P57" s="10" t="inlineStr">
        <is>
          <t>do zrobienia</t>
        </is>
      </c>
    </row>
    <row r="58">
      <c r="A58" s="10" t="inlineStr">
        <is>
          <t>E-05</t>
        </is>
      </c>
      <c r="B58" s="11" t="inlineStr">
        <is>
          <t>Zmiana quoty ISTNIEJĄCEJ skrzynki</t>
        </is>
      </c>
      <c r="C58" s="10" t="inlineStr">
        <is>
          <t>audyt</t>
        </is>
      </c>
      <c r="D58" s="10" t="inlineStr">
        <is>
          <t>E — Poczta</t>
        </is>
      </c>
      <c r="E58" s="10" t="inlineStr">
        <is>
          <t>—</t>
        </is>
      </c>
      <c r="F58" s="10" t="n">
        <v>6</v>
      </c>
      <c r="G58" s="10" t="n">
        <v>8</v>
      </c>
      <c r="H58" s="10" t="inlineStr">
        <is>
          <t>Faza 1 — Rozliczenia i dowód odtworzenia</t>
        </is>
      </c>
      <c r="I58" s="10" t="inlineStr">
        <is>
          <t>2026-10-19</t>
        </is>
      </c>
      <c r="J58" s="10" t="inlineStr">
        <is>
          <t>2026-10-23</t>
        </is>
      </c>
      <c r="K58" s="10" t="inlineStr">
        <is>
          <t>DZIAŁA</t>
        </is>
      </c>
      <c r="L58" s="11" t="inlineStr">
        <is>
          <t>2026-09-23 D1: POST /services/:id/hosting-email/quota (ZmienRozmiarSkrzynkiDto 10–102400 MB) → directadmin.service changeHostingEmailQuota (CMD_API_POP action=modify bez passwd) + audyt HOSTING_EMAIL_QUOTA_CHANGED; UI MailTab — klik w rozmiar skrzynki; 29.09: lista pokazuje 1024 MB (type=quota) — zmiana rozmiaru do sprawdzenia; D3 t1 (d3.hvln.pl) 29.09 po wdrożeniu (panel klienta): FAIL: zmiana rozmiaru → „wymagane jest podanie nazwy użytkownika i domeny” (DA 1.710 wymaga pustych passwd/passwd2); poprawka 4b69d3b czeka na push; D3 t1 (d3.hvln.pl) 29.09 po wdrożeniu 13:00 (panel klienta): rozmiar skrzynki 1024 → 1500 → 1024 MB z panelu, DA potwierdza (4b69d3b)</t>
        </is>
      </c>
      <c r="M58" s="11" t="inlineStr">
        <is>
          <t>—</t>
        </is>
      </c>
      <c r="N58" s="11" t="inlineStr">
        <is>
          <t>Funkcja dostępna z panelu klienta bez wychodzenia do DirectAdmina; test uruchamiany w CI.</t>
        </is>
      </c>
      <c r="O58" s="11" t="inlineStr">
        <is>
          <t>brak jakiejkolwiek ścieżki edycji — klient musi usunąć i odtworzyć skrzynkę | KOD: zmiana rozmiaru bez usuwania skrzynki. Przy okazji body tworzenia skrzynki i zmiany hasła dostały klasy DTO (wcześniej interfejs = zero walidacji na granicy zaufania). OTWARTE do D3: czy DA przy modify bez passwd zostawia hasło (komentarz ponytail).</t>
        </is>
      </c>
      <c r="P58" s="10" t="inlineStr">
        <is>
          <t>do zrobienia</t>
        </is>
      </c>
    </row>
    <row r="59">
      <c r="A59" s="10" t="inlineStr">
        <is>
          <t>M-26</t>
        </is>
      </c>
      <c r="B59" s="11" t="inlineStr">
        <is>
          <t>Usunięcie zapisanej karty przez klienta</t>
        </is>
      </c>
      <c r="C59" s="10" t="inlineStr">
        <is>
          <t>audyt</t>
        </is>
      </c>
      <c r="D59" s="10" t="inlineStr">
        <is>
          <t>M — Rozliczenia</t>
        </is>
      </c>
      <c r="E59" s="10" t="inlineStr">
        <is>
          <t>WYSOKA</t>
        </is>
      </c>
      <c r="F59" s="10" t="n">
        <v>6</v>
      </c>
      <c r="G59" s="10" t="n">
        <v>8</v>
      </c>
      <c r="H59" s="10" t="inlineStr">
        <is>
          <t>Faza 1 — Rozliczenia i dowód odtworzenia</t>
        </is>
      </c>
      <c r="I59" s="10" t="inlineStr">
        <is>
          <t>2026-10-19</t>
        </is>
      </c>
      <c r="J59" s="10" t="inlineStr">
        <is>
          <t>2026-10-23</t>
        </is>
      </c>
      <c r="K59" s="10" t="inlineStr">
        <is>
          <t>DZIAŁA</t>
        </is>
      </c>
      <c r="L59" s="11" t="inlineStr">
        <is>
          <t>2026-09-23 D1: DELETE /billing/payment-methods/:id (ParseUUIDPipe) → billing.service deleteMyPaymentMethod: Stripe detach, usunięcie wiersza, zerowanie karty domyślnej i auto-doładowania, audyt PAYMENT_METHOD_REMOVED; UI billing-extras-forms „Zapisane karty”; test usun-karte.spec.ts | 2026-09-23: zapis kart — billing.service handlePaymentMethodAttached/Detached (webhooki payment_method.attached/.detached, upsert po provider+providerRef, pierwsza karta domyślna); test D2 zapis-karty.spec.ts</t>
        </is>
      </c>
      <c r="M59" s="11" t="inlineStr">
        <is>
          <t>—</t>
        </is>
      </c>
      <c r="N59" s="11" t="inlineStr">
        <is>
          <t>Funkcja dostępna z panelu klienta bez wychodzenia do DirectAdmina; test uruchamiany w CI.</t>
        </is>
      </c>
      <c r="O59" s="11" t="inlineStr">
        <is>
          <t>wymóg konsumencki | KOD gotowy i przetestowany na atrapach. UWAGA: nic w API nie zapisuje dziś wierszy PaymentMethod (brak create/upsert) — lista kart jest zawsze pusta, więc usuwanie da się sprawdzić dopiero, gdy zapis kart zostanie podpięty (webhook Stripe po płatności kartą). | 2026-09-23: domknięty brakujący zapis — karta zapisana w Stripe (np. przy subskrypcji kartą) pojawia się w panelu, odpięta (także z dashboardu Stripe) znika i odpina się od auto-doładowania. WYMAGA OD WŁAŚCICIELA: dopisać zdarzenia payment_method.attached i payment_method.detached do endpointu webhooka w Stripe (DEPLOY.md, OPERATIONAL_CHECKLIST). Karty zapisane przed tą zmianą nie pojawią się wstecz. D3 przy pierwszej płatności kartą.</t>
        </is>
      </c>
      <c r="P59" s="10" t="inlineStr">
        <is>
          <t>do zrobienia</t>
        </is>
      </c>
    </row>
    <row r="60">
      <c r="A60" s="10" t="inlineStr">
        <is>
          <t>PB-17</t>
        </is>
      </c>
      <c r="B60" s="11" t="inlineStr">
        <is>
          <t>Asystent v1: dymki, naprawy jednym kliknięciem, czat z danymi konta</t>
        </is>
      </c>
      <c r="C60" s="10" t="inlineStr">
        <is>
          <t>poza audytem</t>
        </is>
      </c>
      <c r="D60" s="10" t="inlineStr">
        <is>
          <t>Praca spoza audytu</t>
        </is>
      </c>
      <c r="E60" s="10" t="inlineStr">
        <is>
          <t>WYSOKI</t>
        </is>
      </c>
      <c r="F60" s="10" t="n">
        <v>30</v>
      </c>
      <c r="G60" s="10" t="n">
        <v>9</v>
      </c>
      <c r="H60" s="10" t="inlineStr">
        <is>
          <t>Faza 2 — Odzyskanie funkcji-widm i luki pierwszego tygodnia</t>
        </is>
      </c>
      <c r="I60" s="10" t="inlineStr">
        <is>
          <t>2026-10-26</t>
        </is>
      </c>
      <c r="J60" s="10" t="inlineStr">
        <is>
          <t>2026-10-30</t>
        </is>
      </c>
      <c r="K60" s="10" t="inlineStr">
        <is>
          <t>—</t>
        </is>
      </c>
      <c r="L60" s="11" t="inlineStr">
        <is>
          <t>—</t>
        </is>
      </c>
      <c r="M60" s="11" t="inlineStr">
        <is>
          <t>—</t>
        </is>
      </c>
      <c r="N60" s="11" t="inlineStr">
        <is>
          <t>Co najmniej 5 reguł dymków z testami; każda naprawa ma cofnięcie i wpis audytu; czat odpowiada z kontekstem usługi; brak akcji destrukcyjnych w v1.</t>
        </is>
      </c>
      <c r="O60" s="11" t="inlineStr">
        <is>
          <t>Dymki kontekstowe na regułach (bez kosztu AI): dysk, domena nie wskazuje na nas, SPF/DKIM, SSL wygasa, backup nieświeży — najwyżej jeden na ekran, „nie pokazuj więcej”. Naprawy jednym kliknięciem tylko dla akcji odwracalnych, z kartą podglądu skutku i „Cofnij”. Obecny czat (HostingAssistant, RAG) dostaje odczyt danych konta. Każda akcja w audycie. Diagnoza i naprawy po naszej stronie za darmo.</t>
        </is>
      </c>
      <c r="P60" s="10" t="inlineStr">
        <is>
          <t>do zrobienia</t>
        </is>
      </c>
    </row>
    <row r="61">
      <c r="A61" s="10" t="inlineStr">
        <is>
          <t>PB-18</t>
        </is>
      </c>
      <c r="B61" s="11" t="inlineStr">
        <is>
          <t>Tickety v2: podgląd klienta, szablony ze zmiennymi, szkice odpowiedzi</t>
        </is>
      </c>
      <c r="C61" s="10" t="inlineStr">
        <is>
          <t>poza audytem</t>
        </is>
      </c>
      <c r="D61" s="10" t="inlineStr">
        <is>
          <t>Praca spoza audytu</t>
        </is>
      </c>
      <c r="E61" s="10" t="inlineStr">
        <is>
          <t>WYSOKI</t>
        </is>
      </c>
      <c r="F61" s="10" t="n">
        <v>24</v>
      </c>
      <c r="G61" s="10" t="n">
        <v>10</v>
      </c>
      <c r="H61" s="10" t="inlineStr">
        <is>
          <t>Faza 2 — Odzyskanie funkcji-widm i luki pierwszego tygodnia</t>
        </is>
      </c>
      <c r="I61" s="10" t="inlineStr">
        <is>
          <t>2026-11-02</t>
        </is>
      </c>
      <c r="J61" s="10" t="inlineStr">
        <is>
          <t>2026-11-06</t>
        </is>
      </c>
      <c r="K61" s="10" t="inlineStr">
        <is>
          <t>—</t>
        </is>
      </c>
      <c r="L61" s="11" t="inlineStr">
        <is>
          <t>—</t>
        </is>
      </c>
      <c r="M61" s="11" t="inlineStr">
        <is>
          <t>—</t>
        </is>
      </c>
      <c r="N61" s="11" t="inlineStr">
        <is>
          <t>Podgląd klienta bez przechodzenia między ekranami; szablony podstawiają zmienne z testem; szkic odpowiedzi dla 6 kategorii (DNS, SSL, poczta, płatność, migracja, awaria).</t>
        </is>
      </c>
      <c r="O61" s="11" t="inlineStr">
        <is>
          <t>Panel staff: boczny podgląd klienta w tickecie (usługi, saldo, faktury/dokumenty, zdarzenia, historia zgłoszeń, health score); szablony odpowiedzi ze zmiennymi (imię, domena, usługa, termin) i kategoriami — rozbudowa canned responses; klasyfikacja zgłoszenia i szkic odpowiedzi z bazy wiedzy i danych konta (do akceptacji, bez auto-wysyłki w v2); akcje z ticketu z audytem; licznik SLA.</t>
        </is>
      </c>
      <c r="P61" s="10" t="inlineStr">
        <is>
          <t>do zrobienia</t>
        </is>
      </c>
    </row>
    <row r="62">
      <c r="A62" s="10" t="inlineStr">
        <is>
          <t>A-25</t>
        </is>
      </c>
      <c r="B62" s="11" t="inlineStr">
        <is>
          <t>Ręczne zawieszenie usługi przez operatora</t>
        </is>
      </c>
      <c r="C62" s="10" t="inlineStr">
        <is>
          <t>audyt</t>
        </is>
      </c>
      <c r="D62" s="10" t="inlineStr">
        <is>
          <t>A — Domeny i konta</t>
        </is>
      </c>
      <c r="E62" s="10" t="inlineStr">
        <is>
          <t>—</t>
        </is>
      </c>
      <c r="F62" s="10" t="n">
        <v>6</v>
      </c>
      <c r="G62" s="10" t="n">
        <v>11</v>
      </c>
      <c r="H62" s="10" t="inlineStr">
        <is>
          <t>Faza 2 — Odzyskanie funkcji-widm i luki pierwszego tygodnia</t>
        </is>
      </c>
      <c r="I62" s="10" t="inlineStr">
        <is>
          <t>2026-11-09</t>
        </is>
      </c>
      <c r="J62" s="10" t="inlineStr">
        <is>
          <t>2026-11-13</t>
        </is>
      </c>
      <c r="K62" s="10" t="inlineStr">
        <is>
          <t>DZIAŁA</t>
        </is>
      </c>
      <c r="L62" s="11" t="inlineStr">
        <is>
          <t>2026-09-23 D1: admin-panel subscriptions/[id]/suspend-form.tsx + suspend-actions.ts → POST /admin/subscriptions/:id/suspend (powód, notatka, potwierdzenie); D3 t1 (d3.hvln.pl) 29.09 01:1x: zawieszenie z panelu admina (Decyzja operatora + notatka) → strona pokazuje stronę zawieszenia DA, sesja DA klienta wylogowana. Uwaga: strona zawieszenia to domyślna, angielska strona DA (bez marki Verris)</t>
        </is>
      </c>
      <c r="M62" s="11" t="inlineStr">
        <is>
          <t>—</t>
        </is>
      </c>
      <c r="N62" s="11" t="inlineStr">
        <is>
          <t>Funkcja dostępna z panelu klienta bez wychodzenia do DirectAdmina; test uruchamiany w CI.</t>
        </is>
      </c>
      <c r="O62" s="11" t="inlineStr">
        <is>
          <t>Skorygowane: endpoint działa i jest osiągalny (curl + DirectAdmin), auto-suspend za brak płatności działa. Brakuje UI, nie możliwości zatrzymania szkody. | UI zrobione. OTWARTE do D3 (PB-21, serwer testowy): zawieszenie konta w DirectAdminie na żywym węźle.</t>
        </is>
      </c>
      <c r="P62" s="10" t="inlineStr">
        <is>
          <t>do zrobienia</t>
        </is>
      </c>
    </row>
    <row r="63">
      <c r="A63" s="10" t="inlineStr">
        <is>
          <t>A-26</t>
        </is>
      </c>
      <c r="B63" s="11" t="inlineStr">
        <is>
          <t>Ręczne odwieszenie usługi przez operatora</t>
        </is>
      </c>
      <c r="C63" s="10" t="inlineStr">
        <is>
          <t>audyt</t>
        </is>
      </c>
      <c r="D63" s="10" t="inlineStr">
        <is>
          <t>A — Domeny i konta</t>
        </is>
      </c>
      <c r="E63" s="10" t="inlineStr">
        <is>
          <t>—</t>
        </is>
      </c>
      <c r="F63" s="10" t="n">
        <v>6</v>
      </c>
      <c r="G63" s="10" t="n">
        <v>11</v>
      </c>
      <c r="H63" s="10" t="inlineStr">
        <is>
          <t>Faza 2 — Odzyskanie funkcji-widm i luki pierwszego tygodnia</t>
        </is>
      </c>
      <c r="I63" s="10" t="inlineStr">
        <is>
          <t>2026-11-09</t>
        </is>
      </c>
      <c r="J63" s="10" t="inlineStr">
        <is>
          <t>2026-11-13</t>
        </is>
      </c>
      <c r="K63" s="10" t="inlineStr">
        <is>
          <t>DZIAŁA</t>
        </is>
      </c>
      <c r="L63" s="11" t="inlineStr">
        <is>
          <t>2026-09-23 D1: ten sam formularz — odwieszenie z opcją obciążenia za odnowienie (chargeRenewal); D3 t1 (d3.hvln.pl) 29.09: odwieszenie bez obciążenia → WordPress wraca po kilku sekundach</t>
        </is>
      </c>
      <c r="M63" s="11" t="inlineStr">
        <is>
          <t>A-25 (ten sam widok)</t>
        </is>
      </c>
      <c r="N63" s="11" t="inlineStr">
        <is>
          <t>Funkcja dostępna z panelu klienta bez wychodzenia do DirectAdmina; test uruchamiany w CI.</t>
        </is>
      </c>
      <c r="O63" s="11" t="inlineStr">
        <is>
          <t>Skorygowane: jak A-25, endpoint subscriptions.admin.controller.ts:210 działa z chargeRenewal. | UI zrobione. OTWARTE do D3 (PB-21): odwieszenie konta w DA na żywym węźle.</t>
        </is>
      </c>
      <c r="P63" s="10" t="inlineStr">
        <is>
          <t>do zrobienia</t>
        </is>
      </c>
    </row>
    <row r="64">
      <c r="A64" s="10" t="inlineStr">
        <is>
          <t>N-07</t>
        </is>
      </c>
      <c r="B64" s="11" t="inlineStr">
        <is>
          <t>Ręczne tworzenie incydentu na status page</t>
        </is>
      </c>
      <c r="C64" s="10" t="inlineStr">
        <is>
          <t>audyt</t>
        </is>
      </c>
      <c r="D64" s="10" t="inlineStr">
        <is>
          <t>N — Wsparcie i ops</t>
        </is>
      </c>
      <c r="E64" s="10" t="inlineStr">
        <is>
          <t>WYSOKA</t>
        </is>
      </c>
      <c r="F64" s="10" t="n">
        <v>6</v>
      </c>
      <c r="G64" s="10" t="n">
        <v>11</v>
      </c>
      <c r="H64" s="10" t="inlineStr">
        <is>
          <t>Faza 2 — Odzyskanie funkcji-widm i luki pierwszego tygodnia</t>
        </is>
      </c>
      <c r="I64" s="10" t="inlineStr">
        <is>
          <t>2026-11-09</t>
        </is>
      </c>
      <c r="J64" s="10" t="inlineStr">
        <is>
          <t>2026-11-13</t>
        </is>
      </c>
      <c r="K64" s="10" t="inlineStr">
        <is>
          <t>DZIAŁA</t>
        </is>
      </c>
      <c r="L64" s="11" t="inlineStr">
        <is>
          <t>2026-09-23 D2: admin-panel status/incidents/incident-compose.tsx → POST /admin/product-ops/incidents; przycisk „Rozwiąż” (PATCH incidents/:id status=RESOLVED); probe-ingest.service.ts isManualIncident; test status/incydent-reczny.spec.ts</t>
        </is>
      </c>
      <c r="M64" s="11" t="inlineStr">
        <is>
          <t>—</t>
        </is>
      </c>
      <c r="N64" s="11" t="inlineStr">
        <is>
          <t>Funkcja dostępna z panelu klienta bez wychodzenia do DirectAdmina; test uruchamiany w CI.</t>
        </is>
      </c>
      <c r="O64" s="11" t="inlineStr">
        <is>
          <t>w kryzysie nie ma jak zakomunikować awarii | ZNALEZISKO: incydent ogłoszony ręcznie zamykał się sam przy pierwszej udanej próbie monitora (w ciągu minut), więc komunikat o awarii, której monitor nie widzi, znikał ze status page. Teraz zamyka go tylko operator; zamknięcie wysyła webhook INCIDENT_RESOLVED i trafia do audytu.</t>
        </is>
      </c>
      <c r="P64" s="10" t="inlineStr">
        <is>
          <t>do zrobienia</t>
        </is>
      </c>
    </row>
    <row r="65">
      <c r="A65" s="10" t="inlineStr">
        <is>
          <t>H-22</t>
        </is>
      </c>
      <c r="B65" s="11" t="inlineStr">
        <is>
          <t>Panel odtwarzania w widocznym miejscu</t>
        </is>
      </c>
      <c r="C65" s="10" t="inlineStr">
        <is>
          <t>audyt</t>
        </is>
      </c>
      <c r="D65" s="10" t="inlineStr">
        <is>
          <t>H — Backup i odtwarzanie</t>
        </is>
      </c>
      <c r="E65" s="10" t="inlineStr">
        <is>
          <t>WYSOKA</t>
        </is>
      </c>
      <c r="F65" s="10" t="n">
        <v>6</v>
      </c>
      <c r="G65" s="10" t="n">
        <v>11</v>
      </c>
      <c r="H65" s="10" t="inlineStr">
        <is>
          <t>Faza 2 — Odzyskanie funkcji-widm i luki pierwszego tygodnia</t>
        </is>
      </c>
      <c r="I65" s="10" t="inlineStr">
        <is>
          <t>2026-11-09</t>
        </is>
      </c>
      <c r="J65" s="10" t="inlineStr">
        <is>
          <t>2026-11-13</t>
        </is>
      </c>
      <c r="K65" s="10" t="inlineStr">
        <is>
          <t>DZIAŁA</t>
        </is>
      </c>
      <c r="L65" s="11" t="inlineStr">
        <is>
          <t>2026-09-23: client-panel BackupsTab.tsx — sekcja „Kopie poza serwerem” (HostingOffsitePanel) w zakładce Kopie zapasowe; zdublowany panel przywracania usunięty z Zużycia zasobów (hosting-backup-restore-panel.tsx)</t>
        </is>
      </c>
      <c r="M65" s="11" t="inlineStr">
        <is>
          <t>—</t>
        </is>
      </c>
      <c r="N65" s="11" t="inlineStr">
        <is>
          <t>Funkcja dostępna z panelu klienta bez wychodzenia do DirectAdmina; test uruchamiany w CI.</t>
        </is>
      </c>
      <c r="O65" s="11" t="inlineStr">
        <is>
          <t>klient w kryzysie tego nie znajdzie | Kopie off-site są tam, gdzie klient ich szuka w kryzysie; przywracanie jest w jednym miejscu, z potwierdzeniem domeną.</t>
        </is>
      </c>
      <c r="P65" s="10" t="inlineStr">
        <is>
          <t>do zrobienia</t>
        </is>
      </c>
    </row>
    <row r="66">
      <c r="A66" s="10" t="inlineStr">
        <is>
          <t>H-09</t>
        </is>
      </c>
      <c r="B66" s="11" t="inlineStr">
        <is>
          <t>Kopia bezpieczeństwa przed odtworzeniem</t>
        </is>
      </c>
      <c r="C66" s="10" t="inlineStr">
        <is>
          <t>audyt</t>
        </is>
      </c>
      <c r="D66" s="10" t="inlineStr">
        <is>
          <t>H — Backup i odtwarzanie</t>
        </is>
      </c>
      <c r="E66" s="10" t="inlineStr">
        <is>
          <t>WYSOKA</t>
        </is>
      </c>
      <c r="F66" s="10" t="n">
        <v>6</v>
      </c>
      <c r="G66" s="10" t="n">
        <v>12</v>
      </c>
      <c r="H66" s="10" t="inlineStr">
        <is>
          <t>Faza 2 — Odzyskanie funkcji-widm i luki pierwszego tygodnia</t>
        </is>
      </c>
      <c r="I66" s="10" t="inlineStr">
        <is>
          <t>2026-11-16</t>
        </is>
      </c>
      <c r="J66" s="10" t="inlineStr">
        <is>
          <t>2026-11-20</t>
        </is>
      </c>
      <c r="K66" s="10" t="inlineStr">
        <is>
          <t>DZIAŁA</t>
        </is>
      </c>
      <c r="L66" s="11" t="inlineStr">
        <is>
          <t>2026-09-23 D1: hosting-restore.service.ts takeSafetyBackup — odtwarzanie rusza dopiero, gdy na liście kopii pojawi się NOWE archiwum (do 15 min), inaczej FAILED „dane nie zostały zmienione”; nieczytelna lista = odmowa; test hosting-restore.safety.spec.ts; D3 t1 29.09 (panel klienta, d3.hvln.pl): „Przywróć” z backup-Sep-29-2026-3 (pliki + bazy, kopia bezpieczeństwa zaznaczona) → najpierw powstała nowa kopia backup-Sep-29-2026-4, dopiero potem DA dostał restore; strona po odtworzeniu 200</t>
        </is>
      </c>
      <c r="M66" s="11" t="inlineStr">
        <is>
          <t>—</t>
        </is>
      </c>
      <c r="N66" s="11" t="inlineStr">
        <is>
          <t>Funkcja dostępna z panelu klienta bez wychodzenia do DirectAdmina; test uruchamiany w CI.</t>
        </is>
      </c>
      <c r="O66" s="11" t="inlineStr">
        <is>
          <t>OSŁABIONE: hosting-restore.service.ts:167 tylko KOLEJKUJE backup w DA i nie czeka na wynik — destrukcyjne odtworzenie rusza mimo nieudanej kopii. Job dostaje COMPLETED (:182) w chwili przyjęcia zadania, nie po odtworzeniu. | Naprawione: nadpisywanie danych bez siatki. Status COMPLETED w panelu klienta opisany uczciwie („Odtwarzanie zlecone — serwer odtwarza dane w tle”), bo DA przyjmuje odtworzenie asynchronicznie. OTWARTE do D3 (PB-21): pełny przebieg na żywym DA i wykrycie końca odtwarzania.</t>
        </is>
      </c>
      <c r="P66" s="10" t="inlineStr">
        <is>
          <t>do zrobienia</t>
        </is>
      </c>
    </row>
    <row r="67">
      <c r="A67" s="10" t="inlineStr">
        <is>
          <t>H-17</t>
        </is>
      </c>
      <c r="B67" s="11" t="inlineStr">
        <is>
          <t>Tryb restore skryptu odtwarzającego osiągalny z produktu</t>
        </is>
      </c>
      <c r="C67" s="10" t="inlineStr">
        <is>
          <t>audyt</t>
        </is>
      </c>
      <c r="D67" s="10" t="inlineStr">
        <is>
          <t>H — Backup i odtwarzanie</t>
        </is>
      </c>
      <c r="E67" s="10" t="inlineStr">
        <is>
          <t>WYSOKA</t>
        </is>
      </c>
      <c r="F67" s="10" t="n">
        <v>6</v>
      </c>
      <c r="G67" s="10" t="n">
        <v>12</v>
      </c>
      <c r="H67" s="10" t="inlineStr">
        <is>
          <t>Faza 2 — Odzyskanie funkcji-widm i luki pierwszego tygodnia</t>
        </is>
      </c>
      <c r="I67" s="10" t="inlineStr">
        <is>
          <t>2026-11-16</t>
        </is>
      </c>
      <c r="J67" s="10" t="inlineStr">
        <is>
          <t>2026-11-20</t>
        </is>
      </c>
      <c r="K67" s="10" t="inlineStr">
        <is>
          <t>DZIAŁA</t>
        </is>
      </c>
      <c r="L67" s="11" t="inlineStr">
        <is>
          <t>2026-09-23: produktowa ścieżka odtwarzania z off-site = „Pobierz na serwer” (fetch, agent) + przywrócenie z listy kopii z kopią bezpieczeństwa (H-09) i potwierdzeniem domeną; tryb `restore` skryptu (DA type=admin, bez kopii bezpieczeństwa) celowo zostaje tylko w CLI/runbooku DR</t>
        </is>
      </c>
      <c r="M67" s="11" t="inlineStr">
        <is>
          <t>H-20 (najpierw potwierdzone odtworzenie, potem wystawienie trybu w produkcie)</t>
        </is>
      </c>
      <c r="N67" s="11" t="inlineStr">
        <is>
          <t>Funkcja dostępna z panelu klienta bez wychodzenia do DirectAdmina; test uruchamiany w CI.</t>
        </is>
      </c>
      <c r="O67" s="11" t="inlineStr">
        <is>
          <t>Skorygowane: tryb restore jest martwy z poziomu produktu, ale żywy z CLI (node-account-restore.sh:120-124) i udokumentowany w runbooku. | DO DECYZJI WŁAŚCICIELA: proponuję zamknąć jako PARYTET przez równoważną ścieżkę produktową — wystawienie trybu `restore` ominęłoby kopię bezpieczeństwa z H-09. Tryb restore działa też tylko przy istniejącym koncie na węźle, czyli dokładnie tam, gdzie wystarcza fetch + przywrócenie. | DECYZJA WŁAŚCICIELA 2026-09-23: zamknięte jako PARYTET — ścieżka produktowa (pobierz na serwer + przywrócenie z kopią bezpieczeństwa i potwierdzeniem domeną) daje ten sam efekt bezpieczniej; tryb restore skryptu zostaje wyłącznie w CLI/runbooku DR.</t>
        </is>
      </c>
      <c r="P67" s="10" t="inlineStr">
        <is>
          <t>do zrobienia</t>
        </is>
      </c>
    </row>
    <row r="68">
      <c r="A68" s="10" t="inlineStr">
        <is>
          <t>G-20</t>
        </is>
      </c>
      <c r="B68" s="11" t="inlineStr">
        <is>
          <t>Ochrona przed atakiem słownikowym na panel</t>
        </is>
      </c>
      <c r="C68" s="10" t="inlineStr">
        <is>
          <t>audyt</t>
        </is>
      </c>
      <c r="D68" s="10" t="inlineStr">
        <is>
          <t>G — SSL i bezpieczeństwo</t>
        </is>
      </c>
      <c r="E68" s="10" t="inlineStr">
        <is>
          <t>WYSOKA</t>
        </is>
      </c>
      <c r="F68" s="10" t="n">
        <v>6</v>
      </c>
      <c r="G68" s="10" t="n">
        <v>12</v>
      </c>
      <c r="H68" s="10" t="inlineStr">
        <is>
          <t>Faza 2 — Odzyskanie funkcji-widm i luki pierwszego tygodnia</t>
        </is>
      </c>
      <c r="I68" s="10" t="inlineStr">
        <is>
          <t>2026-11-16</t>
        </is>
      </c>
      <c r="J68" s="10" t="inlineStr">
        <is>
          <t>2026-11-20</t>
        </is>
      </c>
      <c r="K68" s="10" t="inlineStr">
        <is>
          <t>DZIAŁA</t>
        </is>
      </c>
      <c r="L68" s="11" t="inlineStr">
        <is>
          <t>2026-09-23 D2: common/guards/rate-limit.guard.spec.ts (6 testów: limit per IP, per e-mail z wielu IP, reset okna, zakresy i @SkipRateLimit, przepełnienie mapy, awaria Redisa)</t>
        </is>
      </c>
      <c r="M68" s="11" t="inlineStr">
        <is>
          <t>—</t>
        </is>
      </c>
      <c r="N68" s="11" t="inlineStr">
        <is>
          <t>Funkcja dostępna z panelu klienta bez wychodzenia do DirectAdmina; test uruchamiany w CI.</t>
        </is>
      </c>
      <c r="O68" s="11" t="inlineStr">
        <is>
          <t>brak dowodu D2 na krytycznym guardzie | ZNALEZISKO przy pisaniu testów: w trybie pamięciowym przepełnienie mapy (50 tys. kluczy) czyściło WSZYSTKIE liczniki — losowe e-maile zerowały licznik prób logowania do atakowanego konta (fail-open). Teraz usuwane są tylko wygasłe, a przy pełnej mapie nowe klucze dostają 429 (fail-closed).</t>
        </is>
      </c>
      <c r="P68" s="10" t="inlineStr">
        <is>
          <t>do zrobienia</t>
        </is>
      </c>
    </row>
    <row r="69">
      <c r="A69" s="10" t="inlineStr">
        <is>
          <t>I-11</t>
        </is>
      </c>
      <c r="B69" s="11" t="inlineStr">
        <is>
          <t>Staging — publikacja na produkcję</t>
        </is>
      </c>
      <c r="C69" s="10" t="inlineStr">
        <is>
          <t>audyt</t>
        </is>
      </c>
      <c r="D69" s="10" t="inlineStr">
        <is>
          <t>I — Aplikacje i WordPress</t>
        </is>
      </c>
      <c r="E69" s="10" t="inlineStr">
        <is>
          <t>WYSOKA</t>
        </is>
      </c>
      <c r="F69" s="10" t="n">
        <v>6</v>
      </c>
      <c r="G69" s="10" t="n">
        <v>12</v>
      </c>
      <c r="H69" s="10" t="inlineStr">
        <is>
          <t>Faza 2 — Odzyskanie funkcji-widm i luki pierwszego tygodnia</t>
        </is>
      </c>
      <c r="I69" s="10" t="inlineStr">
        <is>
          <t>2026-11-16</t>
        </is>
      </c>
      <c r="J69" s="10" t="inlineStr">
        <is>
          <t>2026-11-20</t>
        </is>
      </c>
      <c r="K69" s="10" t="inlineStr">
        <is>
          <t>DZIAŁA</t>
        </is>
      </c>
      <c r="L69" s="11" t="inlineStr">
        <is>
          <t>2026-09-23 D1: node-staging-sync.sh TO_LIVE — eksport bazy LIVE i niepusty plik kopii są twardą bramką (die) przed db import; retencja po udanej kopii; strażnik src/test/staging-publikacja-z-kopia.spec.ts; D3 t1 29.09 (panel klienta, d3.hvln.pl): pierwsze „Utwórz kopię roboczą” → błąd: DA 1.710 zakłada subdomenę jako domains/staging.&lt;domena&gt;/public_html, skrypt szukał public_html/staging; poprawka d93c86e (plus sprzątanie bazy stg z nieudanej próby) czeka na push</t>
        </is>
      </c>
      <c r="M69" s="11" t="inlineStr">
        <is>
          <t>—</t>
        </is>
      </c>
      <c r="N69" s="11" t="inlineStr">
        <is>
          <t>Funkcja dostępna z panelu klienta bez wychodzenia do DirectAdmina; test uruchamiany w CI.</t>
        </is>
      </c>
      <c r="O69" s="11" t="inlineStr">
        <is>
          <t>OSŁABIONE: node-staging-sync.sh:141-142 backup plików jest twardą bramką, ale :152-153 backup bazy LIVE jest best-effort — linia 158 robi wp db import na produkcji mimo braku kopii. | Naprawione: import bazy staging na produkcję mimo braku kopii bazy LIVE. 01.10 na t1 z panelu: utworzenie kopii roboczej i publikacja na produkcję (z kopią plików i bazy LIVE) działają.</t>
        </is>
      </c>
      <c r="P69" s="10" t="inlineStr">
        <is>
          <t>do zrobienia</t>
        </is>
      </c>
    </row>
    <row r="70">
      <c r="A70" s="10" t="inlineStr">
        <is>
          <t>X-31</t>
        </is>
      </c>
      <c r="B70" s="11" t="inlineStr">
        <is>
          <t>Kanał alertów daje znak życia (dead man's switch)</t>
        </is>
      </c>
      <c r="C70" s="10" t="inlineStr">
        <is>
          <t>audyt</t>
        </is>
      </c>
      <c r="D70" s="10" t="inlineStr">
        <is>
          <t>X — Infrastruktura jakości</t>
        </is>
      </c>
      <c r="E70" s="10" t="inlineStr">
        <is>
          <t>—</t>
        </is>
      </c>
      <c r="F70" s="10" t="n">
        <v>6</v>
      </c>
      <c r="G70" s="10" t="n">
        <v>13</v>
      </c>
      <c r="H70" s="10" t="inlineStr">
        <is>
          <t>Faza 2 — Odzyskanie funkcji-widm i luki pierwszego tygodnia</t>
        </is>
      </c>
      <c r="I70" s="10" t="inlineStr">
        <is>
          <t>2026-11-23</t>
        </is>
      </c>
      <c r="J70" s="10" t="inlineStr">
        <is>
          <t>2026-11-27</t>
        </is>
      </c>
      <c r="K70" s="10" t="inlineStr">
        <is>
          <t>DZIAŁA</t>
        </is>
      </c>
      <c r="L70" s="11" t="inlineStr">
        <is>
          <t>ops/observability/grafana/provisioning/alerting/rules.yaml — grupa verris_kanal_alertow, reguła VerrisKanalAlertowZyje (vector(1), for: 0s, oba stany awaryjne na Alerting, etykieta kanal: heartbeat); policies.yaml — gałąź object_matchers kanal=heartbeat, repeat_interval 24h; apps/api/src/test/routing-alertow.spec.ts (5 asercji X-31); docs/ops/GRAFANA_ALERTING.md §4. BRAK: pierwszego maila [FIRING:1] VerrisKanalAlertowZyje — dowód D3 jeszcze nie powstał.</t>
        </is>
      </c>
      <c r="M70" s="11" t="inlineStr">
        <is>
          <t>—</t>
        </is>
      </c>
      <c r="N70" s="11" t="inlineStr">
        <is>
          <t>Funkcja dostępna z panelu klienta bez wychodzenia do DirectAdmina; test uruchamiany w CI.</t>
        </is>
      </c>
      <c r="O70" s="11" t="inlineStr">
        <is>
          <t>Stan 2026-08-23: ZROBIONE W KODZIE (D2), D3 powstanie przy pierwszym mailu. Decyzja właściciela produktu: wariant „jeden mail na dobę". | PROBLEM: po naprawie X-30 alerty ucichną, a cisza będzie znaczyła „nic się nie pali" — i będzie wyglądała IDENTYCZNIE jak: Grafana padła, Postfix przestał przyjmować, mail.hvln.pl zaczął odrzucać albo wrzucać do spamu, ktoś zmienił adres w punkcie kontaktowym, polityka przestała pasować do etykiet. To dokładnie ta sama cisza, która przez miesiąc znaczyła „kopia bazy jest w porządku" (H-23) i kosztowała wszystkie kopie zapasowe. | ROZWIĄZANIE: VerrisKanalAlertowZyje — reguła vector(1), pali się ZAWSZE, jej BRAK jest sygnałem. for: 0s, noDataState: Alerting, execErrState: Alerting — nie da się jej „nie zapalić": normalnie warunek jest spełniony, a gdyby źródło danych przestało odpowiadać, oba stany awaryjne też prowadzą do Alerting. Milczenie ma znaczyć awarię, nigdy spokój. | JEDEN MAIL NA DOBĘ, NIE SZEŚĆ: osobna gałąź polityki na etykiecie kanal: heartbeat z repeat_interval 24h. Na domyślnej (4h) byłoby sześć dziennie, a alert przychodzący sześć razy dziennie przestaje być czytany po tygodniu — wtedy przestaje cokolwiek dawać, bo jego BRAK jest jedyną informacją, jaką niesie. Strażnik pilnuje osobno, że polityka domyślna NIE została przy okazji przestawiona na dobę: prawdziwy alarm ma się przypominać co cztery godziny. | HACZYK, KTÓRY TRZEBA NAZWAĆ: mail, którego się nie czyta, wraca do punktu wyjścia. Jeśli po tygodniu przestanie być zauważany, reguła przestaje działać — nie dlatego, że jest zepsuta, tylko dlatego, że przestała być czytana. Tego nie da się naprawić kodem. | CZEGO NIE OBEJMUJE: awarii całego serwera (heartbeat mieszka na tej samej maszynie co Grafana i milczy razem z nią — odporny byłby watchdog SPOZA naszej infrastruktury, pukany cronem; nie ma go i to świadoma decyzja, nie przeoczenie) ani poprawności pozostałych reguł (tego pilnuje bramka z X-30). | Czerwieni się na starym kodzie: 5 z 36. | Doszła lista DOPISANE_POZNIEJ, trzymana osobno od ALERTY: tamta odpowiada na pytanie „czy migracja czegoś nie zgubiła" i ma zostać zamrożona, ta na „czy ktoś czegoś po cichu nie dołożył". Dokumentacja: docs/archiwum/zadania/X-31-znak-zycia-kanalu-alertow.md | 2026-09-22 D3: wlasciciel potwierdza, ze mail [FIRING:1] VerrisKanalAlertowZyje przychodzi codziennie. Kanal alertow dziala koniec-do-konca.</t>
        </is>
      </c>
      <c r="P70" s="10" t="inlineStr">
        <is>
          <t>do zrobienia</t>
        </is>
      </c>
    </row>
    <row r="71">
      <c r="A71" s="10" t="inlineStr">
        <is>
          <t>X-32</t>
        </is>
      </c>
      <c r="B71" s="11" t="inlineStr">
        <is>
          <t>Martwy job da się odrzucić z panelu, ze śladem w audycie</t>
        </is>
      </c>
      <c r="C71" s="10" t="inlineStr">
        <is>
          <t>audyt</t>
        </is>
      </c>
      <c r="D71" s="10" t="inlineStr">
        <is>
          <t>X — Infrastruktura jakości</t>
        </is>
      </c>
      <c r="E71" s="10" t="inlineStr">
        <is>
          <t>—</t>
        </is>
      </c>
      <c r="F71" s="10" t="n">
        <v>6</v>
      </c>
      <c r="G71" s="10" t="n">
        <v>13</v>
      </c>
      <c r="H71" s="10" t="inlineStr">
        <is>
          <t>Faza 2 — Odzyskanie funkcji-widm i luki pierwszego tygodnia</t>
        </is>
      </c>
      <c r="I71" s="10" t="inlineStr">
        <is>
          <t>2026-11-23</t>
        </is>
      </c>
      <c r="J71" s="10" t="inlineStr">
        <is>
          <t>2026-11-27</t>
        </is>
      </c>
      <c r="K71" s="10" t="inlineStr">
        <is>
          <t>DZIAŁA</t>
        </is>
      </c>
      <c r="L71" s="11" t="inlineStr">
        <is>
          <t>apps/api/src/common/audit/audit.actions.ts — PROVISIONING_JOB_DISCARDED_BY_ADMIN; provisioning-queue.service.ts — odrzucJob (getState() === failed, ślad przed job.remove(), audyt z subskrypcją, typem, liczbą prób, failedReason i powodem); provisioning-queue.admin.controller.ts — POST :id/odrzuc za @StaffPerm('PROVISIONING_MANAGE'); apps/admin-panel/.../provisioning-queue/ — actions.ts, odrzuc-button.tsx (dwa kliknięcia, powód ≥5 znaków, zdanie o nietkniętej subskrypcji), page.tsx; apps/api/src/test/odrzucenie-martwego-joba.spec.ts (13). BRAK: pierwszego odrzucenia na produkcji — dowód D3 jeszcze nie powstał.</t>
        </is>
      </c>
      <c r="M71" s="11" t="inlineStr">
        <is>
          <t>—</t>
        </is>
      </c>
      <c r="N71" s="11" t="inlineStr">
        <is>
          <t>Funkcja dostępna z panelu klienta bez wychodzenia do DirectAdmina; test uruchamiany w CI.</t>
        </is>
      </c>
      <c r="O71" s="11" t="inlineStr">
        <is>
          <t>Stan 2026-08-23: ZROBIONE W KODZIE (D2), D3 przy pierwszym odrzuceniu na produkcji — a to da się zrobić od razu po wdrożeniu, w odróżnieniu od Z-18, który czeka na węzeł. Decyzja właściciela produktu: dorobić akcję w panelu zamiast jednorazowego czyszczenia Redisa. | JAK TO WYSZŁO: X-30 naprawiło alerting, VerrisProvisioningQueueFailed zapalił się z prawdziwego powodu i wskazał cztery martwe joby (to z nich wyszło Z-18). Naturalny następny ruch — usunąć je — okazał się NIEWYKONALNY: panel ma przy nich wyłącznie „Retry", a kontroler administracyjny dokładnie dwa endpointy, listowanie i ponowienie. Retry nic nie daje, bo węzła nie ma: job padnie ponownie, podbije licznik prób i dołoży wpisy do audytu — cztery martwe joby zamieniają się w cztery martwe joby z dłuższą historią. Zostawało grzebanie w Redisie ręcznie, czyli zmiana stanu produkcyjnego dotyczącego subskrypcji klientów BEZ ŚLADU W AUDYCIE. | TO NIE JEST USTERKA TYCH CZTERECH JOBÓW, tylko luka w warstwie operatorskiej, która ujawni się ponownie przy pierwszym prawdziwym niepowodzeniu provisioningu — z tą różnicą, że wtedy po drugiej stronie będzie klient. | ROZWIĄZANIE: POST /admin/provisioning-queue/:id/odrzuc + przycisk „Odrzuć" obok Retry. TRZY REGUŁY: (1) TYLKO STAN failed — usunięcie joba aktywnego albo czekającego osierociłoby provisioning w trakcie, konto na węźle mogłoby powstać, a system przestałby o nim wiedzieć; ograniczenie siedzi w usłudze, nie w kontrolerze, bo to reguła o kolejce, nie o HTTP; (2) POWÓD WYMAGANY, tak samo jak przy retry — operacja bez powodu to operacja, której za pół roku nikt nie wyjaśni; (3) NAJPIERW ODCZYT, POTEM USUNIĘCIE — ślad zbierany PRZED job.remove(), bo po usunięciu nie ma już czego odczytać; zapisujemy subskrypcję, joba, typ, liczbę prób, ostatni błąd i powód. Po Z-18 ten ostatni błąd niesie PRAWDZIWĄ przyczynę, więc wpis ma realną wartość dowodową — jeszcze wczoraj zapisałby zdanie o brakującym pakiecie DirectAdmina, którego nigdy nie brakowało. | OSOBNA AKCJA AUDYTU (PROVISIONING_JOB_DISCARDED_BY_ADMIN), nie wariant retry: w raportach odrzucenie i ponowienie to dwie różne decyzje i nie wolno im się zlewać. | DWA KLIKNIĘCIA, NIE JEDNO: retry można cofnąć następnym retry, odrzucenia nie da się cofnąć wcale. Potwierdzenie jest po to, żeby ta różnica była wyczuwalna w palcach. | ZDANIE PRZY PRZYCISKU: „Usuwa wpis z kolejki bez możliwości cofnięcia. Subskrypcja zostaje nietknięta." Operator ma prawo założyć, że „odrzuć" anuluje zamówienie — nie anuluje. Musi to być napisane tam, gdzie się klika, a nie w dokumentacji, której nikt nie otworzy w trakcie incydentu. | Czerwieni się na starym kodzie: 11 z 13. | DWIE UWAGI O SAMYCH TESTACH: odczyty plików panelu są LENIWE, bo odczyt na poziomie describe wywalał cały plik testowy, zanim cokolwiek się policzyło — a wtedy nie wiadomo, ILE asercji się czerwieni, tylko że „nie skompilowało się"; asercja o warunku row.failedReason nie mierzy odległości w znakach, tylko relację między warunkiem a przyciskiem, bo wersja licząca znaki zepsuła się od dopisania komentarza i kusiło, żeby poszerzyć okno zamiast poprawić asercję — to byłoby naprawianie testu zamiast kodu. | CZEGO NIE OBEJMUJE: losu czterech subskrypcji, które dostały zwrot i status PENDING_PAYMENT (odrzucenie joba ich nie dotyka — osobne sprzątanie po stronie bazy); odrzucania hurtem — świadomie, bo przycisk „odrzuć wszystkie" jest wygodny dokładnie do momentu, w którym ktoś kliknie go na kolejce z prawdziwym zamówieniem. | JAK ZAMKNĄĆ: odrzucić jeden z czterech martwych jobów, obejrzeć wpis PROVISIONING_JOB_DISCARDED_BY_ADMIN w audycie i sprawdzić, że verris_provisioning_queue_depth{state="failed"} spadło o jeden. Dokumentacja: docs/archiwum/zadania/X-32-odrzucenie-martwego-joba.md | 2026-09-22 D3: wlasciciel odrzucil martwy job przyciskiem 'Odrzuc' w panelu admina na produkcji (potwierdzenie wlasciciela; wpis PROVISIONING_JOB_DISCARDED_BY_ADMIN w audycie).</t>
        </is>
      </c>
      <c r="P71" s="10" t="inlineStr">
        <is>
          <t>do zrobienia</t>
        </is>
      </c>
    </row>
    <row r="72">
      <c r="A72" s="10" t="inlineStr">
        <is>
          <t>DEP-02</t>
        </is>
      </c>
      <c r="B72" s="11" t="inlineStr">
        <is>
          <t>W drzewie stoją dwa majory ESLinta naraz</t>
        </is>
      </c>
      <c r="C72" s="10" t="inlineStr">
        <is>
          <t>audyt</t>
        </is>
      </c>
      <c r="D72" s="10" t="inlineStr">
        <is>
          <t>X — Infrastruktura jakości</t>
        </is>
      </c>
      <c r="E72" s="10" t="inlineStr">
        <is>
          <t>ŚREDNIA</t>
        </is>
      </c>
      <c r="F72" s="10" t="n">
        <v>6</v>
      </c>
      <c r="G72" s="10" t="n">
        <v>13</v>
      </c>
      <c r="H72" s="10" t="inlineStr">
        <is>
          <t>Faza 2 — Odzyskanie funkcji-widm i luki pierwszego tygodnia</t>
        </is>
      </c>
      <c r="I72" s="10" t="inlineStr">
        <is>
          <t>2026-11-23</t>
        </is>
      </c>
      <c r="J72" s="10" t="inlineStr">
        <is>
          <t>2026-11-27</t>
        </is>
      </c>
      <c r="K72" s="10" t="inlineStr">
        <is>
          <t>DZIAŁA</t>
        </is>
      </c>
      <c r="L72" s="11" t="inlineStr">
        <is>
          <t>package.json (korzeń) — @eslint/js ^10.0.1 przy braku jakiegokolwiek eslint.config.* w korzeniu; libs/eslint-config/node_modules: eslint 10.9.0 obok @eslint/js 9.39.5; apps/api, apps/www, apps/client-panel, apps/status-page, libs/directadmin-sdk — eslint 9.39.5 | 2026-09-23: z korzenia zdjęte nieużywane @eslint/js ^10 i typescript-eslint; libs/eslint-config peer eslint ^9.39.5 (było &gt;=9 → auto-install dociągał 10.9.0); lockfile bez eslint 10; strażnik apps/api/src/test/eslint-jeden-major.spec.ts (deklaracje + peer + lockfile)</t>
        </is>
      </c>
      <c r="M72" s="11" t="inlineStr">
        <is>
          <t>—</t>
        </is>
      </c>
      <c r="N72" s="11" t="inlineStr">
        <is>
          <t>Funkcja dostępna z panelu klienta bez wychodzenia do DirectAdmina; test uruchamiany w CI.</t>
        </is>
      </c>
      <c r="O72" s="11" t="inlineStr">
        <is>
          <t>Odkryte 2026-08-28 przy DEP-01. Korzeń deklaruje @eslint/js ^10.0.1, którego peer to eslint ^10.0.0 — i to on wciąga eslint@10.9.0 do drzewa. Tymczasem KAŻDY pakiet, który realnie lintuje, ma 9.39.5. Najostrzej widać to wewnątrz libs/eslint-config, czyli wspólnej konfiguracji: node_modules/eslint = 10.9.0, node_modules/@eslint/js = 9.39.5 — dwie połowy jednego narzędzia z różnych majorów w jednym katalogu. | Korzeń NIE MA żadnego eslint.config.* i nie odpala lintera (pnpm lint = turbo run lint), więc te zależności nie robią nic poza wciąganiem majora, którego nikt nie używa. | To nie awaria — bramka jest zielona, 0 błędów. To BRAK KONTROLI: żaden strażnik nie sprawdza, czy major ESLinta jest jeden, tak jak do ENV-01 nic nie sprawdzało wersji Node. | DO ZROBIENIA: zdjąć z korzenia nieużywane @eslint/js i typescript-eslint albo cofnąć je do dziewiątki (rusza lockfile — osobny commit z pełną bramką), plus strażnik spójności majora na wzór wersja-node.spec.ts. | 2026-09-23: zrobione zgodnie z DO ZROBIENIA; lockfile zmieniony wyłącznie o usunięcie gałęzi eslint 10 (pnpm 9.5.0 --lockfile-only). Przed bramką lokalną: pnpm install.</t>
        </is>
      </c>
      <c r="P72" s="10" t="inlineStr">
        <is>
          <t>do zrobienia</t>
        </is>
      </c>
    </row>
    <row r="73">
      <c r="A73" s="10" t="inlineStr">
        <is>
          <t>M-08</t>
        </is>
      </c>
      <c r="B73" s="11" t="inlineStr">
        <is>
          <t>Anulowanie faktury (VOID) z panelu</t>
        </is>
      </c>
      <c r="C73" s="10" t="inlineStr">
        <is>
          <t>audyt</t>
        </is>
      </c>
      <c r="D73" s="10" t="inlineStr">
        <is>
          <t>M — Rozliczenia</t>
        </is>
      </c>
      <c r="E73" s="10" t="inlineStr">
        <is>
          <t>WYSOKA</t>
        </is>
      </c>
      <c r="F73" s="10" t="n">
        <v>6</v>
      </c>
      <c r="G73" s="10" t="n">
        <v>13</v>
      </c>
      <c r="H73" s="10" t="inlineStr">
        <is>
          <t>Faza 2 — Odzyskanie funkcji-widm i luki pierwszego tygodnia</t>
        </is>
      </c>
      <c r="I73" s="10" t="inlineStr">
        <is>
          <t>2026-11-23</t>
        </is>
      </c>
      <c r="J73" s="10" t="inlineStr">
        <is>
          <t>2026-11-27</t>
        </is>
      </c>
      <c r="K73" s="10" t="inlineStr">
        <is>
          <t>DZIAŁA</t>
        </is>
      </c>
      <c r="L73" s="11" t="inlineStr">
        <is>
          <t>billing/anulowanie.service.ts (POST /admin/invoices/:id/anuluj, BILLING_MANAGE); admin: invoices/void-button.tsx; test D2 anulowanie.service.spec.ts</t>
        </is>
      </c>
      <c r="M73" s="11" t="inlineStr">
        <is>
          <t>—</t>
        </is>
      </c>
      <c r="N73" s="11" t="inlineStr">
        <is>
          <t>Funkcja dostępna z panelu klienta bez wychodzenia do DirectAdmina; test uruchamiany w CI.</t>
        </is>
      </c>
      <c r="O73" s="11" t="inlineStr">
        <is>
          <t>DECYZJA WŁAŚCICIELA 2026-09-23: anulować wolno tylko dokument nieopłacony (DRAFT/OPEN); opłacony, także z portfela, zmienia się korektą (M-06). Faktura Stripe unieważniana najpierw w Stripe, błąd = brak zmiany lokalnej. Numer zostaje (ciągłość), powód w audycie INVOICE_VOIDED. | 2026-10-10: anulowanie, korekta, PDF i ponowienie KSeF także na nowej stronie faktury w adminie /invoices/[id] (f77359f5), z „Dokończ wystawienie” (POST /admin/invoices/:id/dokoncz) z Fali 1B (3185362e).</t>
        </is>
      </c>
      <c r="P73" s="10" t="inlineStr">
        <is>
          <t>do zrobienia</t>
        </is>
      </c>
    </row>
    <row r="74">
      <c r="A74" s="10" t="inlineStr">
        <is>
          <t>C-18</t>
        </is>
      </c>
      <c r="B74" s="11" t="inlineStr">
        <is>
          <t>Konto FTP — zmiana hasła</t>
        </is>
      </c>
      <c r="C74" s="10" t="inlineStr">
        <is>
          <t>audyt</t>
        </is>
      </c>
      <c r="D74" s="10" t="inlineStr">
        <is>
          <t>C — Pliki, FTP, SSH, Git</t>
        </is>
      </c>
      <c r="E74" s="10" t="inlineStr">
        <is>
          <t>WYSOKA</t>
        </is>
      </c>
      <c r="F74" s="10" t="n">
        <v>6</v>
      </c>
      <c r="G74" s="10" t="n">
        <v>13</v>
      </c>
      <c r="H74" s="10" t="inlineStr">
        <is>
          <t>Faza 2 — Odzyskanie funkcji-widm i luki pierwszego tygodnia</t>
        </is>
      </c>
      <c r="I74" s="10" t="inlineStr">
        <is>
          <t>2026-11-23</t>
        </is>
      </c>
      <c r="J74" s="10" t="inlineStr">
        <is>
          <t>2026-11-27</t>
        </is>
      </c>
      <c r="K74" s="10" t="inlineStr">
        <is>
          <t>DZIAŁA</t>
        </is>
      </c>
      <c r="L74" s="11" t="inlineStr">
        <is>
          <t>2026-09-23 D1: POST /services/:id/hosting-ftp/:username/password (ZmienHasloFtpDto) → directadmin.service changeHostingFtpPassword (action=modify, katalog zachowany) + audyt HOSTING_FTP_PASSWORD_CHANGED; UI FtpTab — kluczyk przy koncie; test servers/zmiana-hasla-ftp.spec.ts</t>
        </is>
      </c>
      <c r="M74" s="11" t="inlineStr">
        <is>
          <t>—</t>
        </is>
      </c>
      <c r="N74" s="11" t="inlineStr">
        <is>
          <t>Funkcja dostępna z panelu klienta bez wychodzenia do DirectAdmina; test uruchamiany w CI.</t>
        </is>
      </c>
      <c r="O74" s="11" t="inlineStr">
        <is>
          <t>brak jakiejkolwiek ścieżki edycji istniejącego konta | Przy okazji body tworzenia konta FTP dostało klasę DTO (login, hasło, katalog bez „..”). OTWARTE do D3 (PB-21): format action=modify na żywym DA. | 2026-10-02 D3: 02.10 t1 (po 9e362ed — tworzenie konta FTP wysyłało pole path zamiast wymaganego type, panel mówił „słabe hasło”): panel → FTP i SSH → konto d3test@d3.hvln.pl z hasłem z generatora → „Konto FTP utworzone”, katalog /home/ovsekucx/domains/d3.hvln.pl/; „Nowe hasło” → „Hasło FTP zmienione”, katalog bez zmian; logowanie nowym hasłem z Maca: curl --ssl-reqd ftp://t1.verris.pl/ → lista katalogu domeny (public_html, public_ftp, logs, stats, private_html).</t>
        </is>
      </c>
      <c r="P74" s="10" t="inlineStr">
        <is>
          <t>do zrobienia</t>
        </is>
      </c>
    </row>
    <row r="75">
      <c r="A75" s="10" t="inlineStr">
        <is>
          <t>A-11</t>
        </is>
      </c>
      <c r="B75" s="11" t="inlineStr">
        <is>
          <t>Wyszukiwarka wolnych domen</t>
        </is>
      </c>
      <c r="C75" s="10" t="inlineStr">
        <is>
          <t>audyt</t>
        </is>
      </c>
      <c r="D75" s="10" t="inlineStr">
        <is>
          <t>A — Domeny i konta</t>
        </is>
      </c>
      <c r="E75" s="10" t="inlineStr">
        <is>
          <t>WYSOKA</t>
        </is>
      </c>
      <c r="F75" s="10" t="n">
        <v>6</v>
      </c>
      <c r="G75" s="10" t="n">
        <v>14</v>
      </c>
      <c r="H75" s="10" t="inlineStr">
        <is>
          <t>Faza 2 — Odzyskanie funkcji-widm i luki pierwszego tygodnia</t>
        </is>
      </c>
      <c r="I75" s="10" t="inlineStr">
        <is>
          <t>2026-10-19</t>
        </is>
      </c>
      <c r="J75" s="10" t="inlineStr">
        <is>
          <t>2026-10-23</t>
        </is>
      </c>
      <c r="K75" s="10" t="inlineStr">
        <is>
          <t>DZIAŁA</t>
        </is>
      </c>
      <c r="L75" s="11" t="inlineStr">
        <is>
          <t>domains.controller.ts:54</t>
        </is>
      </c>
      <c r="M75" s="11" t="inlineStr">
        <is>
          <t>—</t>
        </is>
      </c>
      <c r="N75" s="11" t="inlineStr">
        <is>
          <t>Funkcja dostępna z panelu klienta bez wychodzenia do DirectAdmina; test uruchamiany w CI.</t>
        </is>
      </c>
      <c r="O75" s="11" t="inlineStr">
        <is>
          <t>DECYZJA WŁAŚCICIELA 2026-09-23: konfiguracja OpenProvider (REGISTRAR_PROVIDER + dane API w .env.prod, wpisuje właściciel) razem z zakupem węzła w sprincie 18; do tego czasu wyszukiwarka za flagą. | 2026-09-25: preflight GO-LIVE blokuje start bez REGISTRAR_PROVIDER (strona oferuje rejestrację domen). Wyszukiwarka na verris.pl prowadzi do /dashboard/domains/buy?domain=… i panel wpisuje nazwę w wyszukiwarkę (wcześniej nazwa przepadała). /domeny: „bez blokad transferu” → blokadę włączasz i zdejmujesz sam (A-15). | 2026-09-27 PRODUKCJA po b0a556f: wyszukiwarka działa — „hvln-test-verris” → 32 wolne warianty z ceną rejestracji i odnowienia (brutto). Przyczyna „wszystko zajęte”: OpenProvider zwraca wyniki w innej kolejności niż w zapytaniu — dopasowanie po nazwie domeny, zapytania po 15 końcówek. Zostaje do pełnego testu z węzłem (decyzja właściciela). | 2026-10-04: D3 (sandbox OpenProvidera (api.sandbox.openprovider.nl), panel klienta prod, klient d3 czasowo na portfelu) — wyszukiwarka: 26 z 32 końcówek z cenami brutto. Po drodze: paczka 15 TLD „wszystko albo nic” gubiła .pl/.com, gdy jedna końcówka wisiała (.online/.shop &gt;40 s w sandboxie) → 36b8bca/9199355/99e38ec (limit 6 s, pojedynczo po błędzie paczki, budżet panelu 40 s); końcówki bez odpowiedzi „Nie sprawdzono” zamiast „Zajęta” → 9eb936d4.</t>
        </is>
      </c>
      <c r="P75" s="10" t="inlineStr">
        <is>
          <t>do zrobienia</t>
        </is>
      </c>
    </row>
    <row r="76">
      <c r="A76" s="10" t="inlineStr">
        <is>
          <t>C-11</t>
        </is>
      </c>
      <c r="B76" s="11" t="inlineStr">
        <is>
          <t>Spakowanie do archiwum</t>
        </is>
      </c>
      <c r="C76" s="10" t="inlineStr">
        <is>
          <t>audyt</t>
        </is>
      </c>
      <c r="D76" s="10" t="inlineStr">
        <is>
          <t>C — Pliki, FTP, SSH, Git</t>
        </is>
      </c>
      <c r="E76" s="10" t="inlineStr">
        <is>
          <t>—</t>
        </is>
      </c>
      <c r="F76" s="10" t="n">
        <v>6</v>
      </c>
      <c r="G76" s="10" t="n">
        <v>14</v>
      </c>
      <c r="H76" s="10" t="inlineStr">
        <is>
          <t>Faza 2 — Odzyskanie funkcji-widm i luki pierwszego tygodnia</t>
        </is>
      </c>
      <c r="I76" s="10" t="inlineStr">
        <is>
          <t>2026-10-19</t>
        </is>
      </c>
      <c r="J76" s="10" t="inlineStr">
        <is>
          <t>2026-10-23</t>
        </is>
      </c>
      <c r="K76" s="10" t="inlineStr">
        <is>
          <t>DZIAŁA</t>
        </is>
      </c>
      <c r="L76" s="11" t="inlineStr">
        <is>
          <t>2026-09-23 D1: POST /services/:id/files/compress → files.service compress (nazwa archiwum walidowana) → SDK compressEntries (schowek DA + action=compress) + audyt HOSTING_FILE_COMPRESSED; UI menedżera plików „Spakuj…” dla zaznaczonych; D3 t1 (d3.hvln.pl) 29.09: archiwum powstaje, ale panel mówi „nie udało się” (stara CMD_FILE_MANAGER zwraca 500 po wykonaniu) — poprawka 347e8ae (CMD_API_FILE_MANAGER); D3 t1 (d3.hvln.pl) 29.09 po wdrożeniu: Spakuj z panelu → „Spakowano do archiwum”, verris-r2.tar.gz w katalogu (347e8ae: bez fałszywego błędu 500 starego endpointu)</t>
        </is>
      </c>
      <c r="M76" s="11" t="inlineStr">
        <is>
          <t>—</t>
        </is>
      </c>
      <c r="N76" s="11" t="inlineStr">
        <is>
          <t>Funkcja dostępna z panelu klienta bez wychodzenia do DirectAdmina; test uruchamiany w CI.</t>
        </is>
      </c>
      <c r="O76" s="11" t="inlineStr">
        <is>
          <t>standard we wszystkich panelach | OTWARTE do D3 (PB-21): format action=compress na żywym DA.</t>
        </is>
      </c>
      <c r="P76" s="10" t="inlineStr">
        <is>
          <t>do zrobienia</t>
        </is>
      </c>
    </row>
    <row r="77">
      <c r="A77" s="10" t="inlineStr">
        <is>
          <t>NODE-03</t>
        </is>
      </c>
      <c r="B77" s="11" t="inlineStr">
        <is>
          <t>Pojemność węzła nigdy się nie odświeża</t>
        </is>
      </c>
      <c r="C77" s="10" t="inlineStr">
        <is>
          <t>audyt</t>
        </is>
      </c>
      <c r="D77" s="10" t="inlineStr">
        <is>
          <t>Q — Przewaga</t>
        </is>
      </c>
      <c r="E77" s="10" t="inlineStr">
        <is>
          <t>ŚREDNIA</t>
        </is>
      </c>
      <c r="F77" s="10" t="n">
        <v>6</v>
      </c>
      <c r="G77" s="10" t="n">
        <v>14</v>
      </c>
      <c r="H77" s="10" t="inlineStr">
        <is>
          <t>Faza 2 — Odzyskanie funkcji-widm i luki pierwszego tygodnia</t>
        </is>
      </c>
      <c r="I77" s="10" t="inlineStr">
        <is>
          <t>2026-10-19</t>
        </is>
      </c>
      <c r="J77" s="10" t="inlineStr">
        <is>
          <t>2026-10-23</t>
        </is>
      </c>
      <c r="K77" s="10" t="inlineStr">
        <is>
          <t>DZIAŁA</t>
        </is>
      </c>
      <c r="L77" s="11" t="inlineStr">
        <is>
          <t>2026-09-23 D1: verris-lve.sh node_capacity (nproc, MemTotal, df /) w każdym raporcie, lve-agent/1.1; telemetry.dto NodeStatusDto.totalCpuCores/totalMemoryMb/totalDiskMb; telemetry.service aktualizuje Server; test telemetry/pojemnosc-wezla.spec.ts</t>
        </is>
      </c>
      <c r="M77" s="11" t="inlineStr">
        <is>
          <t>—</t>
        </is>
      </c>
      <c r="N77" s="11" t="inlineStr">
        <is>
          <t>Funkcja dostępna z panelu klienta bez wychodzenia do DirectAdmina; test uruchamiany w CI.</t>
        </is>
      </c>
      <c r="O77" s="11" t="inlineStr">
        <is>
          <t>Przepisane do macierzy 2026-08-28 w ramach X-49 — pozycja powstala 2026-08-26 i do tego dnia istniala WYLACZNIE w dashboardzie, poza zasiegiem straznikow repozytorium. Obszar: instalator węzła. Krytycznosc i naklad zostaly puste SWIADOMIE: dashboard ich nie niosl, a wpisanie ich teraz byloby zgadywaniem. Do uzupelnienia przy najblizszym przegladzie tej pozycji. | TRESC ZE ZRODLA: Pojemność węzła nigdy się nie odświeża. `totalCpuCores`/`totalMemoryMb`/`totalDiskMb` ustawiane wyłącznie w handshake; telemetria ich nie aktualizuje — mimo komentarza w schemacie „reported via handshake / heartbeat”. Rozbudowa węzła nie dociera do `NodeSelector`. | WYCENA 2026-09-19: krytycznosc i naklad uzupelnione przy wznowieniu. Pozycje przepisane 2026-08-28 w ramach X-49 zostaly bez wyceny, przez co nie liczyly sie do budzetu godzin i nie stały w zadnym sprincie. Podstawa wyceny: Telemetria aktualizuje totalCpuCores/totalMemoryMb/totalDiskMb, nie tylko handshake. | Stary agent bez pól niczego nie zeruje. OTWARTE do D3 (PB-21): raport z agenta na żywym węźle i odświeżona pojemność w panelu admina. | 2026-09-25: pojemność z agenta trafia też do planera pojemności (admin → Product Ops): ryzyko liczone względem rdzeni i RAM węzła (CPU 2×/4× rdzeni, RAM 1×/1,5×; test ryzyko-pojemnosci.spec.ts), a opis „CPU 250%” zastąpiony „przydzielone limity: CPU 2,5 rdz. z N · RAM x z y GB” — wcześniej wyglądało jak zużycie ponad 100%. | 01.10 t1: panel admina (węzeł) pokazuje 4 rdzenie / 7,3 GB RAM / 75 GB dysku — zgodne z nproc, /proc/meminfo, df / na węźle; alert „blisko limitu pojemności” liczony względem tych wartości (przydzielone 100 GB z 75 GB).</t>
        </is>
      </c>
      <c r="P77" s="10" t="inlineStr">
        <is>
          <t>do zrobienia</t>
        </is>
      </c>
    </row>
    <row r="78">
      <c r="A78" s="10" t="inlineStr">
        <is>
          <t>PB-40</t>
        </is>
      </c>
      <c r="B78" s="11" t="inlineStr">
        <is>
          <t>Beta wewnętrzna na węźle testowym t1</t>
        </is>
      </c>
      <c r="C78" s="10" t="inlineStr">
        <is>
          <t>poza audytem</t>
        </is>
      </c>
      <c r="D78" s="10" t="inlineStr">
        <is>
          <t>Praca spoza audytu</t>
        </is>
      </c>
      <c r="E78" s="10" t="inlineStr">
        <is>
          <t>WYSOKI</t>
        </is>
      </c>
      <c r="F78" s="10" t="n">
        <v>12</v>
      </c>
      <c r="G78" s="10" t="n">
        <v>14</v>
      </c>
      <c r="H78" s="10" t="inlineStr">
        <is>
          <t>Faza 2 — Odzyskanie funkcji-widm i luki pierwszego tygodnia</t>
        </is>
      </c>
      <c r="I78" s="10" t="inlineStr">
        <is>
          <t>2026-10-19</t>
        </is>
      </c>
      <c r="J78" s="10" t="inlineStr">
        <is>
          <t>2026-10-23</t>
        </is>
      </c>
      <c r="K78" s="10" t="inlineStr">
        <is>
          <t>—</t>
        </is>
      </c>
      <c r="L78" s="11" t="inlineStr">
        <is>
          <t>—</t>
        </is>
      </c>
      <c r="M78" s="11" t="inlineStr">
        <is>
          <t>—</t>
        </is>
      </c>
      <c r="N78" s="11" t="inlineStr">
        <is>
          <t>Wszystkie 8 scenariuszy przejście bez pomocy; zero otwartych błędów krytycznych (dane, pieniądze, dostęp); poprawki „przed AX102” zamknięte, reszta rozpisana na „przed GO” i „po starcie”.</t>
        </is>
      </c>
      <c r="O78" s="11" t="inlineStr">
        <is>
          <t>Przed zakupem AX102 właściciel i 2–3 zaufane osoby przechodzą scenariusze testerów z docs/ops/BETA_TESTY.md na t1 (decyzja 2026-09-29: otwarta beta dopiero po poprawnej wewnętrznej). Termin 19.10–6.11.2026. | 2026-10-06 PRÓBA BETY (Claude na koncie d3, przed testerami): scenariusz 3 (WordPress na poddomenie beta.d3.hvln.pl), 5 (poczta test@→import@ przez webmail SSO; telefon — nie), 6 (kopia na żądanie, odtworzenie pliku, eksport/import bazy, odświeżenie stagingu) i 7 (zgłoszenie, odpowiedź, zamknięcie, prośba o ocenę) przeszły; 1, 2, 4 — wcześniejsze testy D3 na t1; 8 (telefon) czeka na Dominika. Znalezione i poprawione przed testerami: webmail po angielsku i bez marki, strona 404 serwera z nazwą LiteSpeed, angielskie zdarzenia migracji, staging bez potwierdzenia, eskalacje migracji bez opiekuna/SLA, teksty zgłoszeń; przegląd agentów: egress strict, portfel EKO, WP na poddomenie, white label błędów. | 2026-10-10: przed betą 19.10 — Fala 1 audytu paneli operatora zamknięta (PB-50), Fala 2 idzie w trakcie bety (PB-51). Warunki dołożone 10.10: dowód odtwarzania odnowiony (PB-54 — H-20 wrócił do blokera, D4 z 23.08 wygasł) i pula sprzedażowa t1 (PB-55 — zapas 0 kont, dysk 100/75 GB; bez decyzji testerzy nie kupią hostingu po 18.10). Panele obsługi i admina tylko przez VPN — każdy, kto w becie gra rolę obsługi, potrzebuje konfiguracji WireGuard. Przejście ról L1–L4 na żywo przed betą (RBAC zostaje na D2).</t>
        </is>
      </c>
      <c r="P78" s="10" t="inlineStr">
        <is>
          <t>do zrobienia</t>
        </is>
      </c>
    </row>
    <row r="79">
      <c r="A79" s="10" t="inlineStr">
        <is>
          <t>PB-08</t>
        </is>
      </c>
      <c r="B79" s="11" t="inlineStr">
        <is>
          <t>Pomiar: Consent Mode v2 + GTM + dedup event_id</t>
        </is>
      </c>
      <c r="C79" s="10" t="inlineStr">
        <is>
          <t>poza audytem</t>
        </is>
      </c>
      <c r="D79" s="10" t="inlineStr">
        <is>
          <t>Praca spoza audytu</t>
        </is>
      </c>
      <c r="E79" s="10" t="inlineStr">
        <is>
          <t>ŚREDNI</t>
        </is>
      </c>
      <c r="F79" s="10" t="n">
        <v>16</v>
      </c>
      <c r="G79" s="10" t="n">
        <v>14</v>
      </c>
      <c r="H79" s="10" t="inlineStr">
        <is>
          <t>Faza 2 — Odzyskanie funkcji-widm i luki pierwszego tygodnia</t>
        </is>
      </c>
      <c r="I79" s="10" t="inlineStr">
        <is>
          <t>2026-10-19</t>
        </is>
      </c>
      <c r="J79" s="10" t="inlineStr">
        <is>
          <t>2026-10-23</t>
        </is>
      </c>
      <c r="K79" s="10" t="inlineStr">
        <is>
          <t>—</t>
        </is>
      </c>
      <c r="L79" s="11" t="inlineStr">
        <is>
          <t>—</t>
        </is>
      </c>
      <c r="M79" s="11" t="inlineStr">
        <is>
          <t>—</t>
        </is>
      </c>
      <c r="N79" s="11" t="inlineStr">
        <is>
          <t>Zdarzenie zakupu dociera raz, nie dwa. Consent Mode nie blokuje pomiaru po zgodzie. Zweryfikowane w GTM Preview i w raporcie.</t>
        </is>
      </c>
      <c r="O79" s="11" t="inlineStr">
        <is>
          <t>Wdrożenie ustaleń z audytu pomiaru: www linkuje, panel działa, deduplikacja po event_id, cookie Domain=.verris.pl. | PRZEGLĄD GTM 2026-09-23 (tylko odczyt): (1) DWA tagi Google z tym samym G-HHN0S0R777 na „Initialization - All Pages” („GA4” i „GA4 – Config”) — podwójna konfiguracja, ryzyko podwójnych page_view; prawdopodobnie to jest „Pilne” w jakości kontenera. Do zrobienia przez właściciela: wstrzymać „GA4” (starszy, bez wymogu zgody analytics_storage), zostawić „GA4 – Config”, opublikować. (2) GA4 – purchase: transaction_id/value/currency z ecommerce.* — poprawnie; dedup Meta po event_id purchase-&lt;id&gt;. (3) Consent: default → update przed gtm.js, user_data tylko hash SHA-256. (4) Zakup D3 wymaga prawdziwej płatności — do sprawdzenia przy pierwszym realnym zakupie. (5) W przeglądarce właściciela endpointy Google (collect) odpowiadają 503 — sprawdzić blokadę po stronie sieci/rozszerzenia; potwierdzić w GA4 → Czas rzeczywisty. | 2026-09-27 SPRAWDZONE: kontener GTM-PJQNXCF5 w wersji 10 ma jeden tag Google (G-HHN0S0R777) — zdublowany GA4 wstrzymany przez właściciela. ZNALEZISKO: tag odpala na Initialization z wymogiem analytics_storage, a verris.pl odtwarzał zgodę z cookie dopiero PO gtm.js i page_view — powracający gość ze zgodą nie wysyłał nic do GA4 (tylko ccm/collect Ads). Poprawione w Analytics.tsx: zgoda z cookie odtwarzana przed GTM (jak w panelu). Zostaje: po wdrożeniu sprawdzić g/collect; nowy gość po kliknięciu „Akceptuj” — tag nie odpali do następnej odsłony (wyzwalacz Initialization) → dodać w GTM wyzwalacz zdarzenia verris_consent_update do tagu Google. | 2026-09-27: GTM wersja 11 opublikowana — tag Google odpala też na verris_consent_update (nowy gość liczony od razu po zgodzie); strona pcha zdarzenie tylko przy zmianie decyzji. Dowód problemu z GA4: ostatnie 7 dni — Panel klienta 354 wyświetlenia, verris.pl 2. W przeglądarce właściciela zapytania do Google kończą się 503 (blokada sieci/rozszerzenia) — weryfikacja po wdrożeniu w GA4 → Czas rzeczywisty z innego urządzenia. | 2026-09-27 PO WDROŻENIU (przeglądarka bez rozszerzeń, zgoda „Akceptuj wszystkie”): nowy gość — page_view do region1.analytics.google.com/g/collect od razu po zgodzie (gcs=G111, tag na verris_consent_update); powracający gość na /cennik — consent update przed gtm.js, page_view z gcs=G111; ciasteczka _ga i _ga_HHN0S0R777 ustawione. 503 z przeglądarki właściciela to blokada po jego stronie (rozszerzenie/sieć), nie strona. Zostaje: odsłona widoczna w GA4 → Czas rzeczywisty (właściciel) i zakup przy pierwszej prawdziwej płatności.</t>
        </is>
      </c>
      <c r="P79" s="10" t="inlineStr">
        <is>
          <t>do zrobienia</t>
        </is>
      </c>
    </row>
    <row r="80">
      <c r="A80" s="10" t="inlineStr">
        <is>
          <t>PB-27</t>
        </is>
      </c>
      <c r="B80" s="11" t="inlineStr">
        <is>
          <t>Indywidualne warunki usługi: cena i autoskalowanie</t>
        </is>
      </c>
      <c r="C80" s="10" t="inlineStr">
        <is>
          <t>poza audytem</t>
        </is>
      </c>
      <c r="D80" s="10" t="inlineStr">
        <is>
          <t>Praca spoza audytu</t>
        </is>
      </c>
      <c r="E80" s="10" t="inlineStr">
        <is>
          <t>WYSOKI</t>
        </is>
      </c>
      <c r="F80" s="10" t="n">
        <v>12</v>
      </c>
      <c r="G80" s="10" t="n">
        <v>14</v>
      </c>
      <c r="H80" s="10" t="inlineStr">
        <is>
          <t>Faza 2 — Odzyskanie funkcji-widm i luki pierwszego tygodnia</t>
        </is>
      </c>
      <c r="I80" s="10" t="inlineStr">
        <is>
          <t>2026-10-19</t>
        </is>
      </c>
      <c r="J80" s="10" t="inlineStr">
        <is>
          <t>2026-10-23</t>
        </is>
      </c>
      <c r="K80" s="10" t="inlineStr">
        <is>
          <t>—</t>
        </is>
      </c>
      <c r="L80" s="11" t="inlineStr">
        <is>
          <t>—</t>
        </is>
      </c>
      <c r="M80" s="11" t="inlineStr">
        <is>
          <t>—</t>
        </is>
      </c>
      <c r="N80" s="11" t="inlineStr">
        <is>
          <t>Operator zakłada usługę z własną ceną; odnowienie pobiera tę cenę; autoskalowanie liczone z rabatem; każda zmiana w dzienniku audytu z autorem i powodem; test na PostgreSQL.</t>
        </is>
      </c>
      <c r="O80" s="11" t="inlineStr">
        <is>
          <t>Decyzja właściciela 2026-09-26: operator (admin albo pracownik z uprawnieniem „Indywidualne warunki”) zakłada usługę na istniejącym lub nowym koncie i ustawia jej własną cenę (kwota albo rabat o X zł) oraz rabat na autoskalowanie o X%; warunki trzymają się usługi także przy odnowieniach. Stan 2026-09-26: operator nie może założyć usługi, ceny nie da się zmienić, odnowienie zawsze wraca do ceny katalogowej (promo.service.ts:266), stawki autoskalowania są globalne (AutoscalingPriceRule); błąd: kody rabatowe nie zapisują „appliesToRenewals” (promo.service.ts:157). | 2026-09-26 ZROBIONE W KODZIE: individualPrice + autoscalingDiscountPct na usłudze (odnowienia, bloki autoskalowania, limit wydatków, mail), POST /admin/custom-terms/user/:id/service (także plan ukryty), PATCH …/subscription/:id, uprawnienie CUSTOM_TERMS_MANAGE, sekcja w panelu admina i obsługi, audyt z powodem; poprawiony zapis appliesToRenewals kodów. Testy na PostgreSQL. Zostało: przejście na produkcji. | SPRAWDZONE NA PRODUKCJI 26.09 (22:35): na koncie testowym właściciela (mailtest-verris.pl) ustawiona cena 5 zł + rabat autoskalowania 20% z powodem, potem zmiana 5 → 6 — powód widoczny w adminie, klient widzi 6,00 zł/mies. Zostaje: odnowienie z tą ceną 22.10.2026 (samo się sprawdzi). | 2026-10-07 ZNALEZISKO D3: cena 0 zł — „Załóż usługę” kończyło się „Amount must be positive”, a odnowienie z ceną 0 (albo kodem 100%) rzucałoby co godzinę bez przedłużenia; poprawione (5a5591bc, test na PostgreSQL). | 2026-10-08 PRODUKCJA (D3): odnowienie usługi d3.hvln.pl z ceną indywidualną 6 zł — 8.10 16:00 portfel −6,00 K (45,17 → 39,17 K), następne odnowienie 8.11.2026 dalej 6,00 zł/mies.; bez osobnej faktury zgodnie z M-34 (model przy_doladowaniu). Poprawione (f03ad56e): historia portfela pokazywała „Odnowienie miesięczne · verris hosting” (slug) — teraz nazwa pakietu z oferty. Zamknięte.</t>
        </is>
      </c>
      <c r="P80" s="10" t="inlineStr">
        <is>
          <t>do zrobienia</t>
        </is>
      </c>
    </row>
    <row r="81">
      <c r="A81" s="10" t="inlineStr">
        <is>
          <t>PB-28</t>
        </is>
      </c>
      <c r="B81" s="11" t="inlineStr">
        <is>
          <t>Rozliczenie poza Verris (całe konto)</t>
        </is>
      </c>
      <c r="C81" s="10" t="inlineStr">
        <is>
          <t>poza audytem</t>
        </is>
      </c>
      <c r="D81" s="10" t="inlineStr">
        <is>
          <t>Praca spoza audytu</t>
        </is>
      </c>
      <c r="E81" s="10" t="inlineStr">
        <is>
          <t>WYSOKI</t>
        </is>
      </c>
      <c r="F81" s="10" t="n">
        <v>10</v>
      </c>
      <c r="G81" s="10" t="n">
        <v>14</v>
      </c>
      <c r="H81" s="10" t="inlineStr">
        <is>
          <t>Faza 2 — Odzyskanie funkcji-widm i luki pierwszego tygodnia</t>
        </is>
      </c>
      <c r="I81" s="10" t="inlineStr">
        <is>
          <t>2026-10-19</t>
        </is>
      </c>
      <c r="J81" s="10" t="inlineStr">
        <is>
          <t>2026-10-23</t>
        </is>
      </c>
      <c r="K81" s="10" t="inlineStr">
        <is>
          <t>—</t>
        </is>
      </c>
      <c r="L81" s="11" t="inlineStr">
        <is>
          <t>—</t>
        </is>
      </c>
      <c r="M81" s="11" t="inlineStr">
        <is>
          <t>—</t>
        </is>
      </c>
      <c r="N81" s="11" t="inlineStr">
        <is>
          <t>Flaga na koncie ustawiana z panelu admina/obsługi; testy: brak obciążeń, przedłużanie okresu, brak maili, brak blokady, raport zużycia autoskalowania.</t>
        </is>
      </c>
      <c r="O81" s="11" t="inlineStr">
        <is>
          <t>Decyzja właściciela 2026-09-26: klient oznaczony „rozliczany przez właściciela” — system nie pobiera opłat, nie blokuje za brak płatności, sam przedłuża okresy, nie wysyła maili o saldzie/odnowieniu, nie wystawia faktur; klient nie widzi portfela ani płatności; autoskalowanie działa bez pobierania, zużycie w raporcie do faktury właściciela. Stan 2026-09-26: tryb MANUAL istnieje tylko w bazie, nie da się go ustawić, okres się nie przedłuża, maile i autoskalowanie dalej działają jak u płacącego. | 2026-09-26 ZROBIONE W KODZIE: User.billingOutside + usługi MANUAL (przełącznik w transakcji, odmowa przy karcie cyklicznej); odnowienia przedłużają bez obciążenia, bez przypomnień/maili o saldzie/proformy/karencji; autoskalowanie bez pobierania z zestawieniem miesięcznym; panel klienta bez portfela, płatności i zamawiania. Testy na PostgreSQL. Zostało: przejście na produkcji.</t>
        </is>
      </c>
      <c r="P81" s="10" t="inlineStr">
        <is>
          <t>do zrobienia</t>
        </is>
      </c>
    </row>
    <row r="82">
      <c r="A82" s="10" t="inlineStr">
        <is>
          <t>PB-44</t>
        </is>
      </c>
      <c r="B82" s="11" t="inlineStr">
        <is>
          <t>Obsługa: zasoby, kopie i odtwarzanie, historia i migracja wewnętrzna w panelu staff</t>
        </is>
      </c>
      <c r="C82" s="10" t="inlineStr">
        <is>
          <t>poza audytem</t>
        </is>
      </c>
      <c r="D82" s="10" t="inlineStr">
        <is>
          <t>Praca spoza audytu</t>
        </is>
      </c>
      <c r="E82" s="10" t="inlineStr">
        <is>
          <t>ŚREDNI</t>
        </is>
      </c>
      <c r="F82" s="10" t="n">
        <v>10</v>
      </c>
      <c r="G82" s="10" t="n">
        <v>14</v>
      </c>
      <c r="H82" s="10" t="inlineStr">
        <is>
          <t>Faza 2 — Odzyskanie funkcji-widm i luki pierwszego tygodnia</t>
        </is>
      </c>
      <c r="I82" s="10" t="inlineStr">
        <is>
          <t>2026-10-19</t>
        </is>
      </c>
      <c r="J82" s="10" t="inlineStr">
        <is>
          <t>2026-10-23</t>
        </is>
      </c>
      <c r="K82" s="10" t="inlineStr">
        <is>
          <t>—</t>
        </is>
      </c>
      <c r="L82" s="11" t="inlineStr">
        <is>
          <t>—</t>
        </is>
      </c>
      <c r="M82" s="11" t="inlineStr">
        <is>
          <t>—</t>
        </is>
      </c>
      <c r="N82" s="11" t="inlineStr">
        <is>
          <t>Panel staff pokazuje zasoby, kopie z odtwarzaniem, historię migracji i migrację wewnętrzną zgodnie z uprawnieniami; testy panelu.</t>
        </is>
      </c>
      <c r="O82" s="11" t="inlineStr">
        <is>
          <t>Decyzja właściciela 2026-10-08: po rdzeniu, w trakcie bety. API już to obsługuje dla staff z SUBSCRIPTIONS_MANAGE (subscriptions.admin.controller.ts: usage, hosting-backups, hosting-restore, internal-migration, migrations) — brakuje UI w panelu staff. | 2026-10-08 KOD (pakiet obsługi): karta usługi w staff — zasoby, kopie z odtwarzaniem (powód operatora w dzienniku, nie u klienta), migracja wewnętrzna tylko na aktywny inny węzeł (drugi wniosek → 409), historia migracji; odczyt listy kopii w dzienniku. Testy D2. Zostaje: D3 — odtworzenie kopii i migracja wewnętrzna konta testowego na t1.</t>
        </is>
      </c>
      <c r="P82" s="10" t="inlineStr">
        <is>
          <t>do zrobienia</t>
        </is>
      </c>
    </row>
    <row r="83">
      <c r="A83" s="10" t="inlineStr">
        <is>
          <t>PB-45</t>
        </is>
      </c>
      <c r="B83" s="11" t="inlineStr">
        <is>
          <t>Obsługa: migracja w imieniu klienta z jego zgodą</t>
        </is>
      </c>
      <c r="C83" s="10" t="inlineStr">
        <is>
          <t>poza audytem</t>
        </is>
      </c>
      <c r="D83" s="10" t="inlineStr">
        <is>
          <t>Praca spoza audytu</t>
        </is>
      </c>
      <c r="E83" s="10" t="inlineStr">
        <is>
          <t>ŚREDNI</t>
        </is>
      </c>
      <c r="F83" s="10" t="n">
        <v>16</v>
      </c>
      <c r="G83" s="10" t="n">
        <v>14</v>
      </c>
      <c r="H83" s="10" t="inlineStr">
        <is>
          <t>Faza 2 — Odzyskanie funkcji-widm i luki pierwszego tygodnia</t>
        </is>
      </c>
      <c r="I83" s="10" t="inlineStr">
        <is>
          <t>2026-10-19</t>
        </is>
      </c>
      <c r="J83" s="10" t="inlineStr">
        <is>
          <t>2026-10-23</t>
        </is>
      </c>
      <c r="K83" s="10" t="inlineStr">
        <is>
          <t>—</t>
        </is>
      </c>
      <c r="L83" s="11" t="inlineStr">
        <is>
          <t>—</t>
        </is>
      </c>
      <c r="M83" s="11" t="inlineStr">
        <is>
          <t>—</t>
        </is>
      </c>
      <c r="N83" s="11" t="inlineStr">
        <is>
          <t>Staff zakłada migrację za klienta, klient dostaje prośbę o zgodę, start po zgodzie; bez zgody — nic nie rusza i dane źródła są usuwane po terminie; testy na PostgreSQL.</t>
        </is>
      </c>
      <c r="O83" s="11" t="inlineStr">
        <is>
          <t>Decyzja właściciela 2026-10-08: staff wypełnia kreator migracji za klienta (np. z danych ze zgłoszenia), migracja startuje dopiero po kliknięciu przez klienta „Zgadzam się” (upoważnienie RODO/DPA) w mailu lub panelu; do tego czasu dane źródła zaszyfrowane, link wygasa. W trakcie bety. | 2026-10-08 KOD (pakiet obsługi): obsługa zakłada migrację za klienta (staff/migrations/za-klienta, MIGRATIONS_MANAGE), start dopiero po zgodzie WŁAŚCICIELA — zgoda w sesji „Zaloguj jako klient” odrzucana (krytyczna luka z przeglądu, test na PostgreSQL), link z maila działa bez sesji (powrót na stronę zgody), jedna oczekująca prośba, etykiety zdarzeń zgody. Testy D2. Zostaje: D3 — migracja za d3 z Pleska właściciela, zgoda z maila. | 2026-10-09 KOD (ADMIN-MIGR): „Migracja za klienta” także w panelu admina — przycisk na karcie usługi (tylko z MIGRATIONS_MANAGE), formularz jak w obsłudze, w szczegółach migracji stan prośby o zgodę (oczekuje/zgoda/odmowa/wygasło/anulowana przez zespół — wspólna funkcja stanProsbyZgody dla obu paneli) i „Wycofaj prośbę i usuń dane”. Testy D2.</t>
        </is>
      </c>
      <c r="P83" s="10" t="inlineStr">
        <is>
          <t>do zrobienia</t>
        </is>
      </c>
    </row>
    <row r="84">
      <c r="A84" s="10" t="inlineStr">
        <is>
          <t>PB-46</t>
        </is>
      </c>
      <c r="B84" s="11" t="inlineStr">
        <is>
          <t>Obsługa: spójna karta klienta w staff i admin</t>
        </is>
      </c>
      <c r="C84" s="10" t="inlineStr">
        <is>
          <t>poza audytem</t>
        </is>
      </c>
      <c r="D84" s="10" t="inlineStr">
        <is>
          <t>Praca spoza audytu</t>
        </is>
      </c>
      <c r="E84" s="10" t="inlineStr">
        <is>
          <t>ŚREDNI</t>
        </is>
      </c>
      <c r="F84" s="10" t="n">
        <v>8</v>
      </c>
      <c r="G84" s="10" t="n">
        <v>14</v>
      </c>
      <c r="H84" s="10" t="inlineStr">
        <is>
          <t>Faza 2 — Odzyskanie funkcji-widm i luki pierwszego tygodnia</t>
        </is>
      </c>
      <c r="I84" s="10" t="inlineStr">
        <is>
          <t>2026-10-19</t>
        </is>
      </c>
      <c r="J84" s="10" t="inlineStr">
        <is>
          <t>2026-10-23</t>
        </is>
      </c>
      <c r="K84" s="10" t="inlineStr">
        <is>
          <t>—</t>
        </is>
      </c>
      <c r="L84" s="11" t="inlineStr">
        <is>
          <t>—</t>
        </is>
      </c>
      <c r="M84" s="11" t="inlineStr">
        <is>
          <t>—</t>
        </is>
      </c>
      <c r="N84" s="11" t="inlineStr">
        <is>
          <t>Obie karty klienta mają te same sekcje (różnią się tylko uprawnieniami); testy panelu.</t>
        </is>
      </c>
      <c r="O84" s="11" t="inlineStr">
        <is>
          <t>Decyzja właściciela 2026-10-08: notatka wewnętrzna w staff, diagnostyka DNS/TLS i ryzyko klienta w admin, operacje wrażliwe w staff według uprawnień, ta sama kolejność sekcji. W trakcie bety. | 2026-10-08 DECYZJE WŁAŚCICIELA po przeglądzie: (1) STAFF nie może przez PATCH admin/users/:id/operational ustawić isInternal („konto wewnętrzne”, wyłącza z MRR i churnu) — blokada w API; zamiast tego wniosek do uprawnionych (PB-48) i osobne uprawnienie w rolach (PB-47). (2) Każde otwarcie karty klienta przez operatora (profil 360°, z notatką) zapisuje się w dzienniku. | 2026-10-08 KOD (pakiet obsługi): ta sama karta klienta w staff i admin (zakładki i sekcje, różnice tylko wg uprawnień), notatka wewnętrzna (podgląd CUSTOMERS_VIEW, zapis CUSTOMERS_MANAGE), blokada logowania, formularz admina zapisuje tylko zmienione pola. Decyzje 08.10: flaga „konto wewnętrzne” wg PB-47/PB-48; każde otwarcie karty przez operatora w dzienniku (OPERATOR_CUSTOMER_CARD_VIEWED z zakładką; zakładka „Dziennik” na karcie ich nie liczy). Testy D2. Zostaje: D3 — otwarcie karty o05 w staff → wpis w dzienniku.</t>
        </is>
      </c>
      <c r="P84" s="10" t="inlineStr">
        <is>
          <t>do zrobienia</t>
        </is>
      </c>
    </row>
    <row r="85">
      <c r="A85" s="10" t="inlineStr">
        <is>
          <t>PB-47</t>
        </is>
      </c>
      <c r="B85" s="11" t="inlineStr">
        <is>
          <t>Role pracowników: szczeble L1–L4 i role funkcyjne z uprawnieniami</t>
        </is>
      </c>
      <c r="C85" s="10" t="inlineStr">
        <is>
          <t>poza audytem</t>
        </is>
      </c>
      <c r="D85" s="10" t="inlineStr">
        <is>
          <t>Praca spoza audytu</t>
        </is>
      </c>
      <c r="E85" s="10" t="inlineStr">
        <is>
          <t>WYSOKI</t>
        </is>
      </c>
      <c r="F85" s="10" t="n">
        <v>14</v>
      </c>
      <c r="G85" s="10" t="n">
        <v>14</v>
      </c>
      <c r="H85" s="10" t="inlineStr">
        <is>
          <t>Faza 2 — Odzyskanie funkcji-widm i luki pierwszego tygodnia</t>
        </is>
      </c>
      <c r="I85" s="10" t="inlineStr">
        <is>
          <t>2026-10-19</t>
        </is>
      </c>
      <c r="J85" s="10" t="inlineStr">
        <is>
          <t>2026-10-23</t>
        </is>
      </c>
      <c r="K85" s="10" t="inlineStr">
        <is>
          <t>—</t>
        </is>
      </c>
      <c r="L85" s="11" t="inlineStr">
        <is>
          <t>—</t>
        </is>
      </c>
      <c r="M85" s="11" t="inlineStr">
        <is>
          <t>—</t>
        </is>
      </c>
      <c r="N85" s="11" t="inlineStr">
        <is>
          <t>Role zdefiniowane w kodzie (idempotentny seed/migracja danych) i widoczne w panelu admina przy przypisywaniu operatora; nowe uprawnienia w katalogu i na endpointach; każde uprawnienie z katalogu przypisane do co najmniej jednej roli albo jawnie „tylko administrator”; test spójności katalogu i ról.</t>
        </is>
      </c>
      <c r="O85" s="11" t="inlineStr">
        <is>
          <t>Decyzja właściciela 2026-10-08: komplet ról pracowników z uprawnieniami, przygotowany zawczasu (szczeble L1–L4 zatwierdzone + role funkcyjne będące standardem w hostingu). Katalog: apps/api/src/staff-roles/staff-permissions.catalog.ts; nowe klucze: CUSTOMERS_INTERNAL_FLAG (flaga „konto wewnętrzne”), REQUESTS_APPROVE (akceptacja wniosków, PB-48). Szczeble (każdy ma wszystko z niższego): L1 Konsultant — DASHBOARD_VIEW, CUSTOMERS_VIEW, TICKETS_VIEW, TICKETS_MANAGE, BILLING_VIEW; L2 Specjalista techniczny — + ACCOUNT_DIAGNOSTICS_VIEW, SUBSCRIPTIONS_MANAGE, MIGRATIONS_MANAGE, CUSTOMERS_IMPERSONATE, NODES_VIEW; L3 Starszy specjalista — + CUSTOMERS_MANAGE, ABUSE_MANAGE, CUSTOM_TERMS_MANAGE, PROVISIONING_MANAGE; L4 Kierownik zmiany — + BILLING_MANAGE (faktury, korekty, portfel, kredyty — decyzja 08.10: dopiero od L4), NODES_MANAGE, PLANS_MANAGE, AUDIT_VIEW, COMPLIANCE_MANAGE, CUSTOMERS_INTERNAL_FLAG, REQUESTS_APPROVE. Role funkcyjne: Finanse i księgowość — DASHBOARD_VIEW, CUSTOMERS_VIEW, BILLING_VIEW, BILLING_MANAGE, TICKETS_VIEW, TICKETS_MANAGE; Sprzedaż i partnerzy (opiekun klienta, resellerzy) — DASHBOARD_VIEW, CUSTOMERS_VIEW, BILLING_VIEW, CUSTOM_TERMS_MANAGE, PROMO_MANAGE, TICKETS_VIEW, TICKETS_MANAGE; Marketing — DASHBOARD_VIEW, PROMO_MANAGE; Nadużycia i bezpieczeństwo — CUSTOMERS_VIEW, CUSTOMERS_MANAGE, ACCOUNT_DIAGNOSTICS_VIEW, ABUSE_MANAGE, AUDIT_VIEW, NODES_VIEW, TICKETS_VIEW, TICKETS_MANAGE; Inżynier infrastruktury (NOC/DevOps) — DASHBOARD_VIEW, NODES_VIEW, NODES_MANAGE, PROVISIONING_MANAGE, MIGRATIONS_MANAGE, SUBSCRIPTIONS_MANAGE, ACCOUNT_DIAGNOSTICS_VIEW, TICKETS_VIEW; Inspektor ochrony danych (IOD) — CUSTOMERS_VIEW, COMPLIANCE_MANAGE, AUDIT_VIEW, TICKETS_VIEW, TICKETS_MANAGE; Audytor (tylko podgląd) — DASHBOARD_VIEW, CUSTOMERS_VIEW, TICKETS_VIEW, BILLING_VIEW, NODES_VIEW, AUDIT_VIEW. Tylko administrator: SETTINGS_MANAGE, STAFF_MANAGE, zmiana e-maila i reset hasła klienta, usunięcie konta (RODO), odtworzenie na innym węźle. Operator może mieć kilka ról (suma uprawnień) — jeśli model ma jedną rolę, dopisać obsługę wielu albo role złożone. | 2026-10-08 KOD (implementacja, przegląd, poprawki, scalenie z pakietem): 11 ról systemowych z opisami wgrywanych przy starcie API (role-systemowe.ts, idempotentnie), wiele ról na operatora (StaffRoleAssignment, suma uprawnień liczona w jednym miejscu), nowe klucze CUSTOMERS_INTERNAL_FLAG i REQUESTS_APPROVE, BILLING_MANAGE od L4; zmiany ról i operatorów tylko ADMIN (STAFF_MANAGE = podgląd), STAFF nie podniesie sobie uprawnień; 5 starych działów zostaje jako role własne (bez flagi systemowej). Testy D2 (spójność katalogu i ról, wyścig zmian ról na PostgreSQL). Zostaje: D3 — przypisanie L1/L2/L4 operatorowi testowemu i sprawdzenie, co widzi. | 2026-10-11 D3: L1 i L2 przypisane operatorowi testowemu na żywo — menu i odmowy zgodne z rolą (L1: bez Migracji i Nadużyć; L2: Migracje, bez Nadużyć, /abuse → brak ABUSE_MANAGE). Zostaje L3/L4 na żywo oraz decyzja o 5 starych rolach własnych (staff@ dalej na „Wsparcie L1” sprzed PB-47, szerszej niż L1). | 2026-10-11 DECYZJA WŁAŚCICIELA: staff@ → systemowa „L1 Konsultant”, 5 starych ról własnych usunąć.</t>
        </is>
      </c>
      <c r="P85" s="10" t="inlineStr">
        <is>
          <t>do zrobienia</t>
        </is>
      </c>
    </row>
    <row r="86">
      <c r="A86" s="10" t="inlineStr">
        <is>
          <t>PB-48</t>
        </is>
      </c>
      <c r="B86" s="11" t="inlineStr">
        <is>
          <t>Wnioski o operację wymagającą wyższego uprawnienia</t>
        </is>
      </c>
      <c r="C86" s="10" t="inlineStr">
        <is>
          <t>poza audytem</t>
        </is>
      </c>
      <c r="D86" s="10" t="inlineStr">
        <is>
          <t>Praca spoza audytu</t>
        </is>
      </c>
      <c r="E86" s="10" t="inlineStr">
        <is>
          <t>ŚREDNI</t>
        </is>
      </c>
      <c r="F86" s="10" t="n">
        <v>16</v>
      </c>
      <c r="G86" s="10" t="n">
        <v>14</v>
      </c>
      <c r="H86" s="10" t="inlineStr">
        <is>
          <t>Faza 2 — Odzyskanie funkcji-widm i luki pierwszego tygodnia</t>
        </is>
      </c>
      <c r="I86" s="10" t="inlineStr">
        <is>
          <t>2026-10-19</t>
        </is>
      </c>
      <c r="J86" s="10" t="inlineStr">
        <is>
          <t>2026-10-23</t>
        </is>
      </c>
      <c r="K86" s="10" t="inlineStr">
        <is>
          <t>—</t>
        </is>
      </c>
      <c r="L86" s="11" t="inlineStr">
        <is>
          <t>—</t>
        </is>
      </c>
      <c r="M86" s="11" t="inlineStr">
        <is>
          <t>—</t>
        </is>
      </c>
      <c r="N86" s="11" t="inlineStr">
        <is>
          <t>Wniosek z panelu staff, powiadomienie dla uprawnionych, akceptacja wykonuje operację, odrzucenie z powodem; wszystko w dzienniku; testy na PostgreSQL.</t>
        </is>
      </c>
      <c r="O86" s="11" t="inlineStr">
        <is>
          <t>Decyzja właściciela 2026-10-08: gdy pracownik nie ma uprawnienia do operacji (np. oznaczenie konta jako wewnętrzne), zamiast ukrytego przycisku widzi „Wyślij wniosek” — trafia do admina albo pracownika z uprawnieniem (L3/L4), który akceptuje (operacja wykonuje się z jego uprawnieniem i oboma nazwiskami w dzienniku) albo odrzuca z powodem. | 2026-10-08 KOD (implementacja, przegląd, poprawki, scalenie): model OperatorRequest, rejestr operacji — CUSTOMER_INTERNAL_FLAG, WALLET_CREDIT, INVOICE_VOID (korekta faktury, kredyt SLA i zwrot Paynow świadomie poza zakresem — do decyzji); 403 WYMAGA_WNIOSKU → „Wyślij wniosek”; akceptacja atomowa (podwójna = jedno wykonanie), bez akceptacji własnego wniosku, duplikat oczekującego → 409, odrzucenie z powodem; powiadomienia uprawnionych; dziennik z wnioskującym i akceptującym; strony „Wnioski” w staff i admin. Testy D2. Zostaje: D3 — L1 wysyła wniosek o konto wewnętrzne, L4 akceptuje, wpisy w dzienniku.</t>
        </is>
      </c>
      <c r="P86" s="10" t="inlineStr">
        <is>
          <t>do zrobienia</t>
        </is>
      </c>
    </row>
    <row r="87">
      <c r="A87" s="10" t="inlineStr">
        <is>
          <t>PB-51</t>
        </is>
      </c>
      <c r="B87" s="11" t="inlineStr">
        <is>
          <t>Fala 2 audytu paneli operatora (w becie wewnętrznej)</t>
        </is>
      </c>
      <c r="C87" s="10" t="inlineStr">
        <is>
          <t>poza audytem</t>
        </is>
      </c>
      <c r="D87" s="10" t="inlineStr">
        <is>
          <t>Praca spoza audytu</t>
        </is>
      </c>
      <c r="E87" s="10" t="inlineStr">
        <is>
          <t>WYSOKI</t>
        </is>
      </c>
      <c r="F87" s="10" t="n">
        <v>134</v>
      </c>
      <c r="G87" s="10" t="n">
        <v>14</v>
      </c>
      <c r="H87" s="10" t="inlineStr">
        <is>
          <t>Faza 2 — Odzyskanie funkcji-widm i luki pierwszego tygodnia</t>
        </is>
      </c>
      <c r="I87" s="10" t="inlineStr">
        <is>
          <t>2026-10-19</t>
        </is>
      </c>
      <c r="J87" s="10" t="inlineStr">
        <is>
          <t>2026-10-23</t>
        </is>
      </c>
      <c r="K87" s="10" t="inlineStr">
        <is>
          <t>—</t>
        </is>
      </c>
      <c r="L87" s="11" t="inlineStr">
        <is>
          <t>—</t>
        </is>
      </c>
      <c r="M87" s="11" t="inlineStr">
        <is>
          <t>—</t>
        </is>
      </c>
      <c r="N87" s="11" t="inlineStr">
        <is>
          <t>F2.1–F2.8 wdrożone z testami; test e2e L1–L4 × pozycje menu; test, że notatka wewnętrzna nie wycieka do klienta żadną ścieżką (API klienta, mail, auto-wiadomości, kontekst AI); przejście ról L1–L4 na żywo przez przełączenie roli konta staff (D3); poprawki z D3 10.10 zamknięte.</t>
        </is>
      </c>
      <c r="O87" s="11" t="inlineStr">
        <is>
          <t>Plan rozbudowy paneli operatora, Fala 2 (19.10–6.11), w tej kolejności: F2.1 jeden panel operatora dla STAFF (decyzja D1, 14 h); F2.2 pasek akcji konta bez impersonacji — reset haseł skrzynki, FTP i użytkownika bazy, SSL, PHP, kopia teraz, skan malware, DNS (24 h; operator nie widzi hasła — decyzja D3); F2.3 zawieszenie przez obsługę i decyzja abuse → akcja (6 h); F2.4 listy i CRM — filtry, stronicowanie w API, CSV, wiele notatek z autorem, członkowie zespołu klienta (14 h); F2.5 helpdesk, rdzeń — notatki wewnętrzne, zgłoszenie w imieniu klienta, skrzynka ze stronicowaniem w API, tagi, eskalacja z powodem i cofnięciem (30 h); F2.6 zasoby i diagnoza „508” — faulty LVE, EP, NPROC, inody, wolne SQL i 5xx obok siebie (14 h); F2.7 domeny — lista i karta z operacjami (20 h; decyzja D8); F2.8 stan 61 harmonogramów (12 h). Decyzje z 10.10 dołożone do Fali 2: D9 (L1 widzi maile i logowania klienta), D10 (przełącznik wymuszenia 2FA zespołu), D11 (tablica migracji wg wzorca z Jiry), D12 (captcha w frame-src, sonda DNS rebinding vs control-plane, ukryć „Zmiana planu”, CSP z nonce na www — SEC-11). Poprawki z D3 10.10: Markdown w /knowledge obsługi, reset hasła w adminie pokazuje operatorowi hasło (N-18). Stan 10.10: Fala 2A (panel operatora + D9/D10, zawieszenie/abuse, listy i CRM, D12 + CSP www, stan harmonogramów) w realizacji; Fala 2B (akcje konta, helpdesk, diagnoza 508, domeny, tablica migracji) po niej. Blokada wysyłki i kolejka MTA wydzielone do PB-52. Prognoza pokrycia standardu po Fali 2: ~57%. | 2026-10-10 (przegląd): 134 h to wyłącznie F2.1–F2.8 z planu rozbudowy. Dołożone decyzje D9–D12 (bez CSP na www, które liczy SEC-11 w sprincie 16), tablica migracji D11 (w planie jako rozszerzenie F2.5) i poprawki z D3 10.10 nie mają osobnej wyceny — realny nakład Fali 2 jest wyższy niż 134 h, a przeciążenie sprintu 14 policzone w sprinty.csv jest dolną granicą.</t>
        </is>
      </c>
      <c r="P87" s="10" t="inlineStr">
        <is>
          <t>do zrobienia</t>
        </is>
      </c>
    </row>
    <row r="88">
      <c r="A88" s="10" t="inlineStr">
        <is>
          <t>X-41</t>
        </is>
      </c>
      <c r="B88" s="11" t="inlineStr">
        <is>
          <t>Hardening egressu wisi w łańcuchu OUTPUT, a ruch kontenerów idzie przez FORWARD</t>
        </is>
      </c>
      <c r="C88" s="10" t="inlineStr">
        <is>
          <t>audyt</t>
        </is>
      </c>
      <c r="D88" s="10" t="inlineStr">
        <is>
          <t>X — Infrastruktura jakości</t>
        </is>
      </c>
      <c r="E88" s="10" t="inlineStr">
        <is>
          <t>WYSOKA</t>
        </is>
      </c>
      <c r="F88" s="10" t="n">
        <v>16</v>
      </c>
      <c r="G88" s="10" t="n">
        <v>15</v>
      </c>
      <c r="H88" s="10" t="inlineStr">
        <is>
          <t>Faza 3 — Wejście na rynek</t>
        </is>
      </c>
      <c r="I88" s="10" t="inlineStr">
        <is>
          <t>2026-10-05</t>
        </is>
      </c>
      <c r="J88" s="10" t="inlineStr">
        <is>
          <t>2026-10-09</t>
        </is>
      </c>
      <c r="K88" s="10" t="inlineStr">
        <is>
          <t>CZĘŚCIOWE</t>
        </is>
      </c>
      <c r="L88" s="11" t="inlineStr">
        <is>
          <t>obserwacja wpięta w DOCKER-USER, 1674 pakiety zliczone, 0 DROP/REJECT</t>
        </is>
      </c>
      <c r="M88" s="11" t="inlineStr">
        <is>
          <t>—</t>
        </is>
      </c>
      <c r="N88" s="11" t="inlineStr">
        <is>
          <t>Ograniczenie opisane w uwagach macierzy zniknęło; test potwierdza zachowanie także w scenariuszu awaryjnym.</t>
        </is>
      </c>
      <c r="O88" s="11" t="inlineStr">
        <is>
          <t>Przepisane do macierzy 2026-08-28 w ramach X-49 — pozycja powstala 2026-08-25 i do tego dnia istniala WYLACZNIE w dashboardzie, poza zasiegiem straznikow repozytorium. Obszar: egress / firewall. Krytycznosc i naklad zostaly puste SWIADOMIE: dashboard ich nie niosl, a wpisanie ich teraz byloby zgadywaniem. Do uzupelnienia przy najblizszym przegladzie tej pozycji. | TRESC ZE ZRODLA: Cały hardening egressu wisi w łańcuchu OUTPUT. Ruch kontenerów idzie przez FORWARD → DOCKER-USER, więc egress całego produktu był poza zasięgiem zabezpieczenia, które wyglądało, jakby go obejmowało. | WYCENA 2026-09-19: krytycznosc i naklad uzupelnione przy wznowieniu. Pozycje przepisane 2026-08-28 w ramach X-49 zostaly bez wyceny, przez co nie liczyly sie do budzetu godzin i nie stały w zadnym sprincie. Podstawa wyceny: Obserwacja w DOCKER-USER juz stoi (1674 pakiety, 0 DROP). Zostaje egzekwowanie: przeniesienie regul z OUTPUT do FORWARD/DOCKER-USER razem z SEC-01. | 2026-09-28: sieć danych (verris_internal) internal:true — Postgres, Valkey, MinIO, Loki, eksportery, Alloy bez internetu; API/www wychodzą przez verris_public (dotąd trasa domyślna szła przez sieć danych). Przejście: prod-siec-danych-izolacja.sh (93e0b8d, test na replice stosu). Allowlista domen dla API odrzucona: migrator, monitoring i webhooki łączą się z dowolnymi hostami klientów. | 2026-09-28 D3 NA PRODUKCJI (08:47): verris_internal internal=true; z kontenera API postgres/redis/minio → 172.18.x (sieć danych), API → api.stripe.com 200, postgres → 1.1.1.1:443 brak połączenia. Incydent przy przejściu: Compose zgubił aliasy usług (EAI_AGAIN) i nieudany minio-bootstrap zatrzymał API — ok. 10 min bez API (08:35–08:45); naprawione przepięciem z --alias, skrypt poprawiony (64409dc). | 2026-10-06 pomiar kontenerów 13 dni: cele dowolne (sprawdzanie stron klientów, webhooki, Stripe, API zewnętrzne) — allowlisty dla kontenerów nie będzie; zostaje: sieć wewnętrzna danych, REJECT metadanych chmury, obserwacja DOCKER-USER. Brakuje IOC i anty-skanu w DOCKER-USER. | 2026-10-07 KOD: etap 2 — IOC (ta sama lista co host), limit SMTP i anty-skan per kontener w DOCKER-USER (łańcuch VERRIS_FWD_EGZEKW), tryb pomiaru ≥48 h przed egzekwowaniem, odtwarzanie po restarcie przez verris-egress.service (7391db8). Czeka na --kontenery-pomiar na Panelu.</t>
        </is>
      </c>
      <c r="P88" s="10" t="inlineStr">
        <is>
          <t>do zrobienia</t>
        </is>
      </c>
    </row>
    <row r="89">
      <c r="A89" s="10" t="inlineStr">
        <is>
          <t>SEC-03</t>
        </is>
      </c>
      <c r="B89" s="11" t="inlineStr">
        <is>
          <t>Ruch poza TCP/80 i TCP/443 — DNS (UDP/53), SMTP — nie jest objęty ani obserwacją z X-41, ani trybem strict</t>
        </is>
      </c>
      <c r="C89" s="10" t="inlineStr">
        <is>
          <t>audyt</t>
        </is>
      </c>
      <c r="D89" s="10" t="inlineStr">
        <is>
          <t>G — SSL i bezpieczeństwo</t>
        </is>
      </c>
      <c r="E89" s="10" t="inlineStr">
        <is>
          <t>WYSOKA</t>
        </is>
      </c>
      <c r="F89" s="10" t="n">
        <v>16</v>
      </c>
      <c r="G89" s="10" t="n">
        <v>15</v>
      </c>
      <c r="H89" s="10" t="inlineStr">
        <is>
          <t>Faza 3 — Wejście na rynek</t>
        </is>
      </c>
      <c r="I89" s="10" t="inlineStr">
        <is>
          <t>2026-10-05</t>
        </is>
      </c>
      <c r="J89" s="10" t="inlineStr">
        <is>
          <t>2026-10-09</t>
        </is>
      </c>
      <c r="K89" s="10" t="inlineStr">
        <is>
          <t>DZIAŁA</t>
        </is>
      </c>
      <c r="L89" s="11" t="inlineStr">
        <is>
          <t>ops/scripts/security-control-plane-egress.sh — zbuduj_zbior_z_pliku (verris_egress_dns / verris_egress_smtp z ops/etc/verris/security/egress-allow-{dns,smtp}.txt), apply_strict_allowlist: DROP dla NOWYCH 53 udp/tcp i 25/465/587 poza listą, warunek wstępny strict obejmuje DNS i SMTP; test D2 egress-strict-naprawde-blokuje.spec.ts (SEC-03)</t>
        </is>
      </c>
      <c r="M89" s="11" t="inlineStr">
        <is>
          <t>—</t>
        </is>
      </c>
      <c r="N89" s="11" t="inlineStr">
        <is>
          <t>Funkcja dostępna z panelu klienta bez wychodzenia do DirectAdmina; test uruchamiany w CI.</t>
        </is>
      </c>
      <c r="O89" s="11" t="inlineStr">
        <is>
          <t>Przepisane do macierzy 2026-08-28 w ramach X-49 — pozycja powstala 2026-08-26 i do tego dnia istniala WYLACZNIE w dashboardzie, poza zasiegiem straznikow repozytorium. Obszar: egress. Krytycznosc i naklad zostaly puste SWIADOMIE: dashboard ich nie niosl, a wpisanie ich teraz byloby zgadywaniem. Do uzupelnienia przy najblizszym przegladzie tej pozycji. | TRESC ZE ZRODLA: Ruch poza TCP/80 i TCP/443 — DNS (UDP/53), SMTP — nie jest objęty ani obserwacją z X-41, ani trybem strict. | WYCENA 2026-09-19: krytycznosc i naklad uzupelnione przy wznowieniu. Pozycje przepisane 2026-08-28 w ramach X-49 zostaly bez wyceny, przez co nie liczyly sie do budzetu godzin i nie stały w zadnym sprincie. Podstawa wyceny: Rozszerzenie obserwacji i trybu strict na UDP/53 i SMTP — nowe lancuchy, nowe zbiory, nowy zakres testu. | 2026-09-23: host (OUTPUT) — pomiar obejmuje każdy port od SEC-05; strict rozszerzony o DNS (resolwery Hetznera 185.12.64.1/2) i SMTP (przekaźnik poznan.hvln.pl) na podstawie --pomiar z 2026-09-23. Pomiar liczy już tylko TCP SYN (skaner SSH wyglądał jak ruch wychodzący). Zostaje: włączenie strict na prod (nie przed 2026-09-29) = D3; kontenery (FORWARD) — w X-41. | 2026-09-28: resolwery IPv6 Hetznera w liście DNS; pomiar DNS-KTO: zapytania wysyła tylko rspamd do 127.0.0.53 — wyjątek po właścicielu niepotrzebny (plik pusty) — 94cfe2c. | 2026-10-06 D3 NA PRODUKCJI (Panel, 20:16–20:21 UTC): --pomiar (host 14 d, IPv6 8 d, kontenery 13 d) → --wymus-strict po przypisaniu każdego celu NIE nazwie z allowlisty (CloudFront 2600:9000:… = download.docker.com, AWS 2600:1f18:2148:bc0x = registry-1.docker.io). Po włączeniu: apt-get update OK, ghcr 401, api.github.com 200; docker pull odcięty (VERRIS-STRICT-DROP 3.171.139.x — warstwy z production.cloudfront.docker.com) → nazwa dopisana (a57c688), --odswiez dopisał 12 adresów, docker pull OK, 0 DROP w 2 min. Strict hosta obejmuje DNS (verris_egress_dns/dns6) i SMTP (verris_egress_smtp/smtp6). Część kontenerów — X-41. Zamknięte 2026-10-06.</t>
        </is>
      </c>
      <c r="P89" s="10" t="inlineStr">
        <is>
          <t>do zrobienia</t>
        </is>
      </c>
    </row>
    <row r="90">
      <c r="A90" s="10" t="inlineStr">
        <is>
          <t>PB-22</t>
        </is>
      </c>
      <c r="B90" s="11" t="inlineStr">
        <is>
          <t>Badge na stronę v2 — interaktywne i użyteczne dla klienta</t>
        </is>
      </c>
      <c r="C90" s="10" t="inlineStr">
        <is>
          <t>poza audytem</t>
        </is>
      </c>
      <c r="D90" s="10" t="inlineStr">
        <is>
          <t>Praca spoza audytu</t>
        </is>
      </c>
      <c r="E90" s="10" t="inlineStr">
        <is>
          <t>ŚREDNI</t>
        </is>
      </c>
      <c r="F90" s="10" t="n">
        <v>20</v>
      </c>
      <c r="G90" s="10" t="n">
        <v>15</v>
      </c>
      <c r="H90" s="10" t="inlineStr">
        <is>
          <t>Faza 3 — Wejście na rynek</t>
        </is>
      </c>
      <c r="I90" s="10" t="inlineStr">
        <is>
          <t>2026-10-05</t>
        </is>
      </c>
      <c r="J90" s="10" t="inlineStr">
        <is>
          <t>2026-10-09</t>
        </is>
      </c>
      <c r="K90" s="10" t="inlineStr">
        <is>
          <t>—</t>
        </is>
      </c>
      <c r="L90" s="11" t="inlineStr">
        <is>
          <t>—</t>
        </is>
      </c>
      <c r="M90" s="11" t="inlineStr">
        <is>
          <t>—</t>
        </is>
      </c>
      <c r="N90" s="11" t="inlineStr">
        <is>
          <t>Badge widoczne na prod na domenie klienta; pieczęć znika przy niespełnionych warunkach; kliknięcia polecenia liczone; testy D2 zielone.</t>
        </is>
      </c>
      <c r="O90" s="11" t="inlineStr">
        <is>
          <t>Zgłoszenie właściciela 2026-09-23: stare badge wyglądały źle i nic nie robiły (uptime pokazywał stan węzła, embed EKO blokowany przez X-Frame-Options/CORP). Nowy zestaw wg makiet: pieczęć zaufania (SSL, dostępność 30 dni, dane w UE, weryfikacja), dostępność na żywo z monitora strony, polecenie z prowizją (program partnerski), EKO SVG. Zakładka „Badge na stronę” w usłudze.</t>
        </is>
      </c>
      <c r="P90" s="10" t="inlineStr">
        <is>
          <t>do zrobienia</t>
        </is>
      </c>
    </row>
    <row r="91">
      <c r="A91" s="10" t="inlineStr">
        <is>
          <t>PB-49</t>
        </is>
      </c>
      <c r="B91" s="11" t="inlineStr">
        <is>
          <t>Porządki panelu admina (12 patchy)</t>
        </is>
      </c>
      <c r="C91" s="10" t="inlineStr">
        <is>
          <t>poza audytem</t>
        </is>
      </c>
      <c r="D91" s="10" t="inlineStr">
        <is>
          <t>Praca spoza audytu</t>
        </is>
      </c>
      <c r="E91" s="10" t="inlineStr">
        <is>
          <t>WYSOKI</t>
        </is>
      </c>
      <c r="F91" s="10" t="n">
        <v>88</v>
      </c>
      <c r="G91" s="10" t="n">
        <v>15</v>
      </c>
      <c r="H91" s="10" t="inlineStr">
        <is>
          <t>Faza 3 — Wejście na rynek</t>
        </is>
      </c>
      <c r="I91" s="10" t="inlineStr">
        <is>
          <t>2026-10-05</t>
        </is>
      </c>
      <c r="J91" s="10" t="inlineStr">
        <is>
          <t>2026-10-09</t>
        </is>
      </c>
      <c r="K91" s="10" t="inlineStr">
        <is>
          <t>—</t>
        </is>
      </c>
      <c r="L91" s="11" t="inlineStr">
        <is>
          <t>—</t>
        </is>
      </c>
      <c r="M91" s="11" t="inlineStr">
        <is>
          <t>—</t>
        </is>
      </c>
      <c r="N91" s="11" t="inlineStr">
        <is>
          <t>12 patchy wdrożonych na produkcji; bramki (lint, typecheck, testy admina, obsługi, klienta i API) i integracja API zielone; przejście na produkcji przez VPN: karta węzła t1 z Działaniami, karta klienta, Cmd+K.</t>
        </is>
      </c>
      <c r="O91" s="11" t="inlineStr">
        <is>
          <t>Plan z audytu nawigacji admina (10.10, claude/admin-nawigacja-propozycja.md) zaakceptowany przez właściciela 10.10 razem z decyzjami: Cmd+K prowadzi do karty, akcja bez uprawnień jest wyszarzona i ma „Wyślij wniosek”, asystent dostaje słownik i wybrane runbooki, kreator służy tylko do nowego węzła. Zakres: menu w 7 grupach; karty węzła, usługi i klienta z sekcją „Działania” z rejestru akcji (lib/akcje/*.ts) i ikonkami „?”; Cmd+K (węzły, zgłoszenia, migracje; tryb obiekt → działanie); pływający asystent STAFF z kontekstem strony; strona faktury /invoices/[id] (PDF, korekta, anulowanie, ponowienie KSeF, płatności); karta operatora i „Twoje konto” (2FA, passkey, break-glass); kopie offsite w Ustawieniach; kreator nie miesza węzłów; uprawnienia fail-closed. 25 commitów, 135 plików, bez migracji bazy; każdy pakiet przejrzany adwersaryjnie (m.in. akceptacja węzła w kreatorze tylko dla admina, potwierdzenie wycofania węzła, runbooki poza bazą wiedzy klienta). Godziny: szacunek z rozmiarów 12 patchy w propozycji (S≈4, S–M≈6, M≈12 h), nie pomiar. Wdrożone 10.10 ok. 12:30. D3 10.10 ok. 13:00: karta węzła t1 (Działania, prognoza, gotowość: onboard 10.10 00:02, offsite 10.10 03:51) działa. ŚWIADOMIE ZOSTAJE: akcje węzła bez „Wyślij wniosek” (rejestr wniosków zna tylko operacje klienta i finansów).</t>
        </is>
      </c>
      <c r="P91" s="10" t="inlineStr">
        <is>
          <t>do zrobienia</t>
        </is>
      </c>
    </row>
    <row r="92">
      <c r="A92" s="10" t="inlineStr">
        <is>
          <t>PB-50</t>
        </is>
      </c>
      <c r="B92" s="11" t="inlineStr">
        <is>
          <t>Fala 1 audytu paneli operatora (1A + 1B)</t>
        </is>
      </c>
      <c r="C92" s="10" t="inlineStr">
        <is>
          <t>poza audytem</t>
        </is>
      </c>
      <c r="D92" s="10" t="inlineStr">
        <is>
          <t>Praca spoza audytu</t>
        </is>
      </c>
      <c r="E92" s="10" t="inlineStr">
        <is>
          <t>WYSOKI</t>
        </is>
      </c>
      <c r="F92" s="10" t="n">
        <v>39</v>
      </c>
      <c r="G92" s="10" t="n">
        <v>15</v>
      </c>
      <c r="H92" s="10" t="inlineStr">
        <is>
          <t>Faza 3 — Wejście na rynek</t>
        </is>
      </c>
      <c r="I92" s="10" t="inlineStr">
        <is>
          <t>2026-10-05</t>
        </is>
      </c>
      <c r="J92" s="10" t="inlineStr">
        <is>
          <t>2026-10-09</t>
        </is>
      </c>
      <c r="K92" s="10" t="inlineStr">
        <is>
          <t>—</t>
        </is>
      </c>
      <c r="L92" s="11" t="inlineStr">
        <is>
          <t>—</t>
        </is>
      </c>
      <c r="M92" s="11" t="inlineStr">
        <is>
          <t>—</t>
        </is>
      </c>
      <c r="N92" s="11" t="inlineStr">
        <is>
          <t>Blokery operatora B1 i B2 zamknięte testem; pozycje 3a–3d planu rozbudowy wdrożone (poz. 16 skorygowana); bramki i integracja zielone; przejście na produkcji przez VPN.</t>
        </is>
      </c>
      <c r="O92" s="11" t="inlineStr">
        <is>
          <t>Audyt paneli operatora z 10.10 (VERRIS_AUDYT_PANELI_OPERATORA_2026-10-10, claude/audyt-paneli-operatora.md): wobec WHMCS, Blesta, HostBill, Upmind, WHM, Plesk, DirectAdmin i helpdesków pokrycie standardu rynku 41%, plan trzech fal ~397 h → ~75%. Fala 1 przed betą wewnętrzną. 1A (11 commitów): B1 kody promocyjne PATCH + „Wyłącz”/„Edytuj” (M-23), B2 zapis bazy wiedzy tylko z KB_MANAGE (N-04), menu obsługi wg uprawnień (fail-closed), martwe uprawnienia AUDIT_VIEW, COMPLIANCE_MANAGE i PLANS_MANAGE podpięte (O-10), /knowledge w obsłudze pokazuje artykuły, „Zaloguj jako klient” tylko z uprawnieniem (A-28), RBL przy timeoucie „nieznany” + alert, bez SORBS (E-18). 1B (26 commitów): karta klienta — Komunikacja (maile z maskowaniem tokenów), historia logowań, „Kto oglądał”, dane nabywcy (N-18); faktura — UPO i „Dokończ wystawienie” (M-15); Flota → Kopie z próbami odtworzenia (H-20); szczegół kampanii; zawieś/wznów skrzynkę pracownika; „Nie udało się wczytać” zamiast pustych list (X-39); menu, Cmd+K i przyciski wg uprawnień; SSO do DA z Cmd+K; stan 2FA zespołu (O-11). Korekta planu: zwalnianie kordonu zostaje tylko dla ADMIN (poz. 16 planu była błędna). Testy: bramki 15/15, integracja API 351/351. Wdrożone 10.10 ok. 12:30; D3 10.10 ok. 13:00: kody promocyjne z przyciskami, karta klienta d3 (Komunikacja, Dostępy), /knowledge (bez renderowania Markdown — poprawka w PB-51).</t>
        </is>
      </c>
      <c r="P92" s="10" t="inlineStr">
        <is>
          <t>do zrobienia</t>
        </is>
      </c>
    </row>
    <row r="93">
      <c r="A93" s="10" t="inlineStr">
        <is>
          <t>SEC-05</t>
        </is>
      </c>
      <c r="B93" s="11" t="inlineStr">
        <is>
          <t>Log egressu jest próbką, nie zapisem</t>
        </is>
      </c>
      <c r="C93" s="10" t="inlineStr">
        <is>
          <t>audyt</t>
        </is>
      </c>
      <c r="D93" s="10" t="inlineStr">
        <is>
          <t>G — SSL i bezpieczeństwo</t>
        </is>
      </c>
      <c r="E93" s="10" t="inlineStr">
        <is>
          <t>WYSOKA</t>
        </is>
      </c>
      <c r="F93" s="10" t="n">
        <v>6</v>
      </c>
      <c r="G93" s="10" t="n">
        <v>16</v>
      </c>
      <c r="H93" s="10" t="inlineStr">
        <is>
          <t>Faza 3 — Wejście na rynek</t>
        </is>
      </c>
      <c r="I93" s="10" t="inlineStr">
        <is>
          <t>2026-10-12</t>
        </is>
      </c>
      <c r="J93" s="10" t="inlineStr">
        <is>
          <t>2026-10-16</t>
        </is>
      </c>
      <c r="K93" s="10" t="inlineStr">
        <is>
          <t>DZIAŁA</t>
        </is>
      </c>
      <c r="L93" s="11" t="inlineStr">
        <is>
          <t>ops/scripts/security-control-plane-egress.sh — apply_egress_seen: lancuch VERRIS_EGRESS_SEEN (pierwszy w OUTPUT) dopisuje KAZDE nowe polaczenie TCP/UDP do ipset verris_egress_seen (hash:ip,port, okno 7 dni, bez -m limit); apply_forward_observe — to samo dla kontenerow (verris_egress_seen_fwd); --pomiar — raport z ipset z flaga allowlisty; test apps/api/src/test/egress-strict-naprawde-blokuje.spec.ts</t>
        </is>
      </c>
      <c r="M93" s="11" t="inlineStr">
        <is>
          <t>—</t>
        </is>
      </c>
      <c r="N93" s="11" t="inlineStr">
        <is>
          <t>Funkcja dostępna z panelu klienta bez wychodzenia do DirectAdmina; test uruchamiany w CI.</t>
        </is>
      </c>
      <c r="O93" s="11" t="inlineStr">
        <is>
          <t>Przepisane do macierzy 2026-08-28 w ramach X-49 — pozycja powstala 2026-08-26 i do tego dnia istniala WYLACZNIE w dashboardzie, poza zasiegiem straznikow repozytorium. Obszar: obserwowalność. Krytycznosc i naklad zostaly puste SWIADOMIE: dashboard ich nie niosl, a wpisanie ich teraz byloby zgadywaniem. Do uzupelnienia przy najblizszym przegladzie tej pozycji. | TRESC ZE ZRODLA: Log egressu jest próbką, nie zapisem. Licznik iptables pokazuje ~1,81 mln pakietów przez łańcuch strict, a w journalu jest 1796 wpisów z 48 h — reguła logująca ma ogranicznik częstotliwości. Nieobecność celu w tym logu nie dowodzi, że host tam nie chodzi. Każda allowlista budowana na tym odczycie jest niepełna z definicji. | WYCENA 2026-09-19: krytycznosc i naklad uzupelnione przy wznowieniu. Pozycje przepisane 2026-08-28 w ramach X-49 zostaly bez wyceny, przez co nie liczyly sie do budzetu godzin i nie stały w zadnym sprincie. Podstawa wyceny: Zdjecie ogranicznika czestotliwosci z reguly logujacej albo przejscie na nflog z licznikami. WARUNEK WSTEPNY dla SEC-06: allowlista budowana na probce jest niepelna z definicji. | 2026-09-22 KOD (D1): zamiast zdejmowac ogranicznik z LOG (dysk/journal pod kazdym polaczeniem) — zapis celow w ipset w pamieci jadra. Obecnosc celu pewna, liczniki orientacyjne. D3: wlaczenie na control-plane (przebieg domyslny) i --pomiar po dobie. | 2026-09-22 D3: wlaczone na control-plane (09:23 UTC, przebieg domyslny po wdrozeniu 5c3fe99); --pomiar po kilku minutach pokazal pierwszy cel: 169.254.169.254,tcp:80 (metadane chmury, 2 nowe polaczenia) — cel, ktorego probkowany log nie wykazal. Pomiar kontenerow (FORWARD) wlaczy sie przy nastepnym --obserwuj-kontenery.</t>
        </is>
      </c>
      <c r="P93" s="10" t="inlineStr">
        <is>
          <t>do zrobienia</t>
        </is>
      </c>
    </row>
    <row r="94">
      <c r="A94" s="10" t="inlineStr">
        <is>
          <t>SEC-04</t>
        </is>
      </c>
      <c r="B94" s="11" t="inlineStr">
        <is>
          <t>Host rozmawia z kontenerami przez OUTPUT — ruch wewnętrzny liczony jako egress</t>
        </is>
      </c>
      <c r="C94" s="10" t="inlineStr">
        <is>
          <t>audyt</t>
        </is>
      </c>
      <c r="D94" s="10" t="inlineStr">
        <is>
          <t>G — SSL i bezpieczeństwo</t>
        </is>
      </c>
      <c r="E94" s="10" t="inlineStr">
        <is>
          <t>WYSOKA</t>
        </is>
      </c>
      <c r="F94" s="10" t="n">
        <v>6</v>
      </c>
      <c r="G94" s="10" t="n">
        <v>16</v>
      </c>
      <c r="H94" s="10" t="inlineStr">
        <is>
          <t>Faza 3 — Wejście na rynek</t>
        </is>
      </c>
      <c r="I94" s="10" t="inlineStr">
        <is>
          <t>2026-10-12</t>
        </is>
      </c>
      <c r="J94" s="10" t="inlineStr">
        <is>
          <t>2026-10-16</t>
        </is>
      </c>
      <c r="K94" s="10" t="inlineStr">
        <is>
          <t>DZIAŁA</t>
        </is>
      </c>
      <c r="L94" s="11" t="inlineStr">
        <is>
          <t>security-control-plane-egress.sh — RETURN dla -o lo/docker0/br-+ w VERRIS_EGRESS_STRICT i br-+ w VERRIS_EGRESS_BOGON przed DROP; test apps/api/src/test/egress-strict-naprawde-blokuje.spec.ts</t>
        </is>
      </c>
      <c r="M94" s="11" t="inlineStr">
        <is>
          <t>—</t>
        </is>
      </c>
      <c r="N94" s="11" t="inlineStr">
        <is>
          <t>Funkcja dostępna z panelu klienta bez wychodzenia do DirectAdmina; test uruchamiany w CI.</t>
        </is>
      </c>
      <c r="O94" s="11" t="inlineStr">
        <is>
          <t>Przepisane do macierzy 2026-08-28 w ramach X-49 — pozycja powstala 2026-08-26 i do tego dnia istniala WYLACZNIE w dashboardzie, poza zasiegiem straznikow repozytorium. Obszar: egress / firewall. Krytycznosc i naklad zostaly puste SWIADOMIE: dashboard ich nie niosl, a wpisanie ich teraz byloby zgadywaniem. Do uzupelnienia przy najblizszym przegladzie tej pozycji. | TRESC ZE ZRODLA: Host rozmawia z kontenerami przez OUTPUT. W logu egressu są wpisy `DST=172.19.0.3` na portach 443 i 80 — czyli ruch host → kontener. Reguła `DROP` trybu strict odrzuca wszystko spoza ipsetu, a adresy sieci Dockera w ipsecie nie są i być nie powinny. Włączenie strict bez wyjątku dla `172.16.0.0/12` zerwałoby to połączenie. | WYCENA 2026-09-19: krytycznosc i naklad uzupelnione przy wznowieniu. Pozycje przepisane 2026-08-28 w ramach X-49 zostaly bez wyceny, przez co nie liczyly sie do budzetu godzin i nie stały w zadnym sprincie. Podstawa wyceny: Wyjatek dla 172.16.0.0/12 w regule OUTPUT. Sama zmiana jest mala, ale bez niej wlaczenie strict zrywa polaczenie host-kontener. | 2026-09-22 KOD (D1): wyjatek po interfejsie (mostki Dockera), nie po CIDR — 172.16.0.0/12 zostaje w bogonach dla ruchu, ktory NIE idzie do kontenera. Przy okazji: lancuch BOGON zwalnial tylko docker0, a sieci compose to br-&lt;id&gt; w 172.18-172.20 — host-&gt;kontener na 443 wpadlby w DROP bogonow. D3 przy wlaczeniu strict (sprint 9). | 2026-09-28: te same zwolnienia mostków (lo, docker0, br-+) w ip6tables — 94cfe2c. | 2026-10-01 INCYDENT I POPRAWKA (bc40703): VERRIS_ANTISCAN (iptables i ip6tables) nie zwalniał lo/docker0/br-+ — docker-proxy obsługujący klientów IPv6 otwiera nowe połączenie hosta do kontenera na 443, licznik anty-skanu się wyczerpał i DROP odciął cały IPv6 panelu i API (t1 bez sygnału ok. 1,5 h). Wyjątki dopisane w kodzie (test egress-strict-naprawde-blokuje.spec.ts) i na żywo na control-plane; po zmianie IPv6 lokalnie i z t1 → 200, sygnał i manifest z t1 wróciły.</t>
        </is>
      </c>
      <c r="P94" s="10" t="inlineStr">
        <is>
          <t>do zrobienia</t>
        </is>
      </c>
    </row>
    <row r="95">
      <c r="A95" s="10" t="inlineStr">
        <is>
          <t>SEC-01</t>
        </is>
      </c>
      <c r="B95" s="11" t="inlineStr">
        <is>
          <t>Tryb `--strict` jest atrapą</t>
        </is>
      </c>
      <c r="C95" s="10" t="inlineStr">
        <is>
          <t>audyt</t>
        </is>
      </c>
      <c r="D95" s="10" t="inlineStr">
        <is>
          <t>G — SSL i bezpieczeństwo</t>
        </is>
      </c>
      <c r="E95" s="10" t="inlineStr">
        <is>
          <t>WYSOKA</t>
        </is>
      </c>
      <c r="F95" s="10" t="n">
        <v>16</v>
      </c>
      <c r="G95" s="10" t="n">
        <v>16</v>
      </c>
      <c r="H95" s="10" t="inlineStr">
        <is>
          <t>Faza 3 — Wejście na rynek</t>
        </is>
      </c>
      <c r="I95" s="10" t="inlineStr">
        <is>
          <t>2026-10-12</t>
        </is>
      </c>
      <c r="J95" s="10" t="inlineStr">
        <is>
          <t>2026-10-16</t>
        </is>
      </c>
      <c r="K95" s="10" t="inlineStr">
        <is>
          <t>DZIAŁA</t>
        </is>
      </c>
      <c r="L95" s="11" t="inlineStr">
        <is>
          <t>security-control-plane-egress.sh — apply_strict_allowlist: DROP bez testu cgroup, kontrola po fakcie (iptables -S; brak reguly = exit 1), warunek wstepny sprawdz_pomiar_przed_strict (&gt;= POMIAR_MIN_DNI dni pomiaru i zero celow 80/443 spoza allowlisty, inaczej exit 1 z lista celow), --wymus-strict; security-install-verris-security.sh — usuniete automatyczne --strict || true; test behawioralny apps/api/src/test/egress-strict-naprawde-blokuje.spec.ts (prawdziwy skrypt na atrapach iptables/ipset, te same flagi powloki)</t>
        </is>
      </c>
      <c r="M95" s="11" t="inlineStr">
        <is>
          <t>—</t>
        </is>
      </c>
      <c r="N95" s="11" t="inlineStr">
        <is>
          <t>Funkcja dostępna z panelu klienta bez wychodzenia do DirectAdmina; test uruchamiany w CI.</t>
        </is>
      </c>
      <c r="O95" s="11" t="inlineStr">
        <is>
          <t>Przepisane do macierzy 2026-08-28 w ramach X-49 — pozycja powstala 2026-08-26 i do tego dnia istniala WYLACZNIE w dashboardzie, poza zasiegiem straznikow repozytorium. Obszar: egress / firewall. Krytycznosc i naklad zostaly puste SWIADOMIE: dashboard ich nie niosl, a wpisanie ich teraz byloby zgadywaniem. Do uzupelnienia przy najblizszym przegladzie tej pozycji. | TRESC ZE ZRODLA: Tryb `--strict` jest atrapą. Trzy niezależne wyciszenia jedno po drugim: reguła `DROP` zagnieżdżona w teście dopasowania cgroup (na tym jądrze niedostępnego), skrypt kończy się `WARN` i kodem 0, a instalator woła go z `|| true`. Wyjątek cgroup miał przepuszczać ruch kontenerów — który do OUTPUT w ogóle nie dociera (patrz X-41). | WYCENA 2026-09-19: krytycznosc i naklad uzupelnione przy wznowieniu. Pozycje przepisane 2026-08-28 w ramach X-49 zostaly bez wyceny, przez co nie liczyly sie do budzetu godzin i nie stały w zadnym sprincie. Podstawa wyceny: DROP musi realnie obowiazywac: przebudowa security-control-plane-egress.sh bez zagniezdzenia w tescie cgroup, bez "|| true" w instalatorze, plus straznik zachowaniowy na wzor X-34 (atrapa wielkosci produkcyjnej, te same flagi powloki). | 2026-09-22 KOD (D1): trzy wyciszenia usuniete. Wyjatek cgroup byl zbedny — ruch kontenerow nie przechodzi przez OUTPUT (X-41). Strict przestal byc nieszkodliwy, dlatego warunek wstepny laczy SEC-05 (pomiar) z SEC-06 (allowlista z tego, co host robi): nie da sie go wlaczyc na slepo. D3 dopiero przy wlaczeniu na control-plane w sprincie 9, po tygodniu pomiaru. | 2026-09-28: strict także po IPv6 (REJECT → natychmiastowe przejście na IPv4), warunek pomiaru obu rodzin przed pierwszą regułą; verris-egress.service odtwarza tryb i pomiar po restarcie (dotąd restart zdejmował cały hardening) — 94cfe2c. | 2026-09-28 D3 (09:07): przebieg domyślny z ipv6=1 — pomiar verris_egress_seen6, bogony/IOC/log/anty-skan w ip6tables; verris-egress.service active (enabled). Zbiory IPv6: https6 71, dns6 2, smtp6 1. Strict jeszcze wyłączony — decyzja po pomiarze 30.09. | 2026-10-06 D3 NA PRODUKCJI (Panel, 20:16–20:21 UTC): --pomiar (host 14 d, IPv6 8 d, kontenery 13 d) → --wymus-strict po przypisaniu każdego celu NIE nazwie z allowlisty (CloudFront 2600:9000:… = download.docker.com, AWS 2600:1f18:2148:bc0x = registry-1.docker.io). Po włączeniu: apt-get update OK, ghcr 401, api.github.com 200; docker pull odcięty (VERRIS-STRICT-DROP 3.171.139.x — warstwy z production.cloudfront.docker.com) → nazwa dopisana (a57c688), --odswiez dopisał 12 adresów, docker pull OK, 0 DROP w 2 min. Strict naprawdę odrzuca (log VERRIS-STRICT-DROP z adresami spoza zbioru). Zamknięte 2026-10-06.</t>
        </is>
      </c>
      <c r="P95" s="10" t="inlineStr">
        <is>
          <t>do zrobienia</t>
        </is>
      </c>
    </row>
    <row r="96">
      <c r="A96" s="10" t="inlineStr">
        <is>
          <t>SEC-06</t>
        </is>
      </c>
      <c r="B96" s="11" t="inlineStr">
        <is>
          <t>Allowlista pokrywa to, o czym ktoś pomyślał, nie to, co host robi</t>
        </is>
      </c>
      <c r="C96" s="10" t="inlineStr">
        <is>
          <t>audyt</t>
        </is>
      </c>
      <c r="D96" s="10" t="inlineStr">
        <is>
          <t>G — SSL i bezpieczeństwo</t>
        </is>
      </c>
      <c r="E96" s="10" t="inlineStr">
        <is>
          <t>WYSOKA</t>
        </is>
      </c>
      <c r="F96" s="10" t="n">
        <v>16</v>
      </c>
      <c r="G96" s="10" t="n">
        <v>16</v>
      </c>
      <c r="H96" s="10" t="inlineStr">
        <is>
          <t>Faza 3 — Wejście na rynek</t>
        </is>
      </c>
      <c r="I96" s="10" t="inlineStr">
        <is>
          <t>2026-10-12</t>
        </is>
      </c>
      <c r="J96" s="10" t="inlineStr">
        <is>
          <t>2026-10-16</t>
        </is>
      </c>
      <c r="K96" s="10" t="inlineStr">
        <is>
          <t>DZIAŁA</t>
        </is>
      </c>
      <c r="L96" s="11" t="inlineStr">
        <is>
          <t>verris-egress-odswiez.timer (co 15 s) → security-control-plane-egress.sh --odswiez; Panel 06.10: timer active, „Odświeżenie: 12 nowych adresów”</t>
        </is>
      </c>
      <c r="M96" s="11" t="inlineStr">
        <is>
          <t>—</t>
        </is>
      </c>
      <c r="N96" s="11" t="inlineStr">
        <is>
          <t>Funkcja dostępna z panelu klienta bez wychodzenia do DirectAdmina; test uruchamiany w CI.</t>
        </is>
      </c>
      <c r="O96" s="11" t="inlineStr">
        <is>
          <t>Przepisane do macierzy 2026-08-28 w ramach X-49 — pozycja powstala 2026-08-26 i do tego dnia istniala WYLACZNIE w dashboardzie, poza zasiegiem straznikow repozytorium. Obszar: egress / firewall. Krytycznosc i naklad zostaly puste SWIADOMIE: dashboard ich nie niosl, a wpisanie ich teraz byloby zgadywaniem. Do uzupelnienia przy najblizszym przegladzie tej pozycji. | TRESC ZE ZRODLA: Allowlista pokrywa to, o czym ktoś pomyślał, nie to, co host robi. Test `ipset` na celach z rzeczywistego ruchu: `sogo-repo.alinto.org` — BRAK, `static.77.118.180.157.clients.your-server.de` (120 pakietów, nierozpoznany) — BRAK. GitHub i `sa-update.surbl.org` — JEST. Włączenie `--strict` dziś odcięłoby repozytorium pakietów SOGo i nieznany host Hetznera. | WYCENA 2026-09-19: krytycznosc i naklad uzupelnione przy wznowieniu. Pozycje przepisane 2026-08-28 w ramach X-49 zostaly bez wyceny, przez co nie liczyly sie do budzetu godzin i nie stały w zadnym sprincie. Podstawa wyceny: Okres obserwacji na pelnym logu (po SEC-05) i zbudowanie allowlisty z tego, co host robi, a nie z tego, o czym ktos pomyslal. Koszt to glownie czas obserwacji, nie kod. | 2026-09-22 POMIAR RUSZYL (SEC-05, D3). Pierwszy cel spoza allowlisty: 169.254.169.254:80 — metadane chmury, siec link-local. Z hosta odcina go VERRIS_EGRESS_BOGON, wiec --pomiar oznacza go jako 'bogon' i nie liczy do warunku strict. OTWARTE PYTANIE (SSRF): kontenery ida przez FORWARD, gdzie bogonow nie ma — jesli z kontenera API da sie odpytac 169.254.169.254, to kazda funkcja pobierajaca URL od klienta (webhooki, sondy statusu, migrator) moze byc droga do metadanych serwera. Do sprawdzenia jednym poleceniem z kontenera; wynik decyduje, czy blokada metadanych w DOCKER-USER idzie przed sprint 9. | 2026-10-06 POMIAR (host 13 dni, IPv6 7 dni): 21 celów hosta poza allowlistą — rozpoznane: download.docker.com (CloudFront 2600:9000:28f7::/…), registry-1.docker.io (AWS 2600:1f18:2148:bc0x), motd.ubuntu.com (AWS 2a05:d018:91c:3200), changelogs.ubuntu.com (gladys/fracktail.canonical.com), mirror.hetzner.com, packages.sogo.nu, api.sandbox.openprovider.nl (34.91.239.244, GKE bez SNI); nierozpoznane: 2600:9000:2368:5e00/7800 (CloudFront, prawdopodobnie www.wordfence.com — do potwierdzenia AAAA). PRZYCZYNA: zbiór z nazw budowany raz, adresy CDN rotują — strict odcinałby apt i compose pull. KOD (D2, 5d6bd44): --odswiez + verris-egress-odswiez.timer co 15 s dopisuje bieżące adresy nazw; allowlista uzupełniona; d3478da: przebieg domyślny zdejmuje strict (droga powrotu). D3: wdrożenie timera, --pomiar, --wymus-strict po przypisaniu każdego celu nazwie. | 2026-10-06 przegląd: ponowna instalacja zdejmowała strict (przebieg domyślny) — 9e7cf6c: przebieg bez opcji zachowuje zapisany tryb, strict zdejmuje tylko --wylacz-strict; domeny klientów w egress-allow-hostnames.local.txt czytanym przez jednostki. Ryzyko do decyzji: domeny klientów w allowliście (DNS klienta). | 2026-10-06 D3 NA PRODUKCJI (Panel, 20:16–20:21 UTC): --pomiar (host 14 d, IPv6 8 d, kontenery 13 d) → --wymus-strict po przypisaniu każdego celu NIE nazwie z allowlisty (CloudFront 2600:9000:… = download.docker.com, AWS 2600:1f18:2148:bc0x = registry-1.docker.io). Po włączeniu: apt-get update OK, ghcr 401, api.github.com 200; docker pull odcięty (VERRIS-STRICT-DROP 3.171.139.x — warstwy z production.cloudfront.docker.com) → nazwa dopisana (a57c688), --odswiez dopisał 12 adresów, docker pull OK, 0 DROP w 2 min. Odświeżanie adresów CDN działa na żywo. Zamknięte 2026-10-06.</t>
        </is>
      </c>
      <c r="P96" s="10" t="inlineStr">
        <is>
          <t>do zrobienia</t>
        </is>
      </c>
    </row>
    <row r="97">
      <c r="A97" s="10" t="inlineStr">
        <is>
          <t>SEC-02</t>
        </is>
      </c>
      <c r="B97" s="11" t="inlineStr">
        <is>
          <t>Stripe jest w allowliście wyłącznie po nazwie, a ipset powstaje z rozwiązania nazw</t>
        </is>
      </c>
      <c r="C97" s="10" t="inlineStr">
        <is>
          <t>audyt</t>
        </is>
      </c>
      <c r="D97" s="10" t="inlineStr">
        <is>
          <t>G — SSL i bezpieczeństwo</t>
        </is>
      </c>
      <c r="E97" s="10" t="inlineStr">
        <is>
          <t>ŚREDNIA</t>
        </is>
      </c>
      <c r="F97" s="10" t="n">
        <v>6</v>
      </c>
      <c r="G97" s="10" t="n">
        <v>16</v>
      </c>
      <c r="H97" s="10" t="inlineStr">
        <is>
          <t>Faza 3 — Wejście na rynek</t>
        </is>
      </c>
      <c r="I97" s="10" t="inlineStr">
        <is>
          <t>2026-10-12</t>
        </is>
      </c>
      <c r="J97" s="10" t="inlineStr">
        <is>
          <t>2026-10-16</t>
        </is>
      </c>
      <c r="K97" s="10" t="inlineStr">
        <is>
          <t>DZIAŁA</t>
        </is>
      </c>
      <c r="L97" s="11" t="inlineStr">
        <is>
          <t>pomiar --pomiar 2026-10-06 (host 14 d): zero połączeń hosta do Stripe; Stripe tylko z kontenera API (FORWARD)</t>
        </is>
      </c>
      <c r="M97" s="11" t="inlineStr">
        <is>
          <t>—</t>
        </is>
      </c>
      <c r="N97" s="11" t="inlineStr">
        <is>
          <t>Funkcja dostępna z panelu klienta bez wychodzenia do DirectAdmina; test uruchamiany w CI.</t>
        </is>
      </c>
      <c r="O97" s="11" t="inlineStr">
        <is>
          <t>Przepisane do macierzy 2026-08-28 w ramach X-49 — pozycja powstala 2026-08-26 i do tego dnia istniala WYLACZNIE w dashboardzie, poza zasiegiem straznikow repozytorium. Obszar: egress / płatności. Krytycznosc i naklad zostaly puste SWIADOMIE: dashboard ich nie niosl, a wpisanie ich teraz byloby zgadywaniem. Do uzupelnienia przy najblizszym przegladzie tej pozycji. | TRESC ZE ZRODLA: Stripe jest w allowliście wyłącznie po nazwie, a ipset powstaje z rozwiązania nazw. Adresy Stripe rotują (198.137.x / 198.202.x), więc zbiór starzeje się między uruchomieniami. | WYCENA 2026-09-19: krytycznosc i naklad uzupelnione przy wznowieniu. Pozycje przepisane 2026-08-28 w ramach X-49 zostaly bez wyceny, przez co nie liczyly sie do budzetu godzin i nie stały w zadnym sprincie. Podstawa wyceny: Odswiezanie ipsetu z opublikowanej listy adresow Stripe zamiast jednorazowego rozwiazania nazw; cron plus check w live-readiness. | ANALIZA 2026-09-23: Stripe woła wyłącznie API w kontenerze (FORWARD), którego strict hosta (OUTPUT) nie dotyczy, a X-41 nie ogranicza kontenerom 80/443 (decyzja: tam chronią strażniki SSRF w aplikacji). Pomiar hosta z 2026-09-22/23 nie ma żadnego celu Stripe. Jeśli pomiar 7-dniowy (29.09) to potwierdzi — pozycja NIE DOTYCZY; wpisy Stripe w allowliście hosta zostają tylko dla ręcznego ops/scripts/uzgodnij-platnosci-stripe.mjs. | 2026-10-06 POMIAR 13 DNI: host (OUTPUT) nie łączył się z żadnym adresem Stripe — potwierdza analizę z 23.09 (Stripe tylko z kontenera API). Do zamknięcia jako NIE DOTYCZY razem z włączeniem strict. | 2026-10-06: NIE DOTYCZY hosta — pomiar 14 dni bez żadnego celu Stripe z OUTPUT; płatności idą z kontenera API, którego strict hosta nie obejmuje. Wpisy Stripe w allowliście zostają dla ręcznego skryptu uzgadniania. Zamknięte 2026-10-06.</t>
        </is>
      </c>
      <c r="P97" s="10" t="inlineStr">
        <is>
          <t>do zrobienia</t>
        </is>
      </c>
    </row>
    <row r="98">
      <c r="A98" s="10" t="inlineStr">
        <is>
          <t>NODE-02</t>
        </is>
      </c>
      <c r="B98" s="11" t="inlineStr">
        <is>
          <t>`main()` nie sprawdza kodów powrotu</t>
        </is>
      </c>
      <c r="C98" s="10" t="inlineStr">
        <is>
          <t>audyt</t>
        </is>
      </c>
      <c r="D98" s="10" t="inlineStr">
        <is>
          <t>Q — Przewaga</t>
        </is>
      </c>
      <c r="E98" s="10" t="inlineStr">
        <is>
          <t>WYSOKA</t>
        </is>
      </c>
      <c r="F98" s="10" t="n">
        <v>6</v>
      </c>
      <c r="G98" s="10" t="n">
        <v>16</v>
      </c>
      <c r="H98" s="10" t="inlineStr">
        <is>
          <t>Faza 3 — Wejście na rynek</t>
        </is>
      </c>
      <c r="I98" s="10" t="inlineStr">
        <is>
          <t>2026-10-12</t>
        </is>
      </c>
      <c r="J98" s="10" t="inlineStr">
        <is>
          <t>2026-10-16</t>
        </is>
      </c>
      <c r="K98" s="10" t="inlineStr">
        <is>
          <t>CZĘŚCIOWE</t>
        </is>
      </c>
      <c r="L98" s="11" t="inlineStr">
        <is>
          <t>ops/scripts/lib/przerwij-po-etapie.sh — przerwij_po_etapie zamienia zebrane [FAIL] w exit 1; node-onboard-live.sh main() — bramka po preflight_stack, run_security_hardening, ensure_da_ip; nieudana rejestracja IP w DA z log_warn na log_fail; node-live-readiness.sh main() — bramka po preflight (python3/curl); obie paczki wymagaja lib/przerwij-po-etapie.sh; test apps/api/src/test/instalator-wezla-zatrzymuje-sie.spec.ts</t>
        </is>
      </c>
      <c r="M98" s="11" t="inlineStr">
        <is>
          <t>—</t>
        </is>
      </c>
      <c r="N98" s="11" t="inlineStr">
        <is>
          <t>Ograniczenie opisane w uwagach macierzy zniknęło; test potwierdza zachowanie także w scenariuszu awaryjnym.</t>
        </is>
      </c>
      <c r="O98" s="11" t="inlineStr">
        <is>
          <t>Przepisane do macierzy 2026-08-28 w ramach X-49 — pozycja powstala 2026-08-26 i do tego dnia istniala WYLACZNIE w dashboardzie, poza zasiegiem straznikow repozytorium. Obszar: instalator węzła. Krytycznosc i naklad zostaly puste SWIADOMIE: dashboard ich nie niosl, a wpisanie ich teraz byloby zgadywaniem. Do uzupelnienia przy najblizszym przegladzie tej pozycji. | TRESC ZE ZRODLA: `main()` nie sprawdza kodów powrotu. W `node-onboard-live.sh` i `node-live-readiness.sh` funkcje zwracają `1`, ale `main` leci dalej i dopiero na końcu drukuje `[FAIL]`. Instalacja kontynuuje po nieudanym preflighcie. Ta sama rodzina co SEC-01: kontrola wykrywa problem i nie zatrzymuje procesu. | WYCENA 2026-09-19: krytycznosc i naklad uzupelnione przy wznowieniu. Pozycje przepisane 2026-08-28 w ramach X-49 zostaly bez wyceny, przez co nie liczyly sie do budzetu godzin i nie stały w zadnym sprincie. Podstawa wyceny: Sprawdzanie kodow powrotu w main() obu skryptow. Male, ale instalacja kontynuuje po nieudanym preflighcie — dotyka PB-02 w W3. | 2026-09-22 KOREKTA OPISU: 'main() nie sprawdza kodow powrotu' bylo nieprecyzyjne — oba skrypty maja set -Eeuo pipefail, wiec funkcja z return 1 KONCZY skrypt (sprawdzone na bashu). Prawdziwa dziura: log_fail ustawia FAIL=1 bez return, a set -e tego nie widzi — preflight z brakujacym python3/curl przechodzil do instalacji agenta, a nieudany sync pakietow DA do readiness. Weryfikacja na koncu readiness swiadomie ZBIERA wszystkie usterki i odmawia raz (print_final_summary -&gt; return 1) — to zostaje, przerwanie po pierwszej kazaloby naprawiac je po jednej. POPRAWKA: bramka po kazdym etapie-bramce + IP w DA jako [FAIL] (bez IP kazde zakladanie konta konczy sie 'A valid IP was not provided' — poczatek Z-18). D2 2026-09-22: bramka lokalna zielona (886 testow, w tym 8 z instalator-wezla-zatrzymuje-sie.spec.ts); D3 przy onboardzie wezla #1 (PB-02).</t>
        </is>
      </c>
      <c r="P98" s="10" t="inlineStr">
        <is>
          <t>do zrobienia</t>
        </is>
      </c>
    </row>
    <row r="99">
      <c r="A99" s="10" t="inlineStr">
        <is>
          <t>H-20</t>
        </is>
      </c>
      <c r="B99" s="11" t="inlineStr">
        <is>
          <t>Test odtworzeniowy z datą ostatniego wykonania (część)</t>
        </is>
      </c>
      <c r="C99" s="10" t="inlineStr">
        <is>
          <t>audyt</t>
        </is>
      </c>
      <c r="D99" s="10" t="inlineStr">
        <is>
          <t>H — Backup i odtwarzanie</t>
        </is>
      </c>
      <c r="E99" s="10" t="inlineStr">
        <is>
          <t>BLOKER STARTU</t>
        </is>
      </c>
      <c r="F99" s="10" t="n">
        <v>2</v>
      </c>
      <c r="G99" s="10" t="n">
        <v>16</v>
      </c>
      <c r="H99" s="10" t="inlineStr">
        <is>
          <t>Faza 3 — Wejście na rynek</t>
        </is>
      </c>
      <c r="I99" s="10" t="inlineStr">
        <is>
          <t>2026-10-12</t>
        </is>
      </c>
      <c r="J99" s="10" t="inlineStr">
        <is>
          <t>2026-10-16</t>
        </is>
      </c>
      <c r="K99" s="10" t="inlineStr">
        <is>
          <t>CZĘŚCIOWE</t>
        </is>
      </c>
      <c r="L99" s="11" t="inlineStr">
        <is>
          <t>DOWÓD D4 — wiersz w bazie PRODUKCYJNEJ, odczytany 2026-08-23: finishedAt=2026-08-22 23:19:45, result=OK, owner=Dominik Kowalski, durationSec=9, objectName=latest.sql.gz.age. W tabeli stoi też wiersz poprzedni: 2026-08-22 19:57:36 / FAILED / durationSec=1 / objectName=latest.sql.gz — próba sprzed H-24, która szła po nieistniejący obiekt. | MECHANIZM (D2): admin-readiness/proba-odtworzenia.ts — ocenProby/brakujaceWiersze/MINIMALNE_WIERSZE; live-readiness.service.ts — pozycja restore_drill z blocking: true; proba-odtworzenia.scheduler.ts — przypomnienie codziennie 08:30, tylko gdy jest co robić; ops/scripts/restore-drill-isolated.sh — progi wierszy na 5 tabelach, suma kontrolna, deszyfrowanie age, zapis śladu; migracja 20260823000000_proba_odtworzenia (tabela RestoreDrill + 2 CHECK); ops/docs/OFFSITE_RESTORE_RUNBOOK.md — procedura z właścicielem i cyklem 30 dni; proba-odtworzenia.spec.ts (20) + test/integration/proba-odtworzenia.int-spec.ts (8) | 2026-10-10: admin Flota → Kopie (nodes/kopie/page.tsx:22 → GET /admin/live-readiness/proby-odtworzenia, live-readiness.admin.controller.ts:32; test kopie.spec.tsx) — ostatnia udana próba nadal z 2026-08-22/23</t>
        </is>
      </c>
      <c r="M99" s="11" t="inlineStr">
        <is>
          <t>PB-02 (drill wykonujemy na węźle #1)</t>
        </is>
      </c>
      <c r="N99" s="11" t="inlineStr">
        <is>
          <t>Ograniczenie opisane w uwagach macierzy zniknęło; test potwierdza zachowanie także w scenariuszu awaryjnym.</t>
        </is>
      </c>
      <c r="O99" s="11" t="inlineStr">
        <is>
          <t>ZAMKNIĘTE 2026-08-23. Pierwsze w historii projektu odtworzenie bazy z kopii — i pierwszy dowód, że warstwa DR w ogóle działa. Przebieg: MinIO stat latest.sql.gz.age (4,3 MiB, 2026-08-22 21:24:12), suma kontrolna zgodna, deszyfrowanie kluczem operacyjnym, odtworzenie do izolowanej bazy verris_restore_drill w 9 sekund, progi wierszy na pięciu tabelach: Invoice 0 (min 0), Plan 5 (min 1), Account 3 (min 0), User 10 (min 1), Subscription 7 (min 0), baza drillowa skasowana, produkcyjna verris_db nietknięta. | DZIEWIĘĆ SEKUND TO REALNE RTO — dolne oszacowanie, bo drill biegnie na tym samym hoście. To jest liczba, którą trzeba znać PRZED awarią, nie w jej trakcie. | DWA WIERSZE W TABELI, NIE JEDEN — i to jest część dowodu. Pierwsza próba (19:57, FAILED, 1 s, latest.sql.gz) padła, bo skrypt pytał o obiekt, którego produkcja NIGDY nie tworzy; naprawione w H-24, druga próba (23:19, OK, 9 s, latest.sql.gz.age) przeszła. Mechanizm zapisał własną porażkę zamiast ją przemilczeć — dokładnie po to powstał wymóg, żeby ślad powstawał RÓWNIEŻ przy niepowodzeniu. Ocena patrzy na OSTATNIĄ próbę, nie na ostatnią udaną: gdyby patrzyła tylko na udane, wczorajsza awaria odtwarzania byłaby niewidoczna. | DOWÓD ODCZYTANY Z BAZY, NIE Z KOMUNIKATU SKRYPTU. Skrypt drukuje „ślad próby zapisany" — to jest zdanie o zamiarze, nie o wyniku. Cała ta pozycja i cała awaria kopii z H-23 wzięły się z ufania takim zdaniom. | DOWÓD SIĘ STARZEJE: termin ważności 30 dni (MAKS_WIEK_PROBY_DNI), czyli do 2026-09-21, potem gotowość do startu znów zwraca go: false. Przypomnienie idzie mailem 7 dni przed terminem. Odtworzenie sprzed schematu, którego już nie ma, nie dowodzi niczego o dzisiejszej kopii. | ZROBIONE POZA KOLEJNOŚCIĄ — pozycja planowana na sprint 9 (po postawieniu węzła produkcyjnego w sprincie 8), wykonana w sprincie 2, bo H-23 wymusiło odtworzenie kopii tu i teraz. | CZEGO NIE ROBI: nie odtwarza konta hostingowego (pliki, poczta, bazy klienta — osobna ścieżka w runbooku); nie mierzy RTO na maszynie zastępczej; nie sprawdza poprawności danych ponad to, że tabele nie są puste; nie uruchamia się sam — przypomina, nie wykonuje. Dokumentacja: docs/archiwum/zadania/H-20-proba-odtworzenia.md | FLAGA BLOKERA ZDJETA 2026-09-19: pozycja ma stan DZIALA i werdykt PARYTET od 2026-08-23, z dowodem D4 (wiersz w bazie produkcyjnej, finishedAt=2026-08-22 23:19:45, durationSec=9). Flaga BLOKER STARTU zostala po zamknieciu i generator liczyl przez nia piec blokerow zamiast czterech. Licznik, ktory podaje zla liczbe, jest tym samym rodzajem usterki co bramka z X-33 — uczy nie ufac wlasnemu odczytowi. | 2026-10-10: DOWÓD WYGASŁ. Ostatnia udana próba odtworzenia to nadal 2026-08-22 23:19 (bazy platformy) — odczyt na produkcji 10.10 ok. 13:00 (Flota → Kopie). Ważność 30 dni minęła 2026-09-21, więc D4 przestał obowiązywać (README: dowód starszy niż 30 dni wraca do D0; backupy i DR — wyłącznie D4). Mechanizm, przypomnienie i strona w panelu zostają D2. Stan DZIAŁA → CZĘŚCIOWE, werdykt PARYTET → CZĘŚCIOWY, flaga BLOKER STARTU wraca — zdjęto ją 2026-09-19 wyłącznie dlatego, że był D4, a live-readiness restore_drill jest blocking. Odnowienie: PB-54 (próba bazy platformy + odtworzenie jednego konta na t1, z datą i właścicielem) w sprincie 16, przed betą 19.10; potem cykl 30 dni. | 2026-10-10 (przegląd): przypomnienie o próbie (proba-odtworzenia.scheduler.ts:41, codziennie 08:30, od 7 dni przed terminem, czyli od ok. 14.09) nie przełożyło się na próbę przez ponad 3 tygodnie. Nie sprawdzono, czy maile przypomnień dotarły — do sprawdzenia przy PB-54, bo przypomnienie, które nie wywołuje działania, to ten sam rodzaj usterki co alert z H-24.</t>
        </is>
      </c>
      <c r="P99" s="10" t="inlineStr">
        <is>
          <t>do zrobienia</t>
        </is>
      </c>
    </row>
    <row r="100">
      <c r="A100" s="10" t="inlineStr">
        <is>
          <t>SEC-11</t>
        </is>
      </c>
      <c r="B100" s="11" t="inlineStr">
        <is>
          <t>CSP z nonce w panelach i na www — bez 'unsafe-inline' w script-src</t>
        </is>
      </c>
      <c r="C100" s="10" t="inlineStr">
        <is>
          <t>audyt</t>
        </is>
      </c>
      <c r="D100" s="10" t="inlineStr">
        <is>
          <t>G — SSL i bezpieczeństwo</t>
        </is>
      </c>
      <c r="E100" s="10" t="inlineStr">
        <is>
          <t>WYSOKA</t>
        </is>
      </c>
      <c r="F100" s="10" t="n">
        <v>6</v>
      </c>
      <c r="G100" s="10" t="n">
        <v>16</v>
      </c>
      <c r="H100" s="10" t="inlineStr">
        <is>
          <t>Faza 3 — Wejście na rynek</t>
        </is>
      </c>
      <c r="I100" s="10" t="inlineStr">
        <is>
          <t>2026-10-12</t>
        </is>
      </c>
      <c r="J100" s="10" t="inlineStr">
        <is>
          <t>2026-10-16</t>
        </is>
      </c>
      <c r="K100" s="10" t="inlineStr">
        <is>
          <t>CZĘŚCIOWE</t>
        </is>
      </c>
      <c r="L100" s="11" t="inlineStr">
        <is>
          <t>2026-10-09 (4d7a8b08): libs/ui/src/csp.ts:41-84 (nowyNonce, cspPanelu: script-src 'nonce-…' 'strict-dynamic', naglowkiCsp); admin-panel/src/proxy.ts:11-13, staff-panel/src/proxy.ts, client-panel/src/middleware.ts:14-16; ops/caddy/Caddyfile (panel_headers bez CSP z 'unsafe-inline'); testy proxy.spec.ts (admin, obsługa), middleware.spec.ts, analytics-scripts.spec.ts, wdrozenie-caddy.spec.ts</t>
        </is>
      </c>
      <c r="M100" s="11" t="inlineStr">
        <is>
          <t>—</t>
        </is>
      </c>
      <c r="N100" s="11" t="inlineStr">
        <is>
          <t>Ograniczenie opisane w uwagach macierzy zniknęło; test potwierdza zachowanie także w scenariuszu awaryjnym.</t>
        </is>
      </c>
      <c r="O100" s="11" t="inlineStr">
        <is>
          <t>2026-10-10: z audytu bezpieczeństwa 09.10 — CSP paneli dawał Caddy ze script-src 'unsafe-inline', więc każdy wstrzyknięty &lt;script&gt; by się wykonał. Panele klienta, obsługi i admina mają od 09.10 CSP z nonce per żądanie (style-src zostaje z 'unsafe-inline' — atrybuty style w React i biblioteki wstrzykujące &lt;style&gt;; styl nie wykonuje kodu). Wdrożone 10.10; panele admina i obsługi działają po wdrożeniu (obserwacja 10.10 ok. 13:00, nagłówka CSP nie odczytywano). ZOSTAJE: www (verris.pl) — decyzja D12 z 10.10: CSP z nonce na www teraz, razem z captcha w frame-src (Fala 2A). Stan CZĘŚCIOWE do wdrożenia na www i odczytu nagłówków na produkcji.</t>
        </is>
      </c>
      <c r="P100" s="10" t="inlineStr">
        <is>
          <t>do zrobienia</t>
        </is>
      </c>
    </row>
    <row r="101">
      <c r="A101" s="10" t="inlineStr">
        <is>
          <t>PB-23</t>
        </is>
      </c>
      <c r="B101" s="11" t="inlineStr">
        <is>
          <t>Każdy widok osiągalny z menu (klient, admin, staff)</t>
        </is>
      </c>
      <c r="C101" s="10" t="inlineStr">
        <is>
          <t>poza audytem</t>
        </is>
      </c>
      <c r="D101" s="10" t="inlineStr">
        <is>
          <t>Praca spoza audytu</t>
        </is>
      </c>
      <c r="E101" s="10" t="inlineStr">
        <is>
          <t>ŚREDNI</t>
        </is>
      </c>
      <c r="F101" s="10" t="n">
        <v>10</v>
      </c>
      <c r="G101" s="10" t="n">
        <v>16</v>
      </c>
      <c r="H101" s="10" t="inlineStr">
        <is>
          <t>Faza 3 — Wejście na rynek</t>
        </is>
      </c>
      <c r="I101" s="10" t="inlineStr">
        <is>
          <t>2026-10-12</t>
        </is>
      </c>
      <c r="J101" s="10" t="inlineStr">
        <is>
          <t>2026-10-16</t>
        </is>
      </c>
      <c r="K101" s="10" t="inlineStr">
        <is>
          <t>—</t>
        </is>
      </c>
      <c r="L101" s="11" t="inlineStr">
        <is>
          <t>—</t>
        </is>
      </c>
      <c r="M101" s="11" t="inlineStr">
        <is>
          <t>—</t>
        </is>
      </c>
      <c r="N101" s="11" t="inlineStr">
        <is>
          <t>Lista tras vs menu dla trzech paneli bez luk; test-strażnik czerwony po dodaniu trasy bez wejścia w nawigacji.</t>
        </is>
      </c>
      <c r="O101" s="11" t="inlineStr">
        <is>
          <t>Zasada właściciela 2026-09-23: żaden ekran nie może wymagać szukania po panelu. Przegląd wszystkich tras (page.tsx) w trzech panelach i ich wejść w menu/zakładkach; widoki bez wejścia dostają miejsce w menu albo zakładkę w logicznym rodzicu; strażnik w CI: każda trasa z page.tsx ma odnośnik w konfiguracji nawigacji albo jest na jawnej liście wyjątków (szczegóły rekordu, kroki kreatora) z uzasadnieniem. | WYNIK 2026-09-23: przegląd 60 tras klienta, 57 admina, 12 staff — brak widoków bez wejścia. Stare adresy klienta (/dashboard/apps, /backups, /cron, /databases, /dns, /email, /file-manager, /ftp, /php, /ssl, /domains/registrar) to przekierowania na zakładki usługi; strony auth z maili na liście wyjątków. Strażnik: apps/api/src/test/widoki-w-nawigacji.spec.ts (sprawdzony: sztuczna ukryta strona w admin i kliencie → czerwony).</t>
        </is>
      </c>
      <c r="P101" s="10" t="inlineStr">
        <is>
          <t>do zrobienia</t>
        </is>
      </c>
    </row>
    <row r="102">
      <c r="A102" s="10" t="inlineStr">
        <is>
          <t>PB-30</t>
        </is>
      </c>
      <c r="B102" s="11" t="inlineStr">
        <is>
          <t>Jeden plik wersji dla floty + test zgodności</t>
        </is>
      </c>
      <c r="C102" s="10" t="inlineStr">
        <is>
          <t>poza audytem</t>
        </is>
      </c>
      <c r="D102" s="10" t="inlineStr">
        <is>
          <t>Praca spoza audytu</t>
        </is>
      </c>
      <c r="E102" s="10" t="inlineStr">
        <is>
          <t>WYSOKI</t>
        </is>
      </c>
      <c r="F102" s="10" t="n">
        <v>12</v>
      </c>
      <c r="G102" s="10" t="n">
        <v>16</v>
      </c>
      <c r="H102" s="10" t="inlineStr">
        <is>
          <t>Faza 3 — Wejście na rynek</t>
        </is>
      </c>
      <c r="I102" s="10" t="inlineStr">
        <is>
          <t>2026-10-12</t>
        </is>
      </c>
      <c r="J102" s="10" t="inlineStr">
        <is>
          <t>2026-10-16</t>
        </is>
      </c>
      <c r="K102" s="10" t="inlineStr">
        <is>
          <t>—</t>
        </is>
      </c>
      <c r="L102" s="11" t="inlineStr">
        <is>
          <t>—</t>
        </is>
      </c>
      <c r="M102" s="11" t="inlineStr">
        <is>
          <t>—</t>
        </is>
      </c>
      <c r="N102" s="11" t="inlineStr">
        <is>
          <t>Dwa węzły z tego samego manifestu dają identyczny raport wersji; różnica widoczna w panelu.</t>
        </is>
      </c>
      <c r="O102" s="11" t="inlineStr">
        <is>
          <t>Decyzja właściciela 2026-09-26: manifest z przypiętymi wersjami (kanał i commit DirectAdmin, LiteSpeed, PHP, MariaDB, reguły CRS), szablon options.conf, sumy kontrolne pobieranych skryptów; węzeł raportuje wersje (pola daVersion/clVersion/lsVersion istnieją, nikt ich nie zapisuje), panel pokazuje różnice między węzłami. | 2026-09-26 ZROBIONE W KODZIE: manifest stos-wezla.ts → /etc/verris-stack.env (bootstrap przed DA + agent co minutę), DA_CHANNEL/DA_COMMIT/php1_release/mariadb przed setup.sh, raport wersji z agenta, audyt „Zgodność z manifestem floty”. Sumy kontrolne: instalatory producentów (setup.sh, cldeploy) nie mają publikowanych sum — zapis zamiast blokady do decyzji po D3. Zostało: DA_COMMIT z testu D3.</t>
        </is>
      </c>
      <c r="P102" s="10" t="inlineStr">
        <is>
          <t>do zrobienia</t>
        </is>
      </c>
    </row>
    <row r="103">
      <c r="A103" s="10" t="inlineStr">
        <is>
          <t>PB-31</t>
        </is>
      </c>
      <c r="B103" s="11" t="inlineStr">
        <is>
          <t>Pełna automatyzacja kreatora węzła</t>
        </is>
      </c>
      <c r="C103" s="10" t="inlineStr">
        <is>
          <t>poza audytem</t>
        </is>
      </c>
      <c r="D103" s="10" t="inlineStr">
        <is>
          <t>Praca spoza audytu</t>
        </is>
      </c>
      <c r="E103" s="10" t="inlineStr">
        <is>
          <t>WYSOKI</t>
        </is>
      </c>
      <c r="F103" s="10" t="n">
        <v>20</v>
      </c>
      <c r="G103" s="10" t="n">
        <v>16</v>
      </c>
      <c r="H103" s="10" t="inlineStr">
        <is>
          <t>Faza 3 — Wejście na rynek</t>
        </is>
      </c>
      <c r="I103" s="10" t="inlineStr">
        <is>
          <t>2026-10-12</t>
        </is>
      </c>
      <c r="J103" s="10" t="inlineStr">
        <is>
          <t>2026-10-16</t>
        </is>
      </c>
      <c r="K103" s="10" t="inlineStr">
        <is>
          <t>—</t>
        </is>
      </c>
      <c r="L103" s="11" t="inlineStr">
        <is>
          <t>—</t>
        </is>
      </c>
      <c r="M103" s="11" t="inlineStr">
        <is>
          <t>—</t>
        </is>
      </c>
      <c r="N103" s="11" t="inlineStr">
        <is>
          <t>Węzeł testowy od czystego AlmaLinux do zielonego raportu bez SSH ręcznie.</t>
        </is>
      </c>
      <c r="O103" s="11" t="inlineStr">
        <is>
          <t>Decyzja właściciela 2026-09-26: po jednej linijce reszta sama — onboard, profil, kopie off-site bez ręcznego rclone config, klucz logowania DA, IP w DA, TLS, test końcowy; właściciel wpisuje tylko klucze licencji i zatwierdza raport. Dziś ok. 12 ręcznych kroków (scp, SSH, eksport kluczy, rclone config, IP w DA…). | 2026-09-26 ZROBIONE W KODZIE: zadanie ONBOARD_LIVE (pakiet repo → /opt/verris, przycisk w kreatorze, stan i raport), klucz DA do onboardu z „da api-url”, kopie off-site floty raz w panelu (szyfrowane, node-backup-config.sh, rclone bez interakcji), auto-zlecenie onboardu po zatwierdzeniu/zapisie kopii, rekord A hosta w OVH, egress SSH/SFTP tylko dla roota + trwałe reguły nftables na AlmaLinux. Zostało ręcznie: OS, klucze licencji, stały klucz DA z ograniczeniem IP, zatwierdzenie. Test na D3.</t>
        </is>
      </c>
      <c r="P103" s="10" t="inlineStr">
        <is>
          <t>do zrobienia</t>
        </is>
      </c>
    </row>
    <row r="104">
      <c r="A104" s="10" t="inlineStr">
        <is>
          <t>PB-32</t>
        </is>
      </c>
      <c r="B104" s="11" t="inlineStr">
        <is>
          <t>Aktualizacje węzłów falami</t>
        </is>
      </c>
      <c r="C104" s="10" t="inlineStr">
        <is>
          <t>poza audytem</t>
        </is>
      </c>
      <c r="D104" s="10" t="inlineStr">
        <is>
          <t>Praca spoza audytu</t>
        </is>
      </c>
      <c r="E104" s="10" t="inlineStr">
        <is>
          <t>ŚREDNI</t>
        </is>
      </c>
      <c r="F104" s="10" t="n">
        <v>8</v>
      </c>
      <c r="G104" s="10" t="n">
        <v>16</v>
      </c>
      <c r="H104" s="10" t="inlineStr">
        <is>
          <t>Faza 3 — Wejście na rynek</t>
        </is>
      </c>
      <c r="I104" s="10" t="inlineStr">
        <is>
          <t>2026-10-12</t>
        </is>
      </c>
      <c r="J104" s="10" t="inlineStr">
        <is>
          <t>2026-10-16</t>
        </is>
      </c>
      <c r="K104" s="10" t="inlineStr">
        <is>
          <t>—</t>
        </is>
      </c>
      <c r="L104" s="11" t="inlineStr">
        <is>
          <t>—</t>
        </is>
      </c>
      <c r="M104" s="11" t="inlineStr">
        <is>
          <t>—</t>
        </is>
      </c>
      <c r="N104" s="11" t="inlineStr">
        <is>
          <t>Fala zatrzymuje się na pierwszym błędzie; status w panelu zgodny z logiem.</t>
        </is>
      </c>
      <c r="O104" s="11" t="inlineStr">
        <is>
          <t>Decyzja właściciela 2026-09-26: najpierw węzeł kanarkowy, potem reszta po jednym; prawdziwy status (dziś skrypt zawsze zwraca ok); aktualizacje z panelu zamiast samodzielnego dnf-automatic. | 2026-09-26 ZROBIONE W KODZIE: fala — kanarek (najmniej kont), potem po jednym po sukcesie, błąd zatrzymuje, druga fala odmowa; skrypt aktualizacji zwraca błąd zamiast zawsze ok; dnf-automatic tylko pobiera. Test na PostgreSQL (fala-aktualizacji.int-spec.ts). Zostało: fala na dwóch węzłach.</t>
        </is>
      </c>
      <c r="P104" s="10" t="inlineStr">
        <is>
          <t>do zrobienia</t>
        </is>
      </c>
    </row>
    <row r="105">
      <c r="A105" s="10" t="inlineStr">
        <is>
          <t>PB-33</t>
        </is>
      </c>
      <c r="B105" s="11" t="inlineStr">
        <is>
          <t>Wersje stosu floty w panelu + wyrównanie falą</t>
        </is>
      </c>
      <c r="C105" s="10" t="inlineStr">
        <is>
          <t>poza audytem</t>
        </is>
      </c>
      <c r="D105" s="10" t="inlineStr">
        <is>
          <t>Praca spoza audytu</t>
        </is>
      </c>
      <c r="E105" s="10" t="inlineStr">
        <is>
          <t>WYSOKI</t>
        </is>
      </c>
      <c r="F105" s="10" t="n">
        <v>12</v>
      </c>
      <c r="G105" s="10" t="n">
        <v>16</v>
      </c>
      <c r="H105" s="10" t="inlineStr">
        <is>
          <t>Faza 3 — Wejście na rynek</t>
        </is>
      </c>
      <c r="I105" s="10" t="inlineStr">
        <is>
          <t>2026-10-12</t>
        </is>
      </c>
      <c r="J105" s="10" t="inlineStr">
        <is>
          <t>2026-10-16</t>
        </is>
      </c>
      <c r="K105" s="10" t="inlineStr">
        <is>
          <t>—</t>
        </is>
      </c>
      <c r="L105" s="11" t="inlineStr">
        <is>
          <t>—</t>
        </is>
      </c>
      <c r="M105" s="11" t="inlineStr">
        <is>
          <t>—</t>
        </is>
      </c>
      <c r="N105" s="11" t="inlineStr">
        <is>
          <t>Zmiana wersji w panelu → nowy węzeł instaluje ją, istniejące wyrównane falą; audyt zgodności zielony.</t>
        </is>
      </c>
      <c r="O105" s="11" t="inlineStr">
        <is>
          <t>Decyzja właściciela 2026-09-26: strona „Wersje stosu floty” w panelu admina (DB, PHP, LiteSpeed, DirectAdmin) z dozwolonymi wartościami z oficjalnych list; zmiana obowiązuje nowe węzły od razu, „Wyrównaj flotę” aktualizuje istniejące falą (PHP/LiteSpeed przez CustomBuild, MariaDB po jednej wersji z kopią bazy — wymóg CloudLinux Governor). | 2026-09-26 ZROBIONE W KODZIE: manifest w bazie (StosWezlaService), strona Admin → Wersje stosu floty (dozwolone wartości z oficjalnych list, tabela zgodności), „Wyrównaj flotę” = fala z php1_release + łańcuch DB_UPGRADE krok po kroku z kopią; bootstrap i agent biorą manifest z bazy. Testy na PostgreSQL. Zostało: wyrównanie na węzłach (D3).</t>
        </is>
      </c>
      <c r="P105" s="10" t="inlineStr">
        <is>
          <t>do zrobienia</t>
        </is>
      </c>
    </row>
    <row r="106">
      <c r="A106" s="10" t="inlineStr">
        <is>
          <t>PB-35</t>
        </is>
      </c>
      <c r="B106" s="11" t="inlineStr">
        <is>
          <t>Automatyczna fala aktualizacji węzłów co tydzień</t>
        </is>
      </c>
      <c r="C106" s="10" t="inlineStr">
        <is>
          <t>poza audytem</t>
        </is>
      </c>
      <c r="D106" s="10" t="inlineStr">
        <is>
          <t>Praca spoza audytu</t>
        </is>
      </c>
      <c r="E106" s="10" t="inlineStr">
        <is>
          <t>WYSOKI</t>
        </is>
      </c>
      <c r="F106" s="10" t="n">
        <v>3</v>
      </c>
      <c r="G106" s="10" t="n">
        <v>16</v>
      </c>
      <c r="H106" s="10" t="inlineStr">
        <is>
          <t>Faza 3 — Wejście na rynek</t>
        </is>
      </c>
      <c r="I106" s="10" t="inlineStr">
        <is>
          <t>2026-10-12</t>
        </is>
      </c>
      <c r="J106" s="10" t="inlineStr">
        <is>
          <t>2026-10-16</t>
        </is>
      </c>
      <c r="K106" s="10" t="inlineStr">
        <is>
          <t>—</t>
        </is>
      </c>
      <c r="L106" s="11" t="inlineStr">
        <is>
          <t>—</t>
        </is>
      </c>
      <c r="M106" s="11" t="inlineStr">
        <is>
          <t>—</t>
        </is>
      </c>
      <c r="N106" s="11" t="inlineStr">
        <is>
          <t>Fala startuje sama w oknie; zatrzymanie widoczne w powiadomieniach admina.</t>
        </is>
      </c>
      <c r="O106" s="11" t="inlineStr">
        <is>
          <t>Decyzja właściciela 2026-09-26: fala rusza sama we wtorki o 4:00 (kanarek → reszta po jednym, błąd zatrzymuje, powiadomienie). Węzły same już niczego nie instalują (dnf-automatic tylko pobiera). | 2026-09-26 ZROBIONE W KODZIE: FalaTygodniowaScheduler (wtorek 4:00 Europe/Warsaw), zatrzymanie fali → powiadomienie adminów. Test na PostgreSQL. | 2026-10-06 D3 NA PRODUKCJI: fala ruszyła sama we wtorek 06.10 o 04:00 (zdarzenie „Uruchomiono falę aktualizacji floty”) i zakończyła się o 04:20 („Fala aktualizacji floty zakończona”) — pulpit admina, Ostatnie zdarzenia. Zatrzymanie fali z powiadomieniem adminów: D2 (test na PostgreSQL); na żywo przy pierwszym błędzie fali. ZAMKNIĘTE.</t>
        </is>
      </c>
      <c r="P106" s="10" t="inlineStr">
        <is>
          <t>do zrobienia</t>
        </is>
      </c>
    </row>
    <row r="107">
      <c r="A107" s="10" t="inlineStr">
        <is>
          <t>PB-41</t>
        </is>
      </c>
      <c r="B107" s="11" t="inlineStr">
        <is>
          <t>Obsługa: „Zaloguj jako klient” dla pracownika z uprawnieniem</t>
        </is>
      </c>
      <c r="C107" s="10" t="inlineStr">
        <is>
          <t>poza audytem</t>
        </is>
      </c>
      <c r="D107" s="10" t="inlineStr">
        <is>
          <t>Praca spoza audytu</t>
        </is>
      </c>
      <c r="E107" s="10" t="inlineStr">
        <is>
          <t>WYSOKI</t>
        </is>
      </c>
      <c r="F107" s="10" t="n">
        <v>4</v>
      </c>
      <c r="G107" s="10" t="n">
        <v>16</v>
      </c>
      <c r="H107" s="10" t="inlineStr">
        <is>
          <t>Faza 3 — Wejście na rynek</t>
        </is>
      </c>
      <c r="I107" s="10" t="inlineStr">
        <is>
          <t>2026-10-12</t>
        </is>
      </c>
      <c r="J107" s="10" t="inlineStr">
        <is>
          <t>2026-10-16</t>
        </is>
      </c>
      <c r="K107" s="10" t="inlineStr">
        <is>
          <t>—</t>
        </is>
      </c>
      <c r="L107" s="11" t="inlineStr">
        <is>
          <t>—</t>
        </is>
      </c>
      <c r="M107" s="11" t="inlineStr">
        <is>
          <t>—</t>
        </is>
      </c>
      <c r="N107" s="11" t="inlineStr">
        <is>
          <t>Pracownik z uprawnieniem wchodzi na konto klienta z panelu staff, bez uprawnienia — odmowa z komunikatem; powód i czas w dzienniku obu stron; testy guardu i kontrolera.</t>
        </is>
      </c>
      <c r="O107" s="11" t="inlineStr">
        <is>
          <t>Decyzja właściciela 2026-10-08: staff wchodzi na konto klienta z osobnym uprawnieniem, obowiązkowym powodem (np. numer zgłoszenia), sesją 30 min i wpisem w dzienniku klienta i staff — jak admin. Stan 2026-10-08: panel staff ma przycisk (crm/actions.ts), serwis dopuszcza staff (users.admin.service.ts), a endpoint ma @Roles(ADMIN) (users.admin.controller.ts) — staff dostaje 403. | 2026-10-08 KOD (zob. commit „PB-41”): uprawnienie CUSTOMERS_IMPERSONATE, endpoint dla ADMIN + STAFF z uprawnieniem; przy okazji zakończenie impersonacji było odrzucane 403 (brak USER_IMPERSONATION_STOPPED w dzienniku) — naprawione. Testy D2. Zostaje: D3 — rola staff z uprawnieniem, wejście na o05 i zakończenie, START i STOP w dzienniku.</t>
        </is>
      </c>
      <c r="P107" s="10" t="inlineStr">
        <is>
          <t>do zrobienia</t>
        </is>
      </c>
    </row>
    <row r="108">
      <c r="A108" s="10" t="inlineStr">
        <is>
          <t>PB-42</t>
        </is>
      </c>
      <c r="B108" s="11" t="inlineStr">
        <is>
          <t>Obsługa: podgląd konta klienta (DNS, domeny, poczta, bazy, PHP, SSL, cron, logi, zasoby, kopie)</t>
        </is>
      </c>
      <c r="C108" s="10" t="inlineStr">
        <is>
          <t>poza audytem</t>
        </is>
      </c>
      <c r="D108" s="10" t="inlineStr">
        <is>
          <t>Praca spoza audytu</t>
        </is>
      </c>
      <c r="E108" s="10" t="inlineStr">
        <is>
          <t>WYSOKI</t>
        </is>
      </c>
      <c r="F108" s="10" t="n">
        <v>30</v>
      </c>
      <c r="G108" s="10" t="n">
        <v>16</v>
      </c>
      <c r="H108" s="10" t="inlineStr">
        <is>
          <t>Faza 3 — Wejście na rynek</t>
        </is>
      </c>
      <c r="I108" s="10" t="inlineStr">
        <is>
          <t>2026-10-12</t>
        </is>
      </c>
      <c r="J108" s="10" t="inlineStr">
        <is>
          <t>2026-10-16</t>
        </is>
      </c>
      <c r="K108" s="10" t="inlineStr">
        <is>
          <t>—</t>
        </is>
      </c>
      <c r="L108" s="11" t="inlineStr">
        <is>
          <t>—</t>
        </is>
      </c>
      <c r="M108" s="11" t="inlineStr">
        <is>
          <t>—</t>
        </is>
      </c>
      <c r="N108" s="11" t="inlineStr">
        <is>
          <t>W panelu staff i admin karta usługi pokazuje wymienione sekcje z żywego węzła; odczyt wymaga uprawnienia i trafia do dziennika; testy kontrolera (uprawnienia, cudza usługa) i panelu; sprawdzone na t1 na koncie d3.</t>
        </is>
      </c>
      <c r="O108" s="11" t="inlineStr">
        <is>
          <t>Decyzja właściciela 2026-10-08: rdzeń przed betą — testerzy zgłaszają problemy, obsługa musi je widzieć bez wchodzenia na serwer. Karta usługi w staff i admin: domeny dodatkowe i poddomeny, rekordy DNS, skrzynki z rozmiarami i przekierowania, bazy z rozmiarami, wersja PHP, SSL (wystawca, ważność), cron, logi błędów i dostępu WWW, log poczty, zużycie zasobów, kopie zapasowe. Tylko odczyt, z uprawnieniem i wpisem w dzienniku; white label jak u klienta. Stan 2026-10-08: API klienta ma te dane (services.controller.ts), panele obsługi — nie. | 2026-10-08 KOD (pakiet obsługi: implementacja, przegląd adwersaryjny, poprawki, scalenie): GET admin/subscriptions/:id/konto/{domeny,dns,poczta,bazy,php,ssl,cron,logi,logi-poczty} za ACCOUNT_DIAGNOSTICS_VIEW, właściciel zawsze z bazy, każdy odczyt w dzienniku (OPERATOR_ACCOUNT_VIEWED, klient nie widzi); maskowanie poświadczeń w poleceniach crona (MYSQL_PWD, -u user:hasło, user:hasło@, klucze w adresie); sekcje ładowane na żądanie w staff i admin. Testy D2. Zostaje: D3 — operator z L2 otwiera sekcje konta d3 na t1, wpisy w dzienniku.</t>
        </is>
      </c>
      <c r="P108" s="10" t="inlineStr">
        <is>
          <t>do zrobienia</t>
        </is>
      </c>
    </row>
    <row r="109">
      <c r="A109" s="10" t="inlineStr">
        <is>
          <t>PB-43</t>
        </is>
      </c>
      <c r="B109" s="11" t="inlineStr">
        <is>
          <t>Obsługa: zgłoszenie powiązane z usługą + diagnostyka z poziomu zgłoszenia</t>
        </is>
      </c>
      <c r="C109" s="10" t="inlineStr">
        <is>
          <t>poza audytem</t>
        </is>
      </c>
      <c r="D109" s="10" t="inlineStr">
        <is>
          <t>Praca spoza audytu</t>
        </is>
      </c>
      <c r="E109" s="10" t="inlineStr">
        <is>
          <t>WYSOKI</t>
        </is>
      </c>
      <c r="F109" s="10" t="n">
        <v>12</v>
      </c>
      <c r="G109" s="10" t="n">
        <v>16</v>
      </c>
      <c r="H109" s="10" t="inlineStr">
        <is>
          <t>Faza 3 — Wejście na rynek</t>
        </is>
      </c>
      <c r="I109" s="10" t="inlineStr">
        <is>
          <t>2026-10-12</t>
        </is>
      </c>
      <c r="J109" s="10" t="inlineStr">
        <is>
          <t>2026-10-16</t>
        </is>
      </c>
      <c r="K109" s="10" t="inlineStr">
        <is>
          <t>—</t>
        </is>
      </c>
      <c r="L109" s="11" t="inlineStr">
        <is>
          <t>—</t>
        </is>
      </c>
      <c r="M109" s="11" t="inlineStr">
        <is>
          <t>—</t>
        </is>
      </c>
      <c r="N109" s="11" t="inlineStr">
        <is>
          <t>Zgłoszenie zapisuje usługę (migracja bazy), panel klienta pozwala ją wybrać, staff widzi diagnostykę i kartę usługi przy rozmowie; testy na PostgreSQL.</t>
        </is>
      </c>
      <c r="O109" s="11" t="inlineStr">
        <is>
          <t>Decyzja właściciela 2026-10-08: rdzeń przed betą. Zgłoszenie ma usługę (wybór klienta przy tworzeniu, zmiana przez obsługę), obok rozmowy diagnostyka tej usługi i skrót do karty usługi; runbooki z szablonami dla najczęstszych spraw (strona nie działa, poczta, SSL, migracja). Stan 2026-10-08: Ticket nie ma subscriptionId, diagnostyki nie da się uruchomić ze zgłoszenia, runbook ma dwa szablony. | 2026-10-08 KOD (pakiet obsługi): Ticket.subscriptionId (migracja), wybór usługi w nowym zgłoszeniu (panel klienta), usługa i diagnostyka przy rozmowie w staff (TICKETS_MANAGE, w dzienniku), zmiana powiązania warunkowa (409 przy wyścigu), subkonto nie widzi usługi spoza zakresu, runbooki. Testy D2. Zostaje: D3 — zgłoszenie d3 z usługą, diagnostyka z rozmowy w staff. | 2026-10-09 KOD (L1-KARTA): L1 Konsultant otwiera kartę usługi w trybie podglądu (dekorator @StaffPermAny: GET karty za CUSTOMERS_VIEW lub SUBSCRIPTIONS_MANAGE; diagnostyka z karty też za TICKETS_MANAGE jak z rozmowy, w dzienniku OPERATOR_ACCOUNT_VIEWED sekcja 'diagnostyka'). Zmiana planu, kopie, migracje, podgląd konta PB-42 nadal wg uprawnień (L2+). Naprawiony błąd: brak uprawnienia do subskrypcji wywracał całą kartę (eligible-plans 403) — teraz komunikat w sekcji. Przegląd adwersaryjny: @StaffPermAny na klasie otwierał trasę bez sprawdzania — zawężone do dekoratora metody. Testy D2.</t>
        </is>
      </c>
      <c r="P109" s="10" t="inlineStr">
        <is>
          <t>do zrobienia</t>
        </is>
      </c>
    </row>
    <row r="110">
      <c r="A110" s="10" t="inlineStr">
        <is>
          <t>PB-54</t>
        </is>
      </c>
      <c r="B110" s="11" t="inlineStr">
        <is>
          <t>Odtworzenie z kopii na żywo przed betą (bazy platformy + konto na t1)</t>
        </is>
      </c>
      <c r="C110" s="10" t="inlineStr">
        <is>
          <t>poza audytem</t>
        </is>
      </c>
      <c r="D110" s="10" t="inlineStr">
        <is>
          <t>Praca spoza audytu</t>
        </is>
      </c>
      <c r="E110" s="10" t="inlineStr">
        <is>
          <t>KRYTYCZNY</t>
        </is>
      </c>
      <c r="F110" s="10" t="n">
        <v>4</v>
      </c>
      <c r="G110" s="10" t="n">
        <v>16</v>
      </c>
      <c r="H110" s="10" t="inlineStr">
        <is>
          <t>Faza 3 — Wejście na rynek</t>
        </is>
      </c>
      <c r="I110" s="10" t="inlineStr">
        <is>
          <t>2026-10-12</t>
        </is>
      </c>
      <c r="J110" s="10" t="inlineStr">
        <is>
          <t>2026-10-16</t>
        </is>
      </c>
      <c r="K110" s="10" t="inlineStr">
        <is>
          <t>—</t>
        </is>
      </c>
      <c r="L110" s="11" t="inlineStr">
        <is>
          <t>—</t>
        </is>
      </c>
      <c r="M110" s="11" t="inlineStr">
        <is>
          <t>—</t>
        </is>
      </c>
      <c r="N110" s="11" t="inlineStr">
        <is>
          <t>Wiersz RestoreDrill z wynikiem OK, datą i właścicielem nie starszy niż 30 dni w dniu startu bety (19.10); zapis odtworzenia konta na t1 z datą, czasem i wynikiem; H-20 → DZIAŁA (D4), flaga BLOKER zdjęta; termin kolejnej próby w kalendarzu.</t>
        </is>
      </c>
      <c r="O110" s="11" t="inlineStr">
        <is>
          <t>Dowód D4 odtwarzania wygasł: ostatnia udana próba (bazy platformy) jest z 2026-08-22/23 — odczyt na produkcji 10.10 ok. 13:00 (Flota → Kopie); ważność 30 dni minęła 21.09, więc H-20 wrócił do CZĘŚCIOWE i do blokerów startu. Zakres: (1) próba odtworzenia bazy platformy (restore-drill-isolated.sh, wiersz w RestoreDrill) — liczona w macierzy jako H-20:2 w tym samym sprincie; (2) tutaj: odtworzenie jednego konta hostingowego na t1 z kopii off-site (pliki, baza, poczta) wg ops/docs/OFFSITE_RESTORE_RUNBOOK.md, z datą, czasem i wynikiem, oraz termin kolejnej próby (cykl 30 dni; przypomnienie już istnieje). Godziny: szacunek, nie z planu rozbudowy. | 2026-10-11: zaplanowane — odtworzenie konta d3 z kopii off-site na t1 (11.10) + drill bazy platformy na CP (Dominik).</t>
        </is>
      </c>
      <c r="P110" s="10" t="inlineStr">
        <is>
          <t>do zrobienia</t>
        </is>
      </c>
    </row>
    <row r="111">
      <c r="A111" s="10" t="inlineStr">
        <is>
          <t>PB-55</t>
        </is>
      </c>
      <c r="B111" s="11" t="inlineStr">
        <is>
          <t>Pula sprzedażowa t1 przed wznowieniem nowych kont (18.10)</t>
        </is>
      </c>
      <c r="C111" s="10" t="inlineStr">
        <is>
          <t>poza audytem</t>
        </is>
      </c>
      <c r="D111" s="10" t="inlineStr">
        <is>
          <t>Praca spoza audytu</t>
        </is>
      </c>
      <c r="E111" s="10" t="inlineStr">
        <is>
          <t>WYSOKI</t>
        </is>
      </c>
      <c r="F111" s="10" t="n">
        <v>2</v>
      </c>
      <c r="G111" s="10" t="n">
        <v>16</v>
      </c>
      <c r="H111" s="10" t="inlineStr">
        <is>
          <t>Faza 3 — Wejście na rynek</t>
        </is>
      </c>
      <c r="I111" s="10" t="inlineStr">
        <is>
          <t>2026-10-12</t>
        </is>
      </c>
      <c r="J111" s="10" t="inlineStr">
        <is>
          <t>2026-10-16</t>
        </is>
      </c>
      <c r="K111" s="10" t="inlineStr">
        <is>
          <t>—</t>
        </is>
      </c>
      <c r="L111" s="11" t="inlineStr">
        <is>
          <t>—</t>
        </is>
      </c>
      <c r="M111" s="11" t="inlineStr">
        <is>
          <t>—</t>
        </is>
      </c>
      <c r="N111" s="11" t="inlineStr">
        <is>
          <t>Decyzja zapisana; karta węzła t1 pokazuje zapas kont co najmniej równy liczbie testerów bety; próbny zakup hostingu z konta testowego przechodzi przez selektor przed 18.10.</t>
        </is>
      </c>
      <c r="O111" s="11" t="inlineStr">
        <is>
          <t>D3 10.10 ok. 13:00 (karta węzła TEST-NRB-01): pula sprzedażowa wyczerpana przez dysk — przydzielone kontom 100 GB na 75 GB, zapas 0 kont. Po wznowieniu nowych kont 18.10 testerzy bety nie kupią hostingu. Decyzja właściciela (w toku): zmiana nadsubskrypcji dysku na t1 albo zmniejszenie przydziałów (np. usunięcie kont próbnych). Bramka handlowa (Z-12) działa zgodnie z kodem — to decyzja konfiguracyjna, nie błąd. Godziny: szacunek. | 2026-10-11 DECYZJA WŁAŚCICIELA: usunąć konta próbne na t1 (nie zmieniać nadsubskrypcji).</t>
        </is>
      </c>
      <c r="P111" s="10" t="inlineStr">
        <is>
          <t>do zrobienia</t>
        </is>
      </c>
    </row>
    <row r="112">
      <c r="A112" s="10" t="inlineStr">
        <is>
          <t>P-15</t>
        </is>
      </c>
      <c r="B112" s="11" t="inlineStr">
        <is>
          <t>Podpisane DPA z subprocesorami (część)</t>
        </is>
      </c>
      <c r="C112" s="10" t="inlineStr">
        <is>
          <t>audyt</t>
        </is>
      </c>
      <c r="D112" s="10" t="inlineStr">
        <is>
          <t>P — Zgodność</t>
        </is>
      </c>
      <c r="E112" s="10" t="inlineStr">
        <is>
          <t>BLOKER STARTU</t>
        </is>
      </c>
      <c r="F112" s="10" t="n">
        <v>6</v>
      </c>
      <c r="G112" s="10" t="n">
        <v>17</v>
      </c>
      <c r="H112" s="10" t="inlineStr">
        <is>
          <t>Faza 3 — Wejście na rynek</t>
        </is>
      </c>
      <c r="I112" s="10" t="inlineStr">
        <is>
          <t>2026-11-23</t>
        </is>
      </c>
      <c r="J112" s="10" t="inlineStr">
        <is>
          <t>2026-11-27</t>
        </is>
      </c>
      <c r="K112" s="10" t="inlineStr">
        <is>
          <t>DZIAŁA</t>
        </is>
      </c>
      <c r="L112" s="11" t="inlineStr">
        <is>
          <t>docs/legal/dpa-subprocessors-tracking.md — tabela statusow po korekcie 2026-09-19. Stripe i AWS: DPA obowiazuje z mocy umowy glownej. Hetzner i Openprovider: akceptacja w panelu, jeszcze nie wykonana. Cloudflare: mechanizm do potwierdzenia.</t>
        </is>
      </c>
      <c r="M112" s="11" t="inlineStr">
        <is>
          <t>—</t>
        </is>
      </c>
      <c r="N112" s="11" t="inlineStr">
        <is>
          <t>Funkcja dostępna z panelu klienta bez wychodzenia do DirectAdmina; test uruchamiany w CI.</t>
        </is>
      </c>
      <c r="O112" s="11" t="inlineStr">
        <is>
          <t>POTWIERDZONE jako bloker, dowód poprawiony: tracker istnieje (wcześniejszy zapis „brak w repo” był fałszywy), ale ani jedno DPA nie jest podpisane — Stripe, dostawca VPS, dostawca backupu off-site, OpenProvider. Bez tego DPA podpisywane z klientem jest niekompletne. | KOREKTA 2026-09-19: naklad M (16 h) -&gt; S (6 h) i pozycja w calosci w sprincie 4. Zalozenie "zalezy od tempa dostawcow, nie od nas" bylo NIEPRAWDZIWE i kosztowalo cztery tygodnie w planie: P-15 bylo rozbite na sprinty 4 i 10, przez co domkniecie blokerow stalo na 2026-11-02. Sprawdzone u zrodla: u zadnego z pieciu dostawcow nie trzeba nikogo prosic — trzy DPA obowiazuja z mocy umowy glownej (Stripe, AWS, warunkowo Cloudflare), dwa akceptuje sie kliknieciem w panelu (Hetzner accounts.hetzner.com/account/dpa, Openprovider control panel). Jedyna praca wlasna to Zalacznik 1 do DPA Hetznera: kategorie danych i krag osob, w tym UZYTKOWNICY KONCOWI SERWISOW KLIENTOW — najlatwiejsza do pominiecia i najwieksza grupa. Rownolegle poprawiona lista subprocesorow, ktora byla nieaktualna od 2026-07-07: wymieniala "dostawca VPS (OVH/Hetzner)" i "dostawca backupu" jako nierozstrzygniete oraz reCAPTCHA zamiast Turnstile. | 2026-09-23: dopisany Streamsoft Firmino (program księgowy, akceptacja w Ustawienia → RODO → Umowa powierzenia); OpenAI poza listą — AI wyłączone na start; ClouDNS przy zakupie w sprincie 18. | 2026-09-23: właściciel potwierdził akceptację umów powierzenia i uruchomienie skrzynek; dowody (numery umów / zrzuty z paneli) do dopisania w trackerze przy weryfikacji przed startem. | 2026-09-25: doszli OpenAI Ireland Ltd i Anthropic Ireland, Limited (asystent AI) — DPA z SCC obowiązuje z akceptacją umowy przy założeniu konta API; Polityka prywatności 1.0.3 w drafts/privacy.md do publikacji przed wpisaniem kluczy. Do DPA z klientami (Zał. 2) nie wchodzą. | 2026-09-27: właściciel — umowy powierzenia zaakceptowane przy zakładaniu kont (Hetzner, Openprovider, Cloudflare, Firmino; konta używane od wcześniejszego hostingu na Plesku), dokładnych dat nie pamięta. Cloudflare: DPA wchodzi z umową główną. Hetzner: umowę powierzenia zawiera się osobno w accounts.hetzner.com → Data protection — do potwierdzenia jednym spojrzeniem (data zawarcia widoczna na stronie), wtedy ZAMKNIĘTE. | 2026-09-27 ZAMKNIĘTE: Hetzner — DPA v1.2 zawarta 27.09.2026 (klient K0265867421, Załącznik 1 z użytkownikami końcowymi stron i poczty klientów; PDF u właściciela); Openprovider, Cloudflare, Firmino — zaakceptowane przy rejestracji (właściciel); Stripe, AWS — z umowy głównej. Tracker: docs/legal/dpa-subprocessors-tracking.md.</t>
        </is>
      </c>
      <c r="P112" s="10" t="inlineStr">
        <is>
          <t>do zrobienia</t>
        </is>
      </c>
    </row>
    <row r="113">
      <c r="A113" s="10" t="inlineStr">
        <is>
          <t>N-14</t>
        </is>
      </c>
      <c r="B113" s="11" t="inlineStr">
        <is>
          <t>Cordon wysyłki poczty (auto-blokada spamu)</t>
        </is>
      </c>
      <c r="C113" s="10" t="inlineStr">
        <is>
          <t>audyt</t>
        </is>
      </c>
      <c r="D113" s="10" t="inlineStr">
        <is>
          <t>N — Wsparcie i ops</t>
        </is>
      </c>
      <c r="E113" s="10" t="inlineStr">
        <is>
          <t>WYSOKA</t>
        </is>
      </c>
      <c r="F113" s="10" t="n">
        <v>6</v>
      </c>
      <c r="G113" s="10" t="n">
        <v>17</v>
      </c>
      <c r="H113" s="10" t="inlineStr">
        <is>
          <t>Faza 3 — Wejście na rynek</t>
        </is>
      </c>
      <c r="I113" s="10" t="inlineStr">
        <is>
          <t>2026-11-23</t>
        </is>
      </c>
      <c r="J113" s="10" t="inlineStr">
        <is>
          <t>2026-11-27</t>
        </is>
      </c>
      <c r="K113" s="10" t="inlineStr">
        <is>
          <t>DZIAŁA</t>
        </is>
      </c>
      <c r="L113" s="11" t="inlineStr">
        <is>
          <t>2026-09-23: admin-panel /deliverability (Blokady wysyłki poczty, link w menu) → GET/POST /admin/deliverability/cordons; lista z e-mailem i nazwą klienta | 2026-10-10 (audyt paneli operatora, OC-10): kordon sprawdzany wyłącznie w module e-mail marketingu — email-marketing.service.ts:551,642 to jedyne wywołania assertNotCordoned/isCordoned; flaga w Redis (outbound-abuse.guard.ts:73-91) nie trafia do Exima ani do DA | 2026-10-11 D3: poczta-konta-operatora.service.ts:89 (zablokuj), :118 (zwolnij); test int poczta-konta-operatora.int-spec.ts; t1 d3.hvln.pl: mail() z PHP przed blokadą true (15:43:45), po „Zablokuj wysyłkę” false (15:45:24), kolejka konta i węzła 0 (15:46:15), po „Zwolnij” true (15:47:33); dziennik HOSTING_MAIL_SENDING_BLOCKED/UNBLOCKED + OUTBOUND_CORDON_APPLIED</t>
        </is>
      </c>
      <c r="M113" s="11" t="inlineStr">
        <is>
          <t>—</t>
        </is>
      </c>
      <c r="N113" s="11" t="inlineStr">
        <is>
          <t>Funkcja dostępna z panelu klienta bez wychodzenia do DirectAdmina; test uruchamiany w CI.</t>
        </is>
      </c>
      <c r="O113" s="11" t="inlineStr">
        <is>
          <t>mechanizm działa, operator nie może go zobaczyć ani zdjąć | Operator widzi kogo i dlaczego zablokowano oraz zdejmuje blokadę (ADMIN, z potwierdzeniem, audyt po stronie API). | 2026-10-10: DEGRADACJA (pass adwersaryjny audytu paneli operatora, OC-10 + OG-01): kordon zatrzymuje tylko kampanie z panelu; mail() z PHP i SMTP konta wysyłają dalej, a to, co już jest w kolejce Exima, i tak wychodzi. Na wspólnym IP węzła jedno konto psuje reputację wszystkim; zatrzymać spam z konta można dziś tylko zawieszeniem całej usługi. DECYZJA WŁAŚCICIELA D4 (10.10): blokada wysyłki konta + kolejka MTA to bloker przed otwartą betą 7.12. Warunek zamknięcia: „Zablokuj wysyłkę konta” / „Zwolnij” (limit DA albo blokada w Eximie per użytkownik) i „Usuń wiadomości konta z kolejki”; test na t1: mail() z PHP zablokowanego konta odrzucony, kolejka czysta. Realizacja: N-14 + PB-52 w sprincie 17. Zwalnianie kordonu zostaje tylko dla ADMIN. | 2026-10-11: warunek zamknięcia z D4 spełniony na t1 (PB-52) — flaga BLOKER STARTU zdjęta. Limit wysyłki 5/dobę i kolejka konta/węzła też sprawdzone na żywo.</t>
        </is>
      </c>
      <c r="P113" s="10" t="inlineStr">
        <is>
          <t>do zrobienia</t>
        </is>
      </c>
    </row>
    <row r="114">
      <c r="A114" s="10" t="inlineStr">
        <is>
          <t>PB-03</t>
        </is>
      </c>
      <c r="B114" s="11" t="inlineStr">
        <is>
          <t>Finalizacja dokumentów prawnych 1.0.0</t>
        </is>
      </c>
      <c r="C114" s="10" t="inlineStr">
        <is>
          <t>poza audytem</t>
        </is>
      </c>
      <c r="D114" s="10" t="inlineStr">
        <is>
          <t>Praca spoza audytu</t>
        </is>
      </c>
      <c r="E114" s="10" t="inlineStr">
        <is>
          <t>BLOKER BIZNESOWY</t>
        </is>
      </c>
      <c r="F114" s="10" t="n">
        <v>16</v>
      </c>
      <c r="G114" s="10" t="n">
        <v>17</v>
      </c>
      <c r="H114" s="10" t="inlineStr">
        <is>
          <t>Faza 3 — Wejście na rynek</t>
        </is>
      </c>
      <c r="I114" s="10" t="inlineStr">
        <is>
          <t>2026-11-23</t>
        </is>
      </c>
      <c r="J114" s="10" t="inlineStr">
        <is>
          <t>2026-11-27</t>
        </is>
      </c>
      <c r="K114" s="10" t="inlineStr">
        <is>
          <t>—</t>
        </is>
      </c>
      <c r="L114" s="11" t="inlineStr">
        <is>
          <t>—</t>
        </is>
      </c>
      <c r="M114" s="11" t="inlineStr">
        <is>
          <t>—</t>
        </is>
      </c>
      <c r="N114" s="11" t="inlineStr">
        <is>
          <t>Wszystkie dokumenty w statusie opublikowanym z numerem wersji i datą. Panel /legal nie pokazuje ani jednego „Dokument w przygotowaniu”.</t>
        </is>
      </c>
      <c r="O114" s="11" t="inlineStr">
        <is>
          <t>Regulamin, polityka prywatności, SLA, DPA, polityka cookies — wyjście z DRAFT-u, wersjonowanie i publikacja w panelu. | 2026-09-23: decyzje właściciela — publikacja bez zewnętrznego przeglądu, raz, tuż przed pierwszym klientem; kontakt @verris.pl + telefon; Firmino (Streamsoft) dopisany do polityki i listy; AI wyłączone na start; §9 ust. 4 regulaminu (faktury z programu księgowego) — regulamin 1.2.0, polityka 1.0.2. Zostaje: §10 ust. 5 (kopie kont) po D3 węzła, ClouDNS po zakupie, akceptacje DPA (Hetzner, Openprovider, Cloudflare, Firmino), skrzynki kontakt@/rodo@/abuse@/security@. | 2026-09-26: pakiet publikacji — rozjazdy wersji (nagłówki 1.2.0/1.0.3/1.0.0, stopki z lipca, skrypt publikuje jako 1.2.0) → propozycja: wszystko 1.0.0 z datą publikacji; tekst §10 ust. 5 z miejscami na wartości z D3; wiersz ClouDNS (Cloud DNS Ltd., Sofia — DPA do potwierdzenia u dostawcy); lista kroków — docs/legal/drafts/DO_ZATWIERDZENIA_PB-03_publikacja-1.0.0.md (DO ZATWIERDZENIA, nic nie opublikowane/złożone). | 2026-10-06 OPUBLIKOWANE (prod-legal-publish-live.sh, właściciel): TERMS, PRIVACY, COOKIES, DPA v1.1.0 → isCurrent, obowiązują od 6.10.2026; panel /legal pokazuje cztery dokumenty z wersją i datą, żadnego „w przygotowaniu”; ponowna akceptacja przy wejściu działa (P-05). Po publikacji AI dla wszystkich (L-11/L-12). Zostaje po starcie: ClouDNS (zmiana z 30-dniowym powiadomieniem). ZAMKNIĘTE.</t>
        </is>
      </c>
      <c r="P114" s="10" t="inlineStr">
        <is>
          <t>do zrobienia</t>
        </is>
      </c>
    </row>
    <row r="115">
      <c r="A115" s="10" t="inlineStr">
        <is>
          <t>PB-04</t>
        </is>
      </c>
      <c r="B115" s="11" t="inlineStr">
        <is>
          <t>Procedura obsługi nadużyć (abuse) — dokument</t>
        </is>
      </c>
      <c r="C115" s="10" t="inlineStr">
        <is>
          <t>poza audytem</t>
        </is>
      </c>
      <c r="D115" s="10" t="inlineStr">
        <is>
          <t>Praca spoza audytu</t>
        </is>
      </c>
      <c r="E115" s="10" t="inlineStr">
        <is>
          <t>WYSOKI</t>
        </is>
      </c>
      <c r="F115" s="10" t="n">
        <v>8</v>
      </c>
      <c r="G115" s="10" t="n">
        <v>17</v>
      </c>
      <c r="H115" s="10" t="inlineStr">
        <is>
          <t>Faza 3 — Wejście na rynek</t>
        </is>
      </c>
      <c r="I115" s="10" t="inlineStr">
        <is>
          <t>2026-11-23</t>
        </is>
      </c>
      <c r="J115" s="10" t="inlineStr">
        <is>
          <t>2026-11-27</t>
        </is>
      </c>
      <c r="K115" s="10" t="inlineStr">
        <is>
          <t>—</t>
        </is>
      </c>
      <c r="L115" s="11" t="inlineStr">
        <is>
          <t>—</t>
        </is>
      </c>
      <c r="M115" s="11" t="inlineStr">
        <is>
          <t>—</t>
        </is>
      </c>
      <c r="N115" s="11" t="inlineStr">
        <is>
          <t>Dokument w ops/docs z właścicielem i czasami reakcji. Test: zgłoszenie wysłane na abuse@ trafia do kogoś i ma odpowiedź w deklarowanym czasie.</t>
        </is>
      </c>
      <c r="O115" s="11" t="inlineStr">
        <is>
          <t>Adres abuse@ obsługiwany, ścieżka od zgłoszenia do reakcji, czasy reakcji, kto decyduje o zawieszeniu, wzory odpowiedzi do CERT i rejestratorów. | 2026-09-23: dokument ops/docs/ABUSE.md — właściciel, źródła zgłoszeń, kategorie P0/P1/P2 z czasami (potwierdzenie 4 h/24 h/24 h, działanie 24 h/48 h/5 dni rob.), ścieżka krok po kroku z narzędziami panelu (A-25/A-26, N-14), kto decyduje, szablony A–D (w tym DSA art. 17 i odpowiedź dla Hetznera/CERT), test kwartalny. Zostaje: skrzynka abuse@verris.pl i test zgłoszenia (definicja ukończenia); formularz w stopce z landingiem (PB-06). | 2026-09-27 ZAMKNIĘTE: skrzynka abuse@verris.pl działa (przekierowanie na skrzynkę właściciela — potwierdzone przez właściciela 23.09 i 27.09); test zgłoszenia: formularz /zglos-naduzycie → ABUSE_REPORT_RECEIVED 24.09 (test-live-verris.pl, PHISHING) → decyzja w panelu obsługi 26.09 (N-13).</t>
        </is>
      </c>
      <c r="P115" s="10" t="inlineStr">
        <is>
          <t>do zrobienia</t>
        </is>
      </c>
    </row>
    <row r="116">
      <c r="A116" s="10" t="inlineStr">
        <is>
          <t>PB-52</t>
        </is>
      </c>
      <c r="B116" s="11" t="inlineStr">
        <is>
          <t>Blokada wysyłki konta i kolejka MTA (bloker B3, decyzja D4)</t>
        </is>
      </c>
      <c r="C116" s="10" t="inlineStr">
        <is>
          <t>poza audytem</t>
        </is>
      </c>
      <c r="D116" s="10" t="inlineStr">
        <is>
          <t>Praca spoza audytu</t>
        </is>
      </c>
      <c r="E116" s="10" t="inlineStr">
        <is>
          <t>KRYTYCZNY</t>
        </is>
      </c>
      <c r="F116" s="10" t="n">
        <v>24</v>
      </c>
      <c r="G116" s="10" t="n">
        <v>17</v>
      </c>
      <c r="H116" s="10" t="inlineStr">
        <is>
          <t>Faza 3 — Wejście na rynek</t>
        </is>
      </c>
      <c r="I116" s="10" t="inlineStr">
        <is>
          <t>2026-11-23</t>
        </is>
      </c>
      <c r="J116" s="10" t="inlineStr">
        <is>
          <t>2026-11-27</t>
        </is>
      </c>
      <c r="K116" s="10" t="inlineStr">
        <is>
          <t>—</t>
        </is>
      </c>
      <c r="L116" s="11" t="inlineStr">
        <is>
          <t>—</t>
        </is>
      </c>
      <c r="M116" s="11" t="inlineStr">
        <is>
          <t>—</t>
        </is>
      </c>
      <c r="N116" s="11" t="inlineStr">
        <is>
          <t>Test na t1: mail() z PHP zablokowanego konta jest odrzucany, po „Usuń wiadomości konta” kolejka węzła jest czysta, „Zwolnij” przywraca wysyłkę; wpisy w dzienniku; N-14 → DZIAŁA z D3, flaga BLOKER zdjęta.</t>
        </is>
      </c>
      <c r="O116" s="11" t="inlineStr">
        <is>
          <t>Bloker operatora B3 z audytu paneli operatora (OC-10 + OG-01): kordon wysyłki działa tylko w module e-mail marketingu (email-marketing.service.ts:551,642), mail() z PHP i SMTP konta wysyłają dalej, a kolejka Exima i tak wychodzi; na wspólnym IP węzła jedno konto psuje reputację wszystkim. Decyzja właściciela D4 (10.10): bloker przed otwartą betą 7.12, bo wtedy na węźle pojawiają się cudze strony. Zakres F3.1 planu rozbudowy (30 h, z czego 6 h liczy pozycja N-14 w macierzy): „Zablokuj wysyłkę konta” / „Zwolnij” (limit DA albo blokada w Eximie per użytkownik), kolejka MTA węzła i konta (podgląd nagłówków, szukaj, usuń, wypchnij), limity wysyłki per konto, najwięksi nadawcy i odrzucenia, RBL na żądanie. Usunięcie wiadomości jest nieodwracalne — zawsze z podglądem i potwierdzeniem; treść maila tylko dla ADMIN z powodem. Uprawnienia: L2 kolejka konta, L3 blokada, NOC węzeł. TERMIN: przed otwartą betą 7.12. | 2026-10-11 D3 na t1: DoD spełnione (mail() zablokowanego konta odrzucony, kolejka czysta, zwolnienie przywraca wysyłkę, dziennik) — N-14 DZIAŁA, bloker zdjęty.</t>
        </is>
      </c>
      <c r="P116" s="10" t="inlineStr">
        <is>
          <t>do zrobienia</t>
        </is>
      </c>
    </row>
    <row r="117">
      <c r="A117" s="10" t="inlineStr">
        <is>
          <t>N-16</t>
        </is>
      </c>
      <c r="B117" s="11" t="inlineStr">
        <is>
          <t>SLA z zapisanymi kredytami</t>
        </is>
      </c>
      <c r="C117" s="10" t="inlineStr">
        <is>
          <t>audyt</t>
        </is>
      </c>
      <c r="D117" s="10" t="inlineStr">
        <is>
          <t>N — Wsparcie i ops</t>
        </is>
      </c>
      <c r="E117" s="10" t="inlineStr">
        <is>
          <t>WYSOKA</t>
        </is>
      </c>
      <c r="F117" s="10" t="n">
        <v>6</v>
      </c>
      <c r="G117" s="10" t="n">
        <v>18</v>
      </c>
      <c r="H117" s="10" t="inlineStr">
        <is>
          <t>Faza 3 — Wejście na rynek</t>
        </is>
      </c>
      <c r="I117" s="10" t="inlineStr">
        <is>
          <t>2026-11-30</t>
        </is>
      </c>
      <c r="J117" s="10" t="inlineStr">
        <is>
          <t>2026-12-04</t>
        </is>
      </c>
      <c r="K117" s="10" t="inlineStr">
        <is>
          <t>DZIAŁA</t>
        </is>
      </c>
      <c r="L117" s="11" t="inlineStr">
        <is>
          <t>sla-credit.scheduler.ts — wylicz() (progi §15, miesiąc kalendarzowy, okna konserwacyjne, 1 wypłata/usługę/miesiąc) + run() za flagą; GET /admin/sla/podglad + admin Ustawienia platformy → Podgląd kredytów SLA; live-readiness sla_credits (fail, gdy wyłączone); testy D2 sla-credit.scheduler.spec.ts + sla-credit.wylicz.spec.ts</t>
        </is>
      </c>
      <c r="M117" s="11" t="inlineStr">
        <is>
          <t>PB-03 (kredyty SLA muszą być zgodne z opublikowanym regulaminem)</t>
        </is>
      </c>
      <c r="N117" s="11" t="inlineStr">
        <is>
          <t>Funkcja dostępna z panelu klienta bez wychodzenia do DirectAdmina; test uruchamiany w CI.</t>
        </is>
      </c>
      <c r="O117" s="11" t="inlineStr">
        <is>
          <t>OSŁABIONE: funkcja jest domyślnie martwa, a live-readiness nie ma checka SLA — flaga może zostać wyłączona bez żadnego sygnału. Regulamin obiecuje kredyty, kod ich nie nalicza. | 2026-09-23: kod liczył już według progów §15 (przepisany wcześniej), brakowało sygnału i podglądu. Dodane: podgląd bez zapisu na prawdziwych danych sond (do obejrzenia przed włączeniem) i blokujący check live-readiness — regulamin 1.1.0+ obiecuje rekompensatę automatyczną, więc wyłączona flaga nie może przejść niezauważona. Zostaje: obejrzeć podgląd na danych z działającego węzła i włączyć sla.creditsEnabled (sprint 18). | 2026-09-25: verris.pl w wielu miejscach obiecuje automatyczne rekompensaty — zostaje, ale preflight GO-LIVE blokuje start, dopóki sla.creditsEnabled≠1 (product-ops preflight, test preflight.spec.ts). | DECYZJA WŁAŚCICIELA 2026-09-25: włączamy rekompensaty na start — właściciel ustawia w panelu admina (Ustawienia → Platforma → Kredyty SLA) sla.creditsEnabled=1; preflight wtedy przejdzie. | Zamknięte 2026-09-25: właściciel włączył sla.creditsEnabled; admin → Gotowość do startu LIVE po deployu #160: „Rekompensaty SLA (automatyczne) — Włączone” (D3, produkcja). | 2026-09-27 KOD (31e5b2f): wyłączenie konserwacji tylko dla prac zapowiedzianych ≥48 h wcześniej i tylko w zapowiedzianych godzinach (§15 ust. 7); nieudane uznanie portfela zwalnia miesiąc do ponowienia. Test sla-kredyty.int-spec.ts. Rekompensaty na produkcji nadal wyłączone. | 2026-09-28 DECYZJA WŁAŚCICIELA: rekompensaty „na wniosek” wg regulaminu (bez automatu); tekst na verris.pl, blogu i w kampaniach poprawiony w 14 miejscach (46976c6).</t>
        </is>
      </c>
      <c r="P117" s="10" t="inlineStr">
        <is>
          <t>do zrobienia</t>
        </is>
      </c>
    </row>
    <row r="118">
      <c r="A118" s="10" t="inlineStr">
        <is>
          <t>A-11</t>
        </is>
      </c>
      <c r="B118" s="11" t="inlineStr">
        <is>
          <t>Wyszukiwarka wolnych domen</t>
        </is>
      </c>
      <c r="C118" s="10" t="inlineStr">
        <is>
          <t>audyt</t>
        </is>
      </c>
      <c r="D118" s="10" t="inlineStr">
        <is>
          <t>A — Domeny i konta</t>
        </is>
      </c>
      <c r="E118" s="10" t="inlineStr">
        <is>
          <t>WYSOKA</t>
        </is>
      </c>
      <c r="F118" s="10" t="n">
        <v>6</v>
      </c>
      <c r="G118" s="10" t="n">
        <v>18</v>
      </c>
      <c r="H118" s="10" t="inlineStr">
        <is>
          <t>Faza 3 — Wejście na rynek</t>
        </is>
      </c>
      <c r="I118" s="10" t="inlineStr">
        <is>
          <t>2026-11-30</t>
        </is>
      </c>
      <c r="J118" s="10" t="inlineStr">
        <is>
          <t>2026-12-04</t>
        </is>
      </c>
      <c r="K118" s="10" t="inlineStr">
        <is>
          <t>DZIAŁA</t>
        </is>
      </c>
      <c r="L118" s="11" t="inlineStr">
        <is>
          <t>domains.controller.ts:54</t>
        </is>
      </c>
      <c r="M118" s="11" t="inlineStr">
        <is>
          <t>—</t>
        </is>
      </c>
      <c r="N118" s="11" t="inlineStr">
        <is>
          <t>Funkcja dostępna z panelu klienta bez wychodzenia do DirectAdmina; test uruchamiany w CI.</t>
        </is>
      </c>
      <c r="O118" s="11" t="inlineStr">
        <is>
          <t>DECYZJA WŁAŚCICIELA 2026-09-23: konfiguracja OpenProvider (REGISTRAR_PROVIDER + dane API w .env.prod, wpisuje właściciel) razem z zakupem węzła w sprincie 18; do tego czasu wyszukiwarka za flagą. | 2026-09-25: preflight GO-LIVE blokuje start bez REGISTRAR_PROVIDER (strona oferuje rejestrację domen). Wyszukiwarka na verris.pl prowadzi do /dashboard/domains/buy?domain=… i panel wpisuje nazwę w wyszukiwarkę (wcześniej nazwa przepadała). /domeny: „bez blokad transferu” → blokadę włączasz i zdejmujesz sam (A-15). | 2026-09-27 PRODUKCJA po b0a556f: wyszukiwarka działa — „hvln-test-verris” → 32 wolne warianty z ceną rejestracji i odnowienia (brutto). Przyczyna „wszystko zajęte”: OpenProvider zwraca wyniki w innej kolejności niż w zapytaniu — dopasowanie po nazwie domeny, zapytania po 15 końcówek. Zostaje do pełnego testu z węzłem (decyzja właściciela). | 2026-10-04: D3 (sandbox OpenProvidera (api.sandbox.openprovider.nl), panel klienta prod, klient d3 czasowo na portfelu) — wyszukiwarka: 26 z 32 końcówek z cenami brutto. Po drodze: paczka 15 TLD „wszystko albo nic” gubiła .pl/.com, gdy jedna końcówka wisiała (.online/.shop &gt;40 s w sandboxie) → 36b8bca/9199355/99e38ec (limit 6 s, pojedynczo po błędzie paczki, budżet panelu 40 s); końcówki bez odpowiedzi „Nie sprawdzono” zamiast „Zajęta” → 9eb936d4.</t>
        </is>
      </c>
      <c r="P118" s="10" t="inlineStr">
        <is>
          <t>do zrobienia</t>
        </is>
      </c>
    </row>
    <row r="119">
      <c r="A119" s="10" t="inlineStr">
        <is>
          <t>PB-07</t>
        </is>
      </c>
      <c r="B119" s="11" t="inlineStr">
        <is>
          <t>Treści i cennik na verris.pl</t>
        </is>
      </c>
      <c r="C119" s="10" t="inlineStr">
        <is>
          <t>poza audytem</t>
        </is>
      </c>
      <c r="D119" s="10" t="inlineStr">
        <is>
          <t>Praca spoza audytu</t>
        </is>
      </c>
      <c r="E119" s="10" t="inlineStr">
        <is>
          <t>WYSOKI</t>
        </is>
      </c>
      <c r="F119" s="10" t="n">
        <v>16</v>
      </c>
      <c r="G119" s="10" t="n">
        <v>18</v>
      </c>
      <c r="H119" s="10" t="inlineStr">
        <is>
          <t>Faza 3 — Wejście na rynek</t>
        </is>
      </c>
      <c r="I119" s="10" t="inlineStr">
        <is>
          <t>2026-11-30</t>
        </is>
      </c>
      <c r="J119" s="10" t="inlineStr">
        <is>
          <t>2026-12-04</t>
        </is>
      </c>
      <c r="K119" s="10" t="inlineStr">
        <is>
          <t>—</t>
        </is>
      </c>
      <c r="L119" s="11" t="inlineStr">
        <is>
          <t>—</t>
        </is>
      </c>
      <c r="M119" s="11" t="inlineStr">
        <is>
          <t>PB-01 (cennik zależy od unit economics)</t>
        </is>
      </c>
      <c r="N119" s="11" t="inlineStr">
        <is>
          <t>Cennik zgodny z wynikiem PB-01. Specyfikacja techniczna publiczna, jak u cyber_Folks — to jest element zaufania, którego rynek oczekuje.</t>
        </is>
      </c>
      <c r="O119" s="11" t="inlineStr">
        <is>
          <t>Strona główna, cennik, specyfikacja techniczna pakietu, strona SLA. Narracja: cena stała, bez skoku po roku. | 2026-09-25 PRZYGOTOWANE DO AKCEPTACJI: /specyfikacja (tylko wiersze DZIAŁA; wiersze po D3 za SPEC_PO_WERYFIKACJI), ukryta flagą SPECYFIKACJA_OPUBLIKOWANA (404, poza menu i sitemapą). SLA: /funkcje/sla istnieje. Przy okazji: skrypt prod-sync-server-da-packages.sh dałby planowi verris-hosting limity starter — poprawione + test parytetu z da-package-spec.ts. | 2026-09-27 ZAMKNIĘTE: treści zaakceptowane przez właściciela; /specyfikacja włączona (SPECYFIKACJA_OPUBLIKOWANA=true: menu, sitemap), wiersze po D3 nadal ukryte (SPEC_PO_WERYFIKACJI); /funkcje/sla na produkcji.</t>
        </is>
      </c>
      <c r="P119" s="10" t="inlineStr">
        <is>
          <t>do zrobienia</t>
        </is>
      </c>
    </row>
    <row r="120">
      <c r="A120" s="10" t="inlineStr">
        <is>
          <t>PB-11</t>
        </is>
      </c>
      <c r="B120" s="11" t="inlineStr">
        <is>
          <t>Bus factor: drugi kanał alertów i procedura zastępstwa</t>
        </is>
      </c>
      <c r="C120" s="10" t="inlineStr">
        <is>
          <t>poza audytem</t>
        </is>
      </c>
      <c r="D120" s="10" t="inlineStr">
        <is>
          <t>Praca spoza audytu</t>
        </is>
      </c>
      <c r="E120" s="10" t="inlineStr">
        <is>
          <t>WYSOKI</t>
        </is>
      </c>
      <c r="F120" s="10" t="n">
        <v>8</v>
      </c>
      <c r="G120" s="10" t="n">
        <v>18</v>
      </c>
      <c r="H120" s="10" t="inlineStr">
        <is>
          <t>Faza 3 — Wejście na rynek</t>
        </is>
      </c>
      <c r="I120" s="10" t="inlineStr">
        <is>
          <t>2026-11-30</t>
        </is>
      </c>
      <c r="J120" s="10" t="inlineStr">
        <is>
          <t>2026-12-04</t>
        </is>
      </c>
      <c r="K120" s="10" t="inlineStr">
        <is>
          <t>—</t>
        </is>
      </c>
      <c r="L120" s="11" t="inlineStr">
        <is>
          <t>—</t>
        </is>
      </c>
      <c r="M120" s="11" t="inlineStr">
        <is>
          <t>—</t>
        </is>
      </c>
      <c r="N120" s="11" t="inlineStr">
        <is>
          <t>Alert testowy dociera dwoma kanałami. Dokument zastępstwa zawiera dostęp awaryjny i listę rzeczy, które muszą się dziać codziennie.</t>
        </is>
      </c>
      <c r="O120" s="11" t="inlineStr">
        <is>
          <t>Alerty na więcej niż jeden adres, przetestowane. Dokument: co robi ktoś inny, gdy Ciebie nie ma przez tydzień. | 2026-09-23: Telegram jako drugi kanał w tym samym punkcie kontaktowym Grafany co e-mail (błąd jednego nie blokuje drugiego; znak życia X-31 raz dziennie też na Telegram); compose przekazuje TELEGRAM_BOT_TOKEN/CHAT_ID; strażnik routing-alertow.spec.ts (PB-11). Zastępcy nie ma (decyzja właściciela) — procedura awarii z telefonu w docs/ops/INCIDENT_RESPONSE.md; szukanie zastępcy po starcie. Zostaje: bot Telegrama + token w .env.prod i test alertu (D3). | DECYZJA WŁAŚCICIELA 2026-09-23: Telegram usunięty — alerty wyłącznie e-mailem. Konsekwencja: jeden kanał, więc awaria poczty (SMTP, skrzynka) wycisza też alerty; znak życia X-31 raz dziennie jest jedynym sposobem, by to zauważyć (brak maila = coś nie działa). Powrót do drugiego kanału: odtworzyć z commita 7d63cd7. | 2026-09-27 PRODUKCJA (D4): Alerting → Contact points → Test: mail „[FIRING:1] TestAlert Grafana” od „Verris Alerts” dotarł na dominik@hvln.pl (21:10). Zamknięte.</t>
        </is>
      </c>
      <c r="P120" s="10" t="inlineStr">
        <is>
          <t>do zrobienia</t>
        </is>
      </c>
    </row>
    <row r="121">
      <c r="A121" s="10" t="inlineStr">
        <is>
          <t>PB-21</t>
        </is>
      </c>
      <c r="B121" s="11" t="inlineStr">
        <is>
          <t>DNS platformy i poczty na serwerze testowym</t>
        </is>
      </c>
      <c r="C121" s="10" t="inlineStr">
        <is>
          <t>poza audytem</t>
        </is>
      </c>
      <c r="D121" s="10" t="inlineStr">
        <is>
          <t>Praca spoza audytu</t>
        </is>
      </c>
      <c r="E121" s="10" t="inlineStr">
        <is>
          <t>WYSOKI</t>
        </is>
      </c>
      <c r="F121" s="10" t="n">
        <v>6</v>
      </c>
      <c r="G121" s="10" t="n">
        <v>18</v>
      </c>
      <c r="H121" s="10" t="inlineStr">
        <is>
          <t>Faza 3 — Wejście na rynek</t>
        </is>
      </c>
      <c r="I121" s="10" t="inlineStr">
        <is>
          <t>2026-11-30</t>
        </is>
      </c>
      <c r="J121" s="10" t="inlineStr">
        <is>
          <t>2026-12-04</t>
        </is>
      </c>
      <c r="K121" s="10" t="inlineStr">
        <is>
          <t>—</t>
        </is>
      </c>
      <c r="L121" s="11" t="inlineStr">
        <is>
          <t>—</t>
        </is>
      </c>
      <c r="M121" s="11" t="inlineStr">
        <is>
          <t>—</t>
        </is>
      </c>
      <c r="N121" s="11" t="inlineStr">
        <is>
          <t>Na serwerze testowym: rekord dodany i usunięty z panelu bez duplikatu; zmiana rozmiaru skrzynki zostawia hasło; kreator poczty pokazuje DKIM ze strefy i zapisuje SPF/DMARC; verris.pl ma jeden DMARC; decyzja o _spf.verris.pl zapisana w docs/VERRIS.md. Po D3 F-01/F-02, E-05, E-15/16/17 przechodzą w macierzy na PARYTET.</t>
        </is>
      </c>
      <c r="O121" s="11" t="inlineStr">
        <is>
          <t>Odłożone decyzją właściciela 2026-09-23 do chwili, gdy jest serwer testowy. (1) Decyzja: wspólny rekord _spf.verris.pl (include platformy, łatwa zmiana IP) albo zostajemy przy a/mx/ip4 per klient — dziś _spf.verris.pl nie istnieje. (2) verris.pl w OVH: dwa rekordy DMARC (p=none i p=quarantine) — odbiorcy ignorują oba; zostawić jeden. (3) Nameservery platformy (hosting.ns1/ns2) ustawione — od nich zależy, czy kreator poczty proponuje zapis do strefy. (4) D3 na żywym DirectAdminie: dodanie i usunięcie rekordu (CMD_API_DNS_CONTROL, edycja create-then-delete), zmiana rozmiaru skrzynki bez passwd, klucz DKIM w strefie po włączeniu DKIM. (5) Naprawy asystenta PB-17 (SPF/DMARC jednym kliknięciem + Cofnij) na żywej strefie. (6) Zawieszenie i odwieszenie usługi z panelu admina (A-25/A-26) na żywym koncie DA. (7) Sprint 12–14 na żywym węźle: kopia bezpieczeństwa przed odtworzeniem (H-09), publikacja stagingu z kopią bazy (I-11), zmiana hasła FTP (C-18), pakowanie plików (C-11), pojemność węzła z agenta lve-agent/1.1 (NODE-03). (8) PB-22: pieczęć zaufania na działającej stronie klienta (D3) — tprstudio.pl wygasła 2026-09-23, więc pełną pieczęć sprawdzamy dopiero na stronie na nowym węźle. | ZAMKNIĘTE 2026-10-04 (D3 t1): NS platformy ns3/ns4.verris.pl (delegacja d3.hvln.pl, „Tryb NS: poprawny”); rekord dodany/usunięty bez duplikatu (F-01/F-02 30.09, usunięcie _dmarc 04.10 — serial strefy 2026100401); rozmiar skrzynki bez zmiany hasła (E-05); DKIM ze strefy, SPF/DMARC z kreatora (E-15/16/17); verris.pl jeden DMARC (p=none usunięty w OVH przez właściciela); decyzja: bez _spf.verris.pl (docs/VERRIS.md, 8bb0ea30). Przy okazji: raport poczty czytał strefę z cache resolvera (TTL 3600) — poprawka e7b47f48; naprawa asystenta (PB-17) do powtórki po wdrożeniu.</t>
        </is>
      </c>
      <c r="P121" s="10" t="inlineStr">
        <is>
          <t>do zrobienia</t>
        </is>
      </c>
    </row>
    <row r="122">
      <c r="A122" s="10" t="inlineStr">
        <is>
          <t>PB-24</t>
        </is>
      </c>
      <c r="B122" s="11" t="inlineStr">
        <is>
          <t>KSC/NIS2: wpis do wykazu podmiotów kluczowych</t>
        </is>
      </c>
      <c r="C122" s="10" t="inlineStr">
        <is>
          <t>poza audytem</t>
        </is>
      </c>
      <c r="D122" s="10" t="inlineStr">
        <is>
          <t>Praca spoza audytu</t>
        </is>
      </c>
      <c r="E122" s="10" t="inlineStr">
        <is>
          <t>WYSOKI</t>
        </is>
      </c>
      <c r="F122" s="10" t="n">
        <v>3</v>
      </c>
      <c r="G122" s="10" t="n">
        <v>18</v>
      </c>
      <c r="H122" s="10" t="inlineStr">
        <is>
          <t>Faza 3 — Wejście na rynek</t>
        </is>
      </c>
      <c r="I122" s="10" t="inlineStr">
        <is>
          <t>2026-11-30</t>
        </is>
      </c>
      <c r="J122" s="10" t="inlineStr">
        <is>
          <t>2026-12-04</t>
        </is>
      </c>
      <c r="K122" s="10" t="inlineStr">
        <is>
          <t>—</t>
        </is>
      </c>
      <c r="L122" s="11" t="inlineStr">
        <is>
          <t>—</t>
        </is>
      </c>
      <c r="M122" s="11" t="inlineStr">
        <is>
          <t>—</t>
        </is>
      </c>
      <c r="N122" s="11" t="inlineStr">
        <is>
          <t>Wpis w wykazie przed upływem 6 miesięcy od pierwszej domeny/DNS dla klienta; termin zapisany w tym zadaniu z datą.</t>
        </is>
      </c>
      <c r="O122" s="11" t="inlineStr">
        <is>
          <t>Wg FAQ KSC (cyber.gov.pl) podmiot świadczący usługi rejestracji nazw domen i dostawca usług DNS = podmiot kluczowy niezależnie od wielkości. Decyzja właściciela 2026-09-23: wpis w ciągu 6 miesięcy od uruchomienia sprzedaży domen / DNS dla klientów (sprint 18/19), nie przed 3.10.2026 — ryzyko przyjęte świadomie. Materiał: docs/legal/nis2-ksc-assessment.md (10 obszarów art. 21). Do zrobienia: data uruchomienia usług → termin wpisu; osoba kontaktowa ds. cyberbezpieczeństwa; kontakt 24/7 do incydentów; procedura zgłaszania incydentów do CSIRT (24 h / 72 h). | 2026-09-25: procedura zgłaszania incydentu poważnego w docs/ops/INCIDENT_RESPONSE.md (24 h wczesne ostrzeżenie / 72 h zgłoszenie / sprawozdanie końcowe w miesiąc — NIS2 art. 23; S46; rejestr docs/ops/incydenty/; test kwartalny; klienci i RODO równolegle). nis2-ksc-assessment.md poprawione wg komunikatu MC: wejście w życie 10.04.2026 (było 3.04), wykaz-ksc.gov.pl, S46 od 12.06.2026, koniec okresu dostosowawczego 3.04.2027, audyt do 3.04.2028; DNS/rejestracja domen = kluczowy niezależnie od wielkości (art. 5 ust. 1 pkt 4), termin wpisu 6 mies. od spełnienia przesłanek (art. 7c ust. 1). Zostaje (właściciel): potwierdzić osobę do kontaktów i telefon 24/7 we wniosku, skrzynka security@, konto S46 po wpisie. | 2026-09-26: projekt wniosku do Wykazu KSC — pola wg FAQ KSC pyt. 2.10 (wypełnione / do uzupełnienia przez właściciela: e-Doręczenia, IP po zakupie węzła, telefon 24/7, PESEL administratora S46 tylko w formularzu), termin od przesłanki, osobny wątek art. 16b (reseller domen) — docs/legal/drafts/DO_ZATWIERDZENIA_PB-24_wniosek-ksc.md (DO ZATWIERDZENIA, nic nie opublikowane/złożone).</t>
        </is>
      </c>
      <c r="P122" s="10" t="inlineStr">
        <is>
          <t>do zrobienia</t>
        </is>
      </c>
    </row>
    <row r="123">
      <c r="A123" s="10" t="inlineStr">
        <is>
          <t>PB-25</t>
        </is>
      </c>
      <c r="B123" s="11" t="inlineStr">
        <is>
          <t>White label na węźle — klient nie widzi DirectAdmina</t>
        </is>
      </c>
      <c r="C123" s="10" t="inlineStr">
        <is>
          <t>poza audytem</t>
        </is>
      </c>
      <c r="D123" s="10" t="inlineStr">
        <is>
          <t>Praca spoza audytu</t>
        </is>
      </c>
      <c r="E123" s="10" t="inlineStr">
        <is>
          <t>WYSOKI</t>
        </is>
      </c>
      <c r="F123" s="10" t="n">
        <v>8</v>
      </c>
      <c r="G123" s="10" t="n">
        <v>18</v>
      </c>
      <c r="H123" s="10" t="inlineStr">
        <is>
          <t>Faza 3 — Wejście na rynek</t>
        </is>
      </c>
      <c r="I123" s="10" t="inlineStr">
        <is>
          <t>2026-11-30</t>
        </is>
      </c>
      <c r="J123" s="10" t="inlineStr">
        <is>
          <t>2026-12-04</t>
        </is>
      </c>
      <c r="K123" s="10" t="inlineStr">
        <is>
          <t>—</t>
        </is>
      </c>
      <c r="L123" s="11" t="inlineStr">
        <is>
          <t>—</t>
        </is>
      </c>
      <c r="M123" s="11" t="inlineStr">
        <is>
          <t>—</t>
        </is>
      </c>
      <c r="N123" s="11" t="inlineStr">
        <is>
          <t>Na węźle #1: logowanie do panelu hostingowego, phpMyAdmin i webmaila z panelu klienta nie pokazuje nazwy ani portu DirectAdmina; nowa domena i konto zawieszone pokazują strony Verris; zrzuty w dowodzie.</t>
        </is>
      </c>
      <c r="O123" s="11" t="inlineStr">
        <is>
          <t>Decyzja właściciela 2026-09-24: pełny white label. Teksty dla klienta (verris.pl, panel, maile, dokumenty prawne) wyczyszczone tego dnia i pilnowane strażnikiem bez-nazwy-directadmina.spec.ts. Na węźle zostaje: panel hostingowy pod własną nazwą na 443 zamiast host:2222 (proxy), branding Evolution wg ops/docs/DA_EVOLUTION_BRANDING.md, phpMyAdmin i webmail pod własną nazwą, własne strony domyślne (nowa domena, konto zawieszone, wspólny IP), przegląd maili systemowych DA wysyłanych do użytkowników. Nie twierdzimy, że silnik hostingu jest nasz. | ZAMKNIĘTE 2026-10-04 (D3 na węźle testowym t1; na węźle #1 to samo przychodzi z profilu — kontrola w PB-02): phpMyAdmin z panelu (jednorazowy link) i webmail bez nazwy/portu DirectAdmina; linki do panelu DA puste z API; zawieszone konto → „Strona tymczasowo niedostępna” (verris-suspended-page), odwieszenie bez obciążenia; nowa poddomena wl3.d3.hvln.pl → „Witamy na stronie … hosting verris” po haku subdomain_create_post (b2ead35 + 0f7f032 dla układu DA 1.710). Uwaga: adres phpMyAdmin/webmaila to nazwa węzła (t1.verris.pl). | 2026-10-09: white label także w metodologii raportu EKO i e-mailu o zmianie planu — bez nazw oprogramowania węzła (414d4937, test biala-etykieta-teksty-klienta.spec.ts).</t>
        </is>
      </c>
      <c r="P123" s="10" t="inlineStr">
        <is>
          <t>do zrobienia</t>
        </is>
      </c>
    </row>
    <row r="124">
      <c r="A124" s="10" t="inlineStr">
        <is>
          <t>PB-06</t>
        </is>
      </c>
      <c r="B124" s="11" t="inlineStr">
        <is>
          <t>Landing /przenies-strone</t>
        </is>
      </c>
      <c r="C124" s="10" t="inlineStr">
        <is>
          <t>poza audytem</t>
        </is>
      </c>
      <c r="D124" s="10" t="inlineStr">
        <is>
          <t>Praca spoza audytu</t>
        </is>
      </c>
      <c r="E124" s="10" t="inlineStr">
        <is>
          <t>WYSOKI</t>
        </is>
      </c>
      <c r="F124" s="10" t="n">
        <v>16</v>
      </c>
      <c r="G124" s="10" t="n">
        <v>19</v>
      </c>
      <c r="H124" s="10" t="inlineStr">
        <is>
          <t>Faza 3 — Wejście na rynek</t>
        </is>
      </c>
      <c r="I124" s="10" t="inlineStr">
        <is>
          <t>2026-11-30</t>
        </is>
      </c>
      <c r="J124" s="10" t="inlineStr">
        <is>
          <t>2026-12-04</t>
        </is>
      </c>
      <c r="K124" s="10" t="inlineStr">
        <is>
          <t>—</t>
        </is>
      </c>
      <c r="L124" s="11" t="inlineStr">
        <is>
          <t>—</t>
        </is>
      </c>
      <c r="M124" s="11" t="inlineStr">
        <is>
          <t>PB-07 (landing korzysta z ustalonego cennika)</t>
        </is>
      </c>
      <c r="N124" s="11" t="inlineStr">
        <is>
          <t>Strona opublikowana, pomiar działa, formularz i CTA prowadzą do rejestracji. Żadne twierdzenie na stronie nie jest oznaczone w macierzy jako LUKA lub ATRAPA.</t>
        </is>
      </c>
      <c r="O124" s="11" t="inlineStr">
        <is>
          <t>Strona docelowa kampanii Google Ads na osi migracji. Treść oparta na realnych przewagach z audytu, nie na obietnicach. | 2026-09-25 PRZYGOTOWANE DO AKCEPTACJI: audyt 38 twierdzeń (/, /hosting, /cennik, /przenies-strone) wobec macierzy — 13 poprawionych (tryb ECO to polityka kopii, nie skalowanie; Apple/Google Pay niewłączone; przypomnienia 7/3/1 dzień; rezygnacja z odnowienia w dwóch kliknięciach; zwrot przez wsparcie; domena nie odnowi się bez decyzji). Rabat na start zostaje (decyzja właściciela) — przekaz: odnowienie zawsze po cenie z cennika. Lista w docs/marketing/akceptacja-tresci-2026-09.md. Pomiar: generate_lead po wysłaniu formularza migracji (GTM, Consent Mode v2). Publikacja po akceptacji. | 2026-09-27 ZAMKNIĘTE: treści zaakceptowane przez właściciela (docs/marketing/akceptacja-tresci-2026-09.md); /przenies-strone na produkcji (200).</t>
        </is>
      </c>
      <c r="P124" s="10" t="inlineStr">
        <is>
          <t>do zrobienia</t>
        </is>
      </c>
    </row>
    <row r="125">
      <c r="A125" s="10" t="inlineStr">
        <is>
          <t>PB-09</t>
        </is>
      </c>
      <c r="B125" s="11" t="inlineStr">
        <is>
          <t>Baza wiedzy — 20 artykułów startowych</t>
        </is>
      </c>
      <c r="C125" s="10" t="inlineStr">
        <is>
          <t>poza audytem</t>
        </is>
      </c>
      <c r="D125" s="10" t="inlineStr">
        <is>
          <t>Praca spoza audytu</t>
        </is>
      </c>
      <c r="E125" s="10" t="inlineStr">
        <is>
          <t>ŚREDNI</t>
        </is>
      </c>
      <c r="F125" s="10" t="n">
        <v>16</v>
      </c>
      <c r="G125" s="10" t="n">
        <v>19</v>
      </c>
      <c r="H125" s="10" t="inlineStr">
        <is>
          <t>Faza 3 — Wejście na rynek</t>
        </is>
      </c>
      <c r="I125" s="10" t="inlineStr">
        <is>
          <t>2026-11-30</t>
        </is>
      </c>
      <c r="J125" s="10" t="inlineStr">
        <is>
          <t>2026-12-04</t>
        </is>
      </c>
      <c r="K125" s="10" t="inlineStr">
        <is>
          <t>—</t>
        </is>
      </c>
      <c r="L125" s="11" t="inlineStr">
        <is>
          <t>—</t>
        </is>
      </c>
      <c r="M125" s="11" t="inlineStr">
        <is>
          <t>—</t>
        </is>
      </c>
      <c r="N125" s="11" t="inlineStr">
        <is>
          <t>20 artykułów opublikowanych i zaindeksowanych do asystenta AI. Każdy opisuje funkcję, która w macierzy ma status DZIAŁA.</t>
        </is>
      </c>
      <c r="O125" s="11" t="inlineStr">
        <is>
          <t>Artykuły pokrywające najczęstsze pytania pierwszego tygodnia: skierowanie domeny, SSL, poczta, FTP, backup, migracja, faktury. | 2026-09-23: seed ma 37 artykułów (apps/api/src/cli/seed-kb-cms.ts, indeksowane do asystenta). Przegląd twierdzeń wobec macierzy: usunięte obietnice funkcji, których nie ma lub nie są gotowe — SFTP/SSH (C-21 CZĘŚCIOWE; teraz FTPS), VPS i osobna poczta (Q-06 FLAGA), włączanie rozszerzeń PHP i CloudLinux Selector (B-04 BRAK), phpinfo w panelu (B-06), białe/czarne listy antyspamu (E-12), kopia przy forwarderze, „wildcard płatny”; faktury opisane zgodnie z §9 ust. 4 (dokument rozliczeniowy + faktura z programu księgowego). ZOSTAJE: rejestracja-domeny i transfer-domeny opisują A-08/A-09 (FLAGA) — prawdziwe dopiero po włączeniu rejestratora (A-11, sprint 18); uruchomić seed na produkcji (node apps/api/dist-cli/cli/seed-kb-cms.js) — nadpisuje tylko artykuły autorstwa „Zespół Verris”. | 2026-09-27 ZAMKNIĘTE: seed na produkcji (13 kategorii, 1 nowy artykuł, 37 odświeżonych). Uwaga: rejestracja-domeny i transfer-domeny opisują funkcję aktywną po włączeniu OpenProvider (A-08/A-09).</t>
        </is>
      </c>
      <c r="P125" s="10" t="inlineStr">
        <is>
          <t>do zrobienia</t>
        </is>
      </c>
    </row>
    <row r="126">
      <c r="A126" s="10" t="inlineStr">
        <is>
          <t>PB-19</t>
        </is>
      </c>
      <c r="B126" s="11" t="inlineStr">
        <is>
          <t>Widok strony: ruch, TTFB, błędy 5xx, technologia i logi z węzła</t>
        </is>
      </c>
      <c r="C126" s="10" t="inlineStr">
        <is>
          <t>poza audytem</t>
        </is>
      </c>
      <c r="D126" s="10" t="inlineStr">
        <is>
          <t>Praca spoza audytu</t>
        </is>
      </c>
      <c r="E126" s="10" t="inlineStr">
        <is>
          <t>ŚREDNI</t>
        </is>
      </c>
      <c r="F126" s="10" t="n">
        <v>24</v>
      </c>
      <c r="G126" s="10" t="n">
        <v>19</v>
      </c>
      <c r="H126" s="10" t="inlineStr">
        <is>
          <t>Faza 3 — Wejście na rynek</t>
        </is>
      </c>
      <c r="I126" s="10" t="inlineStr">
        <is>
          <t>2026-11-30</t>
        </is>
      </c>
      <c r="J126" s="10" t="inlineStr">
        <is>
          <t>2026-12-04</t>
        </is>
      </c>
      <c r="K126" s="10" t="inlineStr">
        <is>
          <t>—</t>
        </is>
      </c>
      <c r="L126" s="11" t="inlineStr">
        <is>
          <t>—</t>
        </is>
      </c>
      <c r="M126" s="11" t="inlineStr">
        <is>
          <t>—</t>
        </is>
      </c>
      <c r="N126" s="11" t="inlineStr">
        <is>
          <t>Na działającym węźle produkcyjnym: widok strony pokazuje ruch 7 dni, TTFB i 5xx z prawdziwych logów, wykrytą technologię i zakładkę „Logi”; brak danych = „—”, nie zero; testy parsera logów i detekcji technologii w CI; sprawdzone na D3 (serwer).</t>
        </is>
      </c>
      <c r="O126" s="11" t="inlineStr">
        <is>
          <t>Braki makiety widoku strony (docs/design/wzorzec-panelu.html), których API nie ma, bo wymagają węzła: (1) odwiedziny, mediana TTFB i błędy 5xx per domena z logów serwera WWW przez agenta; (2) rozpoznanie technologii strony (WordPress, PrestaShop, Laravel, HTML, przekierowanie) skanem plików i narzędzia dopasowane do technologii; (3) zakładka „Logi” — log błędów i dostępu per domena. Dziś panel pokazuje tylko to, co realnie istnieje (docs/VERRIS.md, sekcja „Otwarte”). | 2026-09-25 KOD (D2): zadanie SITE_STATS + ops/scripts/node-site-stats.sh — technologia (WordPress/PrestaShop/Joomla/Drupal/Nextcloud/MediaWiki/Laravel/PHP/HTML/domyślna Verris, z wersją) sprawdzana jako klient; ruch 7 dni (żądania, odwiedzający = unikalne IP, 5xx) z logu DirectAdmina /var/log/httpd/domains/&lt;domena&gt;.log (combined), ścieżki bez parametrów; mediana TTFB z 5 żądań z samego serwera (127.0.0.1 + Host). Panel: widok strony → Przegląd → „Ruch i wydajność — 7 dni” (brak logu = „—”), nowa zakładka „Logi” (log dostępu i błędów tej domeny). Testy parsera i detekcji: site-stats.service.spec.ts. ZOSTAJE: D3 na węźle.</t>
        </is>
      </c>
      <c r="P126" s="10" t="inlineStr">
        <is>
          <t>do zrobienia</t>
        </is>
      </c>
    </row>
    <row r="127">
      <c r="A127" s="10" t="inlineStr">
        <is>
          <t>PB-12</t>
        </is>
      </c>
      <c r="B127" s="11" t="inlineStr">
        <is>
          <t>Runbook startu i decyzja GO</t>
        </is>
      </c>
      <c r="C127" s="10" t="inlineStr">
        <is>
          <t>poza audytem</t>
        </is>
      </c>
      <c r="D127" s="10" t="inlineStr">
        <is>
          <t>Praca spoza audytu</t>
        </is>
      </c>
      <c r="E127" s="10" t="inlineStr">
        <is>
          <t>BLOKER BIZNESOWY</t>
        </is>
      </c>
      <c r="F127" s="10" t="n">
        <v>8</v>
      </c>
      <c r="G127" s="10" t="n">
        <v>20</v>
      </c>
      <c r="H127" s="10" t="inlineStr"/>
      <c r="I127" s="10" t="inlineStr">
        <is>
          <t>2027-01-04</t>
        </is>
      </c>
      <c r="J127" s="10" t="inlineStr">
        <is>
          <t>2027-01-08</t>
        </is>
      </c>
      <c r="K127" s="10" t="inlineStr">
        <is>
          <t>—</t>
        </is>
      </c>
      <c r="L127" s="11" t="inlineStr">
        <is>
          <t>—</t>
        </is>
      </c>
      <c r="M127" s="11" t="inlineStr">
        <is>
          <t>PB-05 (decyzja GO po przejściu ścieżki na produkcji)</t>
        </is>
      </c>
      <c r="N127" s="11" t="inlineStr">
        <is>
          <t>Każdy z 11 blokerów ma wpis: co zrobiono, gdzie jest dowód, kto potwierdził. Bez formuły „warunkowe GO”.</t>
        </is>
      </c>
      <c r="O127" s="11" t="inlineStr">
        <is>
          <t>Domknięcie: przegląd wszystkich blokerów z dowodem zamknięcia, decyzja GO/NO-GO zapisana z datą.</t>
        </is>
      </c>
      <c r="P127" s="10" t="inlineStr">
        <is>
          <t>do zrobienia</t>
        </is>
      </c>
    </row>
    <row r="128">
      <c r="A128" s="10" t="inlineStr">
        <is>
          <t>PB-10</t>
        </is>
      </c>
      <c r="B128" s="11" t="inlineStr">
        <is>
          <t>Kampania gads-search-hosting-202607 — uruchomienie</t>
        </is>
      </c>
      <c r="C128" s="10" t="inlineStr">
        <is>
          <t>poza audytem</t>
        </is>
      </c>
      <c r="D128" s="10" t="inlineStr">
        <is>
          <t>Praca spoza audytu</t>
        </is>
      </c>
      <c r="E128" s="10" t="inlineStr">
        <is>
          <t>ŚREDNI</t>
        </is>
      </c>
      <c r="F128" s="10" t="n">
        <v>8</v>
      </c>
      <c r="G128" s="10" t="n">
        <v>20</v>
      </c>
      <c r="H128" s="10" t="inlineStr"/>
      <c r="I128" s="10" t="inlineStr">
        <is>
          <t>2027-01-04</t>
        </is>
      </c>
      <c r="J128" s="10" t="inlineStr">
        <is>
          <t>2027-01-08</t>
        </is>
      </c>
      <c r="K128" s="10" t="inlineStr">
        <is>
          <t>—</t>
        </is>
      </c>
      <c r="L128" s="11" t="inlineStr">
        <is>
          <t>—</t>
        </is>
      </c>
      <c r="M128" s="11" t="inlineStr">
        <is>
          <t>PB-06 (kampania kieruje na landing)</t>
        </is>
      </c>
      <c r="N128" s="11" t="inlineStr">
        <is>
          <t>Kampania utworzona wstrzymana, konwersje podpięte, budżet i stawki ustawione. Start dopiero po PB-05.</t>
        </is>
      </c>
      <c r="O128" s="11" t="inlineStr">
        <is>
          <t>Konfiguracja kampanii wyszukiwarkowej, budżet 500–1000 zł/mies., oś przekazu: migracja bez przestoju.</t>
        </is>
      </c>
      <c r="P128" s="10" t="inlineStr">
        <is>
          <t>do zrobienia</t>
        </is>
      </c>
    </row>
    <row r="129">
      <c r="A129" s="10" t="inlineStr">
        <is>
          <t>Z-18</t>
        </is>
      </c>
      <c r="B129" s="11" t="inlineStr">
        <is>
          <t>Prawdziwa przyczyna błędu provisioningu nie ginie po drodze (część)</t>
        </is>
      </c>
      <c r="C129" s="10" t="inlineStr">
        <is>
          <t>audyt</t>
        </is>
      </c>
      <c r="D129" s="10" t="inlineStr">
        <is>
          <t>Z — Pass adwersaryjny</t>
        </is>
      </c>
      <c r="E129" s="10" t="inlineStr">
        <is>
          <t>BLOKER STARTU</t>
        </is>
      </c>
      <c r="F129" s="10" t="n">
        <v>2</v>
      </c>
      <c r="G129" s="10" t="n">
        <v>21</v>
      </c>
      <c r="H129" s="10" t="inlineStr"/>
      <c r="I129" s="10" t="inlineStr">
        <is>
          <t>2026-11-09</t>
        </is>
      </c>
      <c r="J129" s="10" t="inlineStr">
        <is>
          <t>2026-11-13</t>
        </is>
      </c>
      <c r="K129" s="10" t="inlineStr">
        <is>
          <t>DZIAŁA</t>
        </is>
      </c>
      <c r="L129" s="11" t="inlineStr">
        <is>
          <t>apps/api/src/subscriptions/provisioning-error.ts — BladEtapuProvisioningu (etap, przyczyna, message z doklejoną przyczyną); provisioning-queue.service.ts — kategoriaBledu(err), klasyfikacja obiektu zamiast napisu, pole przyczyna w audycie ponowienia i twardej porażki; provisioning.service.ts — trzy etapy DA (ensureUserPackage, createAccount, setAccountLimits) bez prania przyczyny; apps/api/src/test/blad-provisioningu-nie-klamie.spec.ts (18). BRAK: dowodu D3 — nie ma węzła obliczeniowego, więc ścieżki provisioningu nie da się dziś przejść na produkcji.</t>
        </is>
      </c>
      <c r="M129" s="11" t="inlineStr">
        <is>
          <t>—</t>
        </is>
      </c>
      <c r="N129" s="11" t="inlineStr">
        <is>
          <t>Funkcja dostępna z panelu klienta bez wychodzenia do DirectAdmina; test uruchamiany w CI.</t>
        </is>
      </c>
      <c r="O129" s="11" t="inlineStr">
        <is>
          <t>2026-09-24 PRZEGLĄD „CZEGO NIE OBEJMUJE” (Stripe, migracje, autoskalowanie + sąsiednie ścieżki pieniędzy): (1) twarda porażka provisioningu kończyła się zwykłym throw — BullMQ ponawiał i zakładał konto po zwrocie środków; teraz UnrecoverableError; (2) 503 z wyboru węzła (polski komunikat) był „trwały” → zwrot przy pierwszej próbie; teraz status HTTP przed prozą; (3) odnowienie portfelem: błąd bazy = PAST_DUE + mail „płatność nieudana”; teraz tylko ConflictException; (4) odnowienie VPS: catch {} + po karencji deleteServer — błąd bazy mógł skasować serwer klienta; (5) usunięcie konta DA (RODO): „Server not found”/„brak …” uznawane za „użytkownika nie ma”; (6) autoskalowanie: brak środków po typie. Stripe (webhooki z ewidencją i ponowieniami) bez zastrzeżeń. 18 testów zachowania. Pozycja nadal czeka na D3 na węźle #1. | Stan 2026-08-23: NAPRAWIONE W KODZIE (D2), POZYCJA OTWARTA — bloker startu do czasu dowodu D3 na węźle #1 (sprint 8). Krytyczność nadana decyzją właściciela produktu 2026-08-23. | JAK TO WYSZŁO: X-30 naprawiło alerting i w ciągu dziesięciu minut zapaliła się pierwsza reguła z PRAWDZIWEGO powodu — VerrisProvisioningQueueFailed. W kolejce leżały cztery martwe joby, a w panelu operatora stało przy nich „DirectAdmin package "starter" is missing on the node and could not be created automatically". W audycie stało co innego: ensureUserPackage / connect ECONNREFUSED 62.238.0.223:2222 (2026-07-07 i 07-10) oraz createAccount / „DirectAdmin API Error: Unable to Create User — A valid IP was not provided" (2026-05-30). Węzeł nie przyjmował połączeń; z pakietem nie było nic nie tak. Same joby są nieszkodliwe — konto testowe właściciela, domeny test.pl/testowa.pl/hvln.pl, sprzed trzech miesięcy, z czasów gdy węzeł testowy jeszcze istniał (dziś nie ma go wcale). Ale komunikat doprowadził mnie do hipotezy o złym mapowaniu planów na pakiety DA — całkowicie chybionej. Na tym polega koszt takiego błędu: nie na tym, że coś nie działa, tylko że wszyscy patrzą nie tam. | MECHANIZM: provisioning.service.ts łapał prawdziwy błąd, zapisywał go do audytu i rzucał dalej STAŁY NAPIS. Prawda zostawała w bazie, w górę szła zmyślona przyczyna. A wyżej: const errCategory = categorizeProvisioningError(msg) — klasyfikator dostawał ten wyprany napis. Jest napisany POPRAWNIE, ma econnrefused na liście błędów przejściowych; tylko nigdy nie widzi tego słowa. | DLACZEGO DOTYKA PIENIĘDZY: przy kliencie i chwilowym zerwaniu sieci — próba 1 → ECONNREFUSED przebrany za brak pakietu → permanent → ścieżka twardej porażki JUŻ PRZY PIERWSZEJ PRÓBIE: subskrypcja na FAILED, ZWROT ŚRODKÓW do portfela, status PENDING_PAYMENT; potem throw err i BullMQ i tak ponawia (attempts: 3, backoff wykładniczy); próba 2 przechodzi, konto powstaje, provisioning.service.ts:299 ustawia subskrypcję na ACTIVE. Klient ma działający hosting i odzyskane pieniądze, a zwrot jest idempotentny (sub-{id}-initial-refund), więc nic go nie cofnie. Wada uśpiona — nie ma dowodu, że się zdarzyła (te joby padły do końca, węzeł był wyłączony na dobre) — ale leży dokładnie na ścieżce pierwszego płacącego klienta. | RODZINA, NOWY WARIANT: to NIE jest „kontrola, która melduje zamiast zatrzymywać" (X-14, X-23, H-19, X-27), gdzie mechanizm istniał i niczego nie bramkował. To POPRAWNA KONTROLA, KTÓREJ SIĘ KŁAMIE: guard dobry, decyzja dobra, lista wyjątków kompletna — a wejście wyprane po drodze. Blisko też rodzinie „strażnik dopasowuje własną prozę" (dziesiąte wystąpienie): jeden z trzech komunikatów był ułożony tak, żeby TRAFIĆ w listę przejściowych — 'CloudLinux LVE limits could not be applied on this node.' kontra lower.includes('cloudlinux lve limits could not be applied'). Działało przypadkiem, dopóki ktoś nie poprawiłby zdania. | POPRAWKA: BladEtapuProvisioningu(etap, przyczyna, komunikatDlaCzlowieka) — klasa niosąca ORYGINALNĄ treść błędu; kategoriaBledu(err) pyta obiekt o przyczynę i dopiero na niej odpala istniejący klasyfikator, a napis zostaje ścieżką zapasową. Przyczyna jest DOKLEJONA także do message, bo panel pokazuje job.failedReason z BullMQ (czyli Error.message), a failedCategory liczy się z tego samego napisu — gdyby przyczyna została tylko we właściwości, panel dalej opowiadałby zmyśloną historię. Audyt dostał osobne pole przyczyna obok error. | Czerwieni się na starym kodzie: 4 z 18. Czternaście przechodziło, bo dotyczą zachowania kategoriaBledu, której przed poprawką nie było — redness siedzi w asercjach strukturalnych. Mówię o tym wprost, żeby „4 z 18" nie wyglądało słabiej, niż jest. | CZEGO NIE OBEJMUJE: innych miejsc, gdzie prawdziwy błąd może być prany (Stripe, migracje, autoskalowanie mają własne bloki catch i nie były przeglądane pod tym kątem — warte osobnego przejścia); sensowności samego zwrotu przy twardej porażce (zwrot jest właściwy, gdy błąd NAPRAWDĘ jest trwały — ta pozycja naprawia rozpoznanie, nie decyzję); czterech martwych jobów w kolejce (sprzątane po tej poprawce, decyzją właściciela produktu, żeby czyścić już na kodzie zapisującym prawdziwą przyczynę). | JAK ZAMKNĄĆ: na węźle #1 uruchomić provisioning, przerwać połączenie do DA w trakcie i pokazać w audycie PONOWIENIE zamiast zwrotu środków, a potem konto założone przy drugiej próbie. Dokumentacja: docs/archiwum/zadania/Z-18-blad-provisioningu-nie-klamie.md | 2026-10-03: D3 na t1 — zerwane połączenie z DA przy zakładaniu (REJECT na :2222 do pierwszej odmowy): przed poprawką jedna odmowa spalała 3 próby w 15 s na otwartym bezpieczniku węzła → twarda porażka (przy portfelu zwrot+FAILED); po 80ef14a (opóźnienie ponowienia &gt; okno bezpiecznika) próba 1 RETRYING, próba 2 po ~2,5 min zakłada konto (z18b.d3.hvln.pl). Admin „Ponów” zeruje teraz licznik prób.</t>
        </is>
      </c>
      <c r="P129" s="10" t="inlineStr">
        <is>
          <t>do zrobienia</t>
        </is>
      </c>
    </row>
    <row r="130">
      <c r="A130" s="10" t="inlineStr">
        <is>
          <t>J-01</t>
        </is>
      </c>
      <c r="B130" s="11" t="inlineStr">
        <is>
          <t>LiteSpeed / serwer o wysokiej wydajności</t>
        </is>
      </c>
      <c r="C130" s="10" t="inlineStr">
        <is>
          <t>audyt</t>
        </is>
      </c>
      <c r="D130" s="10" t="inlineStr">
        <is>
          <t>J — Wydajność i cache</t>
        </is>
      </c>
      <c r="E130" s="10" t="inlineStr">
        <is>
          <t>WYSOKA</t>
        </is>
      </c>
      <c r="F130" s="10" t="n">
        <v>6</v>
      </c>
      <c r="G130" s="10" t="n">
        <v>21</v>
      </c>
      <c r="H130" s="10" t="inlineStr"/>
      <c r="I130" s="10" t="inlineStr">
        <is>
          <t>2026-11-09</t>
        </is>
      </c>
      <c r="J130" s="10" t="inlineStr">
        <is>
          <t>2026-11-13</t>
        </is>
      </c>
      <c r="K130" s="10" t="inlineStr">
        <is>
          <t>DZIAŁA</t>
        </is>
      </c>
      <c r="L130" s="11" t="inlineStr">
        <is>
          <t>decyzja infrastrukturalna, poza kodem panelu; D3 t1 29.09 (panel klienta, d3.hvln.pl): LiteSpeed Enterprise (Server: LiteSpeed), CacheRoot z profilu [OK], strona główna WordPressa z x-litespeed-cache: hit</t>
        </is>
      </c>
      <c r="M130" s="11" t="inlineStr">
        <is>
          <t>—</t>
        </is>
      </c>
      <c r="N130" s="11" t="inlineStr">
        <is>
          <t>Funkcja dostępna z panelu klienta bez wychodzenia do DirectAdmina; test uruchamiany w CI.</t>
        </is>
      </c>
      <c r="O130" s="11" t="inlineStr">
        <is>
          <t>koszt licencji — pozycja do unit economics | WYCENA 2026-09-19: krytycznosc i naklad uzupelnione przy wznowieniu. Pozycje przepisane 2026-08-28 w ramach X-49 zostaly bez wyceny, przez co nie liczyly sie do budzetu godzin i nie stały w zadnym sprincie. Podstawa wyceny: Stan b.d. — definicja ukonczenia dla b.d. to weryfikacja na produkcji z timestampem (D3), nie implementacja. Wykonalne na wezle #1. | 2026-09-25 (wg oficjalnej dokumentacji LiteSpeed dla DirectAdmin): profil węzła sprawdzał /usr/local/lsws/conf/httpd_config.conf — plik OpenLiteSpeed; na LSWS Enterprise (webserver=litespeed) go nie ma, więc konfiguracja cache nigdy się nie wykonywała. Teraz CacheRoot serwera w /etc/httpd/conf/extra/httpd-includes.conf i vhostów w templates/custom/cust_httpd.CUSTOM.2.pre, potem custombuild rewrite_confs — dokładnie jak w docs.litespeedtech.com/lsws/cp/directadmin/configuration/. D3 na węźle.</t>
        </is>
      </c>
      <c r="P130" s="10" t="inlineStr">
        <is>
          <t>do zrobienia</t>
        </is>
      </c>
    </row>
    <row r="131">
      <c r="A131" s="10" t="inlineStr">
        <is>
          <t>J-04</t>
        </is>
      </c>
      <c r="B131" s="11" t="inlineStr">
        <is>
          <t>HTTP/3</t>
        </is>
      </c>
      <c r="C131" s="10" t="inlineStr">
        <is>
          <t>audyt</t>
        </is>
      </c>
      <c r="D131" s="10" t="inlineStr">
        <is>
          <t>J — Wydajność i cache</t>
        </is>
      </c>
      <c r="E131" s="10" t="inlineStr">
        <is>
          <t>ŚREDNIA</t>
        </is>
      </c>
      <c r="F131" s="10" t="n">
        <v>6</v>
      </c>
      <c r="G131" s="10" t="n">
        <v>21</v>
      </c>
      <c r="H131" s="10" t="inlineStr"/>
      <c r="I131" s="10" t="inlineStr">
        <is>
          <t>2026-11-09</t>
        </is>
      </c>
      <c r="J131" s="10" t="inlineStr">
        <is>
          <t>2026-11-13</t>
        </is>
      </c>
      <c r="K131" s="10" t="inlineStr">
        <is>
          <t>DZIAŁA</t>
        </is>
      </c>
      <c r="L131" s="11" t="inlineStr">
        <is>
          <t>poza kodem panelu; D3 t1 29.09 (panel klienta, d3.hvln.pl): brak alt-svc, połączenia po h2 — firewalld nie przepuszczał UDP 443; poprawka 68c7e95 (profil + hardening) czeka na push i profil; D3 t1 29.09 wieczór po profilu: curl -sI https://d3.hvln.pl → alt-svc: h3=":443", LiteSpeed nasłuchuje na UDP 443 (IPv4 i IPv6), firewalld przepuszcza 443/udp</t>
        </is>
      </c>
      <c r="M131" s="11" t="inlineStr">
        <is>
          <t>—</t>
        </is>
      </c>
      <c r="N131" s="11" t="inlineStr">
        <is>
          <t>Funkcja dostępna z panelu klienta bez wychodzenia do DirectAdmina; test uruchamiany w CI.</t>
        </is>
      </c>
      <c r="O131" s="11" t="inlineStr">
        <is>
          <t>4 z 5 hostingów PL już ma | WYCENA 2026-09-19: krytycznosc i naklad uzupelnione przy wznowieniu. Pozycje przepisane 2026-08-28 w ramach X-49 zostaly bez wyceny, przez co nie liczyly sie do budzetu godzin i nie stały w zadnym sprincie. Podstawa wyceny: Stan b.d. — jak J-01, weryfikacja na wezle #1.</t>
        </is>
      </c>
      <c r="P131" s="10" t="inlineStr">
        <is>
          <t>do zrobienia</t>
        </is>
      </c>
    </row>
    <row r="132">
      <c r="A132" s="10" t="inlineStr">
        <is>
          <t>B-01</t>
        </is>
      </c>
      <c r="B132" s="11" t="inlineStr">
        <is>
          <t>Zmiana wersji PHP dla całego konta</t>
        </is>
      </c>
      <c r="C132" s="10" t="inlineStr">
        <is>
          <t>audyt</t>
        </is>
      </c>
      <c r="D132" s="10" t="inlineStr">
        <is>
          <t>B — Runtime WWW</t>
        </is>
      </c>
      <c r="E132" s="10" t="inlineStr">
        <is>
          <t>—</t>
        </is>
      </c>
      <c r="F132" s="10" t="n">
        <v>6</v>
      </c>
      <c r="G132" s="10" t="n">
        <v>21</v>
      </c>
      <c r="H132" s="10" t="inlineStr"/>
      <c r="I132" s="10" t="inlineStr">
        <is>
          <t>2026-11-09</t>
        </is>
      </c>
      <c r="J132" s="10" t="inlineStr">
        <is>
          <t>2026-11-13</t>
        </is>
      </c>
      <c r="K132" s="10" t="inlineStr">
        <is>
          <t>DZIAŁA</t>
        </is>
      </c>
      <c r="L132" s="11" t="inlineStr">
        <is>
          <t>services.controller.ts:125; D3 t1 28.09: FAIL — selektor bez alt-php (profil nie instalował els-php-release/alt-phpXX na CL10), panel pokazywał wersję mimo błędu → profil + PHP_APPLY cofa wersję (int: php-odrzucona-zmiana.int-spec.ts); retest po profilu; D3 t1 (d3.hvln.pl) 28.09 23:31: PHP 8.2 dla konta z panelu → strona zwraca 8.2.33 na LiteSpeed (PHP_APPLY zakończone); odrzucona zmiana cofa wersję (int)</t>
        </is>
      </c>
      <c r="M132" s="11" t="inlineStr">
        <is>
          <t>—</t>
        </is>
      </c>
      <c r="N132" s="11" t="inlineStr">
        <is>
          <t>Funkcja dostępna z panelu klienta bez wychodzenia do DirectAdmina; test uruchamiany w CI.</t>
        </is>
      </c>
      <c r="O132" s="11" t="inlineStr">
        <is>
          <t>KOREKTA: pozycja miała stan DZIAŁA na podstawie kodu i kolejki PHP_APPLY. Odkryte 2026-08-21 przy przeglądzie Dockerfile.api: loadery skryptów w API czytają plik z dysku i rzucają wyjątkiem, gdy go nie ma, a obraz produkcyjny kopiował tylko 7 z 10 potrzebnych skryptów. Endpoint /agent/tasks/php-apply/script zwracał 500, więc agent nie miał czego uruchomić — zadanie PHP_APPLY nie mogło się wykonać na produkcji ani razu. Naprawione (COPY + test apps/api/src/test/dockerfile-scripts.spec.ts), ale do czasu potwierdzenia na produkcji stan to CZĘŚCIOWE: kod i testy były zielone przez cały czas, więc D1 i D2 nic tu nie dowodzą — potrzebny D3. | 2026-08-21 21:57: przyczyna wdrożeniowa USUNIĘTA — node-php-apply.sh jest już w obrazie (potwierdzone na serwerze, X-12 D3). Pozycja zostaje CZĘŚCIOWE, bo jej własny dowód wymaga wykonania zadania PHP_APPLY na żywym węźle, a węzła jeszcze nie ma. Do przejścia z części B checklisty D3. | WYCENA 2026-09-19: krytycznosc i naklad uzupelnione przy wznowieniu. Pozycje przepisane 2026-08-28 w ramach X-49 zostaly bez wyceny, przez co nie liczyly sie do budzetu godzin i nie stały w zadnym sprincie. Podstawa wyceny: Zmiana wersji PHP dla calego konta — per domena juz dziala (B-02, S), to ten sam mechanizm o poziom wyzej. | 2026-09-22: przeniesione do sprintu 18 — kod i obraz sa gotowe, zostal wylacznie dowod D3 (PHP_APPLY na zywym wezle).</t>
        </is>
      </c>
      <c r="P132" s="10" t="inlineStr">
        <is>
          <t>do zrobienia</t>
        </is>
      </c>
    </row>
    <row r="133">
      <c r="A133" s="10" t="inlineStr">
        <is>
          <t>PB-02</t>
        </is>
      </c>
      <c r="B133" s="11" t="inlineStr">
        <is>
          <t>Onboarding produkcyjnego węzła #1 (Hetzner AX102)</t>
        </is>
      </c>
      <c r="C133" s="10" t="inlineStr">
        <is>
          <t>poza audytem</t>
        </is>
      </c>
      <c r="D133" s="10" t="inlineStr">
        <is>
          <t>Praca spoza audytu</t>
        </is>
      </c>
      <c r="E133" s="10" t="inlineStr">
        <is>
          <t>WYSOKI</t>
        </is>
      </c>
      <c r="F133" s="10" t="n">
        <v>16</v>
      </c>
      <c r="G133" s="10" t="n">
        <v>21</v>
      </c>
      <c r="H133" s="10" t="inlineStr"/>
      <c r="I133" s="10" t="inlineStr">
        <is>
          <t>2026-11-09</t>
        </is>
      </c>
      <c r="J133" s="10" t="inlineStr">
        <is>
          <t>2026-11-13</t>
        </is>
      </c>
      <c r="K133" s="10" t="inlineStr">
        <is>
          <t>—</t>
        </is>
      </c>
      <c r="L133" s="11" t="inlineStr">
        <is>
          <t>—</t>
        </is>
      </c>
      <c r="M133" s="11" t="inlineStr">
        <is>
          <t>—</t>
        </is>
      </c>
      <c r="N133" s="11" t="inlineStr">
        <is>
          <t>Węzeł przechodzi wszystkie 14 checków live-readiness. /etc/verris-backup.conf istnieje, pierwszy backup off-site wykonany i zaraportowany do control-plane.</t>
        </is>
      </c>
      <c r="O133" s="11" t="inlineStr">
        <is>
          <t>Pełny przebieg node-onboard-live.sh na docelowym serwerze, z konfiguracją backupu off-site jako krokiem obowiązkowym.</t>
        </is>
      </c>
      <c r="P133" s="10" t="inlineStr">
        <is>
          <t>do zrobienia</t>
        </is>
      </c>
    </row>
    <row r="134">
      <c r="A134" s="10" t="inlineStr">
        <is>
          <t>PB-29</t>
        </is>
      </c>
      <c r="B134" s="11" t="inlineStr">
        <is>
          <t>Węzeł: blokery bezpieczeństwa i stabilności</t>
        </is>
      </c>
      <c r="C134" s="10" t="inlineStr">
        <is>
          <t>poza audytem</t>
        </is>
      </c>
      <c r="D134" s="10" t="inlineStr">
        <is>
          <t>Praca spoza audytu</t>
        </is>
      </c>
      <c r="E134" s="10" t="inlineStr">
        <is>
          <t>KRYTYCZNY</t>
        </is>
      </c>
      <c r="F134" s="10" t="n">
        <v>12</v>
      </c>
      <c r="G134" s="10" t="n">
        <v>21</v>
      </c>
      <c r="H134" s="10" t="inlineStr"/>
      <c r="I134" s="10" t="inlineStr">
        <is>
          <t>2026-11-09</t>
        </is>
      </c>
      <c r="J134" s="10" t="inlineStr">
        <is>
          <t>2026-11-13</t>
        </is>
      </c>
      <c r="K134" s="10" t="inlineStr">
        <is>
          <t>—</t>
        </is>
      </c>
      <c r="L134" s="11" t="inlineStr">
        <is>
          <t>—</t>
        </is>
      </c>
      <c r="M134" s="11" t="inlineStr">
        <is>
          <t>—</t>
        </is>
      </c>
      <c r="N134" s="11" t="inlineStr">
        <is>
          <t>Nowy węzeł nie dostaje kont przed zieloną weryfikacją; skrypty przechodzą test na węźle testowym (D3).</t>
        </is>
      </c>
      <c r="O134" s="11" t="inlineStr">
        <is>
          <t>Decyzja właściciela 2026-09-26. Węzeł przyjmuje klientów dopiero po pozytywnym onboardzie i weryfikacji (dziś ACTIVE już po zatwierdzeniu w kroku 3 — servers.service.ts:308); wykrywanie CloudLinux przez cldetect zamiast „lve” w nazwie jądra (dokumentacja CloudLinux: od CL9 jądro AlmaLinux); MariaDB 11.8 LTS zamiast 10.6 (EOL 6.07.2026 wg MariaDB.org); klucze licencji poza linkiem instalacyjnym i usuwane z dysku po instalacji; security-watch na każdym węźle; faza DA w API. | 2026-09-26 ZROBIONE W KODZIE: selektor tylko po zielonym raporcie onboardu (POST /agent/tasks/onboard-report) i bez hardened=false; MariaDB 11.4 (mariadb1104 — Governor nie dokumentuje 11.8; poprawione złe słowo kluczowe 11.x); cldetect + /proc/lve; klucze licencji przez POST /secrets (audyt, pamięć), token w nagłówku, sprzątanie po DONE; pakiet onboardu w układzie repo (security-watch na każdym węźle); faza DA. Zostało: przejście na węźle testowym (D3).</t>
        </is>
      </c>
      <c r="P134" s="10" t="inlineStr">
        <is>
          <t>do zrobienia</t>
        </is>
      </c>
    </row>
    <row r="135">
      <c r="A135" s="10" t="inlineStr">
        <is>
          <t>PB-36</t>
        </is>
      </c>
      <c r="B135" s="11" t="inlineStr">
        <is>
          <t>Podpisane skrypty węzła i klucz SSH ograniczony do control-plane</t>
        </is>
      </c>
      <c r="C135" s="10" t="inlineStr">
        <is>
          <t>poza audytem</t>
        </is>
      </c>
      <c r="D135" s="10" t="inlineStr">
        <is>
          <t>Praca spoza audytu</t>
        </is>
      </c>
      <c r="E135" s="10" t="inlineStr">
        <is>
          <t>KRYTYCZNY</t>
        </is>
      </c>
      <c r="F135" s="10" t="n">
        <v>10</v>
      </c>
      <c r="G135" s="10" t="n">
        <v>21</v>
      </c>
      <c r="H135" s="10" t="inlineStr"/>
      <c r="I135" s="10" t="inlineStr">
        <is>
          <t>2026-11-09</t>
        </is>
      </c>
      <c r="J135" s="10" t="inlineStr">
        <is>
          <t>2026-11-13</t>
        </is>
      </c>
      <c r="K135" s="10" t="inlineStr">
        <is>
          <t>—</t>
        </is>
      </c>
      <c r="L135" s="11" t="inlineStr">
        <is>
          <t>—</t>
        </is>
      </c>
      <c r="M135" s="11" t="inlineStr">
        <is>
          <t>—</t>
        </is>
      </c>
      <c r="N135" s="11" t="inlineStr">
        <is>
          <t>Niepodpisany/zmieniony skrypt odrzucony przez węzeł; authorized_keys zawiera tylko aktualny klucz z ograniczeniem IP.</t>
        </is>
      </c>
      <c r="O135" s="11" t="inlineStr">
        <is>
          <t>Decyzja właściciela 2026-09-26: przed startem. Węzeł uruchamia tylko skrypty podpisane kluczem Verris (przejęte API nie daje roota na flocie); klucz SSH z from= na IP control-plane, stare klucze usuwane (dziś agent co minutę tylko dopisuje klucz). | 2026-09-26 ZROBIONE W KODZIE: podpis Ed25519 każdej odpowiedzi GET /agent/tasks/* (skrypty zadań, pakiety onboardu i strony domyślnej, manifest stosu, konfiguracja kopii, zlecenia, klucz deploy) — podpis obejmuje ścieżkę, id węzła, czas i SHA-256 treści (bez podmiany, przeniesienia na inną ścieżkę/węzeł, powtórki po 5 min). Węzeł pobiera wyłącznie przez /usr/local/bin/verris-fetch (openssl pkeyutl -verify), klucz publiczny przywozi bootstrap / instalacja agenta. Klucz deploy: jeden wpis from="VERRIS_CONTROL_PLANE_IPS" bez przekierowań, poprzedni usuwany (rotacja). API w produkcji nie wystartuje bez VERRIS_SCRIPT_SIGNING_KEY albo z kluczem deploy bez adresów control-plane. Test: prawdziwy verris-fetch vs serwer podpisujący (zmieniona treść / inna ścieżka / inny węzeł / stary podpis / brak podpisu → odrzucone) + smoke na lokalnym API. Do sprawdzenia na D3: openssl na CloudLinux 9, rotacja klucza deploy.</t>
        </is>
      </c>
      <c r="P135" s="10" t="inlineStr">
        <is>
          <t>do zrobienia</t>
        </is>
      </c>
    </row>
    <row r="136">
      <c r="A136" s="10" t="inlineStr">
        <is>
          <t>PB-53</t>
        </is>
      </c>
      <c r="B136" s="11" t="inlineStr">
        <is>
          <t>Fala 3 paneli operatora (przed startem)</t>
        </is>
      </c>
      <c r="C136" s="10" t="inlineStr">
        <is>
          <t>poza audytem</t>
        </is>
      </c>
      <c r="D136" s="10" t="inlineStr">
        <is>
          <t>Praca spoza audytu</t>
        </is>
      </c>
      <c r="E136" s="10" t="inlineStr">
        <is>
          <t>WYSOKI</t>
        </is>
      </c>
      <c r="F136" s="10" t="n">
        <v>194</v>
      </c>
      <c r="G136" s="10" t="n">
        <v>21</v>
      </c>
      <c r="H136" s="10" t="inlineStr"/>
      <c r="I136" s="10" t="inlineStr">
        <is>
          <t>2026-11-09</t>
        </is>
      </c>
      <c r="J136" s="10" t="inlineStr">
        <is>
          <t>2026-11-13</t>
        </is>
      </c>
      <c r="K136" s="10" t="inlineStr">
        <is>
          <t>—</t>
        </is>
      </c>
      <c r="L136" s="11" t="inlineStr">
        <is>
          <t>—</t>
        </is>
      </c>
      <c r="M136" s="11" t="inlineStr">
        <is>
          <t>—</t>
        </is>
      </c>
      <c r="N136" s="11" t="inlineStr">
        <is>
          <t>F3.2 i F3.3 wdrożone przed 7.12, pozostałe obowiązkowe moduły przed 11.01 — z testami i dowodem D3 na t1 albo AX102; moduły przesunięte po starcie zapisane w planie z decyzją właściciela.</t>
        </is>
      </c>
      <c r="O136" s="11" t="inlineStr">
        <is>
          <t>Plan rozbudowy paneli operatora, Fala 3 (9.11–8.01), łącznie ~224 h, z czego F3.1 (poczta konta i węzła, 30 h) jest wydzielone jako PB-52 + N-14; tutaj 194 h: F3.2 ★ bezpieczeństwo węzła — blokady fail2ban z odblokowaniem i białą listą, malware floty z kwarantanną, trafienia WAF (28 h; decyzja D5: zostajemy przy fail2ban); F3.3 ★ kopie floty i polityka (10 h); F3.4 usługi i logi węzła (18 h); F3.5 pełny cykl życia usługi — anulacja na koniec okresu, data odnowienia, obietnica zapłaty, zmiana właściciela, dodatki, limity custom (30 h); F3.6 rozliczenia: obieg i windykacja — proforma z linkiem do płatności (decyzja D7), zaksięgowanie przelewu, portfel ±, zwrot Stripe, nieudane płatności, przypomnienia (34 h); F3.7 helpdesk II — poczta przychodząca do zgłoszeń przez IMAP (decyzja D6), makra, scalanie, działy, SLA, raporty (50 h); F3.8 komunikacja operacyjna (12 h); F3.9 pulpity per rola (12 h). ★ = przed otwartą betą 7.12. Przed 11.01 muszą być: F3.2 (co najmniej odblokowanie IP), F3.3, F3.5 (anulacja, obietnica zapłaty, daty), F3.6 (obieg wpłaty, nieudane płatności), F3.7 (poczta przychodząca, SLA); mogą zejść po starcie: F3.4, F3.8 (poza mailem serwisowym do klientów węzła) i F3.9. Prognoza pokrycia standardu po Fali 3: ~75%. | 2026-10-11 wdrożone na produkcję (deploy #351) i sprawdzone w panelach: Kopie floty, Złośliwe pliki, Poczta bez klienta (import wyłączony — brak skrzynki), Raporty, Nieudane płatności, Windykacja, SLA 1/8–24/120, komunikaty serwisowe z filtrem white label, pulpity per rola; F3.5 anulacja/cofnięcie na żywo. Poprawki z weryfikacji w paczce poprawki4 (WAF v3, data, Select, „2 2 dni”).</t>
        </is>
      </c>
      <c r="P136" s="10" t="inlineStr">
        <is>
          <t>do zrobienia</t>
        </is>
      </c>
    </row>
    <row r="137">
      <c r="A137" s="10" t="inlineStr">
        <is>
          <t>PB-26</t>
        </is>
      </c>
      <c r="B137" s="11" t="inlineStr">
        <is>
          <t>Otwarte testy (beta) z zaproszonymi użytkownikami</t>
        </is>
      </c>
      <c r="C137" s="10" t="inlineStr">
        <is>
          <t>poza audytem</t>
        </is>
      </c>
      <c r="D137" s="10" t="inlineStr">
        <is>
          <t>Praca spoza audytu</t>
        </is>
      </c>
      <c r="E137" s="10" t="inlineStr">
        <is>
          <t>WYSOKI</t>
        </is>
      </c>
      <c r="F137" s="10" t="n">
        <v>12</v>
      </c>
      <c r="G137" s="10" t="n">
        <v>22</v>
      </c>
      <c r="H137" s="10" t="inlineStr"/>
      <c r="I137" s="10" t="inlineStr">
        <is>
          <t>2026-12-07</t>
        </is>
      </c>
      <c r="J137" s="10" t="inlineStr">
        <is>
          <t>2026-12-11</t>
        </is>
      </c>
      <c r="K137" s="10" t="inlineStr">
        <is>
          <t>—</t>
        </is>
      </c>
      <c r="L137" s="11" t="inlineStr">
        <is>
          <t>—</t>
        </is>
      </c>
      <c r="M137" s="11" t="inlineStr">
        <is>
          <t>—</t>
        </is>
      </c>
      <c r="N137" s="11" t="inlineStr">
        <is>
          <t>Minimum 7 dni od pierwszej aktywnej usługi; zero otwartych błędów krytycznych (dane, pieniądze, dostęp); ≥ 80% testerów z działającą stroną bez pomocy wsparcia; poprawki „przed GO” zamknięte. Dopiero potem PB-12.</t>
        </is>
      </c>
      <c r="O137" s="11" t="inlineStr">
        <is>
          <t>Prośba właściciela 2026-09-24: przed startem otwarte testy z osobami zaproszonymi przez właściciela, w ramach darmowego kredytu / okresu. Plan: docs/ops/BETA_TESTY.md — 10–20 osób (WordPress do przeniesienia, sklepy, osoby nietechniczne, agencje), kod FIXED_CREDIT 150 K na osobę (1 użycie, 14 dni), scenariusze od rejestracji po odtworzenie kopii i telefon, kanał: zgłoszenia z kategorią Beta. Po naszej stronie: generator kodów, kategoria zgłoszeń, mail zaproszenia, ankieta, widok testerów w panelu admina. | PRZYGOTOWANIE 2026-09-24 (D2): panel admina „Testy (beta)” — zaproszenie tworzy imienny kod BETA-XXXXXX (150 K, 1 użycie, 14 dni) i wysyła mail z instrukcją; lista testerów (stan kodu, konto, aktywne usługi, zgłoszenia Beta); temat „Testy (beta)” w panelu klienta tylko dla testera, znacznik Beta w panelu obsługi. Zostaje: ankieta końcowa (mailem), sama beta po węźle #1.</t>
        </is>
      </c>
      <c r="P137" s="10" t="inlineStr">
        <is>
          <t>do zrobienia</t>
        </is>
      </c>
    </row>
    <row r="138">
      <c r="A138" s="10" t="inlineStr">
        <is>
          <t>PB-05</t>
        </is>
      </c>
      <c r="B138" s="11" t="inlineStr">
        <is>
          <t>Test end-to-end „pierwszy klient”</t>
        </is>
      </c>
      <c r="C138" s="10" t="inlineStr">
        <is>
          <t>poza audytem</t>
        </is>
      </c>
      <c r="D138" s="10" t="inlineStr">
        <is>
          <t>Praca spoza audytu</t>
        </is>
      </c>
      <c r="E138" s="10" t="inlineStr">
        <is>
          <t>BLOKER BIZNESOWY</t>
        </is>
      </c>
      <c r="F138" s="10" t="n">
        <v>16</v>
      </c>
      <c r="G138" s="10" t="n">
        <v>22</v>
      </c>
      <c r="H138" s="10" t="inlineStr"/>
      <c r="I138" s="10" t="inlineStr">
        <is>
          <t>2026-12-07</t>
        </is>
      </c>
      <c r="J138" s="10" t="inlineStr">
        <is>
          <t>2026-12-11</t>
        </is>
      </c>
      <c r="K138" s="10" t="inlineStr">
        <is>
          <t>—</t>
        </is>
      </c>
      <c r="L138" s="11" t="inlineStr">
        <is>
          <t>—</t>
        </is>
      </c>
      <c r="M138" s="11" t="inlineStr">
        <is>
          <t>wszystkie blokery zamknięte (sprint 8)</t>
        </is>
      </c>
      <c r="N138" s="11" t="inlineStr">
        <is>
          <t>Zapisany przebieg z timestampami dla każdego kroku — to jest dowód poziomu D3, jedyny w całym projekcie. Każdy nieudany krok wraca do backlogu jako bloker.</t>
        </is>
      </c>
      <c r="O138" s="11" t="inlineStr">
        <is>
          <t>Przejście całej ścieżki na produkcji jako realny klient: rejestracja, zakup, płatność, provisioning, migracja strony, wystawienie faktury, KSeF, backup, odtworzenie.</t>
        </is>
      </c>
      <c r="P138" s="10" t="inlineStr">
        <is>
          <t>do zrobienia</t>
        </is>
      </c>
    </row>
  </sheetData>
  <autoFilter ref="A1:P138"/>
  <conditionalFormatting sqref="E2:E138">
    <cfRule type="cellIs" priority="1" operator="equal" dxfId="0">
      <formula>"BLOKER STARTU"</formula>
    </cfRule>
    <cfRule type="cellIs" priority="2" operator="equal" dxfId="0">
      <formula>"BLOKER BIZNESOWY"</formula>
    </cfRule>
    <cfRule type="cellIs" priority="3" operator="equal" dxfId="1">
      <formula>"WYSOKA"</formula>
    </cfRule>
    <cfRule type="cellIs" priority="4" operator="equal" dxfId="1">
      <formula>"WYSOKI"</formula>
    </cfRule>
    <cfRule type="cellIs" priority="5" operator="equal" dxfId="2">
      <formula>"ŚREDNIA"</formula>
    </cfRule>
    <cfRule type="cellIs" priority="6" operator="equal" dxfId="2">
      <formula>"ŚREDNI"</formula>
    </cfRule>
  </conditionalFormatting>
  <conditionalFormatting sqref="P2:P138">
    <cfRule type="cellIs" priority="7" operator="equal" dxfId="3">
      <formula>"zrobione"</formula>
    </cfRule>
    <cfRule type="cellIs" priority="8" operator="equal" dxfId="2">
      <formula>"w toku"</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1" customWidth="1" min="3" max="3"/>
    <col width="40" customWidth="1" min="4" max="4"/>
    <col width="52" customWidth="1" min="5" max="5"/>
    <col width="7" customWidth="1" min="6" max="6"/>
    <col width="8" customWidth="1" min="7" max="7"/>
    <col width="11" customWidth="1" min="8" max="8"/>
    <col width="12" customWidth="1" min="9" max="9"/>
    <col width="92" customWidth="1" min="10" max="10"/>
  </cols>
  <sheetData>
    <row r="1" ht="30" customHeight="1">
      <c r="A1" s="9" t="inlineStr">
        <is>
          <t>Sprint</t>
        </is>
      </c>
      <c r="B1" s="9" t="inlineStr">
        <is>
          <t>Od</t>
        </is>
      </c>
      <c r="C1" s="9" t="inlineStr">
        <is>
          <t>Do</t>
        </is>
      </c>
      <c r="D1" s="9" t="inlineStr">
        <is>
          <t>Faza</t>
        </is>
      </c>
      <c r="E1" s="9" t="inlineStr">
        <is>
          <t>Cel sprintu</t>
        </is>
      </c>
      <c r="F1" s="9" t="inlineStr">
        <is>
          <t>Zadań</t>
        </is>
      </c>
      <c r="G1" s="9" t="inlineStr">
        <is>
          <t>Godzin</t>
        </is>
      </c>
      <c r="H1" s="9" t="inlineStr">
        <is>
          <t>Pojemność</t>
        </is>
      </c>
      <c r="I1" s="9" t="inlineStr">
        <is>
          <t>Obciążenie</t>
        </is>
      </c>
      <c r="J1" s="9" t="inlineStr">
        <is>
          <t>Ryzyko</t>
        </is>
      </c>
    </row>
    <row r="2">
      <c r="A2" s="10" t="n">
        <v>1</v>
      </c>
      <c r="B2" s="10" t="inlineStr">
        <is>
          <t>2026-08-31</t>
        </is>
      </c>
      <c r="C2" s="10" t="inlineStr">
        <is>
          <t>2026-09-04</t>
        </is>
      </c>
      <c r="D2" s="11" t="inlineStr">
        <is>
          <t>Faza 0 — Zatrzymać krwawienie</t>
        </is>
      </c>
      <c r="E2" s="11" t="inlineStr">
        <is>
          <t>Zatrzymać krwawienie i włączyć CI</t>
        </is>
      </c>
      <c r="F2" s="10">
        <f>COUNTIF('Backlog do startu'!$G$2:$G$138,A2)</f>
        <v/>
      </c>
      <c r="G2" s="10">
        <f>SUMIF('Backlog do startu'!$G$2:$G$138,A2,'Backlog do startu'!$F$2:$F$138)</f>
        <v/>
      </c>
      <c r="H2" s="10" t="n">
        <v>65</v>
      </c>
      <c r="I2" s="12">
        <f>IFERROR(G2/H2,0)</f>
        <v/>
      </c>
      <c r="J2" s="11" t="inlineStr">
        <is>
          <t>PB-01 może wywrócić cenę 45 zł. Dlatego jest w pierwszym sprincie, a nie w ostatnim — wynik zmienia treść cennika w sprincie 15. Sprint urósł o sześć pozycji odkrytych przy włączaniu CI — nie było ich w planie z 2026-08. | PRZEPLANOWANIE 2026-09-19: sprinty 1-3 sa WYKONANE. Ich zawartosc zostaje bez zmian jako zapis historii. Faktyczny przebieg: 2026-08-21 do 2026-08-28, trzy sprinty tresci w szesc dni roboczych, po czym 22 dni przerwy. Daty kalendarzowe w tym pliku licza sie od nowego punktu odniesienia (start=2026-08-31), zeby zgadzaly sie DO PRZODU; dla sprintow 1-3 sa o tydzien przesuniete wobec rzeczywistosci i nie nalezy ich czytac jako zapisu, kiedy ta praca powstala.</t>
        </is>
      </c>
    </row>
    <row r="3">
      <c r="A3" s="10" t="n">
        <v>2</v>
      </c>
      <c r="B3" s="10" t="inlineStr">
        <is>
          <t>2026-09-07</t>
        </is>
      </c>
      <c r="C3" s="10" t="inlineStr">
        <is>
          <t>2026-09-11</t>
        </is>
      </c>
      <c r="D3" s="11" t="inlineStr">
        <is>
          <t>Faza 0 — Zatrzymać krwawienie</t>
        </is>
      </c>
      <c r="E3" s="11" t="inlineStr">
        <is>
          <t>Zamknąć luki bezpieczeństwa z passu adwersaryjnego</t>
        </is>
      </c>
      <c r="F3" s="10">
        <f>COUNTIF('Backlog do startu'!$G$2:$G$138,A3)</f>
        <v/>
      </c>
      <c r="G3" s="10">
        <f>SUMIF('Backlog do startu'!$G$2:$G$138,A3,'Backlog do startu'!$F$2:$F$138)</f>
        <v/>
      </c>
      <c r="H3" s="10" t="n">
        <v>65</v>
      </c>
      <c r="I3" s="12">
        <f>IFERROR(G3/H3,0)</f>
        <v/>
      </c>
      <c r="J3" s="11" t="inlineStr">
        <is>
          <t>Z-03 dotyka skryptów na węźle — zmiana wymaga przetestowania całej ścieżki migracji, nie tylko walidacji DTO. Sprint urósł o dziesięć pozycji odkrytych w trakcie: podatności, strażniki, bramki wdrożeniowe i awaria kopii bazy (H-23/H-24). Przeciążenie jest prawdziwe i celowo widoczne — praca została wykonana, plan jej nie przewidywał. X-28 doszło jako odpowiedź na pytanie, które zostawiło H-23: dlaczego alarm o braku kopii nie dotarł do nikogo. Odpowiedź — nie miał dokąd; w repo nie było Alertmanagera, a Grafana miała odbiorcę i zero reguł. X-29 wyszło godzinę po X-28 i z tego samego pytania: skoro reguły są w repo, to czy wdrożenie w ogóle je dowozi? Nie dowoziło — wdrożenie restartowało tylko aplikacje, a Prometheus i Grafana czytają konfigurację wyłącznie przy starcie. H-20 wykonane tu, a nie w sprincie 9: awaria kopii z H-23 wymusiła odtworzenie bazy tu i teraz, więc dowód D4 powstał jedenaście sprintów przed terminem. X-30 wyszło przy sprawdzaniu, czy X-29 faktycznie coś zmieniło: reguły były wczytane i żadna się nie liczyła. Trzeci raz tego dnia to samo pytanie — czy to, co wygląda na zrobione, jest zrobione — i trzeci raz odpowiedź brzmiała nie. X-31 domyka dzień: po naprawie X-30 alerty ucichną, a cisza wygląda tak samo jak awaria kanału — więc dokładamy regułę, która pali się zawsze i której brak jest sygnałem. Decyzja właściciela produktu: jeden mail na dobę. Z-18 zamyka dzień tym, od czego wszystko się zaczęło: pierwszy alarm zapalony z prawdziwego powodu pokazał wadę, która przy zerwaniu sieci oddaje klientowi pieniądze za usługę, którą za chwilę wykona. Poprawka jest tutaj, dowód D3 dopiero przy węźle #1. X-32 to ostatnie ogniwo dnia i najkrótsza historia: alarm kazał posprzątać kolejkę, a w produkcie nie było czym jej posprzątać. Zostawało grzebanie w Redisie bez śladu w audycie — czyli dokładnie to, przeciwko czemu powstał cały ten dzień. X-33 dopisało się samo, bo wdrożenie #70 padło na bramce z X-30 przy czternastu działających regułach. Metryka reguł pojawia się dopiero na pierwszym takcie schedulera alertów, a bramka czytała ją sekundę po tym, jak /api/health odpowiedziało — mierzyła szybkość startu i meldowała o poprawności prowizjonowania. Bramka, która potrafi zapalić się na zdrowym systemie, uczy klikać „re-run" i przestaje chronić cokolwiek, więc ten sprint domyka się dopiero tutaj. X-34 dopisało się, bo bramka z X-33 miała własną usterkę: printf | grep -q przy pipefail zwraca błąd DOKŁADNIE WTEDY, GDY METRYKA JEST, o ile odpowiedź przekracza bufor potoku. Bramka nie kłamała o Grafanie — kłamała o własnym odczycie, a strażnik tego nie złapał, bo jego atrapa ważyła 200 bajtów zamiast setek kilobajtów i pracował pod innymi flagami powłoki niż produkcja. | 2026-09-22: Z-18 zdjete z listy tego sprintu (kod zrobiony tutaj, D2) — pozycja otwarta czeka na dowod D3 w sprincie 18, a generator przypisuje pozycje do pierwszego sprintu, w ktorym wystepuje. | 2026-10-10: H-20 przeniesione do sprintu 16 — dowód D4 z 2026-08-23 wygasł po 30 dniach (21.09), pozycja wróciła do CZĘŚCIOWE i do blokerów startu. Praca wykonana w tym sprincie zostaje opisana w macierzy; odnowienie dowodu to PB-54.</t>
        </is>
      </c>
    </row>
    <row r="4">
      <c r="A4" s="10" t="n">
        <v>3</v>
      </c>
      <c r="B4" s="10" t="inlineStr">
        <is>
          <t>2026-09-14</t>
        </is>
      </c>
      <c r="C4" s="10" t="inlineStr">
        <is>
          <t>2026-09-18</t>
        </is>
      </c>
      <c r="D4" s="11" t="inlineStr">
        <is>
          <t>Faza 0 — Zatrzymać krwawienie</t>
        </is>
      </c>
      <c r="E4" s="11" t="inlineStr">
        <is>
          <t>Pojemność węzła i plan produkcyjny</t>
        </is>
      </c>
      <c r="F4" s="10">
        <f>COUNTIF('Backlog do startu'!$G$2:$G$138,A4)</f>
        <v/>
      </c>
      <c r="G4" s="10">
        <f>SUMIF('Backlog do startu'!$G$2:$G$138,A4,'Backlog do startu'!$F$2:$F$138)</f>
        <v/>
      </c>
      <c r="H4" s="10" t="n">
        <v>65</v>
      </c>
      <c r="I4" s="12">
        <f>IFERROR(G4/H4,0)</f>
        <v/>
      </c>
      <c r="J4" s="11" t="inlineStr">
        <is>
          <t>Sprintu nie było w planie z 2026-08. Dołożony po PB-01, które pokazało, że przy dzisiejszym placemencie na węźle mieści się 16 kont, a próg rentowności przy cenie 45 zł to 58. Dopóki Z-12 jest otwarte, sprzedaż zatrzymuje się na szesnastym koncie niezależnie od popytu — selektor odmówi provisioningu. Z-13 idzie razem, bo bez planu produkcyjnego w bazie nie ma czego umieszczać ani na czym testować nadsubskrypcji. PB-14 zamyka sprint, bo wybór dostawcy przesądza o rentowności bardziej niż cokolwiek innego w tym modelu, a decyzja musi zapaść przed zamówieniem serwera w sprincie 8. AKTUALIZACJA 2026-08-22: Z-12 i Z-13 zamknięte tego samego dnia, a przy nich wyszło Z-16 — autoskalowanie nie pyta węzła o pojemność i nie dowozi sufitu z oferty. Dołożone do tego samego sprintu, bo to trzecia strona tej samej sprawy: pojemność węzła musi być liczona w jednym miejscu, a nie w trzech niezależnych.</t>
        </is>
      </c>
    </row>
    <row r="5">
      <c r="A5" s="10" t="n">
        <v>4</v>
      </c>
      <c r="B5" s="10" t="inlineStr">
        <is>
          <t>2026-09-21</t>
        </is>
      </c>
      <c r="C5" s="10" t="inlineStr">
        <is>
          <t>2026-09-25</t>
        </is>
      </c>
      <c r="D5" s="11" t="inlineStr">
        <is>
          <t>Faza 1 — Rozliczenia i dowód odtworzenia</t>
        </is>
      </c>
      <c r="E5" s="11" t="inlineStr">
        <is>
          <t>Wznowienie: odzyskac srodowisko i zatrzymac gnicie</t>
        </is>
      </c>
      <c r="F5" s="10">
        <f>COUNTIF('Backlog do startu'!$G$2:$G$138,A5)</f>
        <v/>
      </c>
      <c r="G5" s="10">
        <f>SUMIF('Backlog do startu'!$G$2:$G$138,A5,'Backlog do startu'!$F$2:$F$138)</f>
        <v/>
      </c>
      <c r="H5" s="10" t="n">
        <v>65</v>
      </c>
      <c r="I5" s="12">
        <f>IFERROR(G5/H5,0)</f>
        <v/>
      </c>
      <c r="J5" s="11" t="inlineStr">
        <is>
          <t>Pierwszy sprint po 22 dniach przerwy. Kolejnosc nie jest dowolna: DEV-01 idzie pierwsze, bo po decyzji nr 1 z 2026-08-28 JEDYNA realna bramka przed main jest bramka uruchamiana lokalnie, a ona nie wstanie bez bazy deweloperskiej. DEP-01 rosnie samo — kolejka PR-ow Dependabota powiekszyla sie przez przerwe, a job Security scans wykrywa CVE, ktorych poprawki leza niescalone. P-15 W CALOSCI TUTAJ, nie rozbite na dwa sprinty. Korekta 2026-09-19: zalozenie, ze DPA zalezy od tempa dostawcow, bylo nieprawdziwe — trzy z pieciu obowiazuja z mocy umowy glownej, dwa akceptuje sie kliknieciem w panelu. Praca wlasna to wylacznie Zalacznik 1 do DPA Hetznera. Dzieki temu OSTATNI BLOKER POZA KSeF-em zamyka sie w sprincie 4, a nie w sprincie 10. DEP-02 przeniesione do sprintu 10, zeby zmiescic sie w pojemnosci. | DOLOZONE 2026-09-19: X-50. Bramka podatnosci nie jest checkiem wymaganym w rulesecie i nie jest wolana przez deploy.yml, wiec czerwona bramka nie zatrzymuje ani merge, ani wdrozenia. Wchodzi do sprintu 4, bo jest tania (6 h) i jest warunkiem tego, zeby SEC-07 i cokolwiek pozniejszego mialo gdzie sie zatrzymac. X-03 przeniesione do sprintu 5, zeby zmiescic sie w pojemnosci. | DOLOZONE W TRAKCIE 2026-09-19: X-51 (etykiety) i SEC-08 (dwa CRITICAL RCE w Next.js, odkryte przy pierwszym uruchomieniu bramki podatnosci po przerwie). SEC-07 przeniesione tu ze sprintu 5 — zamkniete tego samego dnia. | 2026-09-22: P-15 przeniesione do bloku dokumentow na koncu planu (decyzja wlasciciela — przed pierwszym klientem, nie teraz). Stripe, AWS, Openprovider i Cloudflare zalatwione; zostaje Hetzner z Zalacznikiem 1.</t>
        </is>
      </c>
    </row>
    <row r="6">
      <c r="A6" s="10" t="n">
        <v>5</v>
      </c>
      <c r="B6" s="10" t="inlineStr">
        <is>
          <t>2026-09-28</t>
        </is>
      </c>
      <c r="C6" s="10" t="inlineStr">
        <is>
          <t>2026-10-02</t>
        </is>
      </c>
      <c r="D6" s="11" t="inlineStr">
        <is>
          <t>Faza 1 — Rozliczenia i dowód odtworzenia</t>
        </is>
      </c>
      <c r="E6" s="11" t="inlineStr">
        <is>
          <t>Faktury w programie ksiegowym i bramka wdrozenia</t>
        </is>
      </c>
      <c r="F6" s="10">
        <f>COUNTIF('Backlog do startu'!$G$2:$G$138,A6)</f>
        <v/>
      </c>
      <c r="G6" s="10">
        <f>SUMIF('Backlog do startu'!$G$2:$G$138,A6,'Backlog do startu'!$F$2:$F$138)</f>
        <v/>
      </c>
      <c r="H6" s="10" t="n">
        <v>65</v>
      </c>
      <c r="I6" s="12">
        <f>IFERROR(G6/H6,0)</f>
        <v/>
      </c>
      <c r="J6" s="11" t="inlineStr">
        <is>
          <t>FAK-01 NA POCZATKU i jako BLOKER STARTU: decyzja z 2026-09-22 (ADR-2026-09-22) — faktury VAT wystawia program ksiegowy. Panel dzis sam numeruje faktury w transakcji obciazenia portfela, wiec bez przelacznika trybu kazda platnosc dostalaby dwie faktury w dwoch seriach. Dopiero po FAK-01 moga zejsc flagi blokera z M-16 i M-17. PB-13 ZAMKNIETE tego samego dnia — kierunek: integracja z programem ksiegowym po API, na start recznie. PB-14 musi zapasc przed zamowieniem serwera w sprincie 6. X-03 — reczna sciezka wdrozenia omija bramke: zamiana cichego obejscia na jawne, z flaga i zapisanym powodem.</t>
        </is>
      </c>
    </row>
    <row r="7">
      <c r="A7" s="10" t="n">
        <v>6</v>
      </c>
      <c r="B7" s="10" t="inlineStr">
        <is>
          <t>2026-10-05</t>
        </is>
      </c>
      <c r="C7" s="10" t="inlineStr">
        <is>
          <t>2026-10-09</t>
        </is>
      </c>
      <c r="D7" s="11" t="inlineStr">
        <is>
          <t>Faza 1 — Rozliczenia i dowód odtworzenia</t>
        </is>
      </c>
      <c r="E7" s="11" t="inlineStr">
        <is>
          <t>Fundament designu i edytor DNS</t>
        </is>
      </c>
      <c r="F7" s="10">
        <f>COUNTIF('Backlog do startu'!$G$2:$G$138,A7)</f>
        <v/>
      </c>
      <c r="G7" s="10">
        <f>SUMIF('Backlog do startu'!$G$2:$G$138,A7,'Backlog do startu'!$F$2:$F$138)</f>
        <v/>
      </c>
      <c r="H7" s="10" t="n">
        <v>65</v>
      </c>
      <c r="I7" s="12">
        <f>IFERROR(G7/H7,0)</f>
        <v/>
      </c>
      <c r="J7" s="11" t="inlineStr">
        <is>
          <t>Najpierw system wizualny i jeden ekran-wzorzec do akceptacji — wszystko dalej budujemy juz w nowym stylu. F-01/F-02 (edytor DNS) maja kod z 2026-09-22; D3 przy wezle. | PRZEPLANOWANIE 2026-09-22 (3): decyzja wlasciciela — przed startem design (PB-15/16), asystent v1 (PB-17) i tickety v2 (PB-18); plan wydluza sie o 3 sprinty.</t>
        </is>
      </c>
    </row>
    <row r="8">
      <c r="A8" s="10" t="n">
        <v>7</v>
      </c>
      <c r="B8" s="10" t="inlineStr">
        <is>
          <t>2026-10-12</t>
        </is>
      </c>
      <c r="C8" s="10" t="inlineStr">
        <is>
          <t>2026-10-16</t>
        </is>
      </c>
      <c r="D8" s="11" t="inlineStr">
        <is>
          <t>Faza 1 — Rozliczenia i dowód odtworzenia</t>
        </is>
      </c>
      <c r="E8" s="11" t="inlineStr">
        <is>
          <t>Ekrany panelu klienta w nowym designie</t>
        </is>
      </c>
      <c r="F8" s="10">
        <f>COUNTIF('Backlog do startu'!$G$2:$G$138,A8)</f>
        <v/>
      </c>
      <c r="G8" s="10">
        <f>SUMIF('Backlog do startu'!$G$2:$G$138,A8,'Backlog do startu'!$F$2:$F$138)</f>
        <v/>
      </c>
      <c r="H8" s="10" t="n">
        <v>65</v>
      </c>
      <c r="I8" s="12">
        <f>IFERROR(G8/H8,0)</f>
        <v/>
      </c>
      <c r="J8" s="11" t="inlineStr">
        <is>
          <t>Przeniesienie ekranow po akceptacji wzorca z PB-15. Ryzyko: zakres — ekranow jest duzo; kolejnosc od najczesciej uzywanych. | PRZEPLANOWANIE 2026-09-22 (3): decyzja wlasciciela — przed startem design (PB-15/16), asystent v1 (PB-17) i tickety v2 (PB-18); plan wydluza sie o 3 sprinty.</t>
        </is>
      </c>
    </row>
    <row r="9">
      <c r="A9" s="10" t="n">
        <v>8</v>
      </c>
      <c r="B9" s="10" t="inlineStr">
        <is>
          <t>2026-10-19</t>
        </is>
      </c>
      <c r="C9" s="10" t="inlineStr">
        <is>
          <t>2026-10-23</t>
        </is>
      </c>
      <c r="D9" s="11" t="inlineStr">
        <is>
          <t>Faza 1 — Rozliczenia i dowód odtworzenia</t>
        </is>
      </c>
      <c r="E9" s="11" t="inlineStr">
        <is>
          <t>Poczta: dostarczalnosc i skrzynki</t>
        </is>
      </c>
      <c r="F9" s="10">
        <f>COUNTIF('Backlog do startu'!$G$2:$G$138,A9)</f>
        <v/>
      </c>
      <c r="G9" s="10">
        <f>SUMIF('Backlog do startu'!$G$2:$G$138,A9,'Backlog do startu'!$F$2:$F$138)</f>
        <v/>
      </c>
      <c r="H9" s="10" t="n">
        <v>65</v>
      </c>
      <c r="I9" s="12">
        <f>IFERROR(G9/H9,0)</f>
        <v/>
      </c>
      <c r="J9" s="11" t="inlineStr">
        <is>
          <t>Brak SPF/DKIM w panelu to najczestsza przyczyna "moja poczta trafia do spamu". Backend dziala — to glownie podpiecie osieroconego komponentu. | PRZEPLANOWANIE 2026-09-22 (decyzja wlasciciela): wszystko, co wymaga nowego serwera, na koniec — zakup AX102 dopiero w sprincie 18, zeby serwer nie stal pusty i nie generowal kosztow. Najpierw panel, funkcje i poprawki na istniejacej infrastrukturze. | PRZEPLANOWANIE 2026-09-22 (3): decyzja wlasciciela — przed startem design (PB-15/16), asystent v1 (PB-17) i tickety v2 (PB-18); plan wydluza sie o 3 sprinty.</t>
        </is>
      </c>
    </row>
    <row r="10">
      <c r="A10" s="10" t="n">
        <v>9</v>
      </c>
      <c r="B10" s="10" t="inlineStr">
        <is>
          <t>2026-10-26</t>
        </is>
      </c>
      <c r="C10" s="10" t="inlineStr">
        <is>
          <t>2026-10-30</t>
        </is>
      </c>
      <c r="D10" s="11" t="inlineStr">
        <is>
          <t>Faza 2 — Odzyskanie funkcji-widm i luki pierwszego tygodnia</t>
        </is>
      </c>
      <c r="E10" s="11" t="inlineStr">
        <is>
          <t>Asystent v1</t>
        </is>
      </c>
      <c r="F10" s="10">
        <f>COUNTIF('Backlog do startu'!$G$2:$G$138,A10)</f>
        <v/>
      </c>
      <c r="G10" s="10">
        <f>SUMIF('Backlog do startu'!$G$2:$G$138,A10,'Backlog do startu'!$F$2:$F$138)</f>
        <v/>
      </c>
      <c r="H10" s="10" t="n">
        <v>65</v>
      </c>
      <c r="I10" s="12">
        <f>IFERROR(G10/H10,0)</f>
        <v/>
      </c>
      <c r="J10" s="11" t="inlineStr">
        <is>
          <t>Dymki na regulach i naprawy odwracalne — bez kosztow AI i bez akcji destrukcyjnych. Agent wykonujacy akcje: po starcie. | PRZEPLANOWANIE 2026-09-22 (3): decyzja wlasciciela — przed startem design (PB-15/16), asystent v1 (PB-17) i tickety v2 (PB-18); plan wydluza sie o 3 sprinty.</t>
        </is>
      </c>
    </row>
    <row r="11">
      <c r="A11" s="10" t="n">
        <v>10</v>
      </c>
      <c r="B11" s="10" t="inlineStr">
        <is>
          <t>2026-11-02</t>
        </is>
      </c>
      <c r="C11" s="10" t="inlineStr">
        <is>
          <t>2026-11-06</t>
        </is>
      </c>
      <c r="D11" s="11" t="inlineStr">
        <is>
          <t>Faza 2 — Odzyskanie funkcji-widm i luki pierwszego tygodnia</t>
        </is>
      </c>
      <c r="E11" s="11" t="inlineStr">
        <is>
          <t>Tickety v2</t>
        </is>
      </c>
      <c r="F11" s="10">
        <f>COUNTIF('Backlog do startu'!$G$2:$G$138,A11)</f>
        <v/>
      </c>
      <c r="G11" s="10">
        <f>SUMIF('Backlog do startu'!$G$2:$G$138,A11,'Backlog do startu'!$F$2:$F$138)</f>
        <v/>
      </c>
      <c r="H11" s="10" t="n">
        <v>65</v>
      </c>
      <c r="I11" s="12">
        <f>IFERROR(G11/H11,0)</f>
        <v/>
      </c>
      <c r="J11" s="11" t="inlineStr">
        <is>
          <t>Od pierwszego klienta support musi byc szybki; auto-wysylka odpowiedzi dopiero po zebraniu danych o trafnosci szkicow. | PRZEPLANOWANIE 2026-09-22 (3): decyzja wlasciciela — przed startem design (PB-15/16), asystent v1 (PB-17) i tickety v2 (PB-18); plan wydluza sie o 3 sprinty.</t>
        </is>
      </c>
    </row>
    <row r="12">
      <c r="A12" s="10" t="n">
        <v>11</v>
      </c>
      <c r="B12" s="10" t="inlineStr">
        <is>
          <t>2026-11-09</t>
        </is>
      </c>
      <c r="C12" s="10" t="inlineStr">
        <is>
          <t>2026-11-13</t>
        </is>
      </c>
      <c r="D12" s="11" t="inlineStr">
        <is>
          <t>Faza 2 — Odzyskanie funkcji-widm i luki pierwszego tygodnia</t>
        </is>
      </c>
      <c r="E12" s="11" t="inlineStr">
        <is>
          <t>Warstwa operatorska: zatrzymywanie szkody</t>
        </is>
      </c>
      <c r="F12" s="10">
        <f>COUNTIF('Backlog do startu'!$G$2:$G$138,A12)</f>
        <v/>
      </c>
      <c r="G12" s="10">
        <f>SUMIF('Backlog do startu'!$G$2:$G$138,A12,'Backlog do startu'!$F$2:$F$138)</f>
        <v/>
      </c>
      <c r="H12" s="10" t="n">
        <v>65</v>
      </c>
      <c r="I12" s="12">
        <f>IFERROR(G12/H12,0)</f>
        <v/>
      </c>
      <c r="J12" s="11" t="inlineStr">
        <is>
          <t>Bez tego pierwszy incydent obslugujesz curlem o drugiej w nocy. Pierwsze cztery pozycje to endpointy, ktore juz dzialaja. | PRZEPLANOWANIE 2026-09-22 (decyzja wlasciciela): wszystko, co wymaga nowego serwera, na koniec — zakup AX102 dopiero w sprincie 18, zeby serwer nie stal pusty i nie generowal kosztow. Najpierw panel, funkcje i poprawki na istniejacej infrastrukturze. | 2026-10-10: N-14 przeniesione do sprintu 17 — audyt paneli operatora (OC-10) wykazał, że kordon działa tylko w module marketingu; decyzja D4: blokada wysyłki konta i kolejka MTA to bloker przed otwartą betą 7.12 (PB-52).</t>
        </is>
      </c>
    </row>
    <row r="13">
      <c r="A13" s="10" t="n">
        <v>12</v>
      </c>
      <c r="B13" s="10" t="inlineStr">
        <is>
          <t>2026-11-16</t>
        </is>
      </c>
      <c r="C13" s="10" t="inlineStr">
        <is>
          <t>2026-11-20</t>
        </is>
      </c>
      <c r="D13" s="11" t="inlineStr">
        <is>
          <t>Faza 2 — Odzyskanie funkcji-widm i luki pierwszego tygodnia</t>
        </is>
      </c>
      <c r="E13" s="11" t="inlineStr">
        <is>
          <t>Backup i staging</t>
        </is>
      </c>
      <c r="F13" s="10">
        <f>COUNTIF('Backlog do startu'!$G$2:$G$138,A13)</f>
        <v/>
      </c>
      <c r="G13" s="10">
        <f>SUMIF('Backlog do startu'!$G$2:$G$138,A13,'Backlog do startu'!$F$2:$F$138)</f>
        <v/>
      </c>
      <c r="H13" s="10" t="n">
        <v>65</v>
      </c>
      <c r="I13" s="12">
        <f>IFERROR(G13/H13,0)</f>
        <v/>
      </c>
      <c r="J13" s="11" t="inlineStr">
        <is>
          <t>H-17 bylo zalezne od H-20 — zamkniete 2026-08-23 dowodem D4, wiec zaleznosc spelniona. | PRZEPLANOWANIE 2026-09-22 (decyzja wlasciciela): wszystko, co wymaga nowego serwera, na koniec — zakup AX102 dopiero w sprincie 18, zeby serwer nie stal pusty i nie generowal kosztow. Najpierw panel, funkcje i poprawki na istniejacej infrastrukturze. Pozycje, ktore okaza sie wymagac wezla do dowodu D3, dostaja kod tutaj, a dowod w sprincie 18.</t>
        </is>
      </c>
    </row>
    <row r="14">
      <c r="A14" s="10" t="n">
        <v>13</v>
      </c>
      <c r="B14" s="10" t="inlineStr">
        <is>
          <t>2026-11-23</t>
        </is>
      </c>
      <c r="C14" s="10" t="inlineStr">
        <is>
          <t>2026-11-27</t>
        </is>
      </c>
      <c r="D14" s="11" t="inlineStr">
        <is>
          <t>Faza 2 — Odzyskanie funkcji-widm i luki pierwszego tygodnia</t>
        </is>
      </c>
      <c r="E14" s="11" t="inlineStr">
        <is>
          <t>Ogony, zaleznosci i dokumenty VOID</t>
        </is>
      </c>
      <c r="F14" s="10">
        <f>COUNTIF('Backlog do startu'!$G$2:$G$138,A14)</f>
        <v/>
      </c>
      <c r="G14" s="10">
        <f>SUMIF('Backlog do startu'!$G$2:$G$138,A14,'Backlog do startu'!$F$2:$F$138)</f>
        <v/>
      </c>
      <c r="H14" s="10" t="n">
        <v>65</v>
      </c>
      <c r="I14" s="12">
        <f>IFERROR(G14/H14,0)</f>
        <v/>
      </c>
      <c r="J14" s="11" t="inlineStr">
        <is>
          <t>X-31 i X-32 to ostatnie CZESCIOWE z passu adwersaryjnego. DEP-02 tu, bo wyciszenie majorow ESLinta z DEP-03 ma termin przegladu 2026-11-15, a sprint zaczyna sie 2026-11-02. M-08 (anulowanie faktury VOID) — w trybie zewnetrznym z FAK-01 dotyczy dokumentu rozliczeniowego, nie faktury VAT; zakres do potwierdzenia przy realizacji. X-31 i X-32 zamkniete 2026-09-22 (D3) — zostaja tu jako zapis. | PRZEPLANOWANIE 2026-09-22 (decyzja wlasciciela): wszystko, co wymaga nowego serwera, na koniec — zakup AX102 dopiero w sprincie 18, zeby serwer nie stal pusty i nie generowal kosztow. Najpierw panel, funkcje i poprawki na istniejacej infrastrukturze.</t>
        </is>
      </c>
    </row>
    <row r="15">
      <c r="A15" s="10" t="n">
        <v>14</v>
      </c>
      <c r="B15" s="10" t="inlineStr">
        <is>
          <t>2026-10-19</t>
        </is>
      </c>
      <c r="C15" s="10" t="inlineStr">
        <is>
          <t>2026-10-23</t>
        </is>
      </c>
      <c r="D15" s="11" t="inlineStr">
        <is>
          <t>Faza 2 — Odzyskanie funkcji-widm i luki pierwszego tygodnia</t>
        </is>
      </c>
      <c r="E15" s="11" t="inlineStr">
        <is>
          <t>Beta wewnętrzna na t1, rozliczenia klienta i pomiar</t>
        </is>
      </c>
      <c r="F15" s="10">
        <f>COUNTIF('Backlog do startu'!$G$2:$G$138,A15)</f>
        <v/>
      </c>
      <c r="G15" s="10">
        <f>SUMIF('Backlog do startu'!$G$2:$G$138,A15,'Backlog do startu'!$F$2:$F$138)</f>
        <v/>
      </c>
      <c r="H15" s="10" t="n">
        <v>65</v>
      </c>
      <c r="I15" s="12">
        <f>IFERROR(G15/H15,0)</f>
        <v/>
      </c>
      <c r="J15" s="11" t="inlineStr">
        <is>
          <t>Ostatni sprint kodowy przed blokiem dokumentow. PB-08 (Consent Mode v2 + dedup event_id) jest tu, a nie przy landingu, bo to kod w panelu, nie tresc — landing tylko z niego korzysta. | PRZEPLANOWANIE 2026-09-22 (decyzja wlasciciela): wszystko, co wymaga nowego serwera, na koniec — zakup AX102 dopiero w sprincie 18, zeby serwer nie stal pusty i nie generowal kosztow. Najpierw panel, funkcje i poprawki na istniejacej infrastrukturze. NODE-03 (pojemnosc wezla z telemetrii) dolozone tutaj z sprintu 13 dla pojemnosci — kod bez wezla, dowod przy wezle. | 2026-10-04 HARMONOGRAM STARTU (wariant A, decyzja właściciela): beta wewnętrzna na t1 19.10–6.11 (PB-40); w tym oknie wypadają testy PB-27 (22.10) i PB-28 (odnowienie d3 28.10). | 2026-10-10 PRZECIĄŻENIE ŚWIADOME: PB-51 (Fala 2 paneli operatora, 134 h) idzie w trakcie bety wewnętrznej 19.10–6.11. Sprint 14 jest jedynym sprintem w tym oknie (następny, 21, ma datę 9.11), więc realnie to ok. 3 tygodnie, a nie 65 h; przy 60–70 h tygodniowo dzielonych z betą (PB-40) i jej poprawkami ok. 184 h otwartej pracy to granica. Kolejność: Fala 2A (panel operatora D1, D9/D10, zawieszenie i CRM, D12 + CSP www, harmonogramy), potem 2B. Ryzyko: błędy z bety wypchną Falę 2B na pierwszy tydzień sprintu 21 i zderzą ją z AX102.</t>
        </is>
      </c>
    </row>
    <row r="16">
      <c r="A16" s="10" t="n">
        <v>15</v>
      </c>
      <c r="B16" s="10" t="inlineStr">
        <is>
          <t>2026-10-05</t>
        </is>
      </c>
      <c r="C16" s="10" t="inlineStr">
        <is>
          <t>2026-10-09</t>
        </is>
      </c>
      <c r="D16" s="11" t="inlineStr">
        <is>
          <t>Faza 3 — Wejście na rynek</t>
        </is>
      </c>
      <c r="E16" s="11" t="inlineStr">
        <is>
          <t>Egress: pelne pokrycie ruchu (control-plane)</t>
        </is>
      </c>
      <c r="F16" s="10">
        <f>COUNTIF('Backlog do startu'!$G$2:$G$138,A16)</f>
        <v/>
      </c>
      <c r="G16" s="10">
        <f>SUMIF('Backlog do startu'!$G$2:$G$138,A16,'Backlog do startu'!$F$2:$F$138)</f>
        <v/>
      </c>
      <c r="H16" s="10" t="n">
        <v>65</v>
      </c>
      <c r="I16" s="12">
        <f>IFERROR(G16/H16,0)</f>
        <v/>
      </c>
      <c r="J16" s="11" t="inlineStr">
        <is>
          <t>X-41 zamyka to, co dzis jest tylko obserwacja: hardening wisi w lancuchu OUTPUT, a ruch kontenerow idzie przez FORWARD/DOCKER-USER, czyli egress CALEGO PRODUKTU byl poza zasiegiem zabezpieczenia, ktore wygladalo, jakby go obejmowalo. Obserwacja stoi (1674 pakiety, 0 DROP), zostaje egzekwowanie. SEC-03 dokłada ruch spoza TCP/80 i TCP/443 — DNS po UDP/53 i SMTP nie sa objete ani obserwacja, ani trybem strict, wiec bez tego "strict" opisuje dwa porty, nie host. | PRZEPLANOWANIE 2026-09-22 (decyzja wlasciciela): wszystko, co wymaga nowego serwera, na koniec — zakup AX102 dopiero w sprincie 18, zeby serwer nie stal pusty i nie generowal kosztow. Najpierw panel, funkcje i poprawki na istniejacej infrastrukturze. Pomiar z SEC-05 dziala od 2026-09-22, wiec egzekwowanie w FORWARD i UDP/53/SMTP ma juz na czym sie oprzec. Po panelu (sprinty 6-11), bezposrednio przed wlaczeniem strict — oba to ta sama robota na zaporze control-plane, a pomiar dostaje przez ten czas kilka tygodni danych. | 2026-10-10: dołożone i zamknięte poza planem (noc 9/10.10 i rano 10.10): PB-49 — porządki panelu admina (12 patchy) i PB-50 — Fala 1 audytu paneli operatora (39 h). Wdrożone 10.10 ok. 12:30, sprawdzone na żywo przez VPN ok. 13:00.</t>
        </is>
      </c>
    </row>
    <row r="17">
      <c r="A17" s="10" t="n">
        <v>16</v>
      </c>
      <c r="B17" s="10" t="inlineStr">
        <is>
          <t>2026-10-12</t>
        </is>
      </c>
      <c r="C17" s="10" t="inlineStr">
        <is>
          <t>2026-10-16</t>
        </is>
      </c>
      <c r="D17" s="11" t="inlineStr">
        <is>
          <t>Faza 3 — Wejście na rynek</t>
        </is>
      </c>
      <c r="E17" s="11" t="inlineStr">
        <is>
          <t>Strict egress na control-plane</t>
        </is>
      </c>
      <c r="F17" s="10">
        <f>COUNTIF('Backlog do startu'!$G$2:$G$138,A17)</f>
        <v/>
      </c>
      <c r="G17" s="10">
        <f>SUMIF('Backlog do startu'!$G$2:$G$138,A17,'Backlog do startu'!$F$2:$F$138)</f>
        <v/>
      </c>
      <c r="H17" s="10" t="n">
        <v>65</v>
      </c>
      <c r="I17" s="12">
        <f>IFERROR(G17/H17,0)</f>
        <v/>
      </c>
      <c r="J17" s="11" t="inlineStr">
        <is>
          <t>Kod SEC-05/04/01 gotowy 2026-09-22 (pomiar na produkcji od 09:23 UTC). Tutaj: allowlista z kilku tygodni pelnego pomiaru (SEC-06), odswiezanie adresow Stripe (SEC-02), wlaczenie --strict (warunek wstepny w skrypcie sam odmowi, jesli pomiar widzi cele spoza listy). | PRZEPLANOWANIE 2026-09-22 (decyzja wlasciciela): wszystko, co wymaga nowego serwera, na koniec — zakup AX102 dopiero w sprincie 18, zeby serwer nie stal pusty i nie generowal kosztow. Najpierw panel, funkcje i poprawki na istniejacej infrastrukturze. | 2026-10-04 DECYZJA WŁAŚCICIELA: drugi węzeł testowy t2 (Hetzner Cloud, czysty AlmaLinux 10) teraz — kreator od zera (PB-31, NODE-02), flota na t1 + t2 (PB-30/32/33/35), H-16 między t1 a t2. AX102 w sprincie 21 już tylko PB-02. | 2026-10-10 PRZECIĄŻENIE: przed betą 19.10 dochodzą H-20:2 + PB-54 (odnowienie dowodu D4 odtwarzania — bez tego bloker), PB-55 (decyzja o puli sprzedażowej t1 przed 18.10) i SEC-11 (CSP z nonce na www — decyzja D12 „teraz”). Sprint ma 72 h otwartej pracy przy 65 h. Nadwyżkę pokrywają pozycje, które i tak czekają na węzeł, nie na kod (PB-31, PB-32, PB-33, NODE-02 — wezel.csv: czeka; dwa węzły dopiero z AX102) — przy braku czasu schodzą one, nie PB-54 i PB-55.</t>
        </is>
      </c>
    </row>
    <row r="18">
      <c r="A18" s="10" t="n">
        <v>17</v>
      </c>
      <c r="B18" s="10" t="inlineStr">
        <is>
          <t>2026-11-23</t>
        </is>
      </c>
      <c r="C18" s="10" t="inlineStr">
        <is>
          <t>2026-11-27</t>
        </is>
      </c>
      <c r="D18" s="11" t="inlineStr">
        <is>
          <t>Faza 3 — Wejście na rynek</t>
        </is>
      </c>
      <c r="E18" s="11" t="inlineStr">
        <is>
          <t>Dokumenty prawne, DPA i naduzycia</t>
        </is>
      </c>
      <c r="F18" s="10">
        <f>COUNTIF('Backlog do startu'!$G$2:$G$138,A18)</f>
        <v/>
      </c>
      <c r="G18" s="10">
        <f>SUMIF('Backlog do startu'!$G$2:$G$138,A18,'Backlog do startu'!$F$2:$F$138)</f>
        <v/>
      </c>
      <c r="H18" s="10" t="n">
        <v>65</v>
      </c>
      <c r="I18" s="12">
        <f>IFERROR(G18/H18,0)</f>
        <v/>
      </c>
      <c r="J18" s="11" t="inlineStr">
        <is>
          <t>BLOK DOKUMENTOW — przesuniety na koniec decyzja wlasciciela 2026-09-22: najpierw kod i infrastruktura, dokumenty na sam koniec, przed pierwszym klientem. Kolejnosc wewnatrz bloku wymuszona zaleznosciami: regulamin (PB-03) przed kredytami SLA (N-16), cennik (PB-07) przed landingiem (PB-06), landing przed kampania (PB-10), wszystko przed sciezka pierwszego klienta (PB-05). P-15 zamyka ostatni bloker poza FAK-01 i Z-18: zostal tylko Hetzner (Zalacznik 1 przygotowany w trackerze). PB-04: adres abuse@ jest punktem kontaktowym DSA i musi istniec przed publikacja regulaminu. Polityka prywatnosci opisuje lokalizacje przetwarzania DE/FI (ADR-2026-09-22-wezel-1-hetzner). | 2026-10-04 HARMONOGRAM STARTU (wariant A, decyzja właściciela): 23.11 — dokumenty przed otwartą betą (testerzy są zwykłymi klientami); równolegle migracja kilku stron właściciela na AX102. | 2026-10-10: N-14 + PB-52 — blokada wysyłki konta i kolejka MTA (bloker B3, decyzja D4) przed otwartą betą 7.12; dowód: test na t1 (mail() z PHP zablokowanego konta odrzucony, kolejka czysta). 30 h mieści się, bo dokumenty z tego bloku są już zamknięte (PB-03, PB-04); zostaje P-15.</t>
        </is>
      </c>
    </row>
    <row r="19">
      <c r="A19" s="10" t="n">
        <v>18</v>
      </c>
      <c r="B19" s="10" t="inlineStr">
        <is>
          <t>2026-11-30</t>
        </is>
      </c>
      <c r="C19" s="10" t="inlineStr">
        <is>
          <t>2026-12-04</t>
        </is>
      </c>
      <c r="D19" s="11" t="inlineStr">
        <is>
          <t>Faza 3 — Wejście na rynek</t>
        </is>
      </c>
      <c r="E19" s="11" t="inlineStr">
        <is>
          <t>Cennik, SLA i zastepstwo</t>
        </is>
      </c>
      <c r="F19" s="10">
        <f>COUNTIF('Backlog do startu'!$G$2:$G$138,A19)</f>
        <v/>
      </c>
      <c r="G19" s="10">
        <f>SUMIF('Backlog do startu'!$G$2:$G$138,A19,'Backlog do startu'!$F$2:$F$138)</f>
        <v/>
      </c>
      <c r="H19" s="10" t="n">
        <v>65</v>
      </c>
      <c r="I19" s="12">
        <f>IFERROR(G19/H19,0)</f>
        <v/>
      </c>
      <c r="J19" s="11" t="inlineStr">
        <is>
          <t>BLOK DOKUMENTOW — przesuniety na koniec decyzja wlasciciela 2026-09-22: najpierw kod i infrastruktura, dokumenty na sam koniec, przed pierwszym klientem. Kolejnosc wewnatrz bloku wymuszona zaleznosciami: regulamin (PB-03) przed kredytami SLA (N-16), cennik (PB-07) przed landingiem (PB-06), landing przed kampania (PB-10), wszystko przed sciezka pierwszego klienta (PB-05). N-16 (kredyty SLA) po PB-03, bo regulamin obiecuje kredyty — najpierw przeliczyc je na realnych danych z probe-ow. Cennik zgodny z PB-01 (45 zl/mies brutto, 399 zl/rok). | 2026-09-23: PB-21 (DNS platformy i D3 edytora DNS/poczty) tutaj, bo w tym sprincie pojawia się serwer testowy. | 2026-10-04 HARMONOGRAM STARTU (wariant A, decyzja właściciela): 30.11; dane OpenProvidera przełączone na produkcyjne przed PB-05.</t>
        </is>
      </c>
    </row>
    <row r="20">
      <c r="A20" s="10" t="n">
        <v>19</v>
      </c>
      <c r="B20" s="10" t="inlineStr">
        <is>
          <t>2026-11-30</t>
        </is>
      </c>
      <c r="C20" s="10" t="inlineStr">
        <is>
          <t>2026-12-04</t>
        </is>
      </c>
      <c r="D20" s="11" t="inlineStr">
        <is>
          <t>Faza 3 — Wejście na rynek</t>
        </is>
      </c>
      <c r="E20" s="11" t="inlineStr">
        <is>
          <t>Landing i baza wiedzy</t>
        </is>
      </c>
      <c r="F20" s="10">
        <f>COUNTIF('Backlog do startu'!$G$2:$G$138,A20)</f>
        <v/>
      </c>
      <c r="G20" s="10">
        <f>SUMIF('Backlog do startu'!$G$2:$G$138,A20,'Backlog do startu'!$F$2:$F$138)</f>
        <v/>
      </c>
      <c r="H20" s="10" t="n">
        <v>65</v>
      </c>
      <c r="I20" s="12">
        <f>IFERROR(G20/H20,0)</f>
        <v/>
      </c>
      <c r="J20" s="11" t="inlineStr">
        <is>
          <t>BLOK DOKUMENTOW — przesuniety na koniec decyzja wlasciciela 2026-09-22: najpierw kod i infrastruktura, dokumenty na sam koniec, przed pierwszym klientem. Kolejnosc wewnatrz bloku wymuszona zaleznosciami: regulamin (PB-03) przed kredytami SLA (N-16), cennik (PB-07) przed landingiem (PB-06), landing przed kampania (PB-10), wszystko przed sciezka pierwszego klienta (PB-05). Landing nie moze obiecywac funkcji ze statusem LUKA lub ATRAPA — kazde zdanie sprawdzic wobec macierzy.</t>
        </is>
      </c>
    </row>
    <row r="21">
      <c r="A21" s="10" t="n">
        <v>20</v>
      </c>
      <c r="B21" s="10" t="inlineStr">
        <is>
          <t>2027-01-04</t>
        </is>
      </c>
      <c r="C21" s="10" t="inlineStr">
        <is>
          <t>2027-01-08</t>
        </is>
      </c>
      <c r="D21" s="11" t="inlineStr"/>
      <c r="E21" s="11" t="inlineStr">
        <is>
          <t>Decyzja GO i start sprzedaży</t>
        </is>
      </c>
      <c r="F21" s="10">
        <f>COUNTIF('Backlog do startu'!$G$2:$G$138,A21)</f>
        <v/>
      </c>
      <c r="G21" s="10">
        <f>SUMIF('Backlog do startu'!$G$2:$G$138,A21,'Backlog do startu'!$F$2:$F$138)</f>
        <v/>
      </c>
      <c r="H21" s="10" t="n">
        <v>65</v>
      </c>
      <c r="I21" s="12">
        <f>IFERROR(G21/H21,0)</f>
        <v/>
      </c>
      <c r="J21" s="11" t="inlineStr">
        <is>
          <t>Kampania powstaje wstrzymana — wlaczenie dopiero po decyzji GO. | PRZEPLANOWANIE 2026-09-22 (decyzja wlasciciela): wszystko, co wymaga nowego serwera, na koniec — zakup AX102 dopiero w sprincie 18, zeby serwer nie stal pusty i nie generowal kosztow. Najpierw panel, funkcje i poprawki na istniejacej infrastrukturze. | 2026-10-04 HARMONOGRAM STARTU (wariant A, decyzja właściciela): decyzja GO 4–8.01.2027 (PB-12), start sprzedaży i kampanii 11.01.2027 (PB-10).</t>
        </is>
      </c>
    </row>
    <row r="22">
      <c r="A22" s="10" t="n">
        <v>21</v>
      </c>
      <c r="B22" s="10" t="inlineStr">
        <is>
          <t>2026-11-09</t>
        </is>
      </c>
      <c r="C22" s="10" t="inlineStr">
        <is>
          <t>2026-11-13</t>
        </is>
      </c>
      <c r="D22" s="11" t="inlineStr"/>
      <c r="E22" s="11" t="inlineStr">
        <is>
          <t>Wezel produkcyjny #1 (Hetzner AX102)</t>
        </is>
      </c>
      <c r="F22" s="10">
        <f>COUNTIF('Backlog do startu'!$G$2:$G$138,A22)</f>
        <v/>
      </c>
      <c r="G22" s="10">
        <f>SUMIF('Backlog do startu'!$G$2:$G$138,A22,'Backlog do startu'!$F$2:$F$138)</f>
        <v/>
      </c>
      <c r="H22" s="10" t="n">
        <v>65</v>
      </c>
      <c r="I22" s="12">
        <f>IFERROR(G22/H22,0)</f>
        <v/>
      </c>
      <c r="J22" s="11" t="inlineStr">
        <is>
          <t>ZAKUP SERWERA TUTAJ, nie wczesniej (decyzja wlasciciela 2026-09-22: bez kosztow za pusty serwer). Zamowienie na poczatku sprintu: AX102 w centrum danych Panelu, licencje DirectAdmin/CloudLinux/Imunify, Storage Box BX21 w innej lokalizacji. NODE-02 ma kod i D2 (instalator zatrzymuje sie na bledzie) — tu dowod D3 przy pierwszym onboardingu. Z-18 dostaje D3 (provisioning z przerwanym polaczeniem do DA) i przestaje byc blokerem. J-01 i J-04 — weryfikacja na wezle z timestampem. | 2026-10-04 HARMONOGRAM STARTU (wariant A, decyzja właściciela): zakup AX102 9.11 zamiast 18.01 — serwer od razu przyjmuje strony właściciela; t1 + AX102 = dwa węzły dla PB-30/32/33 i H-16. | 2026-10-10 PRZECIĄŻENIE ŚWIADOME: PB-53 (Fala 3 paneli operatora, 194 h) rozciąga się na 9.11–8.01; zadanie PB ma jedną liczbę godzin i nie dzieli się na sprinty, więc stoi tu w całości, w sprincie zakupu i onboardingu AX102. Kolejność: moduły ★ (bezpieczeństwo węzła, kopie floty) przed otwartą betą 7.12; cykl życia usługi, obieg wpłat i helpdesk II przed 11.01; usługi i logi węzła, komunikacja i pulpity mogą zejść po starcie. Przy 60–70 h tygodniowo dzielonych z AX102, betą zewnętrzną i KSeF to 4–5 tygodni pracy — jeśli Fala 2 zjedzie do listopada, zagrożony jest termin startu 11.01.</t>
        </is>
      </c>
    </row>
    <row r="23">
      <c r="A23" s="10" t="n">
        <v>22</v>
      </c>
      <c r="B23" s="10" t="inlineStr">
        <is>
          <t>2026-12-07</t>
        </is>
      </c>
      <c r="C23" s="10" t="inlineStr">
        <is>
          <t>2026-12-11</t>
        </is>
      </c>
      <c r="D23" s="11" t="inlineStr"/>
      <c r="E23" s="11" t="inlineStr">
        <is>
          <t>Beta zewnętrzna i ścieżka pierwszego klienta</t>
        </is>
      </c>
      <c r="F23" s="10">
        <f>COUNTIF('Backlog do startu'!$G$2:$G$138,A23)</f>
        <v/>
      </c>
      <c r="G23" s="10">
        <f>SUMIF('Backlog do startu'!$G$2:$G$138,A23,'Backlog do startu'!$F$2:$F$138)</f>
        <v/>
      </c>
      <c r="H23" s="10" t="n">
        <v>65</v>
      </c>
      <c r="I23" s="12">
        <f>IFERROR(G23/H23,0)</f>
        <v/>
      </c>
      <c r="J23" s="11" t="inlineStr">
        <is>
          <t>BLOK DOKUMENTOW — przesuniety na koniec decyzja wlasciciela 2026-09-22: najpierw kod i infrastruktura, dokumenty na sam koniec, przed pierwszym klientem. Kolejnosc wewnatrz bloku wymuszona zaleznosciami: regulamin (PB-03) przed kredytami SLA (N-16), cennik (PB-07) przed landingiem (PB-06), landing przed kampania (PB-10), wszystko przed sciezka pierwszego klienta (PB-05). Kampania powstaje wstrzymana. PB-05 to jedyny moment w planie, w ktorym powstaje dowod D3 calej sciezki — kazdy nieudany krok wraca do backlogu jako bloker i przesuwa start. PB-05 wymaga wezla, dlatego stoi zaraz po sprincie 18. | 2026-09-24: PB-26 (otwarte testy z zaproszonymi osobami) przed PB-05/PB-12 — decyzja GO dopiero po spełnieniu kryteriów końca bety (docs/ops/BETA_TESTY.md). | 2026-10-04 HARMONOGRAM STARTU (wariant A, decyzja właściciela): otwarta beta na AX102 7–20.12 (min. 7 dni), PB-05 na prawdziwych pieniądzach i domenie w jej trakcie; 21.12–3.01 zamrożenie świąteczne, tylko poprawki „przed GO”.</t>
        </is>
      </c>
    </row>
    <row r="24">
      <c r="A24" s="10" t="n">
        <v>23</v>
      </c>
      <c r="B24" s="10" t="inlineStr">
        <is>
          <t>2027-01-11</t>
        </is>
      </c>
      <c r="C24" s="10" t="inlineStr">
        <is>
          <t>2027-01-15</t>
        </is>
      </c>
      <c r="D24" s="11" t="inlineStr"/>
      <c r="E24" s="11" t="inlineStr">
        <is>
          <t>Po starcie — odłożone decyzją właściciela</t>
        </is>
      </c>
      <c r="F24" s="10">
        <f>COUNTIF('Backlog do startu'!$G$2:$G$138,A24)</f>
        <v/>
      </c>
      <c r="G24" s="10">
        <f>SUMIF('Backlog do startu'!$G$2:$G$138,A24,'Backlog do startu'!$F$2:$F$138)</f>
        <v/>
      </c>
      <c r="H24" s="10" t="n">
        <v>65</v>
      </c>
      <c r="I24" s="12">
        <f>IFERROR(G24/H24,0)</f>
        <v/>
      </c>
      <c r="J24" s="11" t="inlineStr">
        <is>
          <t>Poza ścieżką do startu (2027-01-01): pozycje, które właściciel świadomie przesunął na czas po pierwszych klientach. PB-20 (tryb agencji) — decyzja 2026-09-25. | 2026-09-26: PB-20 przeniesione do sprintu 7 — decyzja właściciela z 26.09 („Wszystko teraz, z przełącznikiem kont”), kod gotowy, zostaje przejście na produkcji. | 2026-10-04 HARMONOGRAM STARTU (wariant A, decyzja właściciela): po starcie od 11.01.2027.</t>
        </is>
      </c>
    </row>
  </sheetData>
  <autoFilter ref="A1:J24"/>
  <conditionalFormatting sqref="G2:G24">
    <cfRule type="dataBar" priority="1">
      <dataBar>
        <cfvo type="num" val="0"/>
        <cfvo type="num" val="65"/>
        <color rgb="004A90D9"/>
      </dataBar>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4" customWidth="1" min="3" max="3"/>
    <col width="11" customWidth="1" min="4" max="4"/>
    <col width="15" customWidth="1" min="5" max="5"/>
    <col width="46" customWidth="1" min="6" max="6"/>
    <col width="26" customWidth="1" min="7" max="7"/>
    <col width="15" customWidth="1" min="8" max="8"/>
    <col width="5" customWidth="1" min="9" max="9"/>
    <col width="17" customWidth="1" min="10" max="10"/>
    <col width="66" customWidth="1" min="11" max="11"/>
  </cols>
  <sheetData>
    <row r="1" ht="30" customHeight="1">
      <c r="A1" s="9" t="inlineStr">
        <is>
          <t>ID</t>
        </is>
      </c>
      <c r="B1" s="9" t="inlineStr">
        <is>
          <t>Epik</t>
        </is>
      </c>
      <c r="C1" s="9" t="inlineStr">
        <is>
          <t>Nazwa epiku</t>
        </is>
      </c>
      <c r="D1" s="9" t="inlineStr">
        <is>
          <t>Kwartał</t>
        </is>
      </c>
      <c r="E1" s="9" t="inlineStr">
        <is>
          <t>Priorytet epiku</t>
        </is>
      </c>
      <c r="F1" s="9" t="inlineStr">
        <is>
          <t>Funkcja</t>
        </is>
      </c>
      <c r="G1" s="9" t="inlineStr">
        <is>
          <t>Kategoria</t>
        </is>
      </c>
      <c r="H1" s="9" t="inlineStr">
        <is>
          <t>Krytyczność</t>
        </is>
      </c>
      <c r="I1" s="9" t="inlineStr">
        <is>
          <t>h</t>
        </is>
      </c>
      <c r="J1" s="9" t="inlineStr">
        <is>
          <t>Stan w kodzie</t>
        </is>
      </c>
      <c r="K1" s="9" t="inlineStr">
        <is>
          <t>Dowód / uwagi</t>
        </is>
      </c>
    </row>
    <row r="2">
      <c r="A2" s="10" t="inlineStr">
        <is>
          <t>B-19</t>
        </is>
      </c>
      <c r="B2" s="10" t="inlineStr">
        <is>
          <t>E-01</t>
        </is>
      </c>
      <c r="C2" s="11" t="inlineStr">
        <is>
          <t>Runtime, pliki i diagnostyka</t>
        </is>
      </c>
      <c r="D2" s="10" t="inlineStr">
        <is>
          <t>Q1 2027</t>
        </is>
      </c>
      <c r="E2" s="10" t="inlineStr">
        <is>
          <t>WYSOKI</t>
        </is>
      </c>
      <c r="F2" s="11" t="inlineStr">
        <is>
          <t>Kreator stron WWW</t>
        </is>
      </c>
      <c r="G2" s="10" t="inlineStr">
        <is>
          <t>B — Runtime WWW</t>
        </is>
      </c>
      <c r="H2" s="10" t="inlineStr">
        <is>
          <t>NISKA</t>
        </is>
      </c>
      <c r="I2" s="10" t="n">
        <v>16</v>
      </c>
      <c r="J2" s="10" t="inlineStr">
        <is>
          <t>BRAK</t>
        </is>
      </c>
      <c r="K2" s="11" t="inlineStr">
        <is>
          <t>SiteBuilderTab.tsx usunięty 2026-09-25</t>
        </is>
      </c>
    </row>
    <row r="3">
      <c r="A3" s="10" t="inlineStr">
        <is>
          <t>J-05</t>
        </is>
      </c>
      <c r="B3" s="10" t="inlineStr">
        <is>
          <t>E-02</t>
        </is>
      </c>
      <c r="C3" s="11" t="inlineStr">
        <is>
          <t>Wydajność: cache i skalowanie</t>
        </is>
      </c>
      <c r="D3" s="10" t="inlineStr">
        <is>
          <t>Q1 2027</t>
        </is>
      </c>
      <c r="E3" s="10" t="inlineStr">
        <is>
          <t>WYSOKI</t>
        </is>
      </c>
      <c r="F3" s="11" t="inlineStr">
        <is>
          <t>CDN</t>
        </is>
      </c>
      <c r="G3" s="10" t="inlineStr">
        <is>
          <t>J — Wydajność i cache</t>
        </is>
      </c>
      <c r="H3" s="10" t="inlineStr">
        <is>
          <t>NISKA</t>
        </is>
      </c>
      <c r="I3" s="10" t="n">
        <v>40</v>
      </c>
      <c r="J3" s="10" t="inlineStr">
        <is>
          <t>BRAK</t>
        </is>
      </c>
      <c r="K3" s="11" t="inlineStr">
        <is>
          <t>na rynku PL płatny dodatek</t>
        </is>
      </c>
    </row>
    <row r="4">
      <c r="A4" s="10" t="inlineStr">
        <is>
          <t>J-07</t>
        </is>
      </c>
      <c r="B4" s="10" t="inlineStr">
        <is>
          <t>E-02</t>
        </is>
      </c>
      <c r="C4" s="11" t="inlineStr">
        <is>
          <t>Wydajność: cache i skalowanie</t>
        </is>
      </c>
      <c r="D4" s="10" t="inlineStr">
        <is>
          <t>Q1 2027</t>
        </is>
      </c>
      <c r="E4" s="10" t="inlineStr">
        <is>
          <t>WYSOKI</t>
        </is>
      </c>
      <c r="F4" s="11" t="inlineStr">
        <is>
          <t>Dedykowany adres IP</t>
        </is>
      </c>
      <c r="G4" s="10" t="inlineStr">
        <is>
          <t>J — Wydajność i cache</t>
        </is>
      </c>
      <c r="H4" s="10" t="inlineStr">
        <is>
          <t>ŚREDNIA</t>
        </is>
      </c>
      <c r="I4" s="10" t="n">
        <v>6</v>
      </c>
      <c r="J4" s="10" t="inlineStr">
        <is>
          <t>CZĘŚCIOWE</t>
        </is>
      </c>
      <c r="K4" s="11" t="inlineStr">
        <is>
          <t>addons — jako dodatek typu workorder</t>
        </is>
      </c>
    </row>
    <row r="5">
      <c r="A5" s="10" t="inlineStr">
        <is>
          <t>H-16</t>
        </is>
      </c>
      <c r="B5" s="10" t="inlineStr">
        <is>
          <t>E-12</t>
        </is>
      </c>
      <c r="C5" s="11" t="inlineStr">
        <is>
          <t>Backup: granularność i retencja</t>
        </is>
      </c>
      <c r="D5" s="10" t="inlineStr">
        <is>
          <t>Q1 2027</t>
        </is>
      </c>
      <c r="E5" s="10" t="inlineStr">
        <is>
          <t>WYSOKI</t>
        </is>
      </c>
      <c r="F5" s="11" t="inlineStr">
        <is>
          <t>ODTWORZENIE KONTA NA INNY WĘZEŁ</t>
        </is>
      </c>
      <c r="G5" s="10" t="inlineStr">
        <is>
          <t>H — Backup i odtwarzanie</t>
        </is>
      </c>
      <c r="H5" s="10" t="inlineStr">
        <is>
          <t>WYSOKA</t>
        </is>
      </c>
      <c r="I5" s="10" t="n">
        <v>40</v>
      </c>
      <c r="J5" s="10" t="inlineStr">
        <is>
          <t>CZĘŚCIOWE</t>
        </is>
      </c>
      <c r="K5" s="11" t="inlineStr">
        <is>
          <t>subscriptions/odtworzenie-na-wezle.service.ts; admin subskrypcja → odtworzenie-na-wezle-panel.tsx; ops/scripts/node-account-restore.sh (OFR_MODE=restore, OFR_SOURCE_PREFIX, OFR_IP); node-tasks.service.ts completeTaskFromNode (przepięcie konta); test odtworzenie-na-wezle.service.spec.ts</t>
        </is>
      </c>
    </row>
    <row r="6">
      <c r="A6" s="10" t="inlineStr">
        <is>
          <t>M-33</t>
        </is>
      </c>
      <c r="B6" s="10" t="inlineStr">
        <is>
          <t>E-14</t>
        </is>
      </c>
      <c r="C6" s="11" t="inlineStr">
        <is>
          <t>Rozliczenia: dokończenie</t>
        </is>
      </c>
      <c r="D6" s="10" t="inlineStr">
        <is>
          <t>Q1 2027</t>
        </is>
      </c>
      <c r="E6" s="10" t="inlineStr">
        <is>
          <t>WYSOKI</t>
        </is>
      </c>
      <c r="F6" s="11" t="inlineStr">
        <is>
          <t>Dodatki płatne (IP, wsparcie priorytetowe)</t>
        </is>
      </c>
      <c r="G6" s="10" t="inlineStr">
        <is>
          <t>M — Rozliczenia</t>
        </is>
      </c>
      <c r="H6" s="10" t="inlineStr">
        <is>
          <t>NISKA</t>
        </is>
      </c>
      <c r="I6" s="10" t="n">
        <v>16</v>
      </c>
      <c r="J6" s="10" t="inlineStr">
        <is>
          <t>CZĘŚCIOWE</t>
        </is>
      </c>
      <c r="K6" s="11" t="inlineStr">
        <is>
          <t>addon.service.ts:120 — 2 z 3 to workorder do BOK</t>
        </is>
      </c>
    </row>
    <row r="7">
      <c r="A7" s="10" t="inlineStr">
        <is>
          <t>N-21</t>
        </is>
      </c>
      <c r="B7" s="10" t="inlineStr">
        <is>
          <t>E-15</t>
        </is>
      </c>
      <c r="C7" s="11" t="inlineStr">
        <is>
          <t>Wsparcie i ops: kolejka abuse</t>
        </is>
      </c>
      <c r="D7" s="10" t="inlineStr">
        <is>
          <t>Q1 2027</t>
        </is>
      </c>
      <c r="E7" s="10" t="inlineStr">
        <is>
          <t>WYSOKI</t>
        </is>
      </c>
      <c r="F7" s="11" t="inlineStr">
        <is>
          <t>Wsparcie telefoniczne</t>
        </is>
      </c>
      <c r="G7" s="10" t="inlineStr">
        <is>
          <t>N — Wsparcie i ops</t>
        </is>
      </c>
      <c r="H7" s="10" t="inlineStr">
        <is>
          <t>ŚREDNIA</t>
        </is>
      </c>
      <c r="I7" s="10" t="n">
        <v>6</v>
      </c>
      <c r="J7" s="10" t="inlineStr">
        <is>
          <t>BRAK</t>
        </is>
      </c>
      <c r="K7" s="11" t="inlineStr">
        <is>
          <t>poza produktem</t>
        </is>
      </c>
    </row>
    <row r="8">
      <c r="A8" s="10" t="inlineStr">
        <is>
          <t>PROD-01</t>
        </is>
      </c>
      <c r="B8" s="10" t="inlineStr">
        <is>
          <t>E-15</t>
        </is>
      </c>
      <c r="C8" s="11" t="inlineStr">
        <is>
          <t>Wsparcie i ops: kolejka abuse</t>
        </is>
      </c>
      <c r="D8" s="10" t="inlineStr">
        <is>
          <t>Q1 2027</t>
        </is>
      </c>
      <c r="E8" s="10" t="inlineStr">
        <is>
          <t>WYSOKI</t>
        </is>
      </c>
      <c r="F8" s="11" t="inlineStr">
        <is>
          <t>Instalator węzła bez udziału administratora</t>
        </is>
      </c>
      <c r="G8" s="10" t="inlineStr">
        <is>
          <t>N — Wsparcie i ops</t>
        </is>
      </c>
      <c r="H8" s="10" t="inlineStr">
        <is>
          <t>WYSOKA</t>
        </is>
      </c>
      <c r="I8" s="10" t="n">
        <v>40</v>
      </c>
      <c r="J8" s="10" t="inlineStr">
        <is>
          <t>CZĘŚCIOWE</t>
        </is>
      </c>
      <c r="K8" s="11" t="inlineStr">
        <is>
          <t>docs/archiwum/zadania/PROD-01-instalator-wezla-bez-czlowieka.md; stan: bootstrap v2 + kreator węzła (Q-14) — kroki CloudLinux/DA/LiteSpeed nadal ręczne</t>
        </is>
      </c>
    </row>
    <row r="9">
      <c r="A9" s="10" t="inlineStr">
        <is>
          <t>A-09</t>
        </is>
      </c>
      <c r="B9" s="10" t="inlineStr">
        <is>
          <t>E-04</t>
        </is>
      </c>
      <c r="C9" s="11" t="inlineStr">
        <is>
          <t>Domeny jako produkt</t>
        </is>
      </c>
      <c r="D9" s="10" t="inlineStr">
        <is>
          <t>Q2 2027</t>
        </is>
      </c>
      <c r="E9" s="10" t="inlineStr">
        <is>
          <t>WYSOKI</t>
        </is>
      </c>
      <c r="F9" s="11" t="inlineStr">
        <is>
          <t>Transfer domeny (kod authinfo)</t>
        </is>
      </c>
      <c r="G9" s="10" t="inlineStr">
        <is>
          <t>A — Domeny i konta</t>
        </is>
      </c>
      <c r="H9" s="10" t="inlineStr">
        <is>
          <t>WYSOKA</t>
        </is>
      </c>
      <c r="I9" s="10" t="n">
        <v>16</v>
      </c>
      <c r="J9" s="10" t="inlineStr">
        <is>
          <t>CZĘŚCIOWE</t>
        </is>
      </c>
      <c r="K9" s="11" t="inlineStr">
        <is>
          <t>POST /domains/:id/registrar/authcode (A-09, tylko właściciel konta, 5/h, audyt DOMAIN_AUTHCODE_REVEALED bez kodu) → OpenProvider GET /v1/domains/{id}/authcode; panel: Domeny → domena → „Transfer i abonent” → Pokaż kod; transfer PRZYCHODZĄCY: formularz z danymi abonenta i oświadczeniem; test domains/abonent-domeny.spec.ts</t>
        </is>
      </c>
    </row>
    <row r="10">
      <c r="A10" s="10" t="inlineStr">
        <is>
          <t>E-24</t>
        </is>
      </c>
      <c r="B10" s="10" t="inlineStr">
        <is>
          <t>E-10</t>
        </is>
      </c>
      <c r="C10" s="11" t="inlineStr">
        <is>
          <t>Poczta: filtry, kalendarz, limity</t>
        </is>
      </c>
      <c r="D10" s="10" t="inlineStr">
        <is>
          <t>Q2 2027</t>
        </is>
      </c>
      <c r="E10" s="10" t="inlineStr">
        <is>
          <t>ŚREDNI</t>
        </is>
      </c>
      <c r="F10" s="11" t="inlineStr">
        <is>
          <t>2FA dla webmaila</t>
        </is>
      </c>
      <c r="G10" s="10" t="inlineStr">
        <is>
          <t>E — Poczta</t>
        </is>
      </c>
      <c r="H10" s="10" t="inlineStr">
        <is>
          <t>NISKA</t>
        </is>
      </c>
      <c r="I10" s="10" t="n">
        <v>16</v>
      </c>
      <c r="J10" s="10" t="inlineStr">
        <is>
          <t>BRAK</t>
        </is>
      </c>
      <c r="K10" s="11" t="inlineStr">
        <is>
          <t>cyber_Folks ma nawet 2FA dla IMAP/SMTP | 2026-10-08 DECYZJA WŁAŚCICIELA: po starcie — na start webmail przez logowanie z panelu (SSO) za 2FA panelu; osobne 2FA w Roundcube jako nowa funkcja po 11.01.2027.</t>
        </is>
      </c>
    </row>
    <row r="11">
      <c r="A11" s="10" t="inlineStr">
        <is>
          <t>G-08</t>
        </is>
      </c>
      <c r="B11" s="10" t="inlineStr">
        <is>
          <t>E-06</t>
        </is>
      </c>
      <c r="C11" s="11" t="inlineStr">
        <is>
          <t>Bezpieczeństwo jako funkcja</t>
        </is>
      </c>
      <c r="D11" s="10" t="inlineStr">
        <is>
          <t>Q3 2027</t>
        </is>
      </c>
      <c r="E11" s="10" t="inlineStr">
        <is>
          <t>ŚREDNI</t>
        </is>
      </c>
      <c r="F11" s="11" t="inlineStr">
        <is>
          <t>Sprzedaż certyfikatów DV/OV/EV</t>
        </is>
      </c>
      <c r="G11" s="10" t="inlineStr">
        <is>
          <t>G — SSL i bezpieczeństwo</t>
        </is>
      </c>
      <c r="H11" s="10" t="inlineStr">
        <is>
          <t>NISKA</t>
        </is>
      </c>
      <c r="I11" s="10" t="n">
        <v>16</v>
      </c>
      <c r="J11" s="10" t="inlineStr">
        <is>
          <t>DZIAŁA</t>
        </is>
      </c>
      <c r="K11" s="11" t="inlineStr">
        <is>
          <t>apps/api/src/ssl/ssl.service.ts (zamówienie, klucz+CSR na serwerze, szyfrowany), registrar.provider.ts /v1/ssl/*, SslOrder (migracja 20261006090000_certyfikaty_ssl); client SslPlatne.tsx; admin ssl-prices-form.tsx</t>
        </is>
      </c>
    </row>
    <row r="12">
      <c r="A12" s="10" t="inlineStr">
        <is>
          <t>G-21</t>
        </is>
      </c>
      <c r="B12" s="10" t="inlineStr">
        <is>
          <t>E-06</t>
        </is>
      </c>
      <c r="C12" s="11" t="inlineStr">
        <is>
          <t>Bezpieczeństwo jako funkcja</t>
        </is>
      </c>
      <c r="D12" s="10" t="inlineStr">
        <is>
          <t>Q3 2027</t>
        </is>
      </c>
      <c r="E12" s="10" t="inlineStr">
        <is>
          <t>ŚREDNI</t>
        </is>
      </c>
      <c r="F12" s="11" t="inlineStr">
        <is>
          <t>Anty-DDoS</t>
        </is>
      </c>
      <c r="G12" s="10" t="inlineStr">
        <is>
          <t>G — SSL i bezpieczeństwo</t>
        </is>
      </c>
      <c r="H12" s="10" t="inlineStr">
        <is>
          <t>ŚREDNIA</t>
        </is>
      </c>
      <c r="I12" s="10" t="n">
        <v>40</v>
      </c>
      <c r="J12" s="10" t="inlineStr">
        <is>
          <t>DZIAŁA</t>
        </is>
      </c>
      <c r="K12" s="11" t="inlineStr">
        <is>
          <t>ops/docs/DDOS.md; Hetzner DDoS Protection (L3/L4, w cenie); RateLimitGuard + Turnstile (L7 panel/API); LiteSpeed Per-Client Throttling (węzeł, onboarding)</t>
        </is>
      </c>
    </row>
    <row r="13">
      <c r="A13" s="10" t="inlineStr">
        <is>
          <t>O-05</t>
        </is>
      </c>
      <c r="B13" s="10" t="inlineStr">
        <is>
          <t>E-07</t>
        </is>
      </c>
      <c r="C13" s="11" t="inlineStr">
        <is>
          <t>Reseller jako produkt</t>
        </is>
      </c>
      <c r="D13" s="10" t="inlineStr">
        <is>
          <t>Q3 2027</t>
        </is>
      </c>
      <c r="E13" s="10" t="inlineStr">
        <is>
          <t>ŚREDNI</t>
        </is>
      </c>
      <c r="F13" s="11" t="inlineStr">
        <is>
          <t>Reseller — przegląd klientów</t>
        </is>
      </c>
      <c r="G13" s="10" t="inlineStr">
        <is>
          <t>O — Multi-user i reseller</t>
        </is>
      </c>
      <c r="H13" s="10" t="inlineStr">
        <is>
          <t>ŚREDNIA</t>
        </is>
      </c>
      <c r="I13" s="10" t="n">
        <v>40</v>
      </c>
      <c r="J13" s="10" t="inlineStr">
        <is>
          <t>DZIAŁA</t>
        </is>
      </c>
      <c r="K13" s="11" t="inlineStr">
        <is>
          <t>reseller-klienci.service.ts + reseller.controller.ts (5 tras), reseller-klient.tsx; reseller-klienci.int-spec.ts (6 testów na PostgreSQL)</t>
        </is>
      </c>
    </row>
    <row r="14">
      <c r="A14" s="10" t="inlineStr">
        <is>
          <t>O-07</t>
        </is>
      </c>
      <c r="B14" s="10" t="inlineStr">
        <is>
          <t>E-07</t>
        </is>
      </c>
      <c r="C14" s="11" t="inlineStr">
        <is>
          <t>Reseller jako produkt</t>
        </is>
      </c>
      <c r="D14" s="10" t="inlineStr">
        <is>
          <t>Q3 2027</t>
        </is>
      </c>
      <c r="E14" s="10" t="inlineStr">
        <is>
          <t>ŚREDNI</t>
        </is>
      </c>
      <c r="F14" s="11" t="inlineStr">
        <is>
          <t>Reseller — ustawianie własnej marży</t>
        </is>
      </c>
      <c r="G14" s="10" t="inlineStr">
        <is>
          <t>O — Multi-user i reseller</t>
        </is>
      </c>
      <c r="H14" s="10" t="inlineStr">
        <is>
          <t>NISKA</t>
        </is>
      </c>
      <c r="I14" s="10" t="n">
        <v>16</v>
      </c>
      <c r="J14" s="10" t="inlineStr">
        <is>
          <t>CZĘŚCIOWE</t>
        </is>
      </c>
      <c r="K14" s="11" t="inlineStr">
        <is>
          <t>reseller.controller.ts POST me/markup → reseller.service.ts setMarkup (0–300%, audyt RESELLER_MARKUP_CHANGED); reseller-client.tsx „Twój narzut”; test reseller.apply.spec.ts</t>
        </is>
      </c>
    </row>
    <row r="15">
      <c r="A15" s="10" t="inlineStr">
        <is>
          <t>P-12</t>
        </is>
      </c>
      <c r="B15" s="10" t="inlineStr">
        <is>
          <t>E-08</t>
        </is>
      </c>
      <c r="C15" s="11" t="inlineStr">
        <is>
          <t>Dostępność i zgodność w produkcie</t>
        </is>
      </c>
      <c r="D15" s="10" t="inlineStr">
        <is>
          <t>Q3 2027</t>
        </is>
      </c>
      <c r="E15" s="10" t="inlineStr">
        <is>
          <t>ŚREDNI</t>
        </is>
      </c>
      <c r="F15" s="11" t="inlineStr">
        <is>
          <t>Dostępność panelu wg WCAG 2.1 AA (EAA)</t>
        </is>
      </c>
      <c r="G15" s="10" t="inlineStr">
        <is>
          <t>P — Zgodność</t>
        </is>
      </c>
      <c r="H15" s="10" t="inlineStr">
        <is>
          <t>ŚREDNIA</t>
        </is>
      </c>
      <c r="I15" s="10" t="n">
        <v>40</v>
      </c>
      <c r="J15" s="10" t="inlineStr">
        <is>
          <t>DZIAŁA</t>
        </is>
      </c>
      <c r="K15" s="11" t="inlineStr">
        <is>
          <t>eslint.config.mjs w 4 aplikacjach: jsx-a11y recommended jako błędy (34 reguły); 76 → 0 znalezisk (client 52, admin 17, staff 6, www 1); client-panel/src/lib/kontrast-tokenow.spec.ts; ops/qa/a11y-nazwy-kontrolek.js</t>
        </is>
      </c>
    </row>
    <row r="16">
      <c r="A16" s="10" t="inlineStr">
        <is>
          <t>P-14</t>
        </is>
      </c>
      <c r="B16" s="10" t="inlineStr">
        <is>
          <t>E-08</t>
        </is>
      </c>
      <c r="C16" s="11" t="inlineStr">
        <is>
          <t>Dostępność i zgodność w produkcie</t>
        </is>
      </c>
      <c r="D16" s="10" t="inlineStr">
        <is>
          <t>Q3 2027</t>
        </is>
      </c>
      <c r="E16" s="10" t="inlineStr">
        <is>
          <t>ŚREDNI</t>
        </is>
      </c>
      <c r="F16" s="11" t="inlineStr">
        <is>
          <t>Certyfikacja ISO 27001</t>
        </is>
      </c>
      <c r="G16" s="10" t="inlineStr">
        <is>
          <t>P — Zgodność</t>
        </is>
      </c>
      <c r="H16" s="10" t="inlineStr">
        <is>
          <t>NISKA</t>
        </is>
      </c>
      <c r="I16" s="10" t="n">
        <v>40</v>
      </c>
      <c r="J16" s="10" t="inlineStr">
        <is>
          <t>BRAK</t>
        </is>
      </c>
      <c r="K16" s="11" t="inlineStr">
        <is>
          <t>home.pl i nazwa.pl mają — element przetargowy w B2B</t>
        </is>
      </c>
    </row>
    <row r="17">
      <c r="A17" s="10" t="inlineStr">
        <is>
          <t>F-12</t>
        </is>
      </c>
      <c r="B17" s="10" t="inlineStr">
        <is>
          <t>E-11</t>
        </is>
      </c>
      <c r="C17" s="11" t="inlineStr">
        <is>
          <t>DNS: DNSSEC i zarządzanie strefą</t>
        </is>
      </c>
      <c r="D17" s="10" t="inlineStr">
        <is>
          <t>Q3 2027</t>
        </is>
      </c>
      <c r="E17" s="10" t="inlineStr">
        <is>
          <t>ŚREDNI</t>
        </is>
      </c>
      <c r="F17" s="11" t="inlineStr">
        <is>
          <t>Anycast DNS</t>
        </is>
      </c>
      <c r="G17" s="10" t="inlineStr">
        <is>
          <t>F — DNS</t>
        </is>
      </c>
      <c r="H17" s="10" t="inlineStr">
        <is>
          <t>NISKA</t>
        </is>
      </c>
      <c r="I17" s="10" t="n">
        <v>40</v>
      </c>
      <c r="J17" s="10" t="inlineStr">
        <is>
          <t>BRAK</t>
        </is>
      </c>
      <c r="K17" s="11" t="inlineStr">
        <is>
          <t>tylko nazwa.pl na rynku PL</t>
        </is>
      </c>
    </row>
    <row r="18">
      <c r="A18" s="10" t="inlineStr">
        <is>
          <t>NODE-01</t>
        </is>
      </c>
      <c r="B18" s="10" t="inlineStr">
        <is>
          <t>E-16</t>
        </is>
      </c>
      <c r="C18" s="11" t="inlineStr">
        <is>
          <t>Rozszerzenia oferty</t>
        </is>
      </c>
      <c r="D18" s="10" t="inlineStr">
        <is>
          <t>Q4 2027</t>
        </is>
      </c>
      <c r="E18" s="10" t="inlineStr">
        <is>
          <t>NISKI</t>
        </is>
      </c>
      <c r="F18" s="11" t="inlineStr">
        <is>
          <t>Dwie niepołączone ścieżki dodania węzła w tym samym panelu</t>
        </is>
      </c>
      <c r="G18" s="10" t="inlineStr">
        <is>
          <t>Q — Przewaga</t>
        </is>
      </c>
      <c r="H18" s="10" t="inlineStr">
        <is>
          <t>ŚREDNIA</t>
        </is>
      </c>
      <c r="I18" s="10" t="n">
        <v>16</v>
      </c>
      <c r="J18" s="10" t="inlineStr">
        <is>
          <t>DZIAŁA</t>
        </is>
      </c>
      <c r="K18" s="11" t="inlineStr">
        <is>
          <t>node-wizard.tsx (krok „Instalacja (bootstrap v2)” z NodeBootstrapProgress), /nodes/init → przekierowanie, NODE_ONBOARD_RUNBOOK.md jedynym runbookiem</t>
        </is>
      </c>
    </row>
    <row r="19">
      <c r="A19" s="10" t="inlineStr">
        <is>
          <t>Q-05</t>
        </is>
      </c>
      <c r="B19" s="10" t="inlineStr">
        <is>
          <t>E-16</t>
        </is>
      </c>
      <c r="C19" s="11" t="inlineStr">
        <is>
          <t>Rozszerzenia oferty</t>
        </is>
      </c>
      <c r="D19" s="10" t="inlineStr">
        <is>
          <t>Q4 2027</t>
        </is>
      </c>
      <c r="E19" s="10" t="inlineStr">
        <is>
          <t>NISKI</t>
        </is>
      </c>
      <c r="F19" s="11" t="inlineStr">
        <is>
          <t>E-mail marketing wbudowany w panel</t>
        </is>
      </c>
      <c r="G19" s="10" t="inlineStr">
        <is>
          <t>Q — Przewaga</t>
        </is>
      </c>
      <c r="H19" s="10" t="inlineStr">
        <is>
          <t>—</t>
        </is>
      </c>
      <c r="I19" s="10" t="n">
        <v>0</v>
      </c>
      <c r="J19" s="10" t="inlineStr">
        <is>
          <t>CZĘŚCIOWE</t>
        </is>
      </c>
      <c r="K19" s="11" t="inlineStr">
        <is>
          <t>email-marketing.controller.ts:36,81,119,139</t>
        </is>
      </c>
    </row>
  </sheetData>
  <autoFilter ref="A1:K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26" customWidth="1" min="3" max="3"/>
    <col width="88" customWidth="1" min="4" max="4"/>
  </cols>
  <sheetData>
    <row r="1" ht="30" customHeight="1">
      <c r="A1" s="9" t="inlineStr">
        <is>
          <t>ID</t>
        </is>
      </c>
      <c r="B1" s="9" t="inlineStr">
        <is>
          <t>Funkcja</t>
        </is>
      </c>
      <c r="C1" s="9" t="inlineStr">
        <is>
          <t>Kategoria</t>
        </is>
      </c>
      <c r="D1" s="9" t="inlineStr">
        <is>
          <t>Uzasadnienie decyzji</t>
        </is>
      </c>
    </row>
    <row r="2">
      <c r="A2" s="10" t="inlineStr">
        <is>
          <t>B-07</t>
        </is>
      </c>
      <c r="B2" s="11" t="inlineStr">
        <is>
          <t>Wybór handlera PHP (LSAPI/FPM/CGI)</t>
        </is>
      </c>
      <c r="C2" s="10" t="inlineStr">
        <is>
          <t>B — Runtime WWW</t>
        </is>
      </c>
      <c r="D2" s="11" t="inlineStr">
        <is>
          <t>decyzja operatorska, nie klienta</t>
        </is>
      </c>
    </row>
    <row r="3">
      <c r="A3" s="10" t="inlineStr">
        <is>
          <t>B-10</t>
        </is>
      </c>
      <c r="B3" s="11" t="inlineStr">
        <is>
          <t>Aplikacje Ruby</t>
        </is>
      </c>
      <c r="C3" s="10" t="inlineStr">
        <is>
          <t>B — Runtime WWW</t>
        </is>
      </c>
      <c r="D3" s="11" t="inlineStr">
        <is>
          <t>rynek PL tego nie oczekuje</t>
        </is>
      </c>
    </row>
    <row r="4">
      <c r="A4" s="10" t="inlineStr">
        <is>
          <t>C-19</t>
        </is>
      </c>
      <c r="B4" s="11" t="inlineStr">
        <is>
          <t>Konto FTP — limit powierzchni (quota)</t>
        </is>
      </c>
      <c r="C4" s="10" t="inlineStr">
        <is>
          <t>C — Pliki, FTP, SSH, Git</t>
        </is>
      </c>
      <c r="D4" s="11" t="inlineStr">
        <is>
          <t xml:space="preserve"> | 2026-09-25 SPRAWDZONE W DOKUMENTACJI: DirectAdmin nie ma limitu powierzchni per konto FTP (docs.directadmin.com → FTP; konta FTP dzielą limit konta hostingowego, który panel pokazuje). Do decyzji właściciela: POZA ZAKRESEM (limit konta wystarcza) albo własne rozwiązanie poza DA. | DECYZJA WŁAŚCICIELA 2026-09-25: poza zakresem — DirectAdmin nie ma limitu per konto FTP; obowiązuje limit konta hostingowego (widoczny w panelu).</t>
        </is>
      </c>
    </row>
    <row r="5">
      <c r="A5" s="10" t="inlineStr">
        <is>
          <t>C-20</t>
        </is>
      </c>
      <c r="B5" s="11" t="inlineStr">
        <is>
          <t>FTP anonimowy</t>
        </is>
      </c>
      <c r="C5" s="10" t="inlineStr">
        <is>
          <t>C — Pliki, FTP, SSH, Git</t>
        </is>
      </c>
      <c r="D5" s="11" t="inlineStr">
        <is>
          <t>funkcja schyłkowa, ryzyko nadużyć</t>
        </is>
      </c>
    </row>
    <row r="6">
      <c r="A6" s="10" t="inlineStr">
        <is>
          <t>C-23</t>
        </is>
      </c>
      <c r="B6" s="11" t="inlineStr">
        <is>
          <t>Terminal SSH w przeglądarce</t>
        </is>
      </c>
      <c r="C6" s="10" t="inlineStr">
        <is>
          <t>C — Pliki, FTP, SSH, Git</t>
        </is>
      </c>
      <c r="D6" s="11" t="inlineStr">
        <is>
          <t>żaden hosting PL tego nie daje</t>
        </is>
      </c>
    </row>
    <row r="7">
      <c r="A7" s="10" t="inlineStr">
        <is>
          <t>C-24</t>
        </is>
      </c>
      <c r="B7" s="11" t="inlineStr">
        <is>
          <t>WebDAV / Web Disk</t>
        </is>
      </c>
      <c r="C7" s="10" t="inlineStr">
        <is>
          <t>C — Pliki, FTP, SSH, Git</t>
        </is>
      </c>
      <c r="D7" s="11" t="inlineStr">
        <is>
          <t>Protokół schyłkowy — żaden z pięciu badanych hostingów PL go nie wystawia, a menedżer plików i SFTP pokrywają ten sam scenariusz.</t>
        </is>
      </c>
    </row>
    <row r="8">
      <c r="A8" s="10" t="inlineStr">
        <is>
          <t>E-22</t>
        </is>
      </c>
      <c r="B8" s="11" t="inlineStr">
        <is>
          <t>Listy mailingowe</t>
        </is>
      </c>
      <c r="C8" s="10" t="inlineStr">
        <is>
          <t>E — Poczta</t>
        </is>
      </c>
      <c r="D8" s="11" t="inlineStr">
        <is>
          <t>zastąpione modułem email-marketing</t>
        </is>
      </c>
    </row>
    <row r="9">
      <c r="A9" s="10" t="inlineStr">
        <is>
          <t>F-07</t>
        </is>
      </c>
      <c r="B9" s="11" t="inlineStr">
        <is>
          <t>Secondary / slave DNS</t>
        </is>
      </c>
      <c r="C9" s="10" t="inlineStr">
        <is>
          <t>F — DNS</t>
        </is>
      </c>
      <c r="D9" s="11" t="inlineStr">
        <is>
          <t>Wtórny DNS ma sens przy własnej infrastrukturze DNS wielolokalizacyjnej; przy jednym operatorze i delegacji na zewnątrz (F-09) nie wnosi odporności, którą obiecuje.</t>
        </is>
      </c>
    </row>
    <row r="10">
      <c r="A10" s="10" t="inlineStr">
        <is>
          <t>F-10</t>
        </is>
      </c>
      <c r="B10" s="11" t="inlineStr">
        <is>
          <t>Szablony stref DNS</t>
        </is>
      </c>
      <c r="C10" s="10" t="inlineStr">
        <is>
          <t>F — DNS</t>
        </is>
      </c>
      <c r="D10" s="11" t="inlineStr">
        <is>
          <t>Szablony stref są narzędziem resellera zarządzającego setkami domen. Do rozważenia razem z epikiem E-07, nie wcześniej.</t>
        </is>
      </c>
    </row>
    <row r="11">
      <c r="A11" s="10" t="inlineStr">
        <is>
          <t>G-10</t>
        </is>
      </c>
      <c r="B11" s="11" t="inlineStr">
        <is>
          <t>ModSecurity — zarządzanie regułami</t>
        </is>
      </c>
      <c r="C11" s="10" t="inlineStr">
        <is>
          <t>G — SSL i bezpieczeństwo</t>
        </is>
      </c>
      <c r="D11" s="11" t="inlineStr">
        <is>
          <t>poziom operatora</t>
        </is>
      </c>
    </row>
    <row r="12">
      <c r="A12" s="10" t="inlineStr">
        <is>
          <t>I-06</t>
        </is>
      </c>
      <c r="B12" s="11" t="inlineStr">
        <is>
          <t>Smart Updates (test przed aktualizacją)</t>
        </is>
      </c>
      <c r="C12" s="10" t="inlineStr">
        <is>
          <t>I — Aplikacje i WordPress</t>
        </is>
      </c>
      <c r="D12" s="11" t="inlineStr">
        <is>
          <t>wyróżnik Pleska, rynek PL tego nie ma</t>
        </is>
      </c>
    </row>
    <row r="13">
      <c r="A13" s="10" t="inlineStr">
        <is>
          <t>K-07</t>
        </is>
      </c>
      <c r="B13" s="11" t="inlineStr">
        <is>
          <t>Statystyki odwiedzin (AWStats/Webalizer)</t>
        </is>
      </c>
      <c r="C13" s="10" t="inlineStr">
        <is>
          <t>K — Statystyki, logi, limity</t>
        </is>
      </c>
      <c r="D13" s="11" t="inlineStr">
        <is>
          <t>zastąpione własną analityką (K-12)</t>
        </is>
      </c>
    </row>
    <row r="14">
      <c r="A14" s="10" t="inlineStr">
        <is>
          <t>M-14</t>
        </is>
      </c>
      <c r="B14" s="11" t="inlineStr">
        <is>
          <t>KSeF — numer i UPO widoczne dla klienta</t>
        </is>
      </c>
      <c r="C14" s="10" t="inlineStr">
        <is>
          <t>M — Rozliczenia</t>
        </is>
      </c>
      <c r="D14" s="11" t="inlineStr">
        <is>
          <t>dhosting pokazuje numer KSeF i QR na fakturze | 2026-09-22: poza planem startowym — ADR-2026-09-22, wlasny modul KSeF zamrozony (nie skasowany), KSeF realizuje program ksiegowy. Wraca w epiku integracji po API. | 2026-09-23 PO STARCIE: decyzja właściciela (PB-13 2026-09-22, potwierdzona 2026-09-23) — faktury VAT wystawia program księgowy Firmino (Streamsoft), który sam obsługuje KSeF; własny moduł KSeF zamrożony, bezpośrednia integracja z KSeF po starcie. Pozycja wraca przy tej integracji.</t>
        </is>
      </c>
    </row>
    <row r="15">
      <c r="A15" s="10" t="inlineStr">
        <is>
          <t>M-15</t>
        </is>
      </c>
      <c r="B15" s="11" t="inlineStr">
        <is>
          <t>KSeF — pobranie UPO przez operatora</t>
        </is>
      </c>
      <c r="C15" s="10" t="inlineStr">
        <is>
          <t>M — Rozliczenia</t>
        </is>
      </c>
      <c r="D15" s="11" t="inlineStr">
        <is>
          <t>Skorygowane: UPO jest dostępne w portalu MF, więc warunek dokumentu księgowego nie jest naruszony. Brakuje wygody. | 2026-09-22: poza planem startowym — ADR-2026-09-22, wlasny modul KSeF zamrozony (nie skasowany), KSeF realizuje program ksiegowy. Wraca w epiku integracji po API. | 2026-09-23 PO STARCIE: decyzja właściciela (PB-13 2026-09-22, potwierdzona 2026-09-23) — faktury VAT wystawia program księgowy Firmino (Streamsoft), który sam obsługuje KSeF; własny moduł KSeF zamrożony, bezpośrednia integracja z KSeF po starcie. Pozycja wraca przy tej integracji. | 2026-10-10: Fala 1B — przycisk „Pobierz UPO” na stronie faktury, stan ENDPOINT BEZ UI → DZIAŁA (kod, D2). Werdykt bez zmian: własny moduł KSeF zamrożony (PB-13), UPO pojawi się dopiero przy integracji po starcie. | 2026-10-10 (przegląd): DZIAŁA → CZĘŚCIOWE. Przycisk „Pobierz UPO” pokazuje się tylko dla faktury ze statusem KSeF ACCEPTED albo nieznanym (admin-panel lib/akcje/faktura.ts:77), a własny moduł KSeF jest zamrożony (PB-13), więc na produkcji ścieżka nie ma na czym zadziałać. Definicja ukończenia dla ENDPOINT BEZ UI wymaga też wpisu w dzienniku i testu guardu API — test route.spec.ts sprawdza proxy Next.js (401 bez sesji, 404 z API), nie guard @Roles(ADMIN) w ksef.admin.controller.ts:20-21; pobranie UPO nie zostawia wpisu. Kod przycisku jest (D2); DZIAŁA dopiero przy integracji KSeF po starcie, z pobraniem UPO prawdziwej faktury (D3). Werdykt bez zmian.</t>
        </is>
      </c>
    </row>
    <row r="16">
      <c r="A16" s="10" t="inlineStr">
        <is>
          <t>M-16</t>
        </is>
      </c>
      <c r="B16" s="11" t="inlineStr">
        <is>
          <t>KSeF — tryb offline/awaryjny</t>
        </is>
      </c>
      <c r="C16" s="10" t="inlineStr">
        <is>
          <t>M — Rozliczenia</t>
        </is>
      </c>
      <c r="D16" s="11" t="inlineStr">
        <is>
          <t>awaria KSeF zostawia fakturę w PENDING, bez kodu QR offline | 2026-09-22 FLAGA BLOKERA ZDJETA WARUNKOWO — ADR-2026-09-22 (faktury w programie ksiegowym). Wlasny modul KSeF zamrozony, obowiazek KSeF realizuje program ksiegowy. Warunek: FAK-01 na produkcji — do tego czasu panel potrafi wystawic fakture VAT poza KSeF. Pozycja schodzi z planu startowego do epiku integracji z programem ksiegowym. | 2026-09-23 PO STARCIE: decyzja właściciela (PB-13 2026-09-22, potwierdzona 2026-09-23) — faktury VAT wystawia program księgowy Firmino (Streamsoft), który sam obsługuje KSeF; własny moduł KSeF zamrożony, bezpośrednia integracja z KSeF po starcie. Pozycja wraca przy tej integracji.</t>
        </is>
      </c>
    </row>
    <row r="17">
      <c r="A17" s="10" t="inlineStr">
        <is>
          <t>M-17</t>
        </is>
      </c>
      <c r="B17" s="11" t="inlineStr">
        <is>
          <t>KSeF — walidacja XSD przed wysyłką</t>
        </is>
      </c>
      <c r="C17" s="10" t="inlineStr">
        <is>
          <t>M — Rozliczenia</t>
        </is>
      </c>
      <c r="D17" s="11" t="inlineStr">
        <is>
          <t>smoke na api-test MF nie został wykonany | 2026-09-22 FLAGA BLOKERA ZDJETA WARUNKOWO — ADR-2026-09-22 (faktury w programie ksiegowym). Wlasny modul KSeF zamrozony, obowiazek KSeF realizuje program ksiegowy. Warunek: FAK-01 na produkcji — do tego czasu panel potrafi wystawic fakture VAT poza KSeF. Pozycja schodzi z planu startowego do epiku integracji z programem ksiegowym. | 2026-09-23 PO STARCIE: decyzja właściciela (PB-13 2026-09-22, potwierdzona 2026-09-23) — faktury VAT wystawia program księgowy Firmino (Streamsoft), który sam obsługuje KSeF; własny moduł KSeF zamrożony, bezpośrednia integracja z KSeF po starcie. Pozycja wraca przy tej integracji.</t>
        </is>
      </c>
    </row>
    <row r="18">
      <c r="A18" s="10" t="inlineStr">
        <is>
          <t>Q-10</t>
        </is>
      </c>
      <c r="B18" s="11" t="inlineStr">
        <is>
          <t>Natywna aplikacja mobilna</t>
        </is>
      </c>
      <c r="C18" s="10" t="inlineStr">
        <is>
          <t>Q — Przewaga</t>
        </is>
      </c>
      <c r="D18" s="11" t="inlineStr">
        <is>
          <t>tylko home.pl (iOS)</t>
        </is>
      </c>
    </row>
    <row r="19">
      <c r="A19" s="10" t="inlineStr">
        <is>
          <t>X-07</t>
        </is>
      </c>
      <c r="B19" s="11" t="inlineStr">
        <is>
          <t>Pokrycie testami klienta KSeF</t>
        </is>
      </c>
      <c r="C19" s="10" t="inlineStr">
        <is>
          <t>X — Infrastruktura jakości</t>
        </is>
      </c>
      <c r="D19" s="11" t="inlineStr">
        <is>
          <t>Reklasyfikacja jak X-01. | 2026-09-23 PO STARCIE: decyzja właściciela (PB-13 2026-09-22, potwierdzona 2026-09-23) — faktury VAT wystawia program księgowy Firmino (Streamsoft), który sam obsługuje KSeF; własny moduł KSeF zamrożony, bezpośrednia integracja z KSeF po starcie. Pozycja wraca przy tej integracji.</t>
        </is>
      </c>
    </row>
    <row r="20">
      <c r="A20" s="10" t="inlineStr">
        <is>
          <t>KSEF-01</t>
        </is>
      </c>
      <c r="B20" s="11" t="inlineStr">
        <is>
          <t>Obowiązek KSeF działa od 1 kwietnia 2026 — od pięciu miesięcy</t>
        </is>
      </c>
      <c r="C20" s="10" t="inlineStr">
        <is>
          <t>M — Rozliczenia</t>
        </is>
      </c>
      <c r="D20" s="11" t="inlineStr">
        <is>
          <t>Przepisane do macierzy 2026-08-28 w ramach X-49 — pozycja powstala 2026-08-26 i do tego dnia istniala WYLACZNIE w dashboardzie, poza zasiegiem straznikow repozytorium. Obszar: KSeF / prawo. Krytycznosc i naklad zostaly puste SWIADOMIE: dashboard ich nie niosl, a wpisanie ich teraz byloby zgadywaniem. Do uzupelnienia przy najblizszym przegladzie tej pozycji. | TRESC ZE ZRODLA: Obowiązek KSeF działa od 1 kwietnia 2026 — od pięciu miesięcy. To nie jest funkcja do dorobienia przed premierą, tylko obowiązek uruchamiający się przy pierwszej fakturze dla klienta zewnętrznego. Zapowiadany okres bez kar ma dopiero doprecyzować akt wykonawczy, więc nie da się na nim oprzeć planu. | WYCENA 2026-09-19: krytycznosc i naklad uzupelnione przy wznowieniu. Pozycje przepisane 2026-08-28 w ramach X-49 zostaly bez wyceny, przez co nie liczyly sie do budzetu godzin i nie stały w zadnym sprincie. Podstawa wyceny: Pozycja faktograficzna, nie kodowa: zapis stanu prawnego i konsekwencji dla planu. Praca wlasciwa siedzi w PB-13, M-16 i M-17. | 2026-09-22: poza planem startowym — ADR-2026-09-22, wlasny modul KSeF zamrozony (nie skasowany), KSeF realizuje program ksiegowy. Wraca w epiku integracji po API. | 2026-09-23 PO STARCIE: decyzja właściciela (PB-13 2026-09-22, potwierdzona 2026-09-23) — faktury VAT wystawia program księgowy Firmino (Streamsoft), który sam obsługuje KSeF; własny moduł KSeF zamrożony, bezpośrednia integracja z KSeF po starcie. Pozycja wraca przy tej integracji.</t>
        </is>
      </c>
    </row>
    <row r="21">
      <c r="A21" s="10" t="inlineStr">
        <is>
          <t>KSEF-02</t>
        </is>
      </c>
      <c r="B21" s="11" t="inlineStr">
        <is>
          <t>`KsefStatus.OFFLINE` istnieje w schemacie i nie jest ustawiany nigdy</t>
        </is>
      </c>
      <c r="C21" s="10" t="inlineStr">
        <is>
          <t>M — Rozliczenia</t>
        </is>
      </c>
      <c r="D21" s="11" t="inlineStr">
        <is>
          <t>Przepisane do macierzy 2026-08-28 w ramach X-49 — pozycja powstala 2026-08-26 i do tego dnia istniala WYLACZNIE w dashboardzie, poza zasiegiem straznikow repozytorium. Obszar: KSeF. Krytycznosc i naklad zostaly puste SWIADOMIE: dashboard ich nie niosl, a wpisanie ich teraz byloby zgadywaniem. Do uzupelnienia przy najblizszym przegladzie tej pozycji. | TRESC ZE ZRODLA: `KsefStatus.OFFLINE` istnieje w schemacie i nie jest ustawiany nigdy. Trzeci raz ten sam wzorzec w projekcie — po `ServerStatus.OFFLINE` (OPS-01) i regule alertowej z X-35. Wartość w enumie wygląda jak zaimplementowana funkcja, a jest zapisaną intencją. Skutek: faktura czekająca z powodu awarii KSeF i faktura czekająca, bo cykl nie zdążył, mają w bazie ten sam `PENDING` — a terminy ustawowe liczą się od różnych zdarzeń. | WYCENA 2026-09-19: krytycznosc i naklad uzupelnione przy wznowieniu. Pozycje przepisane 2026-08-28 w ramach X-49 zostaly bez wyceny, przez co nie liczyly sie do budzetu godzin i nie stały w zadnym sprincie. Podstawa wyceny: Zostaje klasyfikacja zdarzenia przez operatora — dzis kazda przerwa dostaje NIESKLASYFIKOWANY z najkrotszym terminem. | 2026-09-22: poza planem startowym — ADR-2026-09-22, wlasny modul KSeF zamrozony (nie skasowany), KSeF realizuje program ksiegowy. Wraca w epiku integracji po API. | 2026-09-23 PO STARCIE: decyzja właściciela (PB-13 2026-09-22, potwierdzona 2026-09-23) — faktury VAT wystawia program księgowy Firmino (Streamsoft), który sam obsługuje KSeF; własny moduł KSeF zamrożony, bezpośrednia integracja z KSeF po starcie. Pozycja wraca przy tej integracji.</t>
        </is>
      </c>
    </row>
    <row r="22">
      <c r="A22" s="10" t="inlineStr">
        <is>
          <t>KSEF-03</t>
        </is>
      </c>
      <c r="B22" s="11" t="inlineStr">
        <is>
          <t>Brak kodów QR na fakturze offline</t>
        </is>
      </c>
      <c r="C22" s="10" t="inlineStr">
        <is>
          <t>M — Rozliczenia</t>
        </is>
      </c>
      <c r="D22" s="11" t="inlineStr">
        <is>
          <t>Przepisane do macierzy 2026-08-28 w ramach X-49 — pozycja powstala 2026-08-26 i do tego dnia istniala WYLACZNIE w dashboardzie, poza zasiegiem straznikow repozytorium. Obszar: KSeF / prawo. Krytycznosc i naklad zostaly puste SWIADOMIE: dashboard ich nie niosl, a wpisanie ich teraz byloby zgadywaniem. Do uzupelnienia przy najblizszym przegladzie tej pozycji. | TRESC ZE ZRODLA: Brak kodów QR na fakturze offline. Faktura przekazana nabywcy poza KSeF musi nieść dwa kody: KOD I („OFFLINE”) i KOD II („CERTYFIKAT”). W repozytorium nie ma ani jednego wystąpienia QR. KOD I jest w zasięgu (adres API + data z P_1 + NIP + skrót XML, a builder XML mamy). KOD II wymaga certyfikatu KSeF typu 2 z portalu MF — sprawa formalna, nie kod. Bez niego tryb offline nie jest dla nas dostępny wcale. | WYCENA 2026-09-19: krytycznosc i naklad uzupelnione przy wznowieniu. Pozycje przepisane 2026-08-28 w ramach X-49 zostaly bez wyceny, przez co nie liczyly sie do budzetu godzin i nie stały w zadnym sprincie. Podstawa wyceny: KOD I w zasiegu (adres API + P_1 + NIP + skrot XML, builder XML jest). KOD II wymaga certyfikatu KSeF typu 2 z portalu MF — sprawa formalna, nie kod. Bez obu tryb offline jest niedostepny, wiec pozycja wisi na M-16. | 2026-09-22: poza planem startowym — ADR-2026-09-22, wlasny modul KSeF zamrozony (nie skasowany), KSeF realizuje program ksiegowy. Wraca w epiku integracji po API. | 2026-09-23 PO STARCIE: decyzja właściciela (PB-13 2026-09-22, potwierdzona 2026-09-23) — faktury VAT wystawia program księgowy Firmino (Streamsoft), który sam obsługuje KSeF; własny moduł KSeF zamrożony, bezpośrednia integracja z KSeF po starcie. Pozycja wraca przy tej integracji.</t>
        </is>
      </c>
    </row>
  </sheetData>
  <autoFilter ref="A1:D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2026-10-11T15:04:00Z</dcterms:created>
  <dcterms:modified xmlns:dcterms="http://purl.org/dc/terms/" xmlns:xsi="http://www.w3.org/2001/XMLSchema-instance" xsi:type="dcterms:W3CDTF">2026-10-11T15:04:00Z</dcterms:modified>
</cp:coreProperties>
</file>