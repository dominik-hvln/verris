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startu'!$A$1:$P$95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startu'!$A$2:$A$95)</f>
        <v/>
      </c>
    </row>
    <row r="7">
      <c r="A7" s="4" t="inlineStr">
        <is>
          <t>Godzin w planie</t>
        </is>
      </c>
      <c r="B7" s="5">
        <f>SUM('Backlog do startu'!$F$2:$F$95)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startu'!$E$2:$E$95,"BLOKER STARTU")+COUNTIF('Backlog do startu'!$E$2:$E$95,"BLOKER BIZNESOWY")</f>
        <v/>
      </c>
    </row>
    <row r="11">
      <c r="A11" s="4" t="inlineStr">
        <is>
          <t>Zadań zrobionych</t>
        </is>
      </c>
      <c r="B11" s="5">
        <f>COUNTIF('Backlog do startu'!$P$2:$P$95,"zrobione")</f>
        <v/>
      </c>
    </row>
    <row r="12">
      <c r="A12" s="4" t="inlineStr">
        <is>
          <t>Godzin zrobionych</t>
        </is>
      </c>
      <c r="B12" s="5">
        <f>SUMIF('Backlog do startu'!$P$2:$P$95,"zrobione",'Backlog do startu'!$F$2:$F$95)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ATRAPA</t>
        </is>
      </c>
      <c r="L47" s="11" t="inlineStr">
        <is>
          <t>dns-manager.tsx:79,91 — komponent osierocony; dns/page.tsx:15 przekierowuje gdzie indziej</t>
        </is>
      </c>
      <c r="M47" s="11" t="inlineStr">
        <is>
          <t>—</t>
        </is>
      </c>
      <c r="N47" s="11" t="inlineStr">
        <is>
          <t>Kontroler rejestruje trasę, którą woła panel; kliknięcie kończy się realnym efektem, nie 404. Test pokrywa ścieżkę UI→API→zasób.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ATRAPA</t>
        </is>
      </c>
      <c r="L48" s="11" t="inlineStr">
        <is>
          <t>j.w.</t>
        </is>
      </c>
      <c r="M48" s="11" t="inlineStr">
        <is>
          <t>F-01 (ten sam edytor)</t>
        </is>
      </c>
      <c r="N48" s="11" t="inlineStr">
        <is>
          <t>Kontroler rejestruje trasę, którą woła panel; kliknięcie kończy się realnym efektem, nie 404. Test pokrywa ścieżkę UI→API→zasób.</t>
        </is>
      </c>
      <c r="O48" s="11" t="inlineStr"/>
      <c r="P48" s="10" t="inlineStr">
        <is>
          <t>do zrobienia</t>
        </is>
      </c>
    </row>
    <row r="49">
      <c r="A49" s="10" t="inlineStr">
        <is>
          <t>B-01</t>
        </is>
      </c>
      <c r="B49" s="11" t="inlineStr">
        <is>
          <t>Zmiana wersji PHP dla całego konta</t>
        </is>
      </c>
      <c r="C49" s="10" t="inlineStr">
        <is>
          <t>audyt</t>
        </is>
      </c>
      <c r="D49" s="10" t="inlineStr">
        <is>
          <t>B — Runtime WWW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CZĘŚCIOWE</t>
        </is>
      </c>
      <c r="L49" s="11" t="inlineStr">
        <is>
          <t>services.controller.ts:125</t>
        </is>
      </c>
      <c r="M49" s="11" t="inlineStr">
        <is>
          <t>—</t>
        </is>
      </c>
      <c r="N49" s="11" t="inlineStr">
        <is>
          <t>Ograniczenie opisane w uwagach macierzy zniknęło; test potwierdza zachowanie także w scenariuszu awaryjnym.</t>
        </is>
      </c>
      <c r="O49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49" s="10" t="inlineStr">
        <is>
          <t>do zrobienia</t>
        </is>
      </c>
    </row>
    <row r="50">
      <c r="A50" s="10" t="inlineStr">
        <is>
          <t>E-15</t>
        </is>
      </c>
      <c r="B50" s="11" t="inlineStr">
        <is>
          <t>Rekordy SPF — kreator</t>
        </is>
      </c>
      <c r="C50" s="10" t="inlineStr">
        <is>
          <t>audyt</t>
        </is>
      </c>
      <c r="D50" s="10" t="inlineStr">
        <is>
          <t>E — Poczta</t>
        </is>
      </c>
      <c r="E50" s="10" t="inlineStr">
        <is>
          <t>WYSOKA</t>
        </is>
      </c>
      <c r="F50" s="10" t="n">
        <v>6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ENDPOINT BEZ UI</t>
        </is>
      </c>
      <c r="L50" s="11" t="inlineStr">
        <is>
          <t>services.controller.ts:114</t>
        </is>
      </c>
      <c r="M50" s="11" t="inlineStr">
        <is>
          <t>—</t>
        </is>
      </c>
      <c r="N50" s="11" t="inlineStr">
        <is>
          <t>Panel wywołuje istniejący endpoint; akcja zostawia wpis w logu audytu. Test potwierdza, że guard nadal blokuje nieuprawnionych.</t>
        </is>
      </c>
      <c r="O50" s="11" t="inlineStr">
        <is>
          <t>deliverability-panel.tsx:26 to komponent osierocony — nikt go nie importuje</t>
        </is>
      </c>
      <c r="P50" s="10" t="inlineStr">
        <is>
          <t>do zrobienia</t>
        </is>
      </c>
    </row>
    <row r="51">
      <c r="A51" s="10" t="inlineStr">
        <is>
          <t>E-16</t>
        </is>
      </c>
      <c r="B51" s="11" t="inlineStr">
        <is>
          <t>Rekordy DKIM — konfiguracja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7</v>
      </c>
      <c r="H51" s="10" t="inlineStr">
        <is>
          <t>Faza 1 — Rozliczenia i dowód odtworzenia</t>
        </is>
      </c>
      <c r="I51" s="10" t="inlineStr">
        <is>
          <t>2026-10-12</t>
        </is>
      </c>
      <c r="J51" s="10" t="inlineStr">
        <is>
          <t>2026-10-16</t>
        </is>
      </c>
      <c r="K51" s="10" t="inlineStr">
        <is>
          <t>ENDPOINT BEZ UI</t>
        </is>
      </c>
      <c r="L51" s="11" t="inlineStr">
        <is>
          <t>services.controller.ts:114</t>
        </is>
      </c>
      <c r="M51" s="11" t="inlineStr">
        <is>
          <t>E-15 (ten sam panel dostarczalności)</t>
        </is>
      </c>
      <c r="N51" s="11" t="inlineStr">
        <is>
          <t>Panel wywołuje istniejący endpoint; akcja zostawia wpis w logu audytu. Test potwierdza, że guard nadal blokuje nieuprawnionych.</t>
        </is>
      </c>
      <c r="O51" s="11" t="inlineStr">
        <is>
          <t>j.w.</t>
        </is>
      </c>
      <c r="P51" s="10" t="inlineStr">
        <is>
          <t>do zrobienia</t>
        </is>
      </c>
    </row>
    <row r="52">
      <c r="A52" s="10" t="inlineStr">
        <is>
          <t>E-17</t>
        </is>
      </c>
      <c r="B52" s="11" t="inlineStr">
        <is>
          <t>Rekord DMARC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ENDPOINT BEZ UI</t>
        </is>
      </c>
      <c r="L52" s="11" t="inlineStr">
        <is>
          <t>services.controller.ts:114</t>
        </is>
      </c>
      <c r="M52" s="11" t="inlineStr">
        <is>
          <t>E-15</t>
        </is>
      </c>
      <c r="N52" s="11" t="inlineStr">
        <is>
          <t>Panel wywołuje istniejący endpoint; akcja zostawia wpis w logu audytu. Test potwierdza, że guard nadal blokuje nieuprawnionych.</t>
        </is>
      </c>
      <c r="O52" s="11" t="inlineStr">
        <is>
          <t>j.w.</t>
        </is>
      </c>
      <c r="P52" s="10" t="inlineStr">
        <is>
          <t>do zrobienia</t>
        </is>
      </c>
    </row>
    <row r="53">
      <c r="A53" s="10" t="inlineStr">
        <is>
          <t>E-05</t>
        </is>
      </c>
      <c r="B53" s="11" t="inlineStr">
        <is>
          <t>Zmiana quoty ISTNIEJĄCEJ skrzynki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BRAK</t>
        </is>
      </c>
      <c r="L53" s="11" t="inlineStr">
        <is>
          <t>hosting-email-actions.ts:41 zachowuje starą quotę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brak jakiejkolwiek ścieżki edycji — klient musi usunąć i odtworzyć skrzynkę</t>
        </is>
      </c>
      <c r="P53" s="10" t="inlineStr">
        <is>
          <t>do zrobienia</t>
        </is>
      </c>
    </row>
    <row r="54">
      <c r="A54" s="10" t="inlineStr">
        <is>
          <t>M-26</t>
        </is>
      </c>
      <c r="B54" s="11" t="inlineStr">
        <is>
          <t>Usunięcie zapisanej karty przez klienta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WYSOKA</t>
        </is>
      </c>
      <c r="F54" s="10" t="n">
        <v>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BRAK</t>
        </is>
      </c>
      <c r="L54" s="11" t="inlineStr">
        <is>
          <t>billing.controller.ts:38 tylko GET, brak DELETE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wymóg konsumencki</t>
        </is>
      </c>
      <c r="P54" s="10" t="inlineStr">
        <is>
          <t>do zrobienia</t>
        </is>
      </c>
    </row>
    <row r="55">
      <c r="A55" s="10" t="inlineStr">
        <is>
          <t>A-25</t>
        </is>
      </c>
      <c r="B55" s="11" t="inlineStr">
        <is>
          <t>Ręczne zawieszenie usługi przez operatora</t>
        </is>
      </c>
      <c r="C55" s="10" t="inlineStr">
        <is>
          <t>audyt</t>
        </is>
      </c>
      <c r="D55" s="10" t="inlineStr">
        <is>
          <t>A — Domeny i konta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ENDPOINT BEZ UI</t>
        </is>
      </c>
      <c r="L55" s="11" t="inlineStr">
        <is>
          <t>subscriptions.admin.controller.ts:192</t>
        </is>
      </c>
      <c r="M55" s="11" t="inlineStr">
        <is>
          <t>—</t>
        </is>
      </c>
      <c r="N55" s="11" t="inlineStr">
        <is>
          <t>Panel wywołuje istniejący endpoint; akcja zostawia wpis w logu audytu. Test potwierdza, że guard nadal blokuje nieuprawnionych.</t>
        </is>
      </c>
      <c r="O55" s="11" t="inlineStr">
        <is>
          <t>Skorygowane: endpoint działa i jest osiągalny (curl + DirectAdmin), auto-suspend za brak płatności działa. Brakuje UI, nie możliwości zatrzymania szkody.</t>
        </is>
      </c>
      <c r="P55" s="10" t="inlineStr">
        <is>
          <t>do zrobienia</t>
        </is>
      </c>
    </row>
    <row r="56">
      <c r="A56" s="10" t="inlineStr">
        <is>
          <t>A-26</t>
        </is>
      </c>
      <c r="B56" s="11" t="inlineStr">
        <is>
          <t>Ręczne odwieszenie usługi przez operatora</t>
        </is>
      </c>
      <c r="C56" s="10" t="inlineStr">
        <is>
          <t>audyt</t>
        </is>
      </c>
      <c r="D56" s="10" t="inlineStr">
        <is>
          <t>A — Domeny i konta</t>
        </is>
      </c>
      <c r="E56" s="10" t="inlineStr">
        <is>
          <t>WYSOKA</t>
        </is>
      </c>
      <c r="F56" s="10" t="n">
        <v>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ENDPOINT BEZ UI</t>
        </is>
      </c>
      <c r="L56" s="11" t="inlineStr">
        <is>
          <t>subscriptions.admin.controller.ts:210</t>
        </is>
      </c>
      <c r="M56" s="11" t="inlineStr">
        <is>
          <t>A-25 (ten sam widok)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jak A-25, endpoint subscriptions.admin.controller.ts:210 działa z chargeRenewal.</t>
        </is>
      </c>
      <c r="P56" s="10" t="inlineStr">
        <is>
          <t>do zrobienia</t>
        </is>
      </c>
    </row>
    <row r="57">
      <c r="A57" s="10" t="inlineStr">
        <is>
          <t>N-07</t>
        </is>
      </c>
      <c r="B57" s="11" t="inlineStr">
        <is>
          <t>Ręczne tworzenie incydentu na status page</t>
        </is>
      </c>
      <c r="C57" s="10" t="inlineStr">
        <is>
          <t>audyt</t>
        </is>
      </c>
      <c r="D57" s="10" t="inlineStr">
        <is>
          <t>N — Wsparcie i ops</t>
        </is>
      </c>
      <c r="E57" s="10" t="inlineStr">
        <is>
          <t>WYSOKA</t>
        </is>
      </c>
      <c r="F57" s="10" t="n">
        <v>6</v>
      </c>
      <c r="G57" s="10" t="n">
        <v>8</v>
      </c>
      <c r="H57" s="10" t="inlineStr">
        <is>
          <t>Faza 1 — Rozliczenia i dowód odtworzenia</t>
        </is>
      </c>
      <c r="I57" s="10" t="inlineStr">
        <is>
          <t>2026-10-19</t>
        </is>
      </c>
      <c r="J57" s="10" t="inlineStr">
        <is>
          <t>2026-10-23</t>
        </is>
      </c>
      <c r="K57" s="10" t="inlineStr">
        <is>
          <t>ENDPOINT BEZ UI</t>
        </is>
      </c>
      <c r="L57" s="11" t="inlineStr">
        <is>
          <t>product-ops.admin.controller.ts:371; brak UI tworzenia</t>
        </is>
      </c>
      <c r="M57" s="11" t="inlineStr">
        <is>
          <t>—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w kryzysie nie ma jak zakomunikować awarii</t>
        </is>
      </c>
      <c r="P57" s="10" t="inlineStr">
        <is>
          <t>do zrobienia</t>
        </is>
      </c>
    </row>
    <row r="58">
      <c r="A58" s="10" t="inlineStr">
        <is>
          <t>N-14</t>
        </is>
      </c>
      <c r="B58" s="11" t="inlineStr">
        <is>
          <t>Cordon wysyłki poczty (auto-blokada spamu)</t>
        </is>
      </c>
      <c r="C58" s="10" t="inlineStr">
        <is>
          <t>audyt</t>
        </is>
      </c>
      <c r="D58" s="10" t="inlineStr">
        <is>
          <t>N — Wsparcie i ops</t>
        </is>
      </c>
      <c r="E58" s="10" t="inlineStr">
        <is>
          <t>WYSOKA</t>
        </is>
      </c>
      <c r="F58" s="10" t="n">
        <v>6</v>
      </c>
      <c r="G58" s="10" t="n">
        <v>8</v>
      </c>
      <c r="H58" s="10" t="inlineStr">
        <is>
          <t>Faza 1 — Rozliczenia i dowód odtworzenia</t>
        </is>
      </c>
      <c r="I58" s="10" t="inlineStr">
        <is>
          <t>2026-10-19</t>
        </is>
      </c>
      <c r="J58" s="10" t="inlineStr">
        <is>
          <t>2026-10-23</t>
        </is>
      </c>
      <c r="K58" s="10" t="inlineStr">
        <is>
          <t>ENDPOINT BEZ UI</t>
        </is>
      </c>
      <c r="L58" s="11" t="inlineStr">
        <is>
          <t>outbound-cordon.admin.controller.ts:20,25,32; zero „cordon” w admin-panel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mechanizm działa, operator nie może go zobaczyć ani zdjąć</t>
        </is>
      </c>
      <c r="P58" s="10" t="inlineStr">
        <is>
          <t>do zrobienia</t>
        </is>
      </c>
    </row>
    <row r="59">
      <c r="A59" s="10" t="inlineStr">
        <is>
          <t>H-22</t>
        </is>
      </c>
      <c r="B59" s="11" t="inlineStr">
        <is>
          <t>Panel odtwarzania w widocznym miejscu</t>
        </is>
      </c>
      <c r="C59" s="10" t="inlineStr">
        <is>
          <t>audyt</t>
        </is>
      </c>
      <c r="D59" s="10" t="inlineStr">
        <is>
          <t>H — Backup i odtwarzanie</t>
        </is>
      </c>
      <c r="E59" s="10" t="inlineStr">
        <is>
          <t>WYSOKA</t>
        </is>
      </c>
      <c r="F59" s="10" t="n">
        <v>6</v>
      </c>
      <c r="G59" s="10" t="n">
        <v>8</v>
      </c>
      <c r="H59" s="10" t="inlineStr">
        <is>
          <t>Faza 1 — Rozliczenia i dowód odtworzenia</t>
        </is>
      </c>
      <c r="I59" s="10" t="inlineStr">
        <is>
          <t>2026-10-19</t>
        </is>
      </c>
      <c r="J59" s="10" t="inlineStr">
        <is>
          <t>2026-10-23</t>
        </is>
      </c>
      <c r="K59" s="10" t="inlineStr">
        <is>
          <t>CZĘŚCIOWE</t>
        </is>
      </c>
      <c r="L59" s="11" t="inlineStr">
        <is>
          <t>panel off-site siedzi w zakładce „Usage”, nie „Kopie zapasowe” (page.tsx:74,128,313,319)</t>
        </is>
      </c>
      <c r="M59" s="11" t="inlineStr">
        <is>
          <t>—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klient w kryzysie tego nie znajdzie</t>
        </is>
      </c>
      <c r="P59" s="10" t="inlineStr">
        <is>
          <t>do zrobienia</t>
        </is>
      </c>
    </row>
    <row r="60">
      <c r="A60" s="10" t="inlineStr">
        <is>
          <t>H-09</t>
        </is>
      </c>
      <c r="B60" s="11" t="inlineStr">
        <is>
          <t>Kopia bezpieczeństwa przed odtworzeniem</t>
        </is>
      </c>
      <c r="C60" s="10" t="inlineStr">
        <is>
          <t>audyt</t>
        </is>
      </c>
      <c r="D60" s="10" t="inlineStr">
        <is>
          <t>H — Backup i odtwarzanie</t>
        </is>
      </c>
      <c r="E60" s="10" t="inlineStr">
        <is>
          <t>WYSOKA</t>
        </is>
      </c>
      <c r="F60" s="10" t="n">
        <v>6</v>
      </c>
      <c r="G60" s="10" t="n">
        <v>9</v>
      </c>
      <c r="H60" s="10" t="inlineStr">
        <is>
          <t>Faza 2 — Odzyskanie funkcji-widm i luki pierwszego tygodnia</t>
        </is>
      </c>
      <c r="I60" s="10" t="inlineStr">
        <is>
          <t>2026-10-26</t>
        </is>
      </c>
      <c r="J60" s="10" t="inlineStr">
        <is>
          <t>2026-10-30</t>
        </is>
      </c>
      <c r="K60" s="10" t="inlineStr">
        <is>
          <t>CZĘŚCIOWE</t>
        </is>
      </c>
      <c r="L60" s="11" t="inlineStr">
        <is>
          <t>hosting-restore.service.ts:167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0" s="10" t="inlineStr">
        <is>
          <t>do zrobienia</t>
        </is>
      </c>
    </row>
    <row r="61">
      <c r="A61" s="10" t="inlineStr">
        <is>
          <t>H-17</t>
        </is>
      </c>
      <c r="B61" s="11" t="inlineStr">
        <is>
          <t>Tryb restore skryptu odtwarzającego osiągalny z produktu</t>
        </is>
      </c>
      <c r="C61" s="10" t="inlineStr">
        <is>
          <t>audyt</t>
        </is>
      </c>
      <c r="D61" s="10" t="inlineStr">
        <is>
          <t>H — Backup i odtwarzanie</t>
        </is>
      </c>
      <c r="E61" s="10" t="inlineStr">
        <is>
          <t>WYSOKA</t>
        </is>
      </c>
      <c r="F61" s="10" t="n">
        <v>6</v>
      </c>
      <c r="G61" s="10" t="n">
        <v>9</v>
      </c>
      <c r="H61" s="10" t="inlineStr">
        <is>
          <t>Faza 2 — Odzyskanie funkcji-widm i luki pierwszego tygodnia</t>
        </is>
      </c>
      <c r="I61" s="10" t="inlineStr">
        <is>
          <t>2026-10-26</t>
        </is>
      </c>
      <c r="J61" s="10" t="inlineStr">
        <is>
          <t>2026-10-30</t>
        </is>
      </c>
      <c r="K61" s="10" t="inlineStr">
        <is>
          <t>BRAK</t>
        </is>
      </c>
      <c r="L61" s="11" t="inlineStr">
        <is>
          <t>node-account-restore.sh:82-99 ma tryb restore; offsite-restore.service.ts:94 przyjmuje wyłącznie list|fetch</t>
        </is>
      </c>
      <c r="M61" s="11" t="inlineStr">
        <is>
          <t>H-20 (najpierw potwierdzone odtworzenie, potem wystawienie trybu w produkcie)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Skorygowane: tryb restore jest martwy z poziomu produktu, ale żywy z CLI (node-account-restore.sh:120-124) i udokumentowany w runbooku.</t>
        </is>
      </c>
      <c r="P61" s="10" t="inlineStr">
        <is>
          <t>do zrobienia</t>
        </is>
      </c>
    </row>
    <row r="62">
      <c r="A62" s="10" t="inlineStr">
        <is>
          <t>G-20</t>
        </is>
      </c>
      <c r="B62" s="11" t="inlineStr">
        <is>
          <t>Ochrona przed atakiem słownikowym na panel</t>
        </is>
      </c>
      <c r="C62" s="10" t="inlineStr">
        <is>
          <t>audyt</t>
        </is>
      </c>
      <c r="D62" s="10" t="inlineStr">
        <is>
          <t>G — SSL i bezpieczeństwo</t>
        </is>
      </c>
      <c r="E62" s="10" t="inlineStr">
        <is>
          <t>WYSOKA</t>
        </is>
      </c>
      <c r="F62" s="10" t="n">
        <v>6</v>
      </c>
      <c r="G62" s="10" t="n">
        <v>9</v>
      </c>
      <c r="H62" s="10" t="inlineStr">
        <is>
          <t>Faza 2 — Odzyskanie funkcji-widm i luki pierwszego tygodnia</t>
        </is>
      </c>
      <c r="I62" s="10" t="inlineStr">
        <is>
          <t>2026-10-26</t>
        </is>
      </c>
      <c r="J62" s="10" t="inlineStr">
        <is>
          <t>2026-10-30</t>
        </is>
      </c>
      <c r="K62" s="10" t="inlineStr">
        <is>
          <t>CZĘŚCIOWE</t>
        </is>
      </c>
      <c r="L62" s="11" t="inlineStr">
        <is>
          <t>rate-limit.guard.ts — ZERO testów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brak dowodu D2 na krytycznym guardzie</t>
        </is>
      </c>
      <c r="P62" s="10" t="inlineStr">
        <is>
          <t>do zrobienia</t>
        </is>
      </c>
    </row>
    <row r="63">
      <c r="A63" s="10" t="inlineStr">
        <is>
          <t>I-11</t>
        </is>
      </c>
      <c r="B63" s="11" t="inlineStr">
        <is>
          <t>Staging — publikacja na produkcję</t>
        </is>
      </c>
      <c r="C63" s="10" t="inlineStr">
        <is>
          <t>audyt</t>
        </is>
      </c>
      <c r="D63" s="10" t="inlineStr">
        <is>
          <t>I — Aplikacje i WordPress</t>
        </is>
      </c>
      <c r="E63" s="10" t="inlineStr">
        <is>
          <t>WYSOKA</t>
        </is>
      </c>
      <c r="F63" s="10" t="n">
        <v>6</v>
      </c>
      <c r="G63" s="10" t="n">
        <v>9</v>
      </c>
      <c r="H63" s="10" t="inlineStr">
        <is>
          <t>Faza 2 — Odzyskanie funkcji-widm i luki pierwszego tygodnia</t>
        </is>
      </c>
      <c r="I63" s="10" t="inlineStr">
        <is>
          <t>2026-10-26</t>
        </is>
      </c>
      <c r="J63" s="10" t="inlineStr">
        <is>
          <t>2026-10-30</t>
        </is>
      </c>
      <c r="K63" s="10" t="inlineStr">
        <is>
          <t>CZĘŚCIOWE</t>
        </is>
      </c>
      <c r="L63" s="11" t="inlineStr">
        <is>
          <t>services.controller.ts:187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3" s="10" t="inlineStr">
        <is>
          <t>do zrobienia</t>
        </is>
      </c>
    </row>
    <row r="64">
      <c r="A64" s="10" t="inlineStr">
        <is>
          <t>X-31</t>
        </is>
      </c>
      <c r="B64" s="11" t="inlineStr">
        <is>
          <t>Kanał alertów daje znak życia (dead man's switch)</t>
        </is>
      </c>
      <c r="C64" s="10" t="inlineStr">
        <is>
          <t>audyt</t>
        </is>
      </c>
      <c r="D64" s="10" t="inlineStr">
        <is>
          <t>X — Infrastruktura jakości</t>
        </is>
      </c>
      <c r="E64" s="10" t="inlineStr">
        <is>
          <t>—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DZIAŁA</t>
        </is>
      </c>
      <c r="L64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64" s="10" t="inlineStr">
        <is>
          <t>do zrobienia</t>
        </is>
      </c>
    </row>
    <row r="65">
      <c r="A65" s="10" t="inlineStr">
        <is>
          <t>X-32</t>
        </is>
      </c>
      <c r="B65" s="11" t="inlineStr">
        <is>
          <t>Martwy job da się odrzucić z panelu, ze śladem w audycie</t>
        </is>
      </c>
      <c r="C65" s="10" t="inlineStr">
        <is>
          <t>audyt</t>
        </is>
      </c>
      <c r="D65" s="10" t="inlineStr">
        <is>
          <t>X — Infrastruktura jakości</t>
        </is>
      </c>
      <c r="E65" s="10" t="inlineStr">
        <is>
          <t>—</t>
        </is>
      </c>
      <c r="F65" s="10" t="n">
        <v>6</v>
      </c>
      <c r="G65" s="10" t="n">
        <v>10</v>
      </c>
      <c r="H65" s="10" t="inlineStr">
        <is>
          <t>Faza 2 — Odzyskanie funkcji-widm i luki pierwszego tygodnia</t>
        </is>
      </c>
      <c r="I65" s="10" t="inlineStr">
        <is>
          <t>2026-11-02</t>
        </is>
      </c>
      <c r="J65" s="10" t="inlineStr">
        <is>
          <t>2026-11-06</t>
        </is>
      </c>
      <c r="K65" s="10" t="inlineStr">
        <is>
          <t>DZIAŁA</t>
        </is>
      </c>
      <c r="L65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 | 2026-09-22 D3: wlasciciel odrzucil martwy job przyciskiem 'Odrzuc' w panelu admina na produkcji (potwierdzenie wlasciciela; wpis PROVISIONING_JOB_DISCARDED_BY_ADMIN w audycie).</t>
        </is>
      </c>
      <c r="P65" s="10" t="inlineStr">
        <is>
          <t>do zrobienia</t>
        </is>
      </c>
    </row>
    <row r="66">
      <c r="A66" s="10" t="inlineStr">
        <is>
          <t>DEP-02</t>
        </is>
      </c>
      <c r="B66" s="11" t="inlineStr">
        <is>
          <t>W drzewie stoją dwa majory ESLinta naraz</t>
        </is>
      </c>
      <c r="C66" s="10" t="inlineStr">
        <is>
          <t>audyt</t>
        </is>
      </c>
      <c r="D66" s="10" t="inlineStr">
        <is>
          <t>X — Infrastruktura jakości</t>
        </is>
      </c>
      <c r="E66" s="10" t="inlineStr">
        <is>
          <t>ŚREDNIA</t>
        </is>
      </c>
      <c r="F66" s="10" t="n">
        <v>6</v>
      </c>
      <c r="G66" s="10" t="n">
        <v>10</v>
      </c>
      <c r="H66" s="10" t="inlineStr">
        <is>
          <t>Faza 2 — Odzyskanie funkcji-widm i luki pierwszego tygodnia</t>
        </is>
      </c>
      <c r="I66" s="10" t="inlineStr">
        <is>
          <t>2026-11-02</t>
        </is>
      </c>
      <c r="J66" s="10" t="inlineStr">
        <is>
          <t>2026-11-06</t>
        </is>
      </c>
      <c r="K66" s="10" t="inlineStr">
        <is>
          <t>BRAK</t>
        </is>
      </c>
      <c r="L66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6" s="11" t="inlineStr">
        <is>
          <t>—</t>
        </is>
      </c>
      <c r="N66" s="11" t="inlineStr">
        <is>
          <t>Funkcja dostępna z panelu klienta bez wychodzenia do DirectAdmina; test uruchamiany w CI.</t>
        </is>
      </c>
      <c r="O66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6" s="10" t="inlineStr">
        <is>
          <t>do zrobienia</t>
        </is>
      </c>
    </row>
    <row r="67">
      <c r="A67" s="10" t="inlineStr">
        <is>
          <t>M-08</t>
        </is>
      </c>
      <c r="B67" s="11" t="inlineStr">
        <is>
          <t>Anulowanie faktury (VOID) z panelu</t>
        </is>
      </c>
      <c r="C67" s="10" t="inlineStr">
        <is>
          <t>audyt</t>
        </is>
      </c>
      <c r="D67" s="10" t="inlineStr">
        <is>
          <t>M — Rozliczenia</t>
        </is>
      </c>
      <c r="E67" s="10" t="inlineStr">
        <is>
          <t>WYSOKA</t>
        </is>
      </c>
      <c r="F67" s="10" t="n">
        <v>6</v>
      </c>
      <c r="G67" s="10" t="n">
        <v>10</v>
      </c>
      <c r="H67" s="10" t="inlineStr">
        <is>
          <t>Faza 2 — Odzyskanie funkcji-widm i luki pierwszego tygodnia</t>
        </is>
      </c>
      <c r="I67" s="10" t="inlineStr">
        <is>
          <t>2026-11-02</t>
        </is>
      </c>
      <c r="J67" s="10" t="inlineStr">
        <is>
          <t>2026-11-06</t>
        </is>
      </c>
      <c r="K67" s="10" t="inlineStr">
        <is>
          <t>BRAK</t>
        </is>
      </c>
      <c r="L67" s="11" t="inlineStr">
        <is>
          <t>InvoiceStatus.VOID w schema.prisma:1354 nigdy nie ustawiany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/>
      <c r="P67" s="10" t="inlineStr">
        <is>
          <t>do zrobienia</t>
        </is>
      </c>
    </row>
    <row r="68">
      <c r="A68" s="10" t="inlineStr">
        <is>
          <t>C-18</t>
        </is>
      </c>
      <c r="B68" s="11" t="inlineStr">
        <is>
          <t>Konto FTP — zmiana hasła</t>
        </is>
      </c>
      <c r="C68" s="10" t="inlineStr">
        <is>
          <t>audyt</t>
        </is>
      </c>
      <c r="D68" s="10" t="inlineStr">
        <is>
          <t>C — Pliki, FTP, SSH, Git</t>
        </is>
      </c>
      <c r="E68" s="10" t="inlineStr">
        <is>
          <t>WYSOKA</t>
        </is>
      </c>
      <c r="F68" s="10" t="n">
        <v>6</v>
      </c>
      <c r="G68" s="10" t="n">
        <v>10</v>
      </c>
      <c r="H68" s="10" t="inlineStr">
        <is>
          <t>Faza 2 — Odzyskanie funkcji-widm i luki pierwszego tygodnia</t>
        </is>
      </c>
      <c r="I68" s="10" t="inlineStr">
        <is>
          <t>2026-11-02</t>
        </is>
      </c>
      <c r="J68" s="10" t="inlineStr">
        <is>
          <t>2026-11-06</t>
        </is>
      </c>
      <c r="K68" s="10" t="inlineStr">
        <is>
          <t>BRAK</t>
        </is>
      </c>
      <c r="L68" s="11" t="inlineStr">
        <is>
          <t>—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brak jakiejkolwiek ścieżki edycji istniejącego konta</t>
        </is>
      </c>
      <c r="P68" s="10" t="inlineStr">
        <is>
          <t>do zrobienia</t>
        </is>
      </c>
    </row>
    <row r="69">
      <c r="A69" s="10" t="inlineStr">
        <is>
          <t>A-11</t>
        </is>
      </c>
      <c r="B69" s="11" t="inlineStr">
        <is>
          <t>Wyszukiwarka wolnych domen</t>
        </is>
      </c>
      <c r="C69" s="10" t="inlineStr">
        <is>
          <t>audyt</t>
        </is>
      </c>
      <c r="D69" s="10" t="inlineStr">
        <is>
          <t>A — Domeny i konta</t>
        </is>
      </c>
      <c r="E69" s="10" t="inlineStr">
        <is>
          <t>WYSOKA</t>
        </is>
      </c>
      <c r="F69" s="10" t="n">
        <v>6</v>
      </c>
      <c r="G69" s="10" t="n">
        <v>11</v>
      </c>
      <c r="H69" s="10" t="inlineStr">
        <is>
          <t>Faza 2 — Odzyskanie funkcji-widm i luki pierwszego tygodnia</t>
        </is>
      </c>
      <c r="I69" s="10" t="inlineStr">
        <is>
          <t>2026-11-09</t>
        </is>
      </c>
      <c r="J69" s="10" t="inlineStr">
        <is>
          <t>2026-11-13</t>
        </is>
      </c>
      <c r="K69" s="10" t="inlineStr">
        <is>
          <t>FLAGA</t>
        </is>
      </c>
      <c r="L69" s="11" t="inlineStr">
        <is>
          <t>domains.controller.ts:54</t>
        </is>
      </c>
      <c r="M69" s="11" t="inlineStr">
        <is>
          <t>—</t>
        </is>
      </c>
      <c r="N69" s="11" t="inlineStr">
        <is>
          <t>Wartość domyślna włączona albo check w live-readiness pilnuje konfiguracji — flaga nie może po cichu wyłączyć funkcji.</t>
        </is>
      </c>
      <c r="O69" s="11" t="inlineStr"/>
      <c r="P69" s="10" t="inlineStr">
        <is>
          <t>do zrobienia</t>
        </is>
      </c>
    </row>
    <row r="70">
      <c r="A70" s="10" t="inlineStr">
        <is>
          <t>C-11</t>
        </is>
      </c>
      <c r="B70" s="11" t="inlineStr">
        <is>
          <t>Spakowanie do archiwum</t>
        </is>
      </c>
      <c r="C70" s="10" t="inlineStr">
        <is>
          <t>audyt</t>
        </is>
      </c>
      <c r="D70" s="10" t="inlineStr">
        <is>
          <t>C — Pliki, FTP, SSH, Git</t>
        </is>
      </c>
      <c r="E70" s="10" t="inlineStr">
        <is>
          <t>ŚREDNIA</t>
        </is>
      </c>
      <c r="F70" s="10" t="n">
        <v>6</v>
      </c>
      <c r="G70" s="10" t="n">
        <v>11</v>
      </c>
      <c r="H70" s="10" t="inlineStr">
        <is>
          <t>Faza 2 — Odzyskanie funkcji-widm i luki pierwszego tygodnia</t>
        </is>
      </c>
      <c r="I70" s="10" t="inlineStr">
        <is>
          <t>2026-11-09</t>
        </is>
      </c>
      <c r="J70" s="10" t="inlineStr">
        <is>
          <t>2026-11-13</t>
        </is>
      </c>
      <c r="K70" s="10" t="inlineStr">
        <is>
          <t>BRAK</t>
        </is>
      </c>
      <c r="L70" s="11" t="inlineStr">
        <is>
          <t>files.service.ts:320 — tylko extract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standard we wszystkich panelach</t>
        </is>
      </c>
      <c r="P70" s="10" t="inlineStr">
        <is>
          <t>do zrobienia</t>
        </is>
      </c>
    </row>
    <row r="71">
      <c r="A71" s="10" t="inlineStr">
        <is>
          <t>NODE-03</t>
        </is>
      </c>
      <c r="B71" s="11" t="inlineStr">
        <is>
          <t>Pojemność węzła nigdy się nie odświeża</t>
        </is>
      </c>
      <c r="C71" s="10" t="inlineStr">
        <is>
          <t>audyt</t>
        </is>
      </c>
      <c r="D71" s="10" t="inlineStr">
        <is>
          <t>Q — Przewaga</t>
        </is>
      </c>
      <c r="E71" s="10" t="inlineStr">
        <is>
          <t>ŚREDNIA</t>
        </is>
      </c>
      <c r="F71" s="10" t="n">
        <v>6</v>
      </c>
      <c r="G71" s="10" t="n">
        <v>11</v>
      </c>
      <c r="H71" s="10" t="inlineStr">
        <is>
          <t>Faza 2 — Odzyskanie funkcji-widm i luki pierwszego tygodnia</t>
        </is>
      </c>
      <c r="I71" s="10" t="inlineStr">
        <is>
          <t>2026-11-09</t>
        </is>
      </c>
      <c r="J71" s="10" t="inlineStr">
        <is>
          <t>2026-11-13</t>
        </is>
      </c>
      <c r="K71" s="10" t="inlineStr">
        <is>
          <t>BRAK</t>
        </is>
      </c>
      <c r="L71" s="11" t="inlineStr">
        <is>
          <t>`schema.prisma:454` wobec `telemetry.service.ts:48-72`</t>
        </is>
      </c>
      <c r="M71" s="11" t="inlineStr">
        <is>
          <t>—</t>
        </is>
      </c>
      <c r="N71" s="11" t="inlineStr">
        <is>
          <t>Funkcja dostępna z panelu klienta bez wychodzenia do DirectAdmina; test uruchamiany w CI.</t>
        </is>
      </c>
      <c r="O71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71" s="10" t="inlineStr">
        <is>
          <t>do zrobienia</t>
        </is>
      </c>
    </row>
    <row r="72">
      <c r="A72" s="10" t="inlineStr">
        <is>
          <t>PB-08</t>
        </is>
      </c>
      <c r="B72" s="11" t="inlineStr">
        <is>
          <t>Pomiar: Consent Mode v2 + GTM + dedup event_id</t>
        </is>
      </c>
      <c r="C72" s="10" t="inlineStr">
        <is>
          <t>poza audytem</t>
        </is>
      </c>
      <c r="D72" s="10" t="inlineStr">
        <is>
          <t>Praca spoza audytu</t>
        </is>
      </c>
      <c r="E72" s="10" t="inlineStr">
        <is>
          <t>ŚREDNI</t>
        </is>
      </c>
      <c r="F72" s="10" t="n">
        <v>16</v>
      </c>
      <c r="G72" s="10" t="n">
        <v>11</v>
      </c>
      <c r="H72" s="10" t="inlineStr">
        <is>
          <t>Faza 2 — Odzyskanie funkcji-widm i luki pierwszego tygodnia</t>
        </is>
      </c>
      <c r="I72" s="10" t="inlineStr">
        <is>
          <t>2026-11-09</t>
        </is>
      </c>
      <c r="J72" s="10" t="inlineStr">
        <is>
          <t>2026-11-13</t>
        </is>
      </c>
      <c r="K72" s="10" t="inlineStr">
        <is>
          <t>—</t>
        </is>
      </c>
      <c r="L72" s="11" t="inlineStr">
        <is>
          <t>—</t>
        </is>
      </c>
      <c r="M72" s="11" t="inlineStr">
        <is>
          <t>—</t>
        </is>
      </c>
      <c r="N72" s="11" t="inlineStr">
        <is>
          <t>Zdarzenie zakupu dociera raz, nie dwa. Consent Mode nie blokuje pomiaru po zgodzie. Zweryfikowane w GTM Preview i w raporcie.</t>
        </is>
      </c>
      <c r="O72" s="11" t="inlineStr">
        <is>
          <t>Wdrożenie ustaleń z audytu pomiaru: www linkuje, panel działa, deduplikacja po event_id, cookie Domain=.verris.pl.</t>
        </is>
      </c>
      <c r="P72" s="10" t="inlineStr">
        <is>
          <t>do zrobienia</t>
        </is>
      </c>
    </row>
    <row r="73">
      <c r="A73" s="10" t="inlineStr">
        <is>
          <t>X-41</t>
        </is>
      </c>
      <c r="B73" s="11" t="inlineStr">
        <is>
          <t>Hardening egressu wisi w łańcuchu OUTPUT, a ruch kontenerów idzie przez FORWARD</t>
        </is>
      </c>
      <c r="C73" s="10" t="inlineStr">
        <is>
          <t>audyt</t>
        </is>
      </c>
      <c r="D73" s="10" t="inlineStr">
        <is>
          <t>X — Infrastruktura jakości</t>
        </is>
      </c>
      <c r="E73" s="10" t="inlineStr">
        <is>
          <t>WYSOKA</t>
        </is>
      </c>
      <c r="F73" s="10" t="n">
        <v>16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CZĘŚCIOWE</t>
        </is>
      </c>
      <c r="L73" s="11" t="inlineStr">
        <is>
          <t>obserwacja wpięta w DOCKER-USER, 1674 pakiety zliczone, 0 DROP/REJECT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3" s="10" t="inlineStr">
        <is>
          <t>do zrobienia</t>
        </is>
      </c>
    </row>
    <row r="74">
      <c r="A74" s="10" t="inlineStr">
        <is>
          <t>SEC-03</t>
        </is>
      </c>
      <c r="B74" s="11" t="inlineStr">
        <is>
          <t>Ruch poza TCP/80 i TCP/443 — DNS (UDP/53), SMTP — nie jest objęty ani obserwacją z X-41, ani trybem strict</t>
        </is>
      </c>
      <c r="C74" s="10" t="inlineStr">
        <is>
          <t>audyt</t>
        </is>
      </c>
      <c r="D74" s="10" t="inlineStr">
        <is>
          <t>G — SSL i bezpieczeństwo</t>
        </is>
      </c>
      <c r="E74" s="10" t="inlineStr">
        <is>
          <t>WYSOKA</t>
        </is>
      </c>
      <c r="F74" s="10" t="n">
        <v>16</v>
      </c>
      <c r="G74" s="10" t="n">
        <v>12</v>
      </c>
      <c r="H74" s="10" t="inlineStr">
        <is>
          <t>Faza 2 — Odzyskanie funkcji-widm i luki pierwszego tygodnia</t>
        </is>
      </c>
      <c r="I74" s="10" t="inlineStr">
        <is>
          <t>2026-11-16</t>
        </is>
      </c>
      <c r="J74" s="10" t="inlineStr">
        <is>
          <t>2026-11-20</t>
        </is>
      </c>
      <c r="K74" s="10" t="inlineStr">
        <is>
          <t>BRAK</t>
        </is>
      </c>
      <c r="L74" s="11" t="inlineStr">
        <is>
          <t>zakres reguł w `security-control-plane-egress.sh`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4" s="10" t="inlineStr">
        <is>
          <t>do zrobienia</t>
        </is>
      </c>
    </row>
    <row r="75">
      <c r="A75" s="10" t="inlineStr">
        <is>
          <t>SEC-05</t>
        </is>
      </c>
      <c r="B75" s="11" t="inlineStr">
        <is>
          <t>Log egressu jest próbką, nie zapisem</t>
        </is>
      </c>
      <c r="C75" s="10" t="inlineStr">
        <is>
          <t>audyt</t>
        </is>
      </c>
      <c r="D75" s="10" t="inlineStr">
        <is>
          <t>G — SSL i bezpieczeństwo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DZIAŁA</t>
        </is>
      </c>
      <c r="L75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5" s="11" t="inlineStr">
        <is>
          <t>—</t>
        </is>
      </c>
      <c r="N75" s="11" t="inlineStr">
        <is>
          <t>Funkcja dostępna z panelu klienta bez wychodzenia do DirectAdmina; test uruchamiany w CI.</t>
        </is>
      </c>
      <c r="O75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5" s="10" t="inlineStr">
        <is>
          <t>do zrobienia</t>
        </is>
      </c>
    </row>
    <row r="76">
      <c r="A76" s="10" t="inlineStr">
        <is>
          <t>SEC-04</t>
        </is>
      </c>
      <c r="B76" s="11" t="inlineStr">
        <is>
          <t>Host rozmawia z kontenerami przez OUTPUT — ruch wewnętrzny liczony jako egress</t>
        </is>
      </c>
      <c r="C76" s="10" t="inlineStr">
        <is>
          <t>audyt</t>
        </is>
      </c>
      <c r="D76" s="10" t="inlineStr">
        <is>
          <t>G — SSL i bezpieczeństwo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CZĘŚCIOWE</t>
        </is>
      </c>
      <c r="L76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76" s="10" t="inlineStr">
        <is>
          <t>do zrobienia</t>
        </is>
      </c>
    </row>
    <row r="77">
      <c r="A77" s="10" t="inlineStr">
        <is>
          <t>SEC-01</t>
        </is>
      </c>
      <c r="B77" s="11" t="inlineStr">
        <is>
          <t>Tryb `--strict` jest atrapą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CZĘŚCIOWE</t>
        </is>
      </c>
      <c r="L77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77" s="10" t="inlineStr">
        <is>
          <t>do zrobienia</t>
        </is>
      </c>
    </row>
    <row r="78">
      <c r="A78" s="10" t="inlineStr">
        <is>
          <t>SEC-06</t>
        </is>
      </c>
      <c r="B78" s="11" t="inlineStr">
        <is>
          <t>Allowlista pokrywa to, o czym ktoś pomyślał, nie to, co host robi</t>
        </is>
      </c>
      <c r="C78" s="10" t="inlineStr">
        <is>
          <t>audyt</t>
        </is>
      </c>
      <c r="D78" s="10" t="inlineStr">
        <is>
          <t>G — SSL i bezpieczeństwo</t>
        </is>
      </c>
      <c r="E78" s="10" t="inlineStr">
        <is>
          <t>WYSOKA</t>
        </is>
      </c>
      <c r="F78" s="10" t="n">
        <v>16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BRAK</t>
        </is>
      </c>
      <c r="L78" s="11" t="inlineStr">
        <is>
          <t>ipset test verris_egress_https na 4 celach z logu egressu</t>
        </is>
      </c>
      <c r="M78" s="11" t="inlineStr">
        <is>
          <t>—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78" s="10" t="inlineStr">
        <is>
          <t>do zrobienia</t>
        </is>
      </c>
    </row>
    <row r="79">
      <c r="A79" s="10" t="inlineStr">
        <is>
          <t>SEC-02</t>
        </is>
      </c>
      <c r="B79" s="11" t="inlineStr">
        <is>
          <t>Stripe jest w allowliście wyłącznie po nazwie, a ipset powstaje z rozwiązania nazw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ŚREDNIA</t>
        </is>
      </c>
      <c r="F79" s="10" t="n">
        <v>6</v>
      </c>
      <c r="G79" s="10" t="n">
        <v>13</v>
      </c>
      <c r="H79" s="10" t="inlineStr">
        <is>
          <t>Faza 2 — Odzyskanie funkcji-widm i luki pierwszego tygodnia</t>
        </is>
      </c>
      <c r="I79" s="10" t="inlineStr">
        <is>
          <t>2026-11-23</t>
        </is>
      </c>
      <c r="J79" s="10" t="inlineStr">
        <is>
          <t>2026-11-27</t>
        </is>
      </c>
      <c r="K79" s="10" t="inlineStr">
        <is>
          <t>BRAK</t>
        </is>
      </c>
      <c r="L79" s="11" t="inlineStr">
        <is>
          <t>`egress-allow-hostnames.txt`; ipset `verris_egress_https` = 65 wpisów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79" s="10" t="inlineStr">
        <is>
          <t>do zrobienia</t>
        </is>
      </c>
    </row>
    <row r="80">
      <c r="A80" s="10" t="inlineStr">
        <is>
          <t>P-15</t>
        </is>
      </c>
      <c r="B80" s="11" t="inlineStr">
        <is>
          <t>Podpisane DPA z subprocesorami (część)</t>
        </is>
      </c>
      <c r="C80" s="10" t="inlineStr">
        <is>
          <t>audyt</t>
        </is>
      </c>
      <c r="D80" s="10" t="inlineStr">
        <is>
          <t>P — Zgodność</t>
        </is>
      </c>
      <c r="E80" s="10" t="inlineStr">
        <is>
          <t>BLOKER STARTU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0" s="11" t="inlineStr">
        <is>
          <t>—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0" s="10" t="inlineStr">
        <is>
          <t>do zrobienia</t>
        </is>
      </c>
    </row>
    <row r="81">
      <c r="A81" s="10" t="inlineStr">
        <is>
          <t>PB-03</t>
        </is>
      </c>
      <c r="B81" s="11" t="inlineStr">
        <is>
          <t>Finalizacja dokumentów prawnych 1.0.0</t>
        </is>
      </c>
      <c r="C81" s="10" t="inlineStr">
        <is>
          <t>poza audytem</t>
        </is>
      </c>
      <c r="D81" s="10" t="inlineStr">
        <is>
          <t>Praca spoza audytu</t>
        </is>
      </c>
      <c r="E81" s="10" t="inlineStr">
        <is>
          <t>BLOKER BIZNESOWY</t>
        </is>
      </c>
      <c r="F81" s="10" t="n">
        <v>16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—</t>
        </is>
      </c>
      <c r="L81" s="11" t="inlineStr">
        <is>
          <t>—</t>
        </is>
      </c>
      <c r="M81" s="11" t="inlineStr">
        <is>
          <t>—</t>
        </is>
      </c>
      <c r="N81" s="11" t="inlineStr">
        <is>
          <t>Wszystkie dokumenty w statusie opublikowanym z numerem wersji i datą. Panel /legal nie pokazuje ani jednego „Dokument w przygotowaniu”.</t>
        </is>
      </c>
      <c r="O81" s="11" t="inlineStr">
        <is>
          <t>Regulamin, polityka prywatności, SLA, DPA, polityka cookies — wyjście z DRAFT-u, wersjonowanie i publikacja w panelu.</t>
        </is>
      </c>
      <c r="P81" s="10" t="inlineStr">
        <is>
          <t>do zrobienia</t>
        </is>
      </c>
    </row>
    <row r="82">
      <c r="A82" s="10" t="inlineStr">
        <is>
          <t>PB-04</t>
        </is>
      </c>
      <c r="B82" s="11" t="inlineStr">
        <is>
          <t>Procedura obsługi nadużyć (abuse) — dokument</t>
        </is>
      </c>
      <c r="C82" s="10" t="inlineStr">
        <is>
          <t>poza audytem</t>
        </is>
      </c>
      <c r="D82" s="10" t="inlineStr">
        <is>
          <t>Praca spoza audytu</t>
        </is>
      </c>
      <c r="E82" s="10" t="inlineStr">
        <is>
          <t>WYSOKI</t>
        </is>
      </c>
      <c r="F82" s="10" t="n">
        <v>8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—</t>
        </is>
      </c>
      <c r="L82" s="11" t="inlineStr">
        <is>
          <t>—</t>
        </is>
      </c>
      <c r="M82" s="11" t="inlineStr">
        <is>
          <t>—</t>
        </is>
      </c>
      <c r="N82" s="11" t="inlineStr">
        <is>
          <t>Dokument w ops/docs z właścicielem i czasami reakcji. Test: zgłoszenie wysłane na abuse@ trafia do kogoś i ma odpowiedź w deklarowanym czasie.</t>
        </is>
      </c>
      <c r="O82" s="11" t="inlineStr">
        <is>
          <t>Adres abuse@ obsługiwany, ścieżka od zgłoszenia do reakcji, czasy reakcji, kto decyduje o zawieszeniu, wzory odpowiedzi do CERT i rejestratorów.</t>
        </is>
      </c>
      <c r="P82" s="10" t="inlineStr">
        <is>
          <t>do zrobienia</t>
        </is>
      </c>
    </row>
    <row r="83">
      <c r="A83" s="10" t="inlineStr">
        <is>
          <t>N-16</t>
        </is>
      </c>
      <c r="B83" s="11" t="inlineStr">
        <is>
          <t>SLA z zapisanymi kredytami</t>
        </is>
      </c>
      <c r="C83" s="10" t="inlineStr">
        <is>
          <t>audyt</t>
        </is>
      </c>
      <c r="D83" s="10" t="inlineStr">
        <is>
          <t>N — Wsparcie i ops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sla-credit.scheduler.ts:79 — if (!policy.enabled) return; SLA_CREDITS_ENABLED default '0' (platform-settings.keys.ts:116)</t>
        </is>
      </c>
      <c r="M83" s="11" t="inlineStr">
        <is>
          <t>PB-03 (kredyty SLA muszą być zgodne z opublikowanym regulaminem)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3" s="10" t="inlineStr">
        <is>
          <t>do zrobienia</t>
        </is>
      </c>
    </row>
    <row r="84">
      <c r="A84" s="10" t="inlineStr">
        <is>
          <t>PB-07</t>
        </is>
      </c>
      <c r="B84" s="11" t="inlineStr">
        <is>
          <t>Treści i cennik na verris.pl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WYSOKI</t>
        </is>
      </c>
      <c r="F84" s="10" t="n">
        <v>16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PB-01 (cennik zależy od unit economics)</t>
        </is>
      </c>
      <c r="N84" s="11" t="inlineStr">
        <is>
          <t>Cennik zgodny z wynikiem PB-01. Specyfikacja techniczna publiczna, jak u cyber_Folks — to jest element zaufania, którego rynek oczekuje.</t>
        </is>
      </c>
      <c r="O84" s="11" t="inlineStr">
        <is>
          <t>Strona główna, cennik, specyfikacja techniczna pakietu, strona SLA. Narracja: cena stała, bez skoku po roku.</t>
        </is>
      </c>
      <c r="P84" s="10" t="inlineStr">
        <is>
          <t>do zrobienia</t>
        </is>
      </c>
    </row>
    <row r="85">
      <c r="A85" s="10" t="inlineStr">
        <is>
          <t>PB-11</t>
        </is>
      </c>
      <c r="B85" s="11" t="inlineStr">
        <is>
          <t>Bus factor: drugi kanał alertów i procedura zastępstwa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WYSOKI</t>
        </is>
      </c>
      <c r="F85" s="10" t="n">
        <v>8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Alert testowy dociera dwoma kanałami. Dokument zastępstwa zawiera dostęp awaryjny i listę rzeczy, które muszą się dziać codziennie.</t>
        </is>
      </c>
      <c r="O85" s="11" t="inlineStr">
        <is>
          <t>Alerty na więcej niż jeden adres, przetestowane. Dokument: co robi ktoś inny, gdy Ciebie nie ma przez tydzień.</t>
        </is>
      </c>
      <c r="P85" s="10" t="inlineStr">
        <is>
          <t>do zrobienia</t>
        </is>
      </c>
    </row>
    <row r="86">
      <c r="A86" s="10" t="inlineStr">
        <is>
          <t>PB-06</t>
        </is>
      </c>
      <c r="B86" s="11" t="inlineStr">
        <is>
          <t>Landing /przenies-strone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WYSOKI</t>
        </is>
      </c>
      <c r="F86" s="10" t="n">
        <v>16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PB-07 (landing korzysta z ustalonego cennika)</t>
        </is>
      </c>
      <c r="N86" s="11" t="inlineStr">
        <is>
          <t>Strona opublikowana, pomiar działa, formularz i CTA prowadzą do rejestracji. Żadne twierdzenie na stronie nie jest oznaczone w macierzy jako LUKA lub ATRAPA.</t>
        </is>
      </c>
      <c r="O86" s="11" t="inlineStr">
        <is>
          <t>Strona docelowa kampanii Google Ads na osi migracji. Treść oparta na realnych przewagach z audytu, nie na obietnicach.</t>
        </is>
      </c>
      <c r="P86" s="10" t="inlineStr">
        <is>
          <t>do zrobienia</t>
        </is>
      </c>
    </row>
    <row r="87">
      <c r="A87" s="10" t="inlineStr">
        <is>
          <t>PB-09</t>
        </is>
      </c>
      <c r="B87" s="11" t="inlineStr">
        <is>
          <t>Baza wiedzy — 20 artykułów startowych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ŚREDNI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20 artykułów opublikowanych i zaindeksowanych do asystenta AI. Każdy opisuje funkcję, która w macierzy ma status DZIAŁA.</t>
        </is>
      </c>
      <c r="O87" s="11" t="inlineStr">
        <is>
          <t>Artykuły pokrywające najczęstsze pytania pierwszego tygodnia: skierowanie domeny, SSL, poczta, FTP, backup, migracja, faktury.</t>
        </is>
      </c>
      <c r="P87" s="10" t="inlineStr">
        <is>
          <t>do zrobienia</t>
        </is>
      </c>
    </row>
    <row r="88">
      <c r="A88" s="10" t="inlineStr">
        <is>
          <t>PB-10</t>
        </is>
      </c>
      <c r="B88" s="11" t="inlineStr">
        <is>
          <t>Kampania gads-search-hosting-202607 — uruchomienie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ŚREDNI</t>
        </is>
      </c>
      <c r="F88" s="10" t="n">
        <v>8</v>
      </c>
      <c r="G88" s="10" t="n">
        <v>17</v>
      </c>
      <c r="H88" s="10" t="inlineStr">
        <is>
          <t>Faza 3 — Wejście na rynek</t>
        </is>
      </c>
      <c r="I88" s="10" t="inlineStr">
        <is>
          <t>2026-12-21</t>
        </is>
      </c>
      <c r="J88" s="10" t="inlineStr">
        <is>
          <t>2026-12-25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PB-06 (kampania kieruje na landing)</t>
        </is>
      </c>
      <c r="N88" s="11" t="inlineStr">
        <is>
          <t>Kampania utworzona wstrzymana, konwersje podpięte, budżet i stawki ustawione. Start dopiero po PB-05.</t>
        </is>
      </c>
      <c r="O88" s="11" t="inlineStr">
        <is>
          <t>Konfiguracja kampanii wyszukiwarkowej, budżet 500–1000 zł/mies., oś przekazu: migracja bez przestoju.</t>
        </is>
      </c>
      <c r="P88" s="10" t="inlineStr">
        <is>
          <t>do zrobienia</t>
        </is>
      </c>
    </row>
    <row r="89">
      <c r="A89" s="10" t="inlineStr">
        <is>
          <t>Z-18</t>
        </is>
      </c>
      <c r="B89" s="11" t="inlineStr">
        <is>
          <t>Prawdziwa przyczyna błędu provisioningu nie ginie po drodze (część)</t>
        </is>
      </c>
      <c r="C89" s="10" t="inlineStr">
        <is>
          <t>audyt</t>
        </is>
      </c>
      <c r="D89" s="10" t="inlineStr">
        <is>
          <t>Z — Pass adwersaryjny</t>
        </is>
      </c>
      <c r="E89" s="10" t="inlineStr">
        <is>
          <t>BLOKER STARTU</t>
        </is>
      </c>
      <c r="F89" s="10" t="n">
        <v>2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CZĘŚCIOWE</t>
        </is>
      </c>
      <c r="L8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89" s="11" t="inlineStr">
        <is>
          <t>—</t>
        </is>
      </c>
      <c r="N89" s="11" t="inlineStr">
        <is>
          <t>Ograniczenie opisane w uwagach macierzy zniknęło; test potwierdza zachowanie także w scenariuszu awaryjnym.</t>
        </is>
      </c>
      <c r="O8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89" s="10" t="inlineStr">
        <is>
          <t>do zrobienia</t>
        </is>
      </c>
    </row>
    <row r="90">
      <c r="A90" s="10" t="inlineStr">
        <is>
          <t>NODE-02</t>
        </is>
      </c>
      <c r="B90" s="11" t="inlineStr">
        <is>
          <t>`main()` nie sprawdza kodów powrotu</t>
        </is>
      </c>
      <c r="C90" s="10" t="inlineStr">
        <is>
          <t>audyt</t>
        </is>
      </c>
      <c r="D90" s="10" t="inlineStr">
        <is>
          <t>Q — Przewaga</t>
        </is>
      </c>
      <c r="E90" s="10" t="inlineStr">
        <is>
          <t>WYSOKA</t>
        </is>
      </c>
      <c r="F90" s="10" t="n">
        <v>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CZĘŚCIOWE</t>
        </is>
      </c>
      <c r="L90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0" s="11" t="inlineStr">
        <is>
          <t>—</t>
        </is>
      </c>
      <c r="N90" s="11" t="inlineStr">
        <is>
          <t>Ograniczenie opisane w uwagach macierzy zniknęło; test potwierdza zachowanie także w scenariuszu awaryjnym.</t>
        </is>
      </c>
      <c r="O90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0" s="10" t="inlineStr">
        <is>
          <t>do zrobienia</t>
        </is>
      </c>
    </row>
    <row r="91">
      <c r="A91" s="10" t="inlineStr">
        <is>
          <t>J-01</t>
        </is>
      </c>
      <c r="B91" s="11" t="inlineStr">
        <is>
          <t>LiteSpeed / serwer o wysokiej wydajności</t>
        </is>
      </c>
      <c r="C91" s="10" t="inlineStr">
        <is>
          <t>audyt</t>
        </is>
      </c>
      <c r="D91" s="10" t="inlineStr">
        <is>
          <t>J — Wydajność i cache</t>
        </is>
      </c>
      <c r="E91" s="10" t="inlineStr">
        <is>
          <t>WYSOKA</t>
        </is>
      </c>
      <c r="F91" s="10" t="n">
        <v>6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b.d.</t>
        </is>
      </c>
      <c r="L91" s="11" t="inlineStr">
        <is>
          <t>decyzja infrastrukturalna, poza kodem panelu</t>
        </is>
      </c>
      <c r="M91" s="11" t="inlineStr">
        <is>
          <t>—</t>
        </is>
      </c>
      <c r="N91" s="11" t="inlineStr">
        <is>
          <t>Stan zweryfikowany na produkcji z timestampem (poziom D3), wynik zapisany w repo.</t>
        </is>
      </c>
      <c r="O91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1" s="10" t="inlineStr">
        <is>
          <t>do zrobienia</t>
        </is>
      </c>
    </row>
    <row r="92">
      <c r="A92" s="10" t="inlineStr">
        <is>
          <t>J-04</t>
        </is>
      </c>
      <c r="B92" s="11" t="inlineStr">
        <is>
          <t>HTTP/3</t>
        </is>
      </c>
      <c r="C92" s="10" t="inlineStr">
        <is>
          <t>audyt</t>
        </is>
      </c>
      <c r="D92" s="10" t="inlineStr">
        <is>
          <t>J — Wydajność i cache</t>
        </is>
      </c>
      <c r="E92" s="10" t="inlineStr">
        <is>
          <t>ŚREDNIA</t>
        </is>
      </c>
      <c r="F92" s="10" t="n">
        <v>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b.d.</t>
        </is>
      </c>
      <c r="L92" s="11" t="inlineStr">
        <is>
          <t>poza kodem panelu</t>
        </is>
      </c>
      <c r="M92" s="11" t="inlineStr">
        <is>
          <t>—</t>
        </is>
      </c>
      <c r="N92" s="11" t="inlineStr">
        <is>
          <t>Stan zweryfikowany na produkcji z timestampem (poziom D3), wynik zapisany w repo.</t>
        </is>
      </c>
      <c r="O92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2" s="10" t="inlineStr">
        <is>
          <t>do zrobienia</t>
        </is>
      </c>
    </row>
    <row r="93">
      <c r="A93" s="10" t="inlineStr">
        <is>
          <t>PB-02</t>
        </is>
      </c>
      <c r="B93" s="11" t="inlineStr">
        <is>
          <t>Onboarding produkcyjnego węzła #1 (Hetzner AX102)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Węzeł przechodzi wszystkie 14 checków live-readiness. /etc/verris-backup.conf istnieje, pierwszy backup off-site wykonany i zaraportowany do control-plane.</t>
        </is>
      </c>
      <c r="O93" s="11" t="inlineStr">
        <is>
          <t>Pełny przebieg node-onboard-live.sh na docelowym serwerze, z konfiguracją backupu off-site jako krokiem obowiązkowym.</t>
        </is>
      </c>
      <c r="P93" s="10" t="inlineStr">
        <is>
          <t>do zrobienia</t>
        </is>
      </c>
    </row>
    <row r="94">
      <c r="A94" s="10" t="inlineStr">
        <is>
          <t>PB-05</t>
        </is>
      </c>
      <c r="B94" s="11" t="inlineStr">
        <is>
          <t>Test end-to-end „pierwszy klient”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BLOKER BIZNESOWY</t>
        </is>
      </c>
      <c r="F94" s="10" t="n">
        <v>16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wszystkie blokery zamknięte (sprint 8)</t>
        </is>
      </c>
      <c r="N94" s="11" t="inlineStr">
        <is>
          <t>Zapisany przebieg z timestampami dla każdego kroku — to jest dowód poziomu D3, jedyny w całym projekcie. Każdy nieudany krok wraca do backlogu jako bloker.</t>
        </is>
      </c>
      <c r="O94" s="11" t="inlineStr">
        <is>
          <t>Przejście całej ścieżki na produkcji jako realny klient: rejestracja, zakup, płatność, provisioning, migracja strony, wystawienie faktury, KSeF, backup, odtworzenie.</t>
        </is>
      </c>
      <c r="P94" s="10" t="inlineStr">
        <is>
          <t>do zrobienia</t>
        </is>
      </c>
    </row>
    <row r="95">
      <c r="A95" s="10" t="inlineStr">
        <is>
          <t>PB-12</t>
        </is>
      </c>
      <c r="B95" s="11" t="inlineStr">
        <is>
          <t>Runbook startu i decyzja GO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8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PB-05 (decyzja GO po przejściu ścieżki na produkcji)</t>
        </is>
      </c>
      <c r="N95" s="11" t="inlineStr">
        <is>
          <t>Każdy z 11 blokerów ma wpis: co zrobiono, gdzie jest dowód, kto potwierdził. Bez formuły „warunkowe GO”.</t>
        </is>
      </c>
      <c r="O95" s="11" t="inlineStr">
        <is>
          <t>Domknięcie: przegląd wszystkich blokerów z dowodem zamknięcia, decyzja GO/NO-GO zapisana z datą.</t>
        </is>
      </c>
      <c r="P95" s="10" t="inlineStr">
        <is>
          <t>do zrobienia</t>
        </is>
      </c>
    </row>
  </sheetData>
  <autoFilter ref="A1:P95"/>
  <conditionalFormatting sqref="E2:E9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startu'!$G$2:$G$95,A2)</f>
        <v/>
      </c>
      <c r="G2" s="10">
        <f>SUMIF('Backlog do startu'!$G$2:$G$95,A2,'Backlog do startu'!$F$2:$F$95)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startu'!$G$2:$G$95,A3)</f>
        <v/>
      </c>
      <c r="G3" s="10">
        <f>SUMIF('Backlog do startu'!$G$2:$G$95,A3,'Backlog do startu'!$F$2:$F$95)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startu'!$G$2:$G$95,A4)</f>
        <v/>
      </c>
      <c r="G4" s="10">
        <f>SUMIF('Backlog do startu'!$G$2:$G$95,A4,'Backlog do startu'!$F$2:$F$95)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startu'!$G$2:$G$95,A5)</f>
        <v/>
      </c>
      <c r="G5" s="10">
        <f>SUMIF('Backlog do startu'!$G$2:$G$95,A5,'Backlog do startu'!$F$2:$F$95)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startu'!$G$2:$G$95,A6)</f>
        <v/>
      </c>
      <c r="G6" s="10">
        <f>SUMIF('Backlog do startu'!$G$2:$G$95,A6,'Backlog do startu'!$F$2:$F$95)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DNS, SSO i PHP</t>
        </is>
      </c>
      <c r="F7" s="10">
        <f>COUNTIF('Backlog do startu'!$G$2:$G$95,A7)</f>
        <v/>
      </c>
      <c r="G7" s="10">
        <f>SUMIF('Backlog do startu'!$G$2:$G$95,A7,'Backlog do startu'!$F$2:$F$95)</f>
        <v/>
      </c>
      <c r="H7" s="10" t="n">
        <v>30</v>
      </c>
      <c r="I7" s="12">
        <f>IFERROR(G7/H7,0)</f>
        <v/>
      </c>
      <c r="J7" s="11" t="inlineStr">
        <is>
          <t>F-01/F-02: trasa hosting-sso-url nie istnieje w API — to nowy endpoint, nie podpiecie istniejacego. J-04 (HTTP/3) przeniesione do bloku wezla (sprint 18) — to weryfikacja na wezle, nie kod.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Poczta: dostarczalnosc i skrzynki</t>
        </is>
      </c>
      <c r="F8" s="10">
        <f>COUNTIF('Backlog do startu'!$G$2:$G$95,A8)</f>
        <v/>
      </c>
      <c r="G8" s="10">
        <f>SUMIF('Backlog do startu'!$G$2:$G$95,A8,'Backlog do startu'!$F$2:$F$95)</f>
        <v/>
      </c>
      <c r="H8" s="10" t="n">
        <v>30</v>
      </c>
      <c r="I8" s="12">
        <f>IFERROR(G8/H8,0)</f>
        <v/>
      </c>
      <c r="J8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Warstwa operatorska: zatrzymywanie szkody</t>
        </is>
      </c>
      <c r="F9" s="10">
        <f>COUNTIF('Backlog do startu'!$G$2:$G$95,A9)</f>
        <v/>
      </c>
      <c r="G9" s="10">
        <f>SUMIF('Backlog do startu'!$G$2:$G$95,A9,'Backlog do startu'!$F$2:$F$95)</f>
        <v/>
      </c>
      <c r="H9" s="10" t="n">
        <v>30</v>
      </c>
      <c r="I9" s="12">
        <f>IFERROR(G9/H9,0)</f>
        <v/>
      </c>
      <c r="J9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Backup i staging</t>
        </is>
      </c>
      <c r="F10" s="10">
        <f>COUNTIF('Backlog do startu'!$G$2:$G$95,A10)</f>
        <v/>
      </c>
      <c r="G10" s="10">
        <f>SUMIF('Backlog do startu'!$G$2:$G$95,A10,'Backlog do startu'!$F$2:$F$95)</f>
        <v/>
      </c>
      <c r="H10" s="10" t="n">
        <v>30</v>
      </c>
      <c r="I10" s="12">
        <f>IFERROR(G10/H10,0)</f>
        <v/>
      </c>
      <c r="J10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Ogony, zaleznosci i dokumenty VOID</t>
        </is>
      </c>
      <c r="F11" s="10">
        <f>COUNTIF('Backlog do startu'!$G$2:$G$95,A11)</f>
        <v/>
      </c>
      <c r="G11" s="10">
        <f>SUMIF('Backlog do startu'!$G$2:$G$95,A11,'Backlog do startu'!$F$2:$F$95)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Rozliczenia klienta i pomiar</t>
        </is>
      </c>
      <c r="F12" s="10">
        <f>COUNTIF('Backlog do startu'!$G$2:$G$95,A12)</f>
        <v/>
      </c>
      <c r="G12" s="10">
        <f>SUMIF('Backlog do startu'!$G$2:$G$95,A12,'Backlog do startu'!$F$2:$F$95)</f>
        <v/>
      </c>
      <c r="H12" s="10" t="n">
        <v>30</v>
      </c>
      <c r="I12" s="12">
        <f>IFERROR(G12/H12,0)</f>
        <v/>
      </c>
      <c r="J12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Egress: pelne pokrycie ruchu (control-plane)</t>
        </is>
      </c>
      <c r="F13" s="10">
        <f>COUNTIF('Backlog do startu'!$G$2:$G$95,A13)</f>
        <v/>
      </c>
      <c r="G13" s="10">
        <f>SUMIF('Backlog do startu'!$G$2:$G$95,A13,'Backlog do startu'!$F$2:$F$95)</f>
        <v/>
      </c>
      <c r="H13" s="10" t="n">
        <v>30</v>
      </c>
      <c r="I13" s="12">
        <f>IFERROR(G13/H13,0)</f>
        <v/>
      </c>
      <c r="J13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Strict egress na control-plane</t>
        </is>
      </c>
      <c r="F14" s="10">
        <f>COUNTIF('Backlog do startu'!$G$2:$G$95,A14)</f>
        <v/>
      </c>
      <c r="G14" s="10">
        <f>SUMIF('Backlog do startu'!$G$2:$G$95,A14,'Backlog do startu'!$F$2:$F$95)</f>
        <v/>
      </c>
      <c r="H14" s="10" t="n">
        <v>30</v>
      </c>
      <c r="I14" s="12">
        <f>IFERROR(G14/H14,0)</f>
        <v/>
      </c>
      <c r="J14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Dokumenty prawne, DPA i naduzycia</t>
        </is>
      </c>
      <c r="F15" s="10">
        <f>COUNTIF('Backlog do startu'!$G$2:$G$95,A15)</f>
        <v/>
      </c>
      <c r="G15" s="10">
        <f>SUMIF('Backlog do startu'!$G$2:$G$95,A15,'Backlog do startu'!$F$2:$F$95)</f>
        <v/>
      </c>
      <c r="H15" s="10" t="n">
        <v>30</v>
      </c>
      <c r="I15" s="12">
        <f>IFERROR(G15/H15,0)</f>
        <v/>
      </c>
      <c r="J15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Cennik, SLA i zastepstwo</t>
        </is>
      </c>
      <c r="F16" s="10">
        <f>COUNTIF('Backlog do startu'!$G$2:$G$95,A16)</f>
        <v/>
      </c>
      <c r="G16" s="10">
        <f>SUMIF('Backlog do startu'!$G$2:$G$95,A16,'Backlog do startu'!$F$2:$F$95)</f>
        <v/>
      </c>
      <c r="H16" s="10" t="n">
        <v>30</v>
      </c>
      <c r="I16" s="12">
        <f>IFERROR(G16/H16,0)</f>
        <v/>
      </c>
      <c r="J16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Landing i baza wiedzy</t>
        </is>
      </c>
      <c r="F17" s="10">
        <f>COUNTIF('Backlog do startu'!$G$2:$G$95,A17)</f>
        <v/>
      </c>
      <c r="G17" s="10">
        <f>SUMIF('Backlog do startu'!$G$2:$G$95,A17,'Backlog do startu'!$F$2:$F$95)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Kampania (wstrzymana)</t>
        </is>
      </c>
      <c r="F18" s="10">
        <f>COUNTIF('Backlog do startu'!$G$2:$G$95,A18)</f>
        <v/>
      </c>
      <c r="G18" s="10">
        <f>SUMIF('Backlog do startu'!$G$2:$G$95,A18,'Backlog do startu'!$F$2:$F$95)</f>
        <v/>
      </c>
      <c r="H18" s="10" t="n">
        <v>30</v>
      </c>
      <c r="I18" s="12">
        <f>IFERROR(G18/H18,0)</f>
        <v/>
      </c>
      <c r="J18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Wezel produkcyjny #1 (Hetzner AX102)</t>
        </is>
      </c>
      <c r="F19" s="10">
        <f>COUNTIF('Backlog do startu'!$G$2:$G$95,A19)</f>
        <v/>
      </c>
      <c r="G19" s="10">
        <f>SUMIF('Backlog do startu'!$G$2:$G$95,A19,'Backlog do startu'!$F$2:$F$95)</f>
        <v/>
      </c>
      <c r="H19" s="10" t="n">
        <v>30</v>
      </c>
      <c r="I19" s="12">
        <f>IFERROR(G19/H19,0)</f>
        <v/>
      </c>
      <c r="J19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Sciezka pierwszego klienta i decyzja GO</t>
        </is>
      </c>
      <c r="F20" s="10">
        <f>COUNTIF('Backlog do startu'!$G$2:$G$95,A20)</f>
        <v/>
      </c>
      <c r="G20" s="10">
        <f>SUMIF('Backlog do startu'!$G$2:$G$95,A20,'Backlog do startu'!$F$2:$F$95)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2026-09-22T10:05:19Z</dcterms:created>
  <dcterms:modified xmlns:dcterms="http://purl.org/dc/terms/" xmlns:xsi="http://www.w3.org/2001/XMLSchema-instance" xsi:type="dcterms:W3CDTF">2026-09-22T10:05:20Z</dcterms:modified>
</cp:coreProperties>
</file>