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startu'!$A$1:$P$107</definedName>
    <definedName name="_xlnm._FilterDatabase" localSheetId="2" hidden="1">'Sprinty'!$A$1:$J$23</definedName>
    <definedName name="_xlnm._FilterDatabase" localSheetId="3" hidden="1">'Po starcie'!$A$1:$K$109</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2026-09-24 z audyt/dane/</t>
        </is>
      </c>
    </row>
    <row r="4">
      <c r="A4" s="3" t="inlineStr">
        <is>
          <t>Kluczowe liczby</t>
        </is>
      </c>
    </row>
    <row r="6">
      <c r="A6" s="4" t="inlineStr">
        <is>
          <t>Zadań w planie</t>
        </is>
      </c>
      <c r="B6" s="5">
        <f>COUNTA('Backlog do startu'!$A$2:$A$107)</f>
        <v/>
      </c>
    </row>
    <row r="7">
      <c r="A7" s="4" t="inlineStr">
        <is>
          <t>Godzin w planie</t>
        </is>
      </c>
      <c r="B7" s="5">
        <f>SUM('Backlog do startu'!$F$2:$F$107)</f>
        <v/>
      </c>
    </row>
    <row r="8">
      <c r="A8" s="4" t="inlineStr">
        <is>
          <t>Pojemność</t>
        </is>
      </c>
      <c r="B8" s="5" t="n">
        <v>660</v>
      </c>
    </row>
    <row r="9">
      <c r="A9" s="4" t="inlineStr">
        <is>
          <t>Zapas</t>
        </is>
      </c>
      <c r="B9" s="5">
        <f>B7-B6</f>
        <v/>
      </c>
    </row>
    <row r="10">
      <c r="A10" s="6" t="inlineStr">
        <is>
          <t>Blokerów</t>
        </is>
      </c>
      <c r="B10" s="7">
        <f>COUNTIF('Backlog do startu'!$E$2:$E$107,"BLOKER STARTU")+COUNTIF('Backlog do startu'!$E$2:$E$107,"BLOKER BIZNESOWY")</f>
        <v/>
      </c>
    </row>
    <row r="11">
      <c r="A11" s="4" t="inlineStr">
        <is>
          <t>Zadań zrobionych</t>
        </is>
      </c>
      <c r="B11" s="5">
        <f>COUNTIF('Backlog do startu'!$P$2:$P$107,"zrobione")</f>
        <v/>
      </c>
    </row>
    <row r="12">
      <c r="A12" s="4" t="inlineStr">
        <is>
          <t>Godzin zrobionych</t>
        </is>
      </c>
      <c r="B12" s="5">
        <f>SUMIF('Backlog do startu'!$P$2:$P$107,"zrobione",'Backlog do startu'!$F$2:$F$107)</f>
        <v/>
      </c>
    </row>
    <row r="13">
      <c r="A13" s="4" t="inlineStr">
        <is>
          <t>Postęp</t>
        </is>
      </c>
      <c r="B13" s="8">
        <f>IFERROR(B12/B6,0)</f>
        <v/>
      </c>
    </row>
    <row r="15">
      <c r="A15" s="3" t="inlineStr">
        <is>
          <t>Praca poza planem sprintów</t>
        </is>
      </c>
    </row>
    <row r="16">
      <c r="A16" s="4" t="inlineStr">
        <is>
          <t>Pozycji w roadmapie po starcie</t>
        </is>
      </c>
      <c r="B16" s="5" t="n">
        <v>108</v>
      </c>
    </row>
    <row r="17">
      <c r="A17" s="4" t="inlineStr">
        <is>
          <t>Godzin</t>
        </is>
      </c>
      <c r="B17" s="5" t="n">
        <v>1982</v>
      </c>
    </row>
    <row r="18">
      <c r="A18" s="4" t="inlineStr">
        <is>
          <t>Sprintów po tyle godzin</t>
        </is>
      </c>
      <c r="B18" s="5" t="n">
        <v>66.09999999999999</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PB-25</t>
        </is>
      </c>
      <c r="B95" s="11" t="inlineStr">
        <is>
          <t>White label na węźle — klient nie widzi DirectAdmina</t>
        </is>
      </c>
      <c r="C95" s="10" t="inlineStr">
        <is>
          <t>poza audytem</t>
        </is>
      </c>
      <c r="D95" s="10" t="inlineStr">
        <is>
          <t>Praca spoza audytu</t>
        </is>
      </c>
      <c r="E95" s="10" t="inlineStr">
        <is>
          <t>WYSOKI</t>
        </is>
      </c>
      <c r="F95" s="10" t="n">
        <v>8</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Na węźle #1: logowanie do panelu hostingowego, phpMyAdmin i webmaila z panelu klienta nie pokazuje nazwy ani portu DirectAdmina; nowa domena i konto zawieszone pokazują strony Verris; zrzuty w dowodzie.</t>
        </is>
      </c>
      <c r="O95"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5" s="10" t="inlineStr">
        <is>
          <t>do zrobienia</t>
        </is>
      </c>
    </row>
    <row r="96">
      <c r="A96" s="10" t="inlineStr">
        <is>
          <t>PB-06</t>
        </is>
      </c>
      <c r="B96" s="11" t="inlineStr">
        <is>
          <t>Landing /przenies-strone</t>
        </is>
      </c>
      <c r="C96" s="10" t="inlineStr">
        <is>
          <t>poza audytem</t>
        </is>
      </c>
      <c r="D96" s="10" t="inlineStr">
        <is>
          <t>Praca spoza audytu</t>
        </is>
      </c>
      <c r="E96" s="10" t="inlineStr">
        <is>
          <t>WYSOKI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PB-07 (landing korzysta z ustalonego cennika)</t>
        </is>
      </c>
      <c r="N96" s="11" t="inlineStr">
        <is>
          <t>Strona opublikowana, pomiar działa, formularz i CTA prowadzą do rejestracji. Żadne twierdzenie na stronie nie jest oznaczone w macierzy jako LUKA lub ATRAPA.</t>
        </is>
      </c>
      <c r="O96" s="11" t="inlineStr">
        <is>
          <t>Strona docelowa kampanii Google Ads na osi migracji. Treść oparta na realnych przewagach z audytu, nie na obietnicach.</t>
        </is>
      </c>
      <c r="P96" s="10" t="inlineStr">
        <is>
          <t>do zrobienia</t>
        </is>
      </c>
    </row>
    <row r="97">
      <c r="A97" s="10" t="inlineStr">
        <is>
          <t>PB-09</t>
        </is>
      </c>
      <c r="B97" s="11" t="inlineStr">
        <is>
          <t>Baza wiedzy — 20 artykułów startowych</t>
        </is>
      </c>
      <c r="C97" s="10" t="inlineStr">
        <is>
          <t>poza audytem</t>
        </is>
      </c>
      <c r="D97" s="10" t="inlineStr">
        <is>
          <t>Praca spoza audytu</t>
        </is>
      </c>
      <c r="E97" s="10" t="inlineStr">
        <is>
          <t>ŚREDNI</t>
        </is>
      </c>
      <c r="F97" s="10" t="n">
        <v>16</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20 artykułów opublikowanych i zaindeksowanych do asystenta AI. Każdy opisuje funkcję, która w macierzy ma status DZIAŁA.</t>
        </is>
      </c>
      <c r="O97"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7" s="10" t="inlineStr">
        <is>
          <t>do zrobienia</t>
        </is>
      </c>
    </row>
    <row r="98">
      <c r="A98" s="10" t="inlineStr">
        <is>
          <t>PB-19</t>
        </is>
      </c>
      <c r="B98" s="11" t="inlineStr">
        <is>
          <t>Widok strony: ruch, TTFB, błędy 5xx, technologia i logi z węzła</t>
        </is>
      </c>
      <c r="C98" s="10" t="inlineStr">
        <is>
          <t>poza audytem</t>
        </is>
      </c>
      <c r="D98" s="10" t="inlineStr">
        <is>
          <t>Praca spoza audytu</t>
        </is>
      </c>
      <c r="E98" s="10" t="inlineStr">
        <is>
          <t>ŚREDNI</t>
        </is>
      </c>
      <c r="F98" s="10" t="n">
        <v>24</v>
      </c>
      <c r="G98" s="10" t="n">
        <v>19</v>
      </c>
      <c r="H98" s="10" t="inlineStr">
        <is>
          <t>Faza 3 — Wejście na rynek</t>
        </is>
      </c>
      <c r="I98" s="10" t="inlineStr">
        <is>
          <t>2027-01-04</t>
        </is>
      </c>
      <c r="J98" s="10" t="inlineStr">
        <is>
          <t>2027-01-08</t>
        </is>
      </c>
      <c r="K98" s="10" t="inlineStr">
        <is>
          <t>—</t>
        </is>
      </c>
      <c r="L98" s="11" t="inlineStr">
        <is>
          <t>—</t>
        </is>
      </c>
      <c r="M98" s="11" t="inlineStr">
        <is>
          <t>—</t>
        </is>
      </c>
      <c r="N98" s="11" t="inlineStr">
        <is>
          <t>Na działającym węźle produkcyjnym: widok strony pokazuje ruch 7 dni, TTFB i 5xx z prawdziwych logów, wykrytą technologię i zakładkę „Logi”; brak danych = „—”, nie zero; testy parsera logów i detekcji technologii w CI; sprawdzone na D3 (serwer).</t>
        </is>
      </c>
      <c r="O98"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8" s="10" t="inlineStr">
        <is>
          <t>do zrobienia</t>
        </is>
      </c>
    </row>
    <row r="99">
      <c r="A99" s="10" t="inlineStr">
        <is>
          <t>PB-10</t>
        </is>
      </c>
      <c r="B99" s="11" t="inlineStr">
        <is>
          <t>Kampania gads-search-hosting-202607 — uruchomienie</t>
        </is>
      </c>
      <c r="C99" s="10" t="inlineStr">
        <is>
          <t>poza audytem</t>
        </is>
      </c>
      <c r="D99" s="10" t="inlineStr">
        <is>
          <t>Praca spoza audytu</t>
        </is>
      </c>
      <c r="E99" s="10" t="inlineStr">
        <is>
          <t>ŚREDNI</t>
        </is>
      </c>
      <c r="F99" s="10" t="n">
        <v>8</v>
      </c>
      <c r="G99" s="10" t="n">
        <v>20</v>
      </c>
      <c r="H99" s="10" t="inlineStr"/>
      <c r="I99" s="10" t="inlineStr">
        <is>
          <t>2027-01-11</t>
        </is>
      </c>
      <c r="J99" s="10" t="inlineStr">
        <is>
          <t>2027-01-15</t>
        </is>
      </c>
      <c r="K99" s="10" t="inlineStr">
        <is>
          <t>—</t>
        </is>
      </c>
      <c r="L99" s="11" t="inlineStr">
        <is>
          <t>—</t>
        </is>
      </c>
      <c r="M99" s="11" t="inlineStr">
        <is>
          <t>PB-06 (kampania kieruje na landing)</t>
        </is>
      </c>
      <c r="N99" s="11" t="inlineStr">
        <is>
          <t>Kampania utworzona wstrzymana, konwersje podpięte, budżet i stawki ustawione. Start dopiero po PB-05.</t>
        </is>
      </c>
      <c r="O99" s="11" t="inlineStr">
        <is>
          <t>Konfiguracja kampanii wyszukiwarkowej, budżet 500–1000 zł/mies., oś przekazu: migracja bez przestoju.</t>
        </is>
      </c>
      <c r="P99" s="10" t="inlineStr">
        <is>
          <t>do zrobienia</t>
        </is>
      </c>
    </row>
    <row r="100">
      <c r="A100" s="10" t="inlineStr">
        <is>
          <t>Z-18</t>
        </is>
      </c>
      <c r="B100" s="11" t="inlineStr">
        <is>
          <t>Prawdziwa przyczyna błędu provisioningu nie ginie po drodze (część)</t>
        </is>
      </c>
      <c r="C100" s="10" t="inlineStr">
        <is>
          <t>audyt</t>
        </is>
      </c>
      <c r="D100" s="10" t="inlineStr">
        <is>
          <t>Z — Pass adwersaryjny</t>
        </is>
      </c>
      <c r="E100" s="10" t="inlineStr">
        <is>
          <t>BLOKER STARTU</t>
        </is>
      </c>
      <c r="F100" s="10" t="n">
        <v>2</v>
      </c>
      <c r="G100" s="10" t="n">
        <v>21</v>
      </c>
      <c r="H100" s="10" t="inlineStr"/>
      <c r="I100" s="10" t="inlineStr">
        <is>
          <t>2027-01-18</t>
        </is>
      </c>
      <c r="J100" s="10" t="inlineStr">
        <is>
          <t>2027-01-22</t>
        </is>
      </c>
      <c r="K100" s="10" t="inlineStr">
        <is>
          <t>CZĘŚCIOWE</t>
        </is>
      </c>
      <c r="L100"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0" s="11" t="inlineStr">
        <is>
          <t>—</t>
        </is>
      </c>
      <c r="N100" s="11" t="inlineStr">
        <is>
          <t>Ograniczenie opisane w uwagach macierzy zniknęło; test potwierdza zachowanie także w scenariuszu awaryjnym.</t>
        </is>
      </c>
      <c r="O100"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0" s="10" t="inlineStr">
        <is>
          <t>do zrobienia</t>
        </is>
      </c>
    </row>
    <row r="101">
      <c r="A101" s="10" t="inlineStr">
        <is>
          <t>NODE-02</t>
        </is>
      </c>
      <c r="B101" s="11" t="inlineStr">
        <is>
          <t>`main()` nie sprawdza kodów powrotu</t>
        </is>
      </c>
      <c r="C101" s="10" t="inlineStr">
        <is>
          <t>audyt</t>
        </is>
      </c>
      <c r="D101" s="10" t="inlineStr">
        <is>
          <t>Q — Przewaga</t>
        </is>
      </c>
      <c r="E101" s="10" t="inlineStr">
        <is>
          <t>WYSOKA</t>
        </is>
      </c>
      <c r="F101" s="10" t="n">
        <v>6</v>
      </c>
      <c r="G101" s="10" t="n">
        <v>21</v>
      </c>
      <c r="H101" s="10" t="inlineStr"/>
      <c r="I101" s="10" t="inlineStr">
        <is>
          <t>2027-01-18</t>
        </is>
      </c>
      <c r="J101" s="10" t="inlineStr">
        <is>
          <t>2027-01-22</t>
        </is>
      </c>
      <c r="K101" s="10" t="inlineStr">
        <is>
          <t>CZĘŚCIOWE</t>
        </is>
      </c>
      <c r="L101"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1" s="11" t="inlineStr">
        <is>
          <t>—</t>
        </is>
      </c>
      <c r="N101" s="11" t="inlineStr">
        <is>
          <t>Ograniczenie opisane w uwagach macierzy zniknęło; test potwierdza zachowanie także w scenariuszu awaryjnym.</t>
        </is>
      </c>
      <c r="O101"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1" s="10" t="inlineStr">
        <is>
          <t>do zrobienia</t>
        </is>
      </c>
    </row>
    <row r="102">
      <c r="A102" s="10" t="inlineStr">
        <is>
          <t>J-01</t>
        </is>
      </c>
      <c r="B102" s="11" t="inlineStr">
        <is>
          <t>LiteSpeed / serwer o wysokiej wydajności</t>
        </is>
      </c>
      <c r="C102" s="10" t="inlineStr">
        <is>
          <t>audyt</t>
        </is>
      </c>
      <c r="D102" s="10" t="inlineStr">
        <is>
          <t>J — Wydajność i cache</t>
        </is>
      </c>
      <c r="E102" s="10" t="inlineStr">
        <is>
          <t>WYSOKA</t>
        </is>
      </c>
      <c r="F102" s="10" t="n">
        <v>6</v>
      </c>
      <c r="G102" s="10" t="n">
        <v>21</v>
      </c>
      <c r="H102" s="10" t="inlineStr"/>
      <c r="I102" s="10" t="inlineStr">
        <is>
          <t>2027-01-18</t>
        </is>
      </c>
      <c r="J102" s="10" t="inlineStr">
        <is>
          <t>2027-01-22</t>
        </is>
      </c>
      <c r="K102" s="10" t="inlineStr">
        <is>
          <t>b.d.</t>
        </is>
      </c>
      <c r="L102" s="11" t="inlineStr">
        <is>
          <t>decyzja infrastrukturalna, poza kodem panelu</t>
        </is>
      </c>
      <c r="M102" s="11" t="inlineStr">
        <is>
          <t>—</t>
        </is>
      </c>
      <c r="N102" s="11" t="inlineStr">
        <is>
          <t>Stan zweryfikowany na produkcji z timestampem (poziom D3), wynik zapisany w repo.</t>
        </is>
      </c>
      <c r="O102"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2" s="10" t="inlineStr">
        <is>
          <t>do zrobienia</t>
        </is>
      </c>
    </row>
    <row r="103">
      <c r="A103" s="10" t="inlineStr">
        <is>
          <t>J-04</t>
        </is>
      </c>
      <c r="B103" s="11" t="inlineStr">
        <is>
          <t>HTTP/3</t>
        </is>
      </c>
      <c r="C103" s="10" t="inlineStr">
        <is>
          <t>audyt</t>
        </is>
      </c>
      <c r="D103" s="10" t="inlineStr">
        <is>
          <t>J — Wydajność i cache</t>
        </is>
      </c>
      <c r="E103" s="10" t="inlineStr">
        <is>
          <t>ŚREDNIA</t>
        </is>
      </c>
      <c r="F103" s="10" t="n">
        <v>6</v>
      </c>
      <c r="G103" s="10" t="n">
        <v>21</v>
      </c>
      <c r="H103" s="10" t="inlineStr"/>
      <c r="I103" s="10" t="inlineStr">
        <is>
          <t>2027-01-18</t>
        </is>
      </c>
      <c r="J103" s="10" t="inlineStr">
        <is>
          <t>2027-01-22</t>
        </is>
      </c>
      <c r="K103" s="10" t="inlineStr">
        <is>
          <t>b.d.</t>
        </is>
      </c>
      <c r="L103" s="11" t="inlineStr">
        <is>
          <t>poza kodem panelu</t>
        </is>
      </c>
      <c r="M103" s="11" t="inlineStr">
        <is>
          <t>—</t>
        </is>
      </c>
      <c r="N103" s="11" t="inlineStr">
        <is>
          <t>Stan zweryfikowany na produkcji z timestampem (poziom D3), wynik zapisany w repo.</t>
        </is>
      </c>
      <c r="O103"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3" s="10" t="inlineStr">
        <is>
          <t>do zrobienia</t>
        </is>
      </c>
    </row>
    <row r="104">
      <c r="A104" s="10" t="inlineStr">
        <is>
          <t>B-01</t>
        </is>
      </c>
      <c r="B104" s="11" t="inlineStr">
        <is>
          <t>Zmiana wersji PHP dla całego konta</t>
        </is>
      </c>
      <c r="C104" s="10" t="inlineStr">
        <is>
          <t>audyt</t>
        </is>
      </c>
      <c r="D104" s="10" t="inlineStr">
        <is>
          <t>B — Runtime WWW</t>
        </is>
      </c>
      <c r="E104" s="10" t="inlineStr">
        <is>
          <t>WYSOKA</t>
        </is>
      </c>
      <c r="F104" s="10" t="n">
        <v>6</v>
      </c>
      <c r="G104" s="10" t="n">
        <v>21</v>
      </c>
      <c r="H104" s="10" t="inlineStr"/>
      <c r="I104" s="10" t="inlineStr">
        <is>
          <t>2027-01-18</t>
        </is>
      </c>
      <c r="J104" s="10" t="inlineStr">
        <is>
          <t>2027-01-22</t>
        </is>
      </c>
      <c r="K104" s="10" t="inlineStr">
        <is>
          <t>CZĘŚCIOWE</t>
        </is>
      </c>
      <c r="L104" s="11" t="inlineStr">
        <is>
          <t>services.controller.ts:125</t>
        </is>
      </c>
      <c r="M104" s="11" t="inlineStr">
        <is>
          <t>—</t>
        </is>
      </c>
      <c r="N104" s="11" t="inlineStr">
        <is>
          <t>Ograniczenie opisane w uwagach macierzy zniknęło; test potwierdza zachowanie także w scenariuszu awaryjnym.</t>
        </is>
      </c>
      <c r="O104"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4" s="10" t="inlineStr">
        <is>
          <t>do zrobienia</t>
        </is>
      </c>
    </row>
    <row r="105">
      <c r="A105" s="10" t="inlineStr">
        <is>
          <t>PB-02</t>
        </is>
      </c>
      <c r="B105" s="11" t="inlineStr">
        <is>
          <t>Onboarding produkcyjnego węzła #1 (Hetzner AX102)</t>
        </is>
      </c>
      <c r="C105" s="10" t="inlineStr">
        <is>
          <t>poza audytem</t>
        </is>
      </c>
      <c r="D105" s="10" t="inlineStr">
        <is>
          <t>Praca spoza audytu</t>
        </is>
      </c>
      <c r="E105" s="10" t="inlineStr">
        <is>
          <t>WYSOKI</t>
        </is>
      </c>
      <c r="F105" s="10" t="n">
        <v>16</v>
      </c>
      <c r="G105" s="10" t="n">
        <v>21</v>
      </c>
      <c r="H105" s="10" t="inlineStr"/>
      <c r="I105" s="10" t="inlineStr">
        <is>
          <t>2027-01-18</t>
        </is>
      </c>
      <c r="J105" s="10" t="inlineStr">
        <is>
          <t>2027-01-22</t>
        </is>
      </c>
      <c r="K105" s="10" t="inlineStr">
        <is>
          <t>—</t>
        </is>
      </c>
      <c r="L105" s="11" t="inlineStr">
        <is>
          <t>—</t>
        </is>
      </c>
      <c r="M105" s="11" t="inlineStr">
        <is>
          <t>—</t>
        </is>
      </c>
      <c r="N105" s="11" t="inlineStr">
        <is>
          <t>Węzeł przechodzi wszystkie 14 checków live-readiness. /etc/verris-backup.conf istnieje, pierwszy backup off-site wykonany i zaraportowany do control-plane.</t>
        </is>
      </c>
      <c r="O105" s="11" t="inlineStr">
        <is>
          <t>Pełny przebieg node-onboard-live.sh na docelowym serwerze, z konfiguracją backupu off-site jako krokiem obowiązkowym.</t>
        </is>
      </c>
      <c r="P105" s="10" t="inlineStr">
        <is>
          <t>do zrobienia</t>
        </is>
      </c>
    </row>
    <row r="106">
      <c r="A106" s="10" t="inlineStr">
        <is>
          <t>PB-05</t>
        </is>
      </c>
      <c r="B106" s="11" t="inlineStr">
        <is>
          <t>Test end-to-end „pierwszy klient”</t>
        </is>
      </c>
      <c r="C106" s="10" t="inlineStr">
        <is>
          <t>poza audytem</t>
        </is>
      </c>
      <c r="D106" s="10" t="inlineStr">
        <is>
          <t>Praca spoza audytu</t>
        </is>
      </c>
      <c r="E106" s="10" t="inlineStr">
        <is>
          <t>BLOKER BIZNESOWY</t>
        </is>
      </c>
      <c r="F106" s="10" t="n">
        <v>16</v>
      </c>
      <c r="G106" s="10" t="n">
        <v>22</v>
      </c>
      <c r="H106" s="10" t="inlineStr"/>
      <c r="I106" s="10" t="inlineStr">
        <is>
          <t>2027-01-25</t>
        </is>
      </c>
      <c r="J106" s="10" t="inlineStr">
        <is>
          <t>2027-01-29</t>
        </is>
      </c>
      <c r="K106" s="10" t="inlineStr">
        <is>
          <t>—</t>
        </is>
      </c>
      <c r="L106" s="11" t="inlineStr">
        <is>
          <t>—</t>
        </is>
      </c>
      <c r="M106" s="11" t="inlineStr">
        <is>
          <t>wszystkie blokery zamknięte (sprint 8)</t>
        </is>
      </c>
      <c r="N106" s="11" t="inlineStr">
        <is>
          <t>Zapisany przebieg z timestampami dla każdego kroku — to jest dowód poziomu D3, jedyny w całym projekcie. Każdy nieudany krok wraca do backlogu jako bloker.</t>
        </is>
      </c>
      <c r="O106" s="11" t="inlineStr">
        <is>
          <t>Przejście całej ścieżki na produkcji jako realny klient: rejestracja, zakup, płatność, provisioning, migracja strony, wystawienie faktury, KSeF, backup, odtworzenie.</t>
        </is>
      </c>
      <c r="P106" s="10" t="inlineStr">
        <is>
          <t>do zrobienia</t>
        </is>
      </c>
    </row>
    <row r="107">
      <c r="A107" s="10" t="inlineStr">
        <is>
          <t>PB-12</t>
        </is>
      </c>
      <c r="B107" s="11" t="inlineStr">
        <is>
          <t>Runbook startu i decyzja GO</t>
        </is>
      </c>
      <c r="C107" s="10" t="inlineStr">
        <is>
          <t>poza audytem</t>
        </is>
      </c>
      <c r="D107" s="10" t="inlineStr">
        <is>
          <t>Praca spoza audytu</t>
        </is>
      </c>
      <c r="E107" s="10" t="inlineStr">
        <is>
          <t>BLOKER BIZNESOWY</t>
        </is>
      </c>
      <c r="F107" s="10" t="n">
        <v>8</v>
      </c>
      <c r="G107" s="10" t="n">
        <v>22</v>
      </c>
      <c r="H107" s="10" t="inlineStr"/>
      <c r="I107" s="10" t="inlineStr">
        <is>
          <t>2027-01-25</t>
        </is>
      </c>
      <c r="J107" s="10" t="inlineStr">
        <is>
          <t>2027-01-29</t>
        </is>
      </c>
      <c r="K107" s="10" t="inlineStr">
        <is>
          <t>—</t>
        </is>
      </c>
      <c r="L107" s="11" t="inlineStr">
        <is>
          <t>—</t>
        </is>
      </c>
      <c r="M107" s="11" t="inlineStr">
        <is>
          <t>PB-05 (decyzja GO po przejściu ścieżki na produkcji)</t>
        </is>
      </c>
      <c r="N107" s="11" t="inlineStr">
        <is>
          <t>Każdy z 11 blokerów ma wpis: co zrobiono, gdzie jest dowód, kto potwierdził. Bez formuły „warunkowe GO”.</t>
        </is>
      </c>
      <c r="O107" s="11" t="inlineStr">
        <is>
          <t>Domknięcie: przegląd wszystkich blokerów z dowodem zamknięcia, decyzja GO/NO-GO zapisana z datą.</t>
        </is>
      </c>
      <c r="P107" s="10" t="inlineStr">
        <is>
          <t>do zrobienia</t>
        </is>
      </c>
    </row>
  </sheetData>
  <autoFilter ref="A1:P107"/>
  <conditionalFormatting sqref="E2:E107">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7">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startu'!$G$2:$G$107,A2)</f>
        <v/>
      </c>
      <c r="G2" s="10">
        <f>SUMIF('Backlog do startu'!$G$2:$G$107,A2,'Backlog do startu'!$F$2:$F$107)</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startu'!$G$2:$G$107,A3)</f>
        <v/>
      </c>
      <c r="G3" s="10">
        <f>SUMIF('Backlog do startu'!$G$2:$G$107,A3,'Backlog do startu'!$F$2:$F$107)</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startu'!$G$2:$G$107,A4)</f>
        <v/>
      </c>
      <c r="G4" s="10">
        <f>SUMIF('Backlog do startu'!$G$2:$G$107,A4,'Backlog do startu'!$F$2:$F$107)</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startu'!$G$2:$G$107,A5)</f>
        <v/>
      </c>
      <c r="G5" s="10">
        <f>SUMIF('Backlog do startu'!$G$2:$G$107,A5,'Backlog do startu'!$F$2:$F$107)</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startu'!$G$2:$G$107,A6)</f>
        <v/>
      </c>
      <c r="G6" s="10">
        <f>SUMIF('Backlog do startu'!$G$2:$G$107,A6,'Backlog do startu'!$F$2:$F$107)</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startu'!$G$2:$G$107,A7)</f>
        <v/>
      </c>
      <c r="G7" s="10">
        <f>SUMIF('Backlog do startu'!$G$2:$G$107,A7,'Backlog do startu'!$F$2:$F$107)</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startu'!$G$2:$G$107,A8)</f>
        <v/>
      </c>
      <c r="G8" s="10">
        <f>SUMIF('Backlog do startu'!$G$2:$G$107,A8,'Backlog do startu'!$F$2:$F$107)</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startu'!$G$2:$G$107,A9)</f>
        <v/>
      </c>
      <c r="G9" s="10">
        <f>SUMIF('Backlog do startu'!$G$2:$G$107,A9,'Backlog do startu'!$F$2:$F$107)</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startu'!$G$2:$G$107,A10)</f>
        <v/>
      </c>
      <c r="G10" s="10">
        <f>SUMIF('Backlog do startu'!$G$2:$G$107,A10,'Backlog do startu'!$F$2:$F$107)</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startu'!$G$2:$G$107,A11)</f>
        <v/>
      </c>
      <c r="G11" s="10">
        <f>SUMIF('Backlog do startu'!$G$2:$G$107,A11,'Backlog do startu'!$F$2:$F$107)</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startu'!$G$2:$G$107,A12)</f>
        <v/>
      </c>
      <c r="G12" s="10">
        <f>SUMIF('Backlog do startu'!$G$2:$G$107,A12,'Backlog do startu'!$F$2:$F$107)</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startu'!$G$2:$G$107,A13)</f>
        <v/>
      </c>
      <c r="G13" s="10">
        <f>SUMIF('Backlog do startu'!$G$2:$G$107,A13,'Backlog do startu'!$F$2:$F$107)</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startu'!$G$2:$G$107,A14)</f>
        <v/>
      </c>
      <c r="G14" s="10">
        <f>SUMIF('Backlog do startu'!$G$2:$G$107,A14,'Backlog do startu'!$F$2:$F$107)</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startu'!$G$2:$G$107,A15)</f>
        <v/>
      </c>
      <c r="G15" s="10">
        <f>SUMIF('Backlog do startu'!$G$2:$G$107,A15,'Backlog do startu'!$F$2:$F$107)</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startu'!$G$2:$G$107,A16)</f>
        <v/>
      </c>
      <c r="G16" s="10">
        <f>SUMIF('Backlog do startu'!$G$2:$G$107,A16,'Backlog do startu'!$F$2:$F$107)</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startu'!$G$2:$G$107,A17)</f>
        <v/>
      </c>
      <c r="G17" s="10">
        <f>SUMIF('Backlog do startu'!$G$2:$G$107,A17,'Backlog do startu'!$F$2:$F$107)</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startu'!$G$2:$G$107,A18)</f>
        <v/>
      </c>
      <c r="G18" s="10">
        <f>SUMIF('Backlog do startu'!$G$2:$G$107,A18,'Backlog do startu'!$F$2:$F$107)</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startu'!$G$2:$G$107,A19)</f>
        <v/>
      </c>
      <c r="G19" s="10">
        <f>SUMIF('Backlog do startu'!$G$2:$G$107,A19,'Backlog do startu'!$F$2:$F$107)</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startu'!$G$2:$G$107,A20)</f>
        <v/>
      </c>
      <c r="G20" s="10">
        <f>SUMIF('Backlog do startu'!$G$2:$G$107,A20,'Backlog do startu'!$F$2:$F$107)</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startu'!$G$2:$G$107,A21)</f>
        <v/>
      </c>
      <c r="G21" s="10">
        <f>SUMIF('Backlog do startu'!$G$2:$G$107,A21,'Backlog do startu'!$F$2:$F$107)</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startu'!$G$2:$G$107,A22)</f>
        <v/>
      </c>
      <c r="G22" s="10">
        <f>SUMIF('Backlog do startu'!$G$2:$G$107,A22,'Backlog do startu'!$F$2:$F$107)</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startu'!$G$2:$G$107,A23)</f>
        <v/>
      </c>
      <c r="G23" s="10">
        <f>SUMIF('Backlog do startu'!$G$2:$G$107,A23,'Backlog do startu'!$F$2:$F$107)</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0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BRAK</t>
        </is>
      </c>
      <c r="K21" s="11" t="inlineStr">
        <is>
          <t>standard u wszystkich 5 hostingów PL</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CZĘŚCIOWE</t>
        </is>
      </c>
      <c r="K27" s="11" t="inlineStr">
        <is>
          <t>GET /services/:id/hosting-logs (readHostingLog, DA CMD_SHOW_LOG type=log|error) + zakładka usługi „Logi WWW” (LogsTab.tsx); directadmin.logi.spec.ts (9 testów); subkonto: FILES_MANAGE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CZĘŚCIOWE</t>
        </is>
      </c>
      <c r="K28" s="11" t="inlineStr">
        <is>
          <t>GET /services/:id/hosting-logs (readHostingLog, DA CMD_SHOW_LOG type=log|error) + zakładka usługi „Logi WWW” (LogsTab.tsx); directadmin.logi.spec.ts (9 testów); subkonto: FILES_MANAGE</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BRAK</t>
        </is>
      </c>
      <c r="K31" s="11" t="inlineStr">
        <is>
          <t>3 z 5 hostingów PL ma w cenie — realny wyróżnik dla WordPressa</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BRAK</t>
        </is>
      </c>
      <c r="K33" s="11" t="inlineStr"/>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BRAK</t>
        </is>
      </c>
      <c r="K34" s="11" t="inlineStr">
        <is>
          <t>patrz D-15</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BRAK</t>
        </is>
      </c>
      <c r="K39" s="11" t="inlineStr">
        <is>
          <t>JetBackup/Plesk to mają; seohost i dhosting też</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BRAK</t>
        </is>
      </c>
      <c r="K40" s="11" t="inlineStr">
        <is>
          <t>services.controller.ts:788-793 — buduje z BIEŻĄCEGO inwentarza konta, nie z archiwum</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M-33</t>
        </is>
      </c>
      <c r="B43" s="10" t="inlineStr">
        <is>
          <t>E-14</t>
        </is>
      </c>
      <c r="C43" s="11" t="inlineStr">
        <is>
          <t>Rozliczenia: dokończenie</t>
        </is>
      </c>
      <c r="D43" s="10" t="inlineStr">
        <is>
          <t>Q1 2027</t>
        </is>
      </c>
      <c r="E43" s="10" t="inlineStr">
        <is>
          <t>WYSOKI</t>
        </is>
      </c>
      <c r="F43" s="11" t="inlineStr">
        <is>
          <t>Dodatki płatne (IP, wsparcie priorytetowe)</t>
        </is>
      </c>
      <c r="G43" s="10" t="inlineStr">
        <is>
          <t>M — Rozliczenia</t>
        </is>
      </c>
      <c r="H43" s="10" t="inlineStr">
        <is>
          <t>NISKA</t>
        </is>
      </c>
      <c r="I43" s="10" t="n">
        <v>16</v>
      </c>
      <c r="J43" s="10" t="inlineStr">
        <is>
          <t>CZĘŚCIOWE</t>
        </is>
      </c>
      <c r="K43" s="11" t="inlineStr">
        <is>
          <t>addon.service.ts:120 — 2 z 3 to workorder do BOK</t>
        </is>
      </c>
    </row>
    <row r="44">
      <c r="A44" s="10" t="inlineStr">
        <is>
          <t>N-10</t>
        </is>
      </c>
      <c r="B44" s="10" t="inlineStr">
        <is>
          <t>E-15</t>
        </is>
      </c>
      <c r="C44" s="11" t="inlineStr">
        <is>
          <t>Wsparcie i ops: kolejka abuse</t>
        </is>
      </c>
      <c r="D44" s="10" t="inlineStr">
        <is>
          <t>Q1 2027</t>
        </is>
      </c>
      <c r="E44" s="10" t="inlineStr">
        <is>
          <t>WYSOKI</t>
        </is>
      </c>
      <c r="F44" s="11" t="inlineStr">
        <is>
          <t>Preferencje powiadomień e-mail</t>
        </is>
      </c>
      <c r="G44" s="10" t="inlineStr">
        <is>
          <t>N — Wsparcie i ops</t>
        </is>
      </c>
      <c r="H44" s="10" t="inlineStr">
        <is>
          <t>ŚREDNIA</t>
        </is>
      </c>
      <c r="I44" s="10" t="n">
        <v>6</v>
      </c>
      <c r="J44" s="10" t="inlineStr">
        <is>
          <t>CZĘŚCIOWE</t>
        </is>
      </c>
      <c r="K44" s="11" t="inlineStr">
        <is>
          <t>notifications-tab.tsx:70 — sekcja „Zawsze włączone” to statyczny tekst bez backendu</t>
        </is>
      </c>
    </row>
    <row r="45">
      <c r="A45" s="10" t="inlineStr">
        <is>
          <t>N-13</t>
        </is>
      </c>
      <c r="B45" s="10" t="inlineStr">
        <is>
          <t>E-15</t>
        </is>
      </c>
      <c r="C45" s="11" t="inlineStr">
        <is>
          <t>Wsparcie i ops: kolejka abuse</t>
        </is>
      </c>
      <c r="D45" s="10" t="inlineStr">
        <is>
          <t>Q1 2027</t>
        </is>
      </c>
      <c r="E45" s="10" t="inlineStr">
        <is>
          <t>WYSOKI</t>
        </is>
      </c>
      <c r="F45" s="11" t="inlineStr">
        <is>
          <t>KOLEJKA OBSŁUGI NADUŻYĆ (ABUSE)</t>
        </is>
      </c>
      <c r="G45" s="10" t="inlineStr">
        <is>
          <t>N — Wsparcie i ops</t>
        </is>
      </c>
      <c r="H45" s="10" t="inlineStr">
        <is>
          <t>WYSOKA</t>
        </is>
      </c>
      <c r="I45" s="10" t="n">
        <v>40</v>
      </c>
      <c r="J45" s="10" t="inlineStr">
        <is>
          <t>CZĘŚCIOWE</t>
        </is>
      </c>
      <c r="K45"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46">
      <c r="A46" s="10" t="inlineStr">
        <is>
          <t>N-21</t>
        </is>
      </c>
      <c r="B46" s="10" t="inlineStr">
        <is>
          <t>E-15</t>
        </is>
      </c>
      <c r="C46" s="11" t="inlineStr">
        <is>
          <t>Wsparcie i ops: kolejka abuse</t>
        </is>
      </c>
      <c r="D46" s="10" t="inlineStr">
        <is>
          <t>Q1 2027</t>
        </is>
      </c>
      <c r="E46" s="10" t="inlineStr">
        <is>
          <t>WYSOKI</t>
        </is>
      </c>
      <c r="F46" s="11" t="inlineStr">
        <is>
          <t>Wsparcie telefoniczne</t>
        </is>
      </c>
      <c r="G46" s="10" t="inlineStr">
        <is>
          <t>N — Wsparcie i ops</t>
        </is>
      </c>
      <c r="H46" s="10" t="inlineStr">
        <is>
          <t>ŚREDNIA</t>
        </is>
      </c>
      <c r="I46" s="10" t="n">
        <v>6</v>
      </c>
      <c r="J46" s="10" t="inlineStr">
        <is>
          <t>BRAK</t>
        </is>
      </c>
      <c r="K46" s="11" t="inlineStr">
        <is>
          <t>poza produktem</t>
        </is>
      </c>
    </row>
    <row r="47">
      <c r="A47" s="10" t="inlineStr">
        <is>
          <t>PROD-01</t>
        </is>
      </c>
      <c r="B47" s="10" t="inlineStr">
        <is>
          <t>E-15</t>
        </is>
      </c>
      <c r="C47" s="11" t="inlineStr">
        <is>
          <t>Wsparcie i ops: kolejka abuse</t>
        </is>
      </c>
      <c r="D47" s="10" t="inlineStr">
        <is>
          <t>Q1 2027</t>
        </is>
      </c>
      <c r="E47" s="10" t="inlineStr">
        <is>
          <t>WYSOKI</t>
        </is>
      </c>
      <c r="F47" s="11" t="inlineStr">
        <is>
          <t>Instalator węzła bez udziału administratora</t>
        </is>
      </c>
      <c r="G47" s="10" t="inlineStr">
        <is>
          <t>N — Wsparcie i ops</t>
        </is>
      </c>
      <c r="H47" s="10" t="inlineStr">
        <is>
          <t>WYSOKA</t>
        </is>
      </c>
      <c r="I47" s="10" t="n">
        <v>40</v>
      </c>
      <c r="J47" s="10" t="inlineStr">
        <is>
          <t>CZĘŚCIOWE</t>
        </is>
      </c>
      <c r="K47" s="11" t="inlineStr">
        <is>
          <t>docs/archiwum/zadania/PROD-01-instalator-wezla-bez-czlowieka.md; stan: bootstrap v2 + kreator węzła (Q-14) — kroki CloudLinux/DA/LiteSpeed nadal ręczne</t>
        </is>
      </c>
    </row>
    <row r="48">
      <c r="A48" s="10" t="inlineStr">
        <is>
          <t>PROD-03</t>
        </is>
      </c>
      <c r="B48" s="10" t="inlineStr">
        <is>
          <t>E-15</t>
        </is>
      </c>
      <c r="C48" s="11" t="inlineStr">
        <is>
          <t>Wsparcie i ops: kolejka abuse</t>
        </is>
      </c>
      <c r="D48" s="10" t="inlineStr">
        <is>
          <t>Q1 2027</t>
        </is>
      </c>
      <c r="E48" s="10" t="inlineStr">
        <is>
          <t>WYSOKI</t>
        </is>
      </c>
      <c r="F48" s="11" t="inlineStr">
        <is>
          <t>Dane testowe usunięte przed startem (preflight GO-LIVE)</t>
        </is>
      </c>
      <c r="G48" s="10" t="inlineStr">
        <is>
          <t>N — Wsparcie i ops</t>
        </is>
      </c>
      <c r="H48" s="10" t="inlineStr">
        <is>
          <t>WYSOKA</t>
        </is>
      </c>
      <c r="I48" s="10" t="n">
        <v>6</v>
      </c>
      <c r="J48" s="10" t="inlineStr">
        <is>
          <t>CZĘŚCIOWE</t>
        </is>
      </c>
      <c r="K48" s="11" t="inlineStr">
        <is>
          <t>product-ops.admin.controller.ts PROVISIONING_DO_NAPRAWY + product-ops/preflight.spec.ts</t>
        </is>
      </c>
    </row>
    <row r="49">
      <c r="A49" s="10" t="inlineStr">
        <is>
          <t>I-04</t>
        </is>
      </c>
      <c r="B49" s="10" t="inlineStr">
        <is>
          <t>E-03</t>
        </is>
      </c>
      <c r="C49" s="11" t="inlineStr">
        <is>
          <t>WordPress Toolkit</t>
        </is>
      </c>
      <c r="D49" s="10" t="inlineStr">
        <is>
          <t>Q2 2027</t>
        </is>
      </c>
      <c r="E49" s="10" t="inlineStr">
        <is>
          <t>WYSOKI</t>
        </is>
      </c>
      <c r="F49" s="11" t="inlineStr">
        <is>
          <t>Automatyczne aktualizacje WordPressa</t>
        </is>
      </c>
      <c r="G49" s="10" t="inlineStr">
        <is>
          <t>I — Aplikacje i WordPress</t>
        </is>
      </c>
      <c r="H49" s="10" t="inlineStr">
        <is>
          <t>WYSOKA</t>
        </is>
      </c>
      <c r="I49" s="10" t="n">
        <v>16</v>
      </c>
      <c r="J49" s="10" t="inlineStr">
        <is>
          <t>BRAK</t>
        </is>
      </c>
      <c r="K49" s="11" t="inlineStr">
        <is>
          <t>4 z 5 hostingów PL to ma</t>
        </is>
      </c>
    </row>
    <row r="50">
      <c r="A50" s="10" t="inlineStr">
        <is>
          <t>I-05</t>
        </is>
      </c>
      <c r="B50" s="10" t="inlineStr">
        <is>
          <t>E-03</t>
        </is>
      </c>
      <c r="C50" s="11" t="inlineStr">
        <is>
          <t>WordPress Toolkit</t>
        </is>
      </c>
      <c r="D50" s="10" t="inlineStr">
        <is>
          <t>Q2 2027</t>
        </is>
      </c>
      <c r="E50" s="10" t="inlineStr">
        <is>
          <t>WYSOKI</t>
        </is>
      </c>
      <c r="F50" s="11" t="inlineStr">
        <is>
          <t>Aktualizacje wtyczek i motywów z panelu</t>
        </is>
      </c>
      <c r="G50" s="10" t="inlineStr">
        <is>
          <t>I — Aplikacje i WordPress</t>
        </is>
      </c>
      <c r="H50" s="10" t="inlineStr">
        <is>
          <t>ŚREDNIA</t>
        </is>
      </c>
      <c r="I50" s="10" t="n">
        <v>16</v>
      </c>
      <c r="J50" s="10" t="inlineStr">
        <is>
          <t>BRAK</t>
        </is>
      </c>
      <c r="K50" s="11" t="inlineStr"/>
    </row>
    <row r="51">
      <c r="A51" s="10" t="inlineStr">
        <is>
          <t>I-07</t>
        </is>
      </c>
      <c r="B51" s="10" t="inlineStr">
        <is>
          <t>E-03</t>
        </is>
      </c>
      <c r="C51" s="11" t="inlineStr">
        <is>
          <t>WordPress Toolkit</t>
        </is>
      </c>
      <c r="D51" s="10" t="inlineStr">
        <is>
          <t>Q2 2027</t>
        </is>
      </c>
      <c r="E51" s="10" t="inlineStr">
        <is>
          <t>WYSOKI</t>
        </is>
      </c>
      <c r="F51" s="11" t="inlineStr">
        <is>
          <t>Skanowanie podatności WordPressa</t>
        </is>
      </c>
      <c r="G51" s="10" t="inlineStr">
        <is>
          <t>I — Aplikacje i WordPress</t>
        </is>
      </c>
      <c r="H51" s="10" t="inlineStr">
        <is>
          <t>ŚREDNIA</t>
        </is>
      </c>
      <c r="I51" s="10" t="n">
        <v>40</v>
      </c>
      <c r="J51" s="10" t="inlineStr">
        <is>
          <t>BRAK</t>
        </is>
      </c>
      <c r="K51" s="11" t="inlineStr">
        <is>
          <t>Plesk używa Patchstack</t>
        </is>
      </c>
    </row>
    <row r="52">
      <c r="A52" s="10" t="inlineStr">
        <is>
          <t>I-08</t>
        </is>
      </c>
      <c r="B52" s="10" t="inlineStr">
        <is>
          <t>E-03</t>
        </is>
      </c>
      <c r="C52" s="11" t="inlineStr">
        <is>
          <t>WordPress Toolkit</t>
        </is>
      </c>
      <c r="D52" s="10" t="inlineStr">
        <is>
          <t>Q2 2027</t>
        </is>
      </c>
      <c r="E52" s="10" t="inlineStr">
        <is>
          <t>WYSOKI</t>
        </is>
      </c>
      <c r="F52" s="11" t="inlineStr">
        <is>
          <t>Hardening WordPressa (checklist)</t>
        </is>
      </c>
      <c r="G52" s="10" t="inlineStr">
        <is>
          <t>I — Aplikacje i WordPress</t>
        </is>
      </c>
      <c r="H52" s="10" t="inlineStr">
        <is>
          <t>ŚREDNIA</t>
        </is>
      </c>
      <c r="I52" s="10" t="n">
        <v>16</v>
      </c>
      <c r="J52" s="10" t="inlineStr">
        <is>
          <t>BRAK</t>
        </is>
      </c>
      <c r="K52" s="11" t="inlineStr"/>
    </row>
    <row r="53">
      <c r="A53" s="10" t="inlineStr">
        <is>
          <t>I-13</t>
        </is>
      </c>
      <c r="B53" s="10" t="inlineStr">
        <is>
          <t>E-03</t>
        </is>
      </c>
      <c r="C53" s="11" t="inlineStr">
        <is>
          <t>WordPress Toolkit</t>
        </is>
      </c>
      <c r="D53" s="10" t="inlineStr">
        <is>
          <t>Q2 2027</t>
        </is>
      </c>
      <c r="E53" s="10" t="inlineStr">
        <is>
          <t>WYSOKI</t>
        </is>
      </c>
      <c r="F53" s="11" t="inlineStr">
        <is>
          <t>Klonowanie strony między domenami</t>
        </is>
      </c>
      <c r="G53" s="10" t="inlineStr">
        <is>
          <t>I — Aplikacje i WordPress</t>
        </is>
      </c>
      <c r="H53" s="10" t="inlineStr">
        <is>
          <t>ŚREDNIA</t>
        </is>
      </c>
      <c r="I53" s="10" t="n">
        <v>16</v>
      </c>
      <c r="J53" s="10" t="inlineStr">
        <is>
          <t>BRAK</t>
        </is>
      </c>
      <c r="K53" s="11" t="inlineStr"/>
    </row>
    <row r="54">
      <c r="A54" s="10" t="inlineStr">
        <is>
          <t>I-14</t>
        </is>
      </c>
      <c r="B54" s="10" t="inlineStr">
        <is>
          <t>E-03</t>
        </is>
      </c>
      <c r="C54" s="11" t="inlineStr">
        <is>
          <t>WordPress Toolkit</t>
        </is>
      </c>
      <c r="D54" s="10" t="inlineStr">
        <is>
          <t>Q2 2027</t>
        </is>
      </c>
      <c r="E54" s="10" t="inlineStr">
        <is>
          <t>WYSOKI</t>
        </is>
      </c>
      <c r="F54" s="11" t="inlineStr">
        <is>
          <t>Masowe zarządzanie wieloma instalacjami WP</t>
        </is>
      </c>
      <c r="G54" s="10" t="inlineStr">
        <is>
          <t>I — Aplikacje i WordPress</t>
        </is>
      </c>
      <c r="H54" s="10" t="inlineStr">
        <is>
          <t>NISKA</t>
        </is>
      </c>
      <c r="I54" s="10" t="n">
        <v>40</v>
      </c>
      <c r="J54" s="10" t="inlineStr">
        <is>
          <t>BRAK</t>
        </is>
      </c>
      <c r="K54" s="11" t="inlineStr">
        <is>
          <t>realna przewaga dla agencji</t>
        </is>
      </c>
    </row>
    <row r="55">
      <c r="A55" s="10" t="inlineStr">
        <is>
          <t>I-15</t>
        </is>
      </c>
      <c r="B55" s="10" t="inlineStr">
        <is>
          <t>E-03</t>
        </is>
      </c>
      <c r="C55" s="11" t="inlineStr">
        <is>
          <t>WordPress Toolkit</t>
        </is>
      </c>
      <c r="D55" s="10" t="inlineStr">
        <is>
          <t>Q2 2027</t>
        </is>
      </c>
      <c r="E55" s="10" t="inlineStr">
        <is>
          <t>WYSOKI</t>
        </is>
      </c>
      <c r="F55" s="11" t="inlineStr">
        <is>
          <t>Tryb konserwacji WordPressa</t>
        </is>
      </c>
      <c r="G55" s="10" t="inlineStr">
        <is>
          <t>I — Aplikacje i WordPress</t>
        </is>
      </c>
      <c r="H55" s="10" t="inlineStr">
        <is>
          <t>NISKA</t>
        </is>
      </c>
      <c r="I55" s="10" t="n">
        <v>6</v>
      </c>
      <c r="J55" s="10" t="inlineStr">
        <is>
          <t>BRAK</t>
        </is>
      </c>
      <c r="K55" s="11" t="inlineStr"/>
    </row>
    <row r="56">
      <c r="A56" s="10" t="inlineStr">
        <is>
          <t>I-16</t>
        </is>
      </c>
      <c r="B56" s="10" t="inlineStr">
        <is>
          <t>E-03</t>
        </is>
      </c>
      <c r="C56" s="11" t="inlineStr">
        <is>
          <t>WordPress Toolkit</t>
        </is>
      </c>
      <c r="D56" s="10" t="inlineStr">
        <is>
          <t>Q2 2027</t>
        </is>
      </c>
      <c r="E56" s="10" t="inlineStr">
        <is>
          <t>WYSOKI</t>
        </is>
      </c>
      <c r="F56" s="11" t="inlineStr">
        <is>
          <t>WP-CLI</t>
        </is>
      </c>
      <c r="G56" s="10" t="inlineStr">
        <is>
          <t>I — Aplikacje i WordPress</t>
        </is>
      </c>
      <c r="H56" s="10" t="inlineStr">
        <is>
          <t>ŚREDNIA</t>
        </is>
      </c>
      <c r="I56" s="10" t="n">
        <v>6</v>
      </c>
      <c r="J56" s="10" t="inlineStr">
        <is>
          <t>CZĘŚCIOWE</t>
        </is>
      </c>
      <c r="K56" s="11" t="inlineStr">
        <is>
          <t>używane wewnętrznie przy WP_INSTALL</t>
        </is>
      </c>
    </row>
    <row r="57">
      <c r="A57" s="10" t="inlineStr">
        <is>
          <t>A-06</t>
        </is>
      </c>
      <c r="B57" s="10" t="inlineStr">
        <is>
          <t>E-04</t>
        </is>
      </c>
      <c r="C57" s="11" t="inlineStr">
        <is>
          <t>Domeny jako produkt</t>
        </is>
      </c>
      <c r="D57" s="10" t="inlineStr">
        <is>
          <t>Q2 2027</t>
        </is>
      </c>
      <c r="E57" s="10" t="inlineStr">
        <is>
          <t>WYSOKI</t>
        </is>
      </c>
      <c r="F57" s="11" t="inlineStr">
        <is>
          <t>Zmiana document root domeny</t>
        </is>
      </c>
      <c r="G57" s="10" t="inlineStr">
        <is>
          <t>A — Domeny i konta</t>
        </is>
      </c>
      <c r="H57" s="10" t="inlineStr">
        <is>
          <t>NISKA</t>
        </is>
      </c>
      <c r="I57" s="10" t="n">
        <v>6</v>
      </c>
      <c r="J57" s="10" t="inlineStr">
        <is>
          <t>BRAK</t>
        </is>
      </c>
      <c r="K57" s="11" t="inlineStr">
        <is>
          <t>DA to potrafi; brak UI</t>
        </is>
      </c>
    </row>
    <row r="58">
      <c r="A58" s="10" t="inlineStr">
        <is>
          <t>A-08</t>
        </is>
      </c>
      <c r="B58" s="10" t="inlineStr">
        <is>
          <t>E-04</t>
        </is>
      </c>
      <c r="C58" s="11" t="inlineStr">
        <is>
          <t>Domeny jako produkt</t>
        </is>
      </c>
      <c r="D58" s="10" t="inlineStr">
        <is>
          <t>Q2 2027</t>
        </is>
      </c>
      <c r="E58" s="10" t="inlineStr">
        <is>
          <t>WYSOKI</t>
        </is>
      </c>
      <c r="F58" s="11" t="inlineStr">
        <is>
          <t>Rejestracja domeny z panelu</t>
        </is>
      </c>
      <c r="G58" s="10" t="inlineStr">
        <is>
          <t>A — Domeny i konta</t>
        </is>
      </c>
      <c r="H58" s="10" t="inlineStr">
        <is>
          <t>ŚREDNIA</t>
        </is>
      </c>
      <c r="I58" s="10" t="n">
        <v>16</v>
      </c>
      <c r="J58" s="10" t="inlineStr">
        <is>
          <t>FLAGA</t>
        </is>
      </c>
      <c r="K58" s="11" t="inlineStr">
        <is>
          <t>domains.controller.ts:118</t>
        </is>
      </c>
    </row>
    <row r="59">
      <c r="A59" s="10" t="inlineStr">
        <is>
          <t>A-09</t>
        </is>
      </c>
      <c r="B59" s="10" t="inlineStr">
        <is>
          <t>E-04</t>
        </is>
      </c>
      <c r="C59" s="11" t="inlineStr">
        <is>
          <t>Domeny jako produkt</t>
        </is>
      </c>
      <c r="D59" s="10" t="inlineStr">
        <is>
          <t>Q2 2027</t>
        </is>
      </c>
      <c r="E59" s="10" t="inlineStr">
        <is>
          <t>WYSOKI</t>
        </is>
      </c>
      <c r="F59" s="11" t="inlineStr">
        <is>
          <t>Transfer domeny (kod authinfo)</t>
        </is>
      </c>
      <c r="G59" s="10" t="inlineStr">
        <is>
          <t>A — Domeny i konta</t>
        </is>
      </c>
      <c r="H59" s="10" t="inlineStr">
        <is>
          <t>WYSOKA</t>
        </is>
      </c>
      <c r="I59" s="10" t="n">
        <v>16</v>
      </c>
      <c r="J59" s="10" t="inlineStr">
        <is>
          <t>FLAGA</t>
        </is>
      </c>
      <c r="K5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60">
      <c r="A60" s="10" t="inlineStr">
        <is>
          <t>A-10</t>
        </is>
      </c>
      <c r="B60" s="10" t="inlineStr">
        <is>
          <t>E-04</t>
        </is>
      </c>
      <c r="C60" s="11" t="inlineStr">
        <is>
          <t>Domeny jako produkt</t>
        </is>
      </c>
      <c r="D60" s="10" t="inlineStr">
        <is>
          <t>Q2 2027</t>
        </is>
      </c>
      <c r="E60" s="10" t="inlineStr">
        <is>
          <t>WYSOKI</t>
        </is>
      </c>
      <c r="F60" s="11" t="inlineStr">
        <is>
          <t>Odnowienie domeny przez klienta</t>
        </is>
      </c>
      <c r="G60" s="10" t="inlineStr">
        <is>
          <t>A — Domeny i konta</t>
        </is>
      </c>
      <c r="H60" s="10" t="inlineStr">
        <is>
          <t>ŚREDNIA</t>
        </is>
      </c>
      <c r="I60" s="10" t="n">
        <v>6</v>
      </c>
      <c r="J60" s="10" t="inlineStr">
        <is>
          <t>FLAGA</t>
        </is>
      </c>
      <c r="K60"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1">
      <c r="A61" s="10" t="inlineStr">
        <is>
          <t>A-12</t>
        </is>
      </c>
      <c r="B61" s="10" t="inlineStr">
        <is>
          <t>E-04</t>
        </is>
      </c>
      <c r="C61" s="11" t="inlineStr">
        <is>
          <t>Domeny jako produkt</t>
        </is>
      </c>
      <c r="D61" s="10" t="inlineStr">
        <is>
          <t>Q2 2027</t>
        </is>
      </c>
      <c r="E61" s="10" t="inlineStr">
        <is>
          <t>WYSOKI</t>
        </is>
      </c>
      <c r="F61" s="11" t="inlineStr">
        <is>
          <t>Cennik rejestracji na 1–10 lat</t>
        </is>
      </c>
      <c r="G61" s="10" t="inlineStr">
        <is>
          <t>A — Domeny i konta</t>
        </is>
      </c>
      <c r="H61" s="10" t="inlineStr">
        <is>
          <t>ŚREDNIA</t>
        </is>
      </c>
      <c r="I61" s="10" t="n">
        <v>6</v>
      </c>
      <c r="J61" s="10" t="inlineStr">
        <is>
          <t>FLAGA</t>
        </is>
      </c>
      <c r="K61" s="11" t="inlineStr">
        <is>
          <t>POST domains/registrar/quote-periods (domain-registrar.service.ts quotePeriods — ceny brutto dla 1, 2, 3, 5 i 10 lat + cena odnowienia/rok) → kreator zakupu: krok „Okres” z ceną każdego wariantu (domain-purchase-wizard.tsx YEAR_OPTIONS)</t>
        </is>
      </c>
    </row>
    <row r="62">
      <c r="A62" s="10" t="inlineStr">
        <is>
          <t>A-13</t>
        </is>
      </c>
      <c r="B62" s="10" t="inlineStr">
        <is>
          <t>E-04</t>
        </is>
      </c>
      <c r="C62" s="11" t="inlineStr">
        <is>
          <t>Domeny jako produkt</t>
        </is>
      </c>
      <c r="D62" s="10" t="inlineStr">
        <is>
          <t>Q2 2027</t>
        </is>
      </c>
      <c r="E62" s="10" t="inlineStr">
        <is>
          <t>WYSOKI</t>
        </is>
      </c>
      <c r="F62" s="11" t="inlineStr">
        <is>
          <t>Zmiana danych abonenta domeny</t>
        </is>
      </c>
      <c r="G62" s="10" t="inlineStr">
        <is>
          <t>A — Domeny i konta</t>
        </is>
      </c>
      <c r="H62" s="10" t="inlineStr">
        <is>
          <t>WYSOKA</t>
        </is>
      </c>
      <c r="I62" s="10" t="n">
        <v>16</v>
      </c>
      <c r="J62" s="10" t="inlineStr">
        <is>
          <t>FLAGA</t>
        </is>
      </c>
      <c r="K62"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63">
      <c r="A63" s="10" t="inlineStr">
        <is>
          <t>A-14</t>
        </is>
      </c>
      <c r="B63" s="10" t="inlineStr">
        <is>
          <t>E-04</t>
        </is>
      </c>
      <c r="C63" s="11" t="inlineStr">
        <is>
          <t>Domeny jako produkt</t>
        </is>
      </c>
      <c r="D63" s="10" t="inlineStr">
        <is>
          <t>Q2 2027</t>
        </is>
      </c>
      <c r="E63" s="10" t="inlineStr">
        <is>
          <t>WYSOKI</t>
        </is>
      </c>
      <c r="F63" s="11" t="inlineStr">
        <is>
          <t>Ukrycie danych WHOIS / domain privacy</t>
        </is>
      </c>
      <c r="G63" s="10" t="inlineStr">
        <is>
          <t>A — Domeny i konta</t>
        </is>
      </c>
      <c r="H63" s="10" t="inlineStr">
        <is>
          <t>NISKA</t>
        </is>
      </c>
      <c r="I63" s="10" t="n">
        <v>6</v>
      </c>
      <c r="J63" s="10" t="inlineStr">
        <is>
          <t>BRAK</t>
        </is>
      </c>
      <c r="K63" s="11" t="inlineStr"/>
    </row>
    <row r="64">
      <c r="A64" s="10" t="inlineStr">
        <is>
          <t>A-15</t>
        </is>
      </c>
      <c r="B64" s="10" t="inlineStr">
        <is>
          <t>E-04</t>
        </is>
      </c>
      <c r="C64" s="11" t="inlineStr">
        <is>
          <t>Domeny jako produkt</t>
        </is>
      </c>
      <c r="D64" s="10" t="inlineStr">
        <is>
          <t>Q2 2027</t>
        </is>
      </c>
      <c r="E64" s="10" t="inlineStr">
        <is>
          <t>WYSOKI</t>
        </is>
      </c>
      <c r="F64" s="11" t="inlineStr">
        <is>
          <t>Blokada transferu domeny (transfer lock)</t>
        </is>
      </c>
      <c r="G64" s="10" t="inlineStr">
        <is>
          <t>A — Domeny i konta</t>
        </is>
      </c>
      <c r="H64" s="10" t="inlineStr">
        <is>
          <t>ŚREDNIA</t>
        </is>
      </c>
      <c r="I64" s="10" t="n">
        <v>6</v>
      </c>
      <c r="J64" s="10" t="inlineStr">
        <is>
          <t>FLAGA</t>
        </is>
      </c>
      <c r="K64" s="11" t="inlineStr">
        <is>
          <t>POST /domains/:id/registrar/lock → OpenProvider PUT /v1/domains/{id} {is_locked}; stan w Domain.transferLock + audyt DOMAIN_TRANSFER_LOCKED/UNLOCKED; panel: strona domeny „Transfer i abonent”; test domains/abonent-domeny.spec.ts</t>
        </is>
      </c>
    </row>
    <row r="65">
      <c r="A65" s="10" t="inlineStr">
        <is>
          <t>I-01</t>
        </is>
      </c>
      <c r="B65" s="10" t="inlineStr">
        <is>
          <t>E-05</t>
        </is>
      </c>
      <c r="C65" s="11" t="inlineStr">
        <is>
          <t>Katalog aplikacji</t>
        </is>
      </c>
      <c r="D65" s="10" t="inlineStr">
        <is>
          <t>Q2 2027</t>
        </is>
      </c>
      <c r="E65" s="10" t="inlineStr">
        <is>
          <t>ŚREDNI</t>
        </is>
      </c>
      <c r="F65" s="11" t="inlineStr">
        <is>
          <t>Autoinstalator aplikacji</t>
        </is>
      </c>
      <c r="G65" s="10" t="inlineStr">
        <is>
          <t>I — Aplikacje i WordPress</t>
        </is>
      </c>
      <c r="H65" s="10" t="inlineStr">
        <is>
          <t>WYSOKA</t>
        </is>
      </c>
      <c r="I65" s="10" t="n">
        <v>16</v>
      </c>
      <c r="J65" s="10" t="inlineStr">
        <is>
          <t>CZĘŚCIOWE</t>
        </is>
      </c>
      <c r="K65" s="11" t="inlineStr">
        <is>
          <t>app-install.service.ts:25,32 — katalog ma 2 pozycje</t>
        </is>
      </c>
    </row>
    <row r="66">
      <c r="A66" s="10" t="inlineStr">
        <is>
          <t>E-06</t>
        </is>
      </c>
      <c r="B66" s="10" t="inlineStr">
        <is>
          <t>E-10</t>
        </is>
      </c>
      <c r="C66" s="11" t="inlineStr">
        <is>
          <t>Poczta: filtry, kalendarz, limity</t>
        </is>
      </c>
      <c r="D66" s="10" t="inlineStr">
        <is>
          <t>Q2 2027</t>
        </is>
      </c>
      <c r="E66" s="10" t="inlineStr">
        <is>
          <t>ŚREDNI</t>
        </is>
      </c>
      <c r="F66" s="11" t="inlineStr">
        <is>
          <t>Podgląd zużycia skrzynki</t>
        </is>
      </c>
      <c r="G66" s="10" t="inlineStr">
        <is>
          <t>E — Poczta</t>
        </is>
      </c>
      <c r="H66" s="10" t="inlineStr">
        <is>
          <t>ŚREDNIA</t>
        </is>
      </c>
      <c r="I66" s="10" t="n">
        <v>6</v>
      </c>
      <c r="J66" s="10" t="inlineStr">
        <is>
          <t>BRAK</t>
        </is>
      </c>
      <c r="K66" s="11" t="inlineStr"/>
    </row>
    <row r="67">
      <c r="A67" s="10" t="inlineStr">
        <is>
          <t>E-12</t>
        </is>
      </c>
      <c r="B67" s="10" t="inlineStr">
        <is>
          <t>E-10</t>
        </is>
      </c>
      <c r="C67" s="11" t="inlineStr">
        <is>
          <t>Poczta: filtry, kalendarz, limity</t>
        </is>
      </c>
      <c r="D67" s="10" t="inlineStr">
        <is>
          <t>Q2 2027</t>
        </is>
      </c>
      <c r="E67" s="10" t="inlineStr">
        <is>
          <t>ŚREDNI</t>
        </is>
      </c>
      <c r="F67" s="11" t="inlineStr">
        <is>
          <t>Reguły filtrowania poczty (Sieve)</t>
        </is>
      </c>
      <c r="G67" s="10" t="inlineStr">
        <is>
          <t>E — Poczta</t>
        </is>
      </c>
      <c r="H67" s="10" t="inlineStr">
        <is>
          <t>ŚREDNIA</t>
        </is>
      </c>
      <c r="I67" s="10" t="n">
        <v>16</v>
      </c>
      <c r="J67" s="10" t="inlineStr">
        <is>
          <t>BRAK</t>
        </is>
      </c>
      <c r="K67" s="11" t="inlineStr">
        <is>
          <t>wszystkie 5 hostingów PL to ma</t>
        </is>
      </c>
    </row>
    <row r="68">
      <c r="A68" s="10" t="inlineStr">
        <is>
          <t>E-19</t>
        </is>
      </c>
      <c r="B68" s="10" t="inlineStr">
        <is>
          <t>E-10</t>
        </is>
      </c>
      <c r="C68" s="11" t="inlineStr">
        <is>
          <t>Poczta: filtry, kalendarz, limity</t>
        </is>
      </c>
      <c r="D68" s="10" t="inlineStr">
        <is>
          <t>Q2 2027</t>
        </is>
      </c>
      <c r="E68" s="10" t="inlineStr">
        <is>
          <t>ŚREDNI</t>
        </is>
      </c>
      <c r="F68" s="11" t="inlineStr">
        <is>
          <t>Podgląd kolejki i logów dostarczania</t>
        </is>
      </c>
      <c r="G68" s="10" t="inlineStr">
        <is>
          <t>E — Poczta</t>
        </is>
      </c>
      <c r="H68" s="10" t="inlineStr">
        <is>
          <t>ŚREDNIA</t>
        </is>
      </c>
      <c r="I68" s="10" t="n">
        <v>16</v>
      </c>
      <c r="J68" s="10" t="inlineStr">
        <is>
          <t>BRAK</t>
        </is>
      </c>
      <c r="K68" s="11" t="inlineStr">
        <is>
          <t>„gdzie jest mój mail” to najczęstszy ticket poczty</t>
        </is>
      </c>
    </row>
    <row r="69">
      <c r="A69" s="10" t="inlineStr">
        <is>
          <t>E-21</t>
        </is>
      </c>
      <c r="B69" s="10" t="inlineStr">
        <is>
          <t>E-10</t>
        </is>
      </c>
      <c r="C69" s="11" t="inlineStr">
        <is>
          <t>Poczta: filtry, kalendarz, limity</t>
        </is>
      </c>
      <c r="D69" s="10" t="inlineStr">
        <is>
          <t>Q2 2027</t>
        </is>
      </c>
      <c r="E69" s="10" t="inlineStr">
        <is>
          <t>ŚREDNI</t>
        </is>
      </c>
      <c r="F69" s="11" t="inlineStr">
        <is>
          <t>Samodzielny import skrzynek przez IMAP</t>
        </is>
      </c>
      <c r="G69" s="10" t="inlineStr">
        <is>
          <t>E — Poczta</t>
        </is>
      </c>
      <c r="H69" s="10" t="inlineStr">
        <is>
          <t>ŚREDNIA</t>
        </is>
      </c>
      <c r="I69" s="10" t="n">
        <v>6</v>
      </c>
      <c r="J69" s="10" t="inlineStr">
        <is>
          <t>CZĘŚCIOWE</t>
        </is>
      </c>
      <c r="K69" s="11" t="inlineStr">
        <is>
          <t>w ramach migracji, nie jako osobne narzędzie</t>
        </is>
      </c>
    </row>
    <row r="70">
      <c r="A70" s="10" t="inlineStr">
        <is>
          <t>E-23</t>
        </is>
      </c>
      <c r="B70" s="10" t="inlineStr">
        <is>
          <t>E-10</t>
        </is>
      </c>
      <c r="C70" s="11" t="inlineStr">
        <is>
          <t>Poczta: filtry, kalendarz, limity</t>
        </is>
      </c>
      <c r="D70" s="10" t="inlineStr">
        <is>
          <t>Q2 2027</t>
        </is>
      </c>
      <c r="E70" s="10" t="inlineStr">
        <is>
          <t>ŚREDNI</t>
        </is>
      </c>
      <c r="F70" s="11" t="inlineStr">
        <is>
          <t>Kalendarz i kontakty (CalDAV/CardDAV)</t>
        </is>
      </c>
      <c r="G70" s="10" t="inlineStr">
        <is>
          <t>E — Poczta</t>
        </is>
      </c>
      <c r="H70" s="10" t="inlineStr">
        <is>
          <t>NISKA</t>
        </is>
      </c>
      <c r="I70" s="10" t="n">
        <v>40</v>
      </c>
      <c r="J70" s="10" t="inlineStr">
        <is>
          <t>BRAK</t>
        </is>
      </c>
      <c r="K70" s="11" t="inlineStr">
        <is>
          <t>dhosting i home.pl mają w produkcie „poczta biznesowa”</t>
        </is>
      </c>
    </row>
    <row r="71">
      <c r="A71" s="10" t="inlineStr">
        <is>
          <t>E-24</t>
        </is>
      </c>
      <c r="B71" s="10" t="inlineStr">
        <is>
          <t>E-10</t>
        </is>
      </c>
      <c r="C71" s="11" t="inlineStr">
        <is>
          <t>Poczta: filtry, kalendarz, limity</t>
        </is>
      </c>
      <c r="D71" s="10" t="inlineStr">
        <is>
          <t>Q2 2027</t>
        </is>
      </c>
      <c r="E71" s="10" t="inlineStr">
        <is>
          <t>ŚREDNI</t>
        </is>
      </c>
      <c r="F71" s="11" t="inlineStr">
        <is>
          <t>2FA dla webmaila</t>
        </is>
      </c>
      <c r="G71" s="10" t="inlineStr">
        <is>
          <t>E — Poczta</t>
        </is>
      </c>
      <c r="H71" s="10" t="inlineStr">
        <is>
          <t>NISKA</t>
        </is>
      </c>
      <c r="I71" s="10" t="n">
        <v>16</v>
      </c>
      <c r="J71" s="10" t="inlineStr">
        <is>
          <t>BRAK</t>
        </is>
      </c>
      <c r="K71" s="11" t="inlineStr">
        <is>
          <t>cyber_Folks ma nawet 2FA dla IMAP/SMTP</t>
        </is>
      </c>
    </row>
    <row r="72">
      <c r="A72" s="10" t="inlineStr">
        <is>
          <t>G-07</t>
        </is>
      </c>
      <c r="B72" s="10" t="inlineStr">
        <is>
          <t>E-06</t>
        </is>
      </c>
      <c r="C72" s="11" t="inlineStr">
        <is>
          <t>Bezpieczeństwo jako funkcja</t>
        </is>
      </c>
      <c r="D72" s="10" t="inlineStr">
        <is>
          <t>Q3 2027</t>
        </is>
      </c>
      <c r="E72" s="10" t="inlineStr">
        <is>
          <t>ŚREDNI</t>
        </is>
      </c>
      <c r="F72" s="11" t="inlineStr">
        <is>
          <t>HSTS</t>
        </is>
      </c>
      <c r="G72" s="10" t="inlineStr">
        <is>
          <t>G — SSL i bezpieczeństwo</t>
        </is>
      </c>
      <c r="H72" s="10" t="inlineStr">
        <is>
          <t>NISKA</t>
        </is>
      </c>
      <c r="I72" s="10" t="n">
        <v>6</v>
      </c>
      <c r="J72" s="10" t="inlineStr">
        <is>
          <t>BRAK</t>
        </is>
      </c>
      <c r="K72" s="11" t="inlineStr"/>
    </row>
    <row r="73">
      <c r="A73" s="10" t="inlineStr">
        <is>
          <t>G-08</t>
        </is>
      </c>
      <c r="B73" s="10" t="inlineStr">
        <is>
          <t>E-06</t>
        </is>
      </c>
      <c r="C73" s="11" t="inlineStr">
        <is>
          <t>Bezpieczeństwo jako funkcja</t>
        </is>
      </c>
      <c r="D73" s="10" t="inlineStr">
        <is>
          <t>Q3 2027</t>
        </is>
      </c>
      <c r="E73" s="10" t="inlineStr">
        <is>
          <t>ŚREDNI</t>
        </is>
      </c>
      <c r="F73" s="11" t="inlineStr">
        <is>
          <t>Sprzedaż certyfikatów DV/OV/EV</t>
        </is>
      </c>
      <c r="G73" s="10" t="inlineStr">
        <is>
          <t>G — SSL i bezpieczeństwo</t>
        </is>
      </c>
      <c r="H73" s="10" t="inlineStr">
        <is>
          <t>NISKA</t>
        </is>
      </c>
      <c r="I73" s="10" t="n">
        <v>16</v>
      </c>
      <c r="J73" s="10" t="inlineStr">
        <is>
          <t>BRAK</t>
        </is>
      </c>
      <c r="K73" s="11" t="inlineStr">
        <is>
          <t>wszystkie 5 hostingów PL to sprzedaje</t>
        </is>
      </c>
    </row>
    <row r="74">
      <c r="A74" s="10" t="inlineStr">
        <is>
          <t>G-11</t>
        </is>
      </c>
      <c r="B74" s="10" t="inlineStr">
        <is>
          <t>E-06</t>
        </is>
      </c>
      <c r="C74" s="11" t="inlineStr">
        <is>
          <t>Bezpieczeństwo jako funkcja</t>
        </is>
      </c>
      <c r="D74" s="10" t="inlineStr">
        <is>
          <t>Q3 2027</t>
        </is>
      </c>
      <c r="E74" s="10" t="inlineStr">
        <is>
          <t>ŚREDNI</t>
        </is>
      </c>
      <c r="F74" s="11" t="inlineStr">
        <is>
          <t>Skaner malware dla klienta</t>
        </is>
      </c>
      <c r="G74" s="10" t="inlineStr">
        <is>
          <t>G — SSL i bezpieczeństwo</t>
        </is>
      </c>
      <c r="H74" s="10" t="inlineStr">
        <is>
          <t>WYSOKA</t>
        </is>
      </c>
      <c r="I74" s="10" t="n">
        <v>40</v>
      </c>
      <c r="J74" s="10" t="inlineStr">
        <is>
          <t>BRAK</t>
        </is>
      </c>
      <c r="K74" s="11" t="inlineStr">
        <is>
          <t>Imunify to koszt licencyjny — pozycja do unit economics</t>
        </is>
      </c>
    </row>
    <row r="75">
      <c r="A75" s="10" t="inlineStr">
        <is>
          <t>G-12</t>
        </is>
      </c>
      <c r="B75" s="10" t="inlineStr">
        <is>
          <t>E-06</t>
        </is>
      </c>
      <c r="C75" s="11" t="inlineStr">
        <is>
          <t>Bezpieczeństwo jako funkcja</t>
        </is>
      </c>
      <c r="D75" s="10" t="inlineStr">
        <is>
          <t>Q3 2027</t>
        </is>
      </c>
      <c r="E75" s="10" t="inlineStr">
        <is>
          <t>ŚREDNI</t>
        </is>
      </c>
      <c r="F75" s="11" t="inlineStr">
        <is>
          <t>Czyszczenie zainfekowanych plików</t>
        </is>
      </c>
      <c r="G75" s="10" t="inlineStr">
        <is>
          <t>G — SSL i bezpieczeństwo</t>
        </is>
      </c>
      <c r="H75" s="10" t="inlineStr">
        <is>
          <t>ŚREDNIA</t>
        </is>
      </c>
      <c r="I75" s="10" t="n">
        <v>40</v>
      </c>
      <c r="J75" s="10" t="inlineStr">
        <is>
          <t>BRAK</t>
        </is>
      </c>
      <c r="K75" s="11" t="inlineStr"/>
    </row>
    <row r="76">
      <c r="A76" s="10" t="inlineStr">
        <is>
          <t>G-21</t>
        </is>
      </c>
      <c r="B76" s="10" t="inlineStr">
        <is>
          <t>E-06</t>
        </is>
      </c>
      <c r="C76" s="11" t="inlineStr">
        <is>
          <t>Bezpieczeństwo jako funkcja</t>
        </is>
      </c>
      <c r="D76" s="10" t="inlineStr">
        <is>
          <t>Q3 2027</t>
        </is>
      </c>
      <c r="E76" s="10" t="inlineStr">
        <is>
          <t>ŚREDNI</t>
        </is>
      </c>
      <c r="F76" s="11" t="inlineStr">
        <is>
          <t>Anty-DDoS</t>
        </is>
      </c>
      <c r="G76" s="10" t="inlineStr">
        <is>
          <t>G — SSL i bezpieczeństwo</t>
        </is>
      </c>
      <c r="H76" s="10" t="inlineStr">
        <is>
          <t>ŚREDNIA</t>
        </is>
      </c>
      <c r="I76" s="10" t="n">
        <v>40</v>
      </c>
      <c r="J76" s="10" t="inlineStr">
        <is>
          <t>BRAK</t>
        </is>
      </c>
      <c r="K76" s="11" t="inlineStr">
        <is>
          <t>wszystkie 5 hostingów PL to deklaruje — brak w ofercie będzie widoczny</t>
        </is>
      </c>
    </row>
    <row r="77">
      <c r="A77" s="10" t="inlineStr">
        <is>
          <t>O-03</t>
        </is>
      </c>
      <c r="B77" s="10" t="inlineStr">
        <is>
          <t>E-07</t>
        </is>
      </c>
      <c r="C77" s="11" t="inlineStr">
        <is>
          <t>Reseller jako produkt</t>
        </is>
      </c>
      <c r="D77" s="10" t="inlineStr">
        <is>
          <t>Q3 2027</t>
        </is>
      </c>
      <c r="E77" s="10" t="inlineStr">
        <is>
          <t>ŚREDNI</t>
        </is>
      </c>
      <c r="F77" s="11" t="inlineStr">
        <is>
          <t>Dziennik audytu działań subkont</t>
        </is>
      </c>
      <c r="G77" s="10" t="inlineStr">
        <is>
          <t>O — Multi-user i reseller</t>
        </is>
      </c>
      <c r="H77" s="10" t="inlineStr">
        <is>
          <t>ŚREDNIA</t>
        </is>
      </c>
      <c r="I77" s="10" t="n">
        <v>16</v>
      </c>
      <c r="J77" s="10" t="inlineStr">
        <is>
          <t>CZĘŚCIOWE</t>
        </is>
      </c>
      <c r="K77" s="11" t="inlineStr">
        <is>
          <t>customer-iam.controller.ts:36</t>
        </is>
      </c>
    </row>
    <row r="78">
      <c r="A78" s="10" t="inlineStr">
        <is>
          <t>O-05</t>
        </is>
      </c>
      <c r="B78" s="10" t="inlineStr">
        <is>
          <t>E-07</t>
        </is>
      </c>
      <c r="C78" s="11" t="inlineStr">
        <is>
          <t>Reseller jako produkt</t>
        </is>
      </c>
      <c r="D78" s="10" t="inlineStr">
        <is>
          <t>Q3 2027</t>
        </is>
      </c>
      <c r="E78" s="10" t="inlineStr">
        <is>
          <t>ŚREDNI</t>
        </is>
      </c>
      <c r="F78" s="11" t="inlineStr">
        <is>
          <t>Reseller — przegląd klientów</t>
        </is>
      </c>
      <c r="G78" s="10" t="inlineStr">
        <is>
          <t>O — Multi-user i reseller</t>
        </is>
      </c>
      <c r="H78" s="10" t="inlineStr">
        <is>
          <t>ŚREDNIA</t>
        </is>
      </c>
      <c r="I78" s="10" t="n">
        <v>40</v>
      </c>
      <c r="J78" s="10" t="inlineStr">
        <is>
          <t>CZĘŚCIOWE</t>
        </is>
      </c>
      <c r="K78" s="11" t="inlineStr">
        <is>
          <t>reseller.controller.ts:12,17 — 2 GET-y, zero mutacji</t>
        </is>
      </c>
    </row>
    <row r="79">
      <c r="A79" s="10" t="inlineStr">
        <is>
          <t>O-06</t>
        </is>
      </c>
      <c r="B79" s="10" t="inlineStr">
        <is>
          <t>E-07</t>
        </is>
      </c>
      <c r="C79" s="11" t="inlineStr">
        <is>
          <t>Reseller jako produkt</t>
        </is>
      </c>
      <c r="D79" s="10" t="inlineStr">
        <is>
          <t>Q3 2027</t>
        </is>
      </c>
      <c r="E79" s="10" t="inlineStr">
        <is>
          <t>ŚREDNI</t>
        </is>
      </c>
      <c r="F79" s="11" t="inlineStr">
        <is>
          <t>Reseller — zakładanie kont klientom</t>
        </is>
      </c>
      <c r="G79" s="10" t="inlineStr">
        <is>
          <t>O — Multi-user i reseller</t>
        </is>
      </c>
      <c r="H79" s="10" t="inlineStr">
        <is>
          <t>ŚREDNIA</t>
        </is>
      </c>
      <c r="I79" s="10" t="n">
        <v>40</v>
      </c>
      <c r="J79" s="10" t="inlineStr">
        <is>
          <t>BRAK</t>
        </is>
      </c>
      <c r="K79" s="11" t="inlineStr">
        <is>
          <t>bez tego reseller nie jest produktem</t>
        </is>
      </c>
    </row>
    <row r="80">
      <c r="A80" s="10" t="inlineStr">
        <is>
          <t>O-07</t>
        </is>
      </c>
      <c r="B80" s="10" t="inlineStr">
        <is>
          <t>E-07</t>
        </is>
      </c>
      <c r="C80" s="11" t="inlineStr">
        <is>
          <t>Reseller jako produkt</t>
        </is>
      </c>
      <c r="D80" s="10" t="inlineStr">
        <is>
          <t>Q3 2027</t>
        </is>
      </c>
      <c r="E80" s="10" t="inlineStr">
        <is>
          <t>ŚREDNI</t>
        </is>
      </c>
      <c r="F80" s="11" t="inlineStr">
        <is>
          <t>Reseller — ustawianie własnej marży</t>
        </is>
      </c>
      <c r="G80" s="10" t="inlineStr">
        <is>
          <t>O — Multi-user i reseller</t>
        </is>
      </c>
      <c r="H80" s="10" t="inlineStr">
        <is>
          <t>NISKA</t>
        </is>
      </c>
      <c r="I80" s="10" t="n">
        <v>16</v>
      </c>
      <c r="J80" s="10" t="inlineStr">
        <is>
          <t>CZĘŚCIOWE</t>
        </is>
      </c>
      <c r="K80" s="11" t="inlineStr">
        <is>
          <t>reseller.admin.controller.ts:44,50 — tylko operator, nie reseller</t>
        </is>
      </c>
    </row>
    <row r="81">
      <c r="A81" s="10" t="inlineStr">
        <is>
          <t>O-08</t>
        </is>
      </c>
      <c r="B81" s="10" t="inlineStr">
        <is>
          <t>E-07</t>
        </is>
      </c>
      <c r="C81" s="11" t="inlineStr">
        <is>
          <t>Reseller jako produkt</t>
        </is>
      </c>
      <c r="D81" s="10" t="inlineStr">
        <is>
          <t>Q3 2027</t>
        </is>
      </c>
      <c r="E81" s="10" t="inlineStr">
        <is>
          <t>ŚREDNI</t>
        </is>
      </c>
      <c r="F81" s="11" t="inlineStr">
        <is>
          <t>Reseller — samodzielne włączenie programu</t>
        </is>
      </c>
      <c r="G81" s="10" t="inlineStr">
        <is>
          <t>O — Multi-user i reseller</t>
        </is>
      </c>
      <c r="H81" s="10" t="inlineStr">
        <is>
          <t>NISKA</t>
        </is>
      </c>
      <c r="I81" s="10" t="n">
        <v>16</v>
      </c>
      <c r="J81" s="10" t="inlineStr">
        <is>
          <t>ATRAPA</t>
        </is>
      </c>
      <c r="K81" s="11" t="inlineStr">
        <is>
          <t>reseller-client.tsx:49 — jedyna akcja to „Napisz do nas”</t>
        </is>
      </c>
    </row>
    <row r="82">
      <c r="A82" s="10" t="inlineStr">
        <is>
          <t>O-09</t>
        </is>
      </c>
      <c r="B82" s="10" t="inlineStr">
        <is>
          <t>E-07</t>
        </is>
      </c>
      <c r="C82" s="11" t="inlineStr">
        <is>
          <t>Reseller jako produkt</t>
        </is>
      </c>
      <c r="D82" s="10" t="inlineStr">
        <is>
          <t>Q3 2027</t>
        </is>
      </c>
      <c r="E82" s="10" t="inlineStr">
        <is>
          <t>ŚREDNI</t>
        </is>
      </c>
      <c r="F82" s="11" t="inlineStr">
        <is>
          <t>White-label / własna marka resellera</t>
        </is>
      </c>
      <c r="G82" s="10" t="inlineStr">
        <is>
          <t>O — Multi-user i reseller</t>
        </is>
      </c>
      <c r="H82" s="10" t="inlineStr">
        <is>
          <t>NISKA</t>
        </is>
      </c>
      <c r="I82" s="10" t="n">
        <v>40</v>
      </c>
      <c r="J82" s="10" t="inlineStr">
        <is>
          <t>CZĘŚCIOWE</t>
        </is>
      </c>
      <c r="K82" s="11" t="inlineStr">
        <is>
          <t>reseller.admin.controller.ts:44 (brand po stronie operatora)</t>
        </is>
      </c>
    </row>
    <row r="83">
      <c r="A83" s="10" t="inlineStr">
        <is>
          <t>Z-10</t>
        </is>
      </c>
      <c r="B83" s="10" t="inlineStr">
        <is>
          <t>E-07</t>
        </is>
      </c>
      <c r="C83" s="11" t="inlineStr">
        <is>
          <t>Reseller jako produkt</t>
        </is>
      </c>
      <c r="D83" s="10" t="inlineStr">
        <is>
          <t>Q3 2027</t>
        </is>
      </c>
      <c r="E83" s="10" t="inlineStr">
        <is>
          <t>ŚREDNI</t>
        </is>
      </c>
      <c r="F83" s="11" t="inlineStr">
        <is>
          <t>Izolacja rekordów między kontami klientów + dziennik odmów subkont</t>
        </is>
      </c>
      <c r="G83" s="10" t="inlineStr">
        <is>
          <t>O — Multi-user i reseller</t>
        </is>
      </c>
      <c r="H83" s="10" t="inlineStr">
        <is>
          <t>WYSOKA</t>
        </is>
      </c>
      <c r="I83" s="10" t="n">
        <v>40</v>
      </c>
      <c r="J83" s="10" t="inlineStr">
        <is>
          <t>b.d.</t>
        </is>
      </c>
      <c r="K83" s="11" t="inlineStr">
        <is>
          <t>brak systematycznego przeglądu; każdy serwis sprawdza właściciela zasobu po swojemu</t>
        </is>
      </c>
    </row>
    <row r="84">
      <c r="A84" s="10" t="inlineStr">
        <is>
          <t>P-11</t>
        </is>
      </c>
      <c r="B84" s="10" t="inlineStr">
        <is>
          <t>E-08</t>
        </is>
      </c>
      <c r="C84" s="11" t="inlineStr">
        <is>
          <t>Dostępność i zgodność w produkcie</t>
        </is>
      </c>
      <c r="D84" s="10" t="inlineStr">
        <is>
          <t>Q3 2027</t>
        </is>
      </c>
      <c r="E84" s="10" t="inlineStr">
        <is>
          <t>ŚREDNI</t>
        </is>
      </c>
      <c r="F84" s="11" t="inlineStr">
        <is>
          <t>Rejestr czynności przetwarzania (art. 30)</t>
        </is>
      </c>
      <c r="G84" s="10" t="inlineStr">
        <is>
          <t>P — Zgodność</t>
        </is>
      </c>
      <c r="H84" s="10" t="inlineStr">
        <is>
          <t>ŚREDNIA</t>
        </is>
      </c>
      <c r="I84" s="10" t="n">
        <v>16</v>
      </c>
      <c r="J84" s="10" t="inlineStr">
        <is>
          <t>BRAK</t>
        </is>
      </c>
      <c r="K84" s="11" t="inlineStr">
        <is>
          <t>docs/legal/rcpd.md — sekcje A (administrator), B (procesor, art. 30 ust. 2), C (art. 32), D (przeglądy)</t>
        </is>
      </c>
    </row>
    <row r="85">
      <c r="A85" s="10" t="inlineStr">
        <is>
          <t>P-12</t>
        </is>
      </c>
      <c r="B85" s="10" t="inlineStr">
        <is>
          <t>E-08</t>
        </is>
      </c>
      <c r="C85" s="11" t="inlineStr">
        <is>
          <t>Dostępność i zgodność w produkcie</t>
        </is>
      </c>
      <c r="D85" s="10" t="inlineStr">
        <is>
          <t>Q3 2027</t>
        </is>
      </c>
      <c r="E85" s="10" t="inlineStr">
        <is>
          <t>ŚREDNI</t>
        </is>
      </c>
      <c r="F85" s="11" t="inlineStr">
        <is>
          <t>Dostępność panelu wg WCAG 2.1 AA (EAA)</t>
        </is>
      </c>
      <c r="G85" s="10" t="inlineStr">
        <is>
          <t>P — Zgodność</t>
        </is>
      </c>
      <c r="H85" s="10" t="inlineStr">
        <is>
          <t>ŚREDNIA</t>
        </is>
      </c>
      <c r="I85" s="10" t="n">
        <v>40</v>
      </c>
      <c r="J85" s="10" t="inlineStr">
        <is>
          <t>CZĘŚCIOWE</t>
        </is>
      </c>
      <c r="K85" s="11" t="inlineStr">
        <is>
          <t>eslint.config.mjs w 4 aplikacjach: jsx-a11y recommended jako błędy (34 reguły); 76 → 0 znalezisk (client 52, admin 17, staff 6, www 1)</t>
        </is>
      </c>
    </row>
    <row r="86">
      <c r="A86" s="10" t="inlineStr">
        <is>
          <t>P-14</t>
        </is>
      </c>
      <c r="B86" s="10" t="inlineStr">
        <is>
          <t>E-08</t>
        </is>
      </c>
      <c r="C86" s="11" t="inlineStr">
        <is>
          <t>Dostępność i zgodność w produkcie</t>
        </is>
      </c>
      <c r="D86" s="10" t="inlineStr">
        <is>
          <t>Q3 2027</t>
        </is>
      </c>
      <c r="E86" s="10" t="inlineStr">
        <is>
          <t>ŚREDNI</t>
        </is>
      </c>
      <c r="F86" s="11" t="inlineStr">
        <is>
          <t>Certyfikacja ISO 27001</t>
        </is>
      </c>
      <c r="G86" s="10" t="inlineStr">
        <is>
          <t>P — Zgodność</t>
        </is>
      </c>
      <c r="H86" s="10" t="inlineStr">
        <is>
          <t>NISKA</t>
        </is>
      </c>
      <c r="I86" s="10" t="n">
        <v>40</v>
      </c>
      <c r="J86" s="10" t="inlineStr">
        <is>
          <t>BRAK</t>
        </is>
      </c>
      <c r="K86" s="11" t="inlineStr">
        <is>
          <t>home.pl i nazwa.pl mają — element przetargowy w B2B</t>
        </is>
      </c>
    </row>
    <row r="87">
      <c r="A87" s="10" t="inlineStr">
        <is>
          <t>Q-09</t>
        </is>
      </c>
      <c r="B87" s="10" t="inlineStr">
        <is>
          <t>E-08</t>
        </is>
      </c>
      <c r="C87" s="11" t="inlineStr">
        <is>
          <t>Dostępność i zgodność w produkcie</t>
        </is>
      </c>
      <c r="D87" s="10" t="inlineStr">
        <is>
          <t>Q3 2027</t>
        </is>
      </c>
      <c r="E87" s="10" t="inlineStr">
        <is>
          <t>ŚREDNI</t>
        </is>
      </c>
      <c r="F87" s="11" t="inlineStr">
        <is>
          <t>Panel responsywny na telefonie</t>
        </is>
      </c>
      <c r="G87" s="10" t="inlineStr">
        <is>
          <t>Q — Przewaga</t>
        </is>
      </c>
      <c r="H87" s="10" t="inlineStr">
        <is>
          <t>WYSOKA</t>
        </is>
      </c>
      <c r="I87" s="10" t="n">
        <v>16</v>
      </c>
      <c r="J87" s="10" t="inlineStr">
        <is>
          <t>CZĘŚCIOWE</t>
        </is>
      </c>
      <c r="K87" s="11" t="inlineStr">
        <is>
          <t>src/test/tabele-na-telefonie.spec.ts — każda tabela panelu klienta ma v2-stack (globals.css @media ≤767px: wiersz → bloki z nazwą kolumny) albo idzie przez ResponsiveDataView; każda komórka ma data-label; zakaz hidden …:table-cell</t>
        </is>
      </c>
    </row>
    <row r="88">
      <c r="A88" s="10" t="inlineStr">
        <is>
          <t>F-03</t>
        </is>
      </c>
      <c r="B88" s="10" t="inlineStr">
        <is>
          <t>E-11</t>
        </is>
      </c>
      <c r="C88" s="11" t="inlineStr">
        <is>
          <t>DNS: DNSSEC i zarządzanie strefą</t>
        </is>
      </c>
      <c r="D88" s="10" t="inlineStr">
        <is>
          <t>Q3 2027</t>
        </is>
      </c>
      <c r="E88" s="10" t="inlineStr">
        <is>
          <t>ŚREDNI</t>
        </is>
      </c>
      <c r="F88" s="11" t="inlineStr">
        <is>
          <t>Link do strefy DNS w DirectAdmin</t>
        </is>
      </c>
      <c r="G88" s="10" t="inlineStr">
        <is>
          <t>F — DNS</t>
        </is>
      </c>
      <c r="H88" s="10" t="inlineStr">
        <is>
          <t>—</t>
        </is>
      </c>
      <c r="I88" s="10" t="n">
        <v>0</v>
      </c>
      <c r="J88" s="10" t="inlineStr">
        <is>
          <t>DZIAŁA</t>
        </is>
      </c>
      <c r="K88" s="11" t="inlineStr">
        <is>
          <t>services.controller.ts:350</t>
        </is>
      </c>
    </row>
    <row r="89">
      <c r="A89" s="10" t="inlineStr">
        <is>
          <t>F-06</t>
        </is>
      </c>
      <c r="B89" s="10" t="inlineStr">
        <is>
          <t>E-11</t>
        </is>
      </c>
      <c r="C89" s="11" t="inlineStr">
        <is>
          <t>DNS: DNSSEC i zarządzanie strefą</t>
        </is>
      </c>
      <c r="D89" s="10" t="inlineStr">
        <is>
          <t>Q3 2027</t>
        </is>
      </c>
      <c r="E89" s="10" t="inlineStr">
        <is>
          <t>ŚREDNI</t>
        </is>
      </c>
      <c r="F89" s="11" t="inlineStr">
        <is>
          <t>DNSSEC</t>
        </is>
      </c>
      <c r="G89" s="10" t="inlineStr">
        <is>
          <t>F — DNS</t>
        </is>
      </c>
      <c r="H89" s="10" t="inlineStr">
        <is>
          <t>ŚREDNIA</t>
        </is>
      </c>
      <c r="I89" s="10" t="n">
        <v>16</v>
      </c>
      <c r="J89" s="10" t="inlineStr">
        <is>
          <t>BRAK</t>
        </is>
      </c>
      <c r="K89" s="11" t="inlineStr">
        <is>
          <t>żaden z 5 hostingów PL nie potwierdza publicznie</t>
        </is>
      </c>
    </row>
    <row r="90">
      <c r="A90" s="10" t="inlineStr">
        <is>
          <t>F-11</t>
        </is>
      </c>
      <c r="B90" s="10" t="inlineStr">
        <is>
          <t>E-11</t>
        </is>
      </c>
      <c r="C90" s="11" t="inlineStr">
        <is>
          <t>DNS: DNSSEC i zarządzanie strefą</t>
        </is>
      </c>
      <c r="D90" s="10" t="inlineStr">
        <is>
          <t>Q3 2027</t>
        </is>
      </c>
      <c r="E90" s="10" t="inlineStr">
        <is>
          <t>ŚREDNI</t>
        </is>
      </c>
      <c r="F90" s="11" t="inlineStr">
        <is>
          <t>Zmiana TTL rekordów</t>
        </is>
      </c>
      <c r="G90" s="10" t="inlineStr">
        <is>
          <t>F — DNS</t>
        </is>
      </c>
      <c r="H90" s="10" t="inlineStr">
        <is>
          <t>ŚREDNIA</t>
        </is>
      </c>
      <c r="I90" s="10" t="n">
        <v>6</v>
      </c>
      <c r="J90" s="10" t="inlineStr">
        <is>
          <t>CZĘŚCIOWE</t>
        </is>
      </c>
      <c r="K90" s="11" t="inlineStr">
        <is>
          <t>dns-manager.tsx:287,349 — pole TTL w formularzu rekordu → UtworzRekordDnsDto.ttl (60–86400) → directadmin.service createHostingDnsRecord ttl</t>
        </is>
      </c>
    </row>
    <row r="91">
      <c r="A91" s="10" t="inlineStr">
        <is>
          <t>F-12</t>
        </is>
      </c>
      <c r="B91" s="10" t="inlineStr">
        <is>
          <t>E-11</t>
        </is>
      </c>
      <c r="C91" s="11" t="inlineStr">
        <is>
          <t>DNS: DNSSEC i zarządzanie strefą</t>
        </is>
      </c>
      <c r="D91" s="10" t="inlineStr">
        <is>
          <t>Q3 2027</t>
        </is>
      </c>
      <c r="E91" s="10" t="inlineStr">
        <is>
          <t>ŚREDNI</t>
        </is>
      </c>
      <c r="F91" s="11" t="inlineStr">
        <is>
          <t>Anycast DNS</t>
        </is>
      </c>
      <c r="G91" s="10" t="inlineStr">
        <is>
          <t>F — DNS</t>
        </is>
      </c>
      <c r="H91" s="10" t="inlineStr">
        <is>
          <t>NISKA</t>
        </is>
      </c>
      <c r="I91" s="10" t="n">
        <v>40</v>
      </c>
      <c r="J91" s="10" t="inlineStr">
        <is>
          <t>BRAK</t>
        </is>
      </c>
      <c r="K91" s="11" t="inlineStr">
        <is>
          <t>tylko nazwa.pl na rynku PL</t>
        </is>
      </c>
    </row>
    <row r="92">
      <c r="A92" s="10" t="inlineStr">
        <is>
          <t>L-04</t>
        </is>
      </c>
      <c r="B92" s="10" t="inlineStr">
        <is>
          <t>E-13</t>
        </is>
      </c>
      <c r="C92" s="11" t="inlineStr">
        <is>
          <t>Automatyzacja: API zapisu i webhooki</t>
        </is>
      </c>
      <c r="D92" s="10" t="inlineStr">
        <is>
          <t>Q3 2027</t>
        </is>
      </c>
      <c r="E92" s="10" t="inlineStr">
        <is>
          <t>ŚREDNI</t>
        </is>
      </c>
      <c r="F92" s="11" t="inlineStr">
        <is>
          <t>Cron z interwałem 1 minuty</t>
        </is>
      </c>
      <c r="G92" s="10" t="inlineStr">
        <is>
          <t>L — Automatyzacja</t>
        </is>
      </c>
      <c r="H92" s="10" t="inlineStr">
        <is>
          <t>NISKA</t>
        </is>
      </c>
      <c r="I92" s="10" t="n">
        <v>6</v>
      </c>
      <c r="J92" s="10" t="inlineStr">
        <is>
          <t>b.d.</t>
        </is>
      </c>
      <c r="K92" s="11" t="inlineStr">
        <is>
          <t>zależne od konfiguracji DA</t>
        </is>
      </c>
    </row>
    <row r="93">
      <c r="A93" s="10" t="inlineStr">
        <is>
          <t>L-05</t>
        </is>
      </c>
      <c r="B93" s="10" t="inlineStr">
        <is>
          <t>E-13</t>
        </is>
      </c>
      <c r="C93" s="11" t="inlineStr">
        <is>
          <t>Automatyzacja: API zapisu i webhooki</t>
        </is>
      </c>
      <c r="D93" s="10" t="inlineStr">
        <is>
          <t>Q3 2027</t>
        </is>
      </c>
      <c r="E93" s="10" t="inlineStr">
        <is>
          <t>ŚREDNI</t>
        </is>
      </c>
      <c r="F93" s="11" t="inlineStr">
        <is>
          <t>Cron z wyborem wersji PHP</t>
        </is>
      </c>
      <c r="G93" s="10" t="inlineStr">
        <is>
          <t>L — Automatyzacja</t>
        </is>
      </c>
      <c r="H93" s="10" t="inlineStr">
        <is>
          <t>ŚREDNIA</t>
        </is>
      </c>
      <c r="I93" s="10" t="n">
        <v>6</v>
      </c>
      <c r="J93" s="10" t="inlineStr">
        <is>
          <t>BRAK</t>
        </is>
      </c>
      <c r="K93" s="11" t="inlineStr">
        <is>
          <t>seohost to reklamuje</t>
        </is>
      </c>
    </row>
    <row r="94">
      <c r="A94" s="10" t="inlineStr">
        <is>
          <t>L-06</t>
        </is>
      </c>
      <c r="B94" s="10" t="inlineStr">
        <is>
          <t>E-13</t>
        </is>
      </c>
      <c r="C94" s="11" t="inlineStr">
        <is>
          <t>Automatyzacja: API zapisu i webhooki</t>
        </is>
      </c>
      <c r="D94" s="10" t="inlineStr">
        <is>
          <t>Q3 2027</t>
        </is>
      </c>
      <c r="E94" s="10" t="inlineStr">
        <is>
          <t>ŚREDNI</t>
        </is>
      </c>
      <c r="F94" s="11" t="inlineStr">
        <is>
          <t>Podgląd wyniku ostatniego wykonania crona</t>
        </is>
      </c>
      <c r="G94" s="10" t="inlineStr">
        <is>
          <t>L — Automatyzacja</t>
        </is>
      </c>
      <c r="H94" s="10" t="inlineStr">
        <is>
          <t>ŚREDNIA</t>
        </is>
      </c>
      <c r="I94" s="10" t="n">
        <v>16</v>
      </c>
      <c r="J94" s="10" t="inlineStr">
        <is>
          <t>BRAK</t>
        </is>
      </c>
      <c r="K94" s="11" t="inlineStr"/>
    </row>
    <row r="95">
      <c r="A95" s="10" t="inlineStr">
        <is>
          <t>L-08</t>
        </is>
      </c>
      <c r="B95" s="10" t="inlineStr">
        <is>
          <t>E-13</t>
        </is>
      </c>
      <c r="C95" s="11" t="inlineStr">
        <is>
          <t>Automatyzacja: API zapisu i webhooki</t>
        </is>
      </c>
      <c r="D95" s="10" t="inlineStr">
        <is>
          <t>Q3 2027</t>
        </is>
      </c>
      <c r="E95" s="10" t="inlineStr">
        <is>
          <t>ŚREDNI</t>
        </is>
      </c>
      <c r="F95" s="11" t="inlineStr">
        <is>
          <t>Publiczne API — zapis</t>
        </is>
      </c>
      <c r="G95" s="10" t="inlineStr">
        <is>
          <t>L — Automatyzacja</t>
        </is>
      </c>
      <c r="H95" s="10" t="inlineStr">
        <is>
          <t>ŚREDNIA</t>
        </is>
      </c>
      <c r="I95" s="10" t="n">
        <v>40</v>
      </c>
      <c r="J95" s="10" t="inlineStr">
        <is>
          <t>BRAK</t>
        </is>
      </c>
      <c r="K95" s="11" t="inlineStr">
        <is>
          <t>api-scopes.ts:3 — 3 zakresy read-only; przyznane w api-tokens-client.tsx:158</t>
        </is>
      </c>
    </row>
    <row r="96">
      <c r="A96" s="10" t="inlineStr">
        <is>
          <t>L-09</t>
        </is>
      </c>
      <c r="B96" s="10" t="inlineStr">
        <is>
          <t>E-13</t>
        </is>
      </c>
      <c r="C96" s="11" t="inlineStr">
        <is>
          <t>Automatyzacja: API zapisu i webhooki</t>
        </is>
      </c>
      <c r="D96" s="10" t="inlineStr">
        <is>
          <t>Q3 2027</t>
        </is>
      </c>
      <c r="E96" s="10" t="inlineStr">
        <is>
          <t>ŚREDNI</t>
        </is>
      </c>
      <c r="F96" s="11" t="inlineStr">
        <is>
          <t>Tokeny API z zakresami uprawnień</t>
        </is>
      </c>
      <c r="G96" s="10" t="inlineStr">
        <is>
          <t>L — Automatyzacja</t>
        </is>
      </c>
      <c r="H96" s="10" t="inlineStr">
        <is>
          <t>NISKA</t>
        </is>
      </c>
      <c r="I96" s="10" t="n">
        <v>6</v>
      </c>
      <c r="J96" s="10" t="inlineStr">
        <is>
          <t>CZĘŚCIOWE</t>
        </is>
      </c>
      <c r="K96" s="11" t="inlineStr">
        <is>
          <t>api-tokens.controller.ts:35</t>
        </is>
      </c>
    </row>
    <row r="97">
      <c r="A97" s="10" t="inlineStr">
        <is>
          <t>L-10</t>
        </is>
      </c>
      <c r="B97" s="10" t="inlineStr">
        <is>
          <t>E-13</t>
        </is>
      </c>
      <c r="C97" s="11" t="inlineStr">
        <is>
          <t>Automatyzacja: API zapisu i webhooki</t>
        </is>
      </c>
      <c r="D97" s="10" t="inlineStr">
        <is>
          <t>Q3 2027</t>
        </is>
      </c>
      <c r="E97" s="10" t="inlineStr">
        <is>
          <t>ŚREDNI</t>
        </is>
      </c>
      <c r="F97" s="11" t="inlineStr">
        <is>
          <t>Webhooki dla klienta</t>
        </is>
      </c>
      <c r="G97" s="10" t="inlineStr">
        <is>
          <t>L — Automatyzacja</t>
        </is>
      </c>
      <c r="H97" s="10" t="inlineStr">
        <is>
          <t>NISKA</t>
        </is>
      </c>
      <c r="I97" s="10" t="n">
        <v>16</v>
      </c>
      <c r="J97" s="10" t="inlineStr">
        <is>
          <t>BRAK</t>
        </is>
      </c>
      <c r="K97" s="11" t="inlineStr"/>
    </row>
    <row r="98">
      <c r="A98" s="10" t="inlineStr">
        <is>
          <t>L-11</t>
        </is>
      </c>
      <c r="B98" s="10" t="inlineStr">
        <is>
          <t>E-13</t>
        </is>
      </c>
      <c r="C98" s="11" t="inlineStr">
        <is>
          <t>Automatyzacja: API zapisu i webhooki</t>
        </is>
      </c>
      <c r="D98" s="10" t="inlineStr">
        <is>
          <t>Q3 2027</t>
        </is>
      </c>
      <c r="E98" s="10" t="inlineStr">
        <is>
          <t>ŚREDNI</t>
        </is>
      </c>
      <c r="F98" s="11" t="inlineStr">
        <is>
          <t>Asystent AI w panelu</t>
        </is>
      </c>
      <c r="G98" s="10" t="inlineStr">
        <is>
          <t>L — Automatyzacja</t>
        </is>
      </c>
      <c r="H98" s="10" t="inlineStr">
        <is>
          <t>ŚREDNIA</t>
        </is>
      </c>
      <c r="I98" s="10" t="n">
        <v>6</v>
      </c>
      <c r="J98" s="10" t="inlineStr">
        <is>
          <t>FLAGA</t>
        </is>
      </c>
      <c r="K98" s="11" t="inlineStr">
        <is>
          <t>HostingAssistant.tsx:61; ai-provider.service.ts:21 — AI_API_KEY domyślnie pusty</t>
        </is>
      </c>
    </row>
    <row r="99">
      <c r="A99" s="10" t="inlineStr">
        <is>
          <t>L-12</t>
        </is>
      </c>
      <c r="B99" s="10" t="inlineStr">
        <is>
          <t>E-13</t>
        </is>
      </c>
      <c r="C99" s="11" t="inlineStr">
        <is>
          <t>Automatyzacja: API zapisu i webhooki</t>
        </is>
      </c>
      <c r="D99" s="10" t="inlineStr">
        <is>
          <t>Q3 2027</t>
        </is>
      </c>
      <c r="E99" s="10" t="inlineStr">
        <is>
          <t>ŚREDNI</t>
        </is>
      </c>
      <c r="F99" s="11" t="inlineStr">
        <is>
          <t>Prognoza zużycia zasobów (AI)</t>
        </is>
      </c>
      <c r="G99" s="10" t="inlineStr">
        <is>
          <t>L — Automatyzacja</t>
        </is>
      </c>
      <c r="H99" s="10" t="inlineStr">
        <is>
          <t>NISKA</t>
        </is>
      </c>
      <c r="I99" s="10" t="n">
        <v>6</v>
      </c>
      <c r="J99" s="10" t="inlineStr">
        <is>
          <t>FLAGA</t>
        </is>
      </c>
      <c r="K99" s="11" t="inlineStr">
        <is>
          <t>hosting-forecast-actions.ts:7; fallback ServiceForecastPanel.tsx:97</t>
        </is>
      </c>
    </row>
    <row r="100">
      <c r="A100" s="10" t="inlineStr">
        <is>
          <t>NODE-01</t>
        </is>
      </c>
      <c r="B100" s="10" t="inlineStr">
        <is>
          <t>E-16</t>
        </is>
      </c>
      <c r="C100" s="11" t="inlineStr">
        <is>
          <t>Rozszerzenia oferty</t>
        </is>
      </c>
      <c r="D100" s="10" t="inlineStr">
        <is>
          <t>Q4 2027</t>
        </is>
      </c>
      <c r="E100" s="10" t="inlineStr">
        <is>
          <t>NISKI</t>
        </is>
      </c>
      <c r="F100" s="11" t="inlineStr">
        <is>
          <t>Dwie niepołączone ścieżki dodania węzła w tym samym panelu</t>
        </is>
      </c>
      <c r="G100" s="10" t="inlineStr">
        <is>
          <t>Q — Przewaga</t>
        </is>
      </c>
      <c r="H100" s="10" t="inlineStr">
        <is>
          <t>ŚREDNIA</t>
        </is>
      </c>
      <c r="I100" s="10" t="n">
        <v>16</v>
      </c>
      <c r="J100" s="10" t="inlineStr">
        <is>
          <t>BRAK</t>
        </is>
      </c>
      <c r="K100" s="11" t="inlineStr">
        <is>
          <t>`node-wizard.tsx` vs `node-bootstrap.script.ts`; `NODE_ONBOARD_RUNBOOK.md` vs `NODE_BOOTSTRAP_V2.md` §9</t>
        </is>
      </c>
    </row>
    <row r="101">
      <c r="A101" s="10" t="inlineStr">
        <is>
          <t>PROD-02</t>
        </is>
      </c>
      <c r="B101" s="10" t="inlineStr">
        <is>
          <t>E-16</t>
        </is>
      </c>
      <c r="C101" s="11" t="inlineStr">
        <is>
          <t>Rozszerzenia oferty</t>
        </is>
      </c>
      <c r="D101" s="10" t="inlineStr">
        <is>
          <t>Q4 2027</t>
        </is>
      </c>
      <c r="E101" s="10" t="inlineStr">
        <is>
          <t>NISKI</t>
        </is>
      </c>
      <c r="F101" s="11" t="inlineStr">
        <is>
          <t>Kreator klienta i procent konfiguracji w sidebarze</t>
        </is>
      </c>
      <c r="G101" s="10" t="inlineStr">
        <is>
          <t>Q — Przewaga</t>
        </is>
      </c>
      <c r="H101" s="10" t="inlineStr">
        <is>
          <t>WYSOKA</t>
        </is>
      </c>
      <c r="I101" s="10" t="n">
        <v>16</v>
      </c>
      <c r="J101" s="10" t="inlineStr">
        <is>
          <t>CZĘŚCIOWE</t>
        </is>
      </c>
      <c r="K101" s="11" t="inlineStr">
        <is>
          <t>onboarding-kroki.ts (najnizszyPostep, uslugiOnboardingu) + onboarding-kroki.spec.ts (13 testów); layout.tsx SetupProgress nad belką użytkownika; User.onboardingHidden (migracja 20260924090000) + PATCH /users/me; users.service.profile.spec.ts</t>
        </is>
      </c>
    </row>
    <row r="102">
      <c r="A102" s="10" t="inlineStr">
        <is>
          <t>Q-06</t>
        </is>
      </c>
      <c r="B102" s="10" t="inlineStr">
        <is>
          <t>E-16</t>
        </is>
      </c>
      <c r="C102" s="11" t="inlineStr">
        <is>
          <t>Rozszerzenia oferty</t>
        </is>
      </c>
      <c r="D102" s="10" t="inlineStr">
        <is>
          <t>Q4 2027</t>
        </is>
      </c>
      <c r="E102" s="10" t="inlineStr">
        <is>
          <t>NISKI</t>
        </is>
      </c>
      <c r="F102" s="11" t="inlineStr">
        <is>
          <t>VPS / cloud w tym samym panelu</t>
        </is>
      </c>
      <c r="G102" s="10" t="inlineStr">
        <is>
          <t>Q — Przewaga</t>
        </is>
      </c>
      <c r="H102" s="10" t="inlineStr">
        <is>
          <t>ŚREDNIA</t>
        </is>
      </c>
      <c r="I102" s="10" t="n">
        <v>16</v>
      </c>
      <c r="J102" s="10" t="inlineStr">
        <is>
          <t>FLAGA</t>
        </is>
      </c>
      <c r="K102" s="11" t="inlineStr">
        <is>
          <t>vps.controller.ts:53,59,69; HETZNER_API_TOKEN</t>
        </is>
      </c>
    </row>
    <row r="103">
      <c r="A103" s="10" t="inlineStr">
        <is>
          <t>Q-07</t>
        </is>
      </c>
      <c r="B103" s="10" t="inlineStr">
        <is>
          <t>E-16</t>
        </is>
      </c>
      <c r="C103" s="11" t="inlineStr">
        <is>
          <t>Rozszerzenia oferty</t>
        </is>
      </c>
      <c r="D103" s="10" t="inlineStr">
        <is>
          <t>Q4 2027</t>
        </is>
      </c>
      <c r="E103" s="10" t="inlineStr">
        <is>
          <t>NISKI</t>
        </is>
      </c>
      <c r="F103" s="11" t="inlineStr">
        <is>
          <t>VPS — konsola / VNC</t>
        </is>
      </c>
      <c r="G103" s="10" t="inlineStr">
        <is>
          <t>Q — Przewaga</t>
        </is>
      </c>
      <c r="H103" s="10" t="inlineStr">
        <is>
          <t>NISKA</t>
        </is>
      </c>
      <c r="I103" s="10" t="n">
        <v>16</v>
      </c>
      <c r="J103" s="10" t="inlineStr">
        <is>
          <t>BRAK</t>
        </is>
      </c>
      <c r="K103" s="11" t="inlineStr"/>
    </row>
    <row r="104">
      <c r="A104" s="10" t="inlineStr">
        <is>
          <t>Q-08</t>
        </is>
      </c>
      <c r="B104" s="10" t="inlineStr">
        <is>
          <t>E-16</t>
        </is>
      </c>
      <c r="C104" s="11" t="inlineStr">
        <is>
          <t>Rozszerzenia oferty</t>
        </is>
      </c>
      <c r="D104" s="10" t="inlineStr">
        <is>
          <t>Q4 2027</t>
        </is>
      </c>
      <c r="E104" s="10" t="inlineStr">
        <is>
          <t>NISKI</t>
        </is>
      </c>
      <c r="F104" s="11" t="inlineStr">
        <is>
          <t>VPS — snapshoty i rebuild</t>
        </is>
      </c>
      <c r="G104" s="10" t="inlineStr">
        <is>
          <t>Q — Przewaga</t>
        </is>
      </c>
      <c r="H104" s="10" t="inlineStr">
        <is>
          <t>NISKA</t>
        </is>
      </c>
      <c r="I104" s="10" t="n">
        <v>16</v>
      </c>
      <c r="J104" s="10" t="inlineStr">
        <is>
          <t>BRAK</t>
        </is>
      </c>
      <c r="K104" s="11" t="inlineStr"/>
    </row>
    <row r="105">
      <c r="A105" s="10" t="inlineStr">
        <is>
          <t>Q-14</t>
        </is>
      </c>
      <c r="B105" s="10" t="inlineStr">
        <is>
          <t>E-16</t>
        </is>
      </c>
      <c r="C105" s="11" t="inlineStr">
        <is>
          <t>Rozszerzenia oferty</t>
        </is>
      </c>
      <c r="D105" s="10" t="inlineStr">
        <is>
          <t>Q4 2027</t>
        </is>
      </c>
      <c r="E105" s="10" t="inlineStr">
        <is>
          <t>NISKI</t>
        </is>
      </c>
      <c r="F105" s="11" t="inlineStr">
        <is>
          <t>Kreator uruchomienia węzła</t>
        </is>
      </c>
      <c r="G105" s="10" t="inlineStr">
        <is>
          <t>Q — Przewaga</t>
        </is>
      </c>
      <c r="H105" s="10" t="inlineStr">
        <is>
          <t>WYSOKA</t>
        </is>
      </c>
      <c r="I105" s="10" t="n">
        <v>16</v>
      </c>
      <c r="J105" s="10" t="inlineStr">
        <is>
          <t>CZĘŚCIOWE</t>
        </is>
      </c>
      <c r="K105" s="11" t="inlineStr">
        <is>
          <t>node-wizard.tsx:277,288 — realnie tylko init + bootstrap; 7 z 9 kroków to treść runbooka (wizard-content.ts:21-40)</t>
        </is>
      </c>
    </row>
    <row r="106">
      <c r="A106" s="10" t="inlineStr">
        <is>
          <t>X-04</t>
        </is>
      </c>
      <c r="B106" s="10" t="inlineStr">
        <is>
          <t>E-09</t>
        </is>
      </c>
      <c r="C106" s="11" t="inlineStr">
        <is>
          <t>Pokrycie testowe warstw krytycznych</t>
        </is>
      </c>
      <c r="D106" s="10" t="inlineStr">
        <is>
          <t>ciągłe</t>
        </is>
      </c>
      <c r="E106" s="10" t="inlineStr">
        <is>
          <t>WYSOKI</t>
        </is>
      </c>
      <c r="F106" s="11" t="inlineStr">
        <is>
          <t>Testy integracyjne / e2e API</t>
        </is>
      </c>
      <c r="G106" s="10" t="inlineStr">
        <is>
          <t>X — Infrastruktura jakości</t>
        </is>
      </c>
      <c r="H106" s="10" t="inlineStr">
        <is>
          <t>WYSOKA</t>
        </is>
      </c>
      <c r="I106" s="10" t="n">
        <v>40</v>
      </c>
      <c r="J106" s="10" t="inlineStr">
        <is>
          <t>CZĘŚCIOWE</t>
        </is>
      </c>
      <c r="K106"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07">
      <c r="A107" s="10" t="inlineStr">
        <is>
          <t>X-05</t>
        </is>
      </c>
      <c r="B107" s="10" t="inlineStr">
        <is>
          <t>E-09</t>
        </is>
      </c>
      <c r="C107" s="11" t="inlineStr">
        <is>
          <t>Pokrycie testowe warstw krytycznych</t>
        </is>
      </c>
      <c r="D107" s="10" t="inlineStr">
        <is>
          <t>ciągłe</t>
        </is>
      </c>
      <c r="E107" s="10" t="inlineStr">
        <is>
          <t>WYSOKI</t>
        </is>
      </c>
      <c r="F107" s="11" t="inlineStr">
        <is>
          <t>Testy paneli frontowych</t>
        </is>
      </c>
      <c r="G107" s="10" t="inlineStr">
        <is>
          <t>X — Infrastruktura jakości</t>
        </is>
      </c>
      <c r="H107" s="10" t="inlineStr">
        <is>
          <t>ŚREDNIA</t>
        </is>
      </c>
      <c r="I107" s="10" t="n">
        <v>40</v>
      </c>
      <c r="J107" s="10" t="inlineStr">
        <is>
          <t>CZĘŚCIOWE</t>
        </is>
      </c>
      <c r="K107"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108">
      <c r="A108" s="10" t="inlineStr">
        <is>
          <t>X-09</t>
        </is>
      </c>
      <c r="B108" s="10" t="inlineStr">
        <is>
          <t>E-09</t>
        </is>
      </c>
      <c r="C108" s="11" t="inlineStr">
        <is>
          <t>Pokrycie testowe warstw krytycznych</t>
        </is>
      </c>
      <c r="D108" s="10" t="inlineStr">
        <is>
          <t>ciągłe</t>
        </is>
      </c>
      <c r="E108" s="10" t="inlineStr">
        <is>
          <t>WYSOKI</t>
        </is>
      </c>
      <c r="F108" s="11" t="inlineStr">
        <is>
          <t>Pokrycie testami DirectAdminService</t>
        </is>
      </c>
      <c r="G108" s="10" t="inlineStr">
        <is>
          <t>X — Infrastruktura jakości</t>
        </is>
      </c>
      <c r="H108" s="10" t="inlineStr">
        <is>
          <t>WYSOKA</t>
        </is>
      </c>
      <c r="I108" s="10" t="n">
        <v>40</v>
      </c>
      <c r="J108" s="10" t="inlineStr">
        <is>
          <t>CZĘŚCIOWE</t>
        </is>
      </c>
      <c r="K108"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row>
    <row r="109">
      <c r="A109" s="10" t="inlineStr">
        <is>
          <t>X-20</t>
        </is>
      </c>
      <c r="B109" s="10" t="inlineStr">
        <is>
          <t>E-09</t>
        </is>
      </c>
      <c r="C109" s="11" t="inlineStr">
        <is>
          <t>Pokrycie testowe warstw krytycznych</t>
        </is>
      </c>
      <c r="D109" s="10" t="inlineStr">
        <is>
          <t>ciągłe</t>
        </is>
      </c>
      <c r="E109" s="10" t="inlineStr">
        <is>
          <t>WYSOKI</t>
        </is>
      </c>
      <c r="F109" s="11" t="inlineStr">
        <is>
          <t>Decyzja i migracja na Prismę 7</t>
        </is>
      </c>
      <c r="G109" s="10" t="inlineStr">
        <is>
          <t>X — Infrastruktura jakości</t>
        </is>
      </c>
      <c r="H109" s="10" t="inlineStr">
        <is>
          <t>ŚREDNIA</t>
        </is>
      </c>
      <c r="I109" s="10" t="n">
        <v>40</v>
      </c>
      <c r="J109" s="10" t="inlineStr">
        <is>
          <t>BRAK</t>
        </is>
      </c>
      <c r="K109" s="11" t="inlineStr">
        <is>
          <t>libs/database/package.json — prisma 6.19.3; schema.prisma:17 — datasource url = env("DATABASE_URL"), składnia usunięta w Prismie 7</t>
        </is>
      </c>
    </row>
  </sheetData>
  <autoFilter ref="A1:K10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2026-09-24T15:10:48Z</dcterms:created>
  <dcterms:modified xmlns:dcterms="http://purl.org/dc/terms/" xmlns:xsi="http://www.w3.org/2001/XMLSchema-instance" xsi:type="dcterms:W3CDTF">2026-09-24T15:10:48Z</dcterms:modified>
</cp:coreProperties>
</file>