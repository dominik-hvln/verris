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dsumowanie" sheetId="1" state="visible" r:id="rId3"/>
    <sheet name="Backlog do startu" sheetId="2" state="visible" r:id="rId4"/>
    <sheet name="Sprinty" sheetId="3" state="visible" r:id="rId5"/>
    <sheet name="Po starcie" sheetId="4" state="visible" r:id="rId6"/>
    <sheet name="Poza zakresem" sheetId="5" state="visible" r:id="rId7"/>
  </sheets>
  <definedNames>
    <definedName function="false" hidden="true" localSheetId="1" name="_xlnm._FilterDatabase" vbProcedure="false">'Backlog do startu'!$A$1:$P$61</definedName>
    <definedName function="false" hidden="true" localSheetId="3" name="_xlnm._FilterDatabase" vbProcedure="false">'Po starcie'!$A$1:$K$135</definedName>
    <definedName function="false" hidden="true" localSheetId="4" name="_xlnm._FilterDatabase" vbProcedure="false">'Poza zakresem'!$A$1:$D$13</definedName>
    <definedName function="false" hidden="true" localSheetId="2" name="_xlnm._FilterDatabase" vbProcedure="false">Sprinty!$A$1:$J$20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<sst xmlns="http://schemas.openxmlformats.org/spreadsheetml/2006/main" count="2353" uniqueCount="844">
  <si>
    <t xml:space="preserve">Verris — backlog do startu</t>
  </si>
  <si>
    <t xml:space="preserve">19 sprintów · 30 h netto na sprint · wygenerowane 2026-08-21 z audyt/dane/</t>
  </si>
  <si>
    <t xml:space="preserve">Kluczowe liczby</t>
  </si>
  <si>
    <t xml:space="preserve">Zadań w planie</t>
  </si>
  <si>
    <t xml:space="preserve">Godzin w planie</t>
  </si>
  <si>
    <t xml:space="preserve">Pojemność</t>
  </si>
  <si>
    <t xml:space="preserve">Zapas</t>
  </si>
  <si>
    <t xml:space="preserve">Blokerów</t>
  </si>
  <si>
    <t xml:space="preserve">Zadań zrobionych</t>
  </si>
  <si>
    <t xml:space="preserve">Godzin zrobionych</t>
  </si>
  <si>
    <t xml:space="preserve">Postęp</t>
  </si>
  <si>
    <t xml:space="preserve">Praca poza planem sprintów</t>
  </si>
  <si>
    <t xml:space="preserve">Pozycji w roadmapie po starcie</t>
  </si>
  <si>
    <t xml:space="preserve">Godzin</t>
  </si>
  <si>
    <t xml:space="preserve">Sprintów po tyle godzin</t>
  </si>
  <si>
    <t xml:space="preserve">Pozycji poza zakresem</t>
  </si>
  <si>
    <t xml:space="preserve">Jak używać tego pliku</t>
  </si>
  <si>
    <t xml:space="preserve">• Edytuje się WYŁĄCZNIE kolumnę Status w arkuszu „Backlog do startu”: do zrobienia / w toku / zrobione.</t>
  </si>
  <si>
    <t xml:space="preserve">• Liczby powyżej i obciążenie sprintów przeliczają się same.</t>
  </si>
  <si>
    <t xml:space="preserve">• „Zrobione” = spełniona definicja ukończenia z kolumny N, nie „kod napisany”.</t>
  </si>
  <si>
    <t xml:space="preserve">• Nic poniżej D2 (test w CI) nie jest zrobione. Pieniądze, dane i dostęp → D3. Backupy i DR → D4.</t>
  </si>
  <si>
    <t xml:space="preserve">• Reszta pliku jest generowana z audyt/dane/ — zmiany rób tam i uruchom audyt/generate.py.</t>
  </si>
  <si>
    <t xml:space="preserve">ID</t>
  </si>
  <si>
    <t xml:space="preserve">Zadanie</t>
  </si>
  <si>
    <t xml:space="preserve">Typ</t>
  </si>
  <si>
    <t xml:space="preserve">Kategoria</t>
  </si>
  <si>
    <t xml:space="preserve">Priorytet</t>
  </si>
  <si>
    <t xml:space="preserve">h</t>
  </si>
  <si>
    <t xml:space="preserve">Sprint</t>
  </si>
  <si>
    <t xml:space="preserve">Faza</t>
  </si>
  <si>
    <t xml:space="preserve">Od</t>
  </si>
  <si>
    <t xml:space="preserve">Do</t>
  </si>
  <si>
    <t xml:space="preserve">Stan w kodzie</t>
  </si>
  <si>
    <t xml:space="preserve">Dowód (plik:linia)</t>
  </si>
  <si>
    <t xml:space="preserve">Zależy od</t>
  </si>
  <si>
    <t xml:space="preserve">Definicja ukończenia</t>
  </si>
  <si>
    <t xml:space="preserve">Kontekst</t>
  </si>
  <si>
    <t xml:space="preserve">Status</t>
  </si>
  <si>
    <t xml:space="preserve">X-01</t>
  </si>
  <si>
    <t xml:space="preserve">CI uruchamiające testy</t>
  </si>
  <si>
    <t xml:space="preserve">audyt</t>
  </si>
  <si>
    <t xml:space="preserve">X — Infrastruktura jakości</t>
  </si>
  <si>
    <t xml:space="preserve">WYSOKA</t>
  </si>
  <si>
    <t xml:space="preserve">Faza 0 — Zatrzymać krwawienie</t>
  </si>
  <si>
    <t xml:space="preserve">2026-08-24</t>
  </si>
  <si>
    <t xml:space="preserve">2026-08-28</t>
  </si>
  <si>
    <t xml:space="preserve">BRAK</t>
  </si>
  <si>
    <t xml:space="preserve">katalog .github NIE ISTNIEJE; brak .gitlab-ci, Jenkinsfile, .circleci, .husky</t>
  </si>
  <si>
    <t xml:space="preserve">—</t>
  </si>
  <si>
    <t xml:space="preserve">Funkcja dostępna z panelu klienta bez wychodzenia do DirectAdmina; test uruchamiany w CI.</t>
  </si>
  <si>
    <t xml:space="preserve">Reklasyfikacja: brak CI nie spełnia żadnego z czterech warunków blokera — nie powoduje utraty danych, nie łamie prawa, nie blokuje dokumentu księgowego. Zostaje pozycją nr 1 do zrobienia, bo bez niej pozostałe naprawy nie mają jak być potwierdzone.</t>
  </si>
  <si>
    <t xml:space="preserve">do zrobienia</t>
  </si>
  <si>
    <t xml:space="preserve">X-02</t>
  </si>
  <si>
    <t xml:space="preserve">Status wymagany do merge</t>
  </si>
  <si>
    <t xml:space="preserve">brak CI</t>
  </si>
  <si>
    <t xml:space="preserve">Reklasyfikacja jak X-01.</t>
  </si>
  <si>
    <t xml:space="preserve">X-03</t>
  </si>
  <si>
    <t xml:space="preserve">Testy uruchamiane przed wdrożeniem</t>
  </si>
  <si>
    <t xml:space="preserve">prod-deploy-ghcr.sh — zero wywołań pnpm test</t>
  </si>
  <si>
    <t xml:space="preserve">Z-02</t>
  </si>
  <si>
    <t xml:space="preserve">Blokada zamówienia usługi bez opłaty przez klienta</t>
  </si>
  <si>
    <t xml:space="preserve">M — Rozliczenia</t>
  </si>
  <si>
    <t xml:space="preserve">BLOKER STARTU</t>
  </si>
  <si>
    <t xml:space="preserve">subscriptions.controller.ts:29-30 (tylko JwtAuthGuard, zero @Roles) + :97 @Post(); dto/subscription.dto.ts:48 @IsEnum przyjmuje MANUAL; subscriptions.service.ts:361 → :368 provisionWithoutCharge (:1271) ustawia ACTIVE bez obciążenia; komentarz :81-82 mówi wprost że to ścieżka operatorska</t>
  </si>
  <si>
    <t xml:space="preserve">Dowolne konto po rejestracji zamawia nieograniczoną liczbę aktywnych usług za 0 zł, bez faktury i bez śladu płatności. Ta sama luka jest zamknięta przy zmianie planu (plan-change.service.ts:206-213), ale nie przy zakupie. Brak rate-limitu na POST /subscriptions.</t>
  </si>
  <si>
    <t xml:space="preserve">PB-01</t>
  </si>
  <si>
    <t xml:space="preserve">Unit economics węzła vs cena 39 zł/mies.</t>
  </si>
  <si>
    <t xml:space="preserve">poza audytem</t>
  </si>
  <si>
    <t xml:space="preserve">Praca spoza audytu</t>
  </si>
  <si>
    <t xml:space="preserve">BLOKER BIZNESOWY</t>
  </si>
  <si>
    <t xml:space="preserve">Arkusz z kosztem miesięcznym węzła, liczbą kont na węzeł, marżą jednostkową i progiem rentowności. Decyzja: cena zostaje albo się zmienia — zapisana w repo.</t>
  </si>
  <si>
    <t xml:space="preserve">Policzyć pełny koszt węzła: serwer + CloudLinux + LiteSpeed + DirectAdmin + Imunify + backup S3 + amortyzacja wsparcia. Wyliczyć próg rentowności w kontach na węzeł i marżę przy 39 zł.</t>
  </si>
  <si>
    <t xml:space="preserve">Z-04</t>
  </si>
  <si>
    <t xml:space="preserve">Guard uprawnień subkont — domyślna odmowa</t>
  </si>
  <si>
    <t xml:space="preserve">O — Multi-user i reseller</t>
  </si>
  <si>
    <t xml:space="preserve">2026-08-31</t>
  </si>
  <si>
    <t xml:space="preserve">2026-09-04</t>
  </si>
  <si>
    <t xml:space="preserve"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</si>
  <si>
    <t xml:space="preserve">Subkonto zaproszone wyłącznie z uprawnieniem TICKETS_READ może wydawać środki z portfela właściciela i kupować VPS na jego rachunek. Guard musi domyślnie odmawiać, nie zezwalać.</t>
  </si>
  <si>
    <t xml:space="preserve">Z-03</t>
  </si>
  <si>
    <t xml:space="preserve">Walidacja danych migracji przed użyciem w poleceniu powłoki</t>
  </si>
  <si>
    <t xml:space="preserve">G — SSL i bezpieczeństwo</t>
  </si>
  <si>
    <t xml:space="preserve"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</si>
  <si>
    <t xml:space="preserve"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</si>
  <si>
    <t xml:space="preserve">Z-06</t>
  </si>
  <si>
    <t xml:space="preserve">Klucz idempotencji obciążenia za dodatek</t>
  </si>
  <si>
    <t xml:space="preserve">ATRAPA</t>
  </si>
  <si>
    <t xml:space="preserve">addon.service.ts:110 — idempotencyKey zawiera Date.now(), więc mechanizm z wallet-ledger.service.ts:94-105 nigdy nie zadziała; addon.controller.ts:17 dopuszcza 10 wywołań na godzinę</t>
  </si>
  <si>
    <t xml:space="preserve">Kontroler rejestruje trasę, którą woła panel; kliknięcie kończy się realnym efektem, nie 404. Test pokrywa ścieżkę UI→API→zasób.</t>
  </si>
  <si>
    <t xml:space="preserve">Podwójne kliknięcie, ponowienie przeglądarki albo timeout = do 10 obciążeń za ten sam dodatek w godzinę. Bez ścieżki zwrotu w systemie, bo nie ma ani refundu, ani korekty faktury.</t>
  </si>
  <si>
    <t xml:space="preserve">Z-05</t>
  </si>
  <si>
    <t xml:space="preserve">Odporność webhooka płatności na błąd w trakcie obsługi</t>
  </si>
  <si>
    <t xml:space="preserve">2026-09-07</t>
  </si>
  <si>
    <t xml:space="preserve">2026-09-11</t>
  </si>
  <si>
    <t xml:space="preserve">billing.service.ts:444-453 — wiersz stripeWebhookEvent zapisywany PRZED handlerem (:455), poza transakcją, bez cofnięcia przy wyjątku; ponowienie ze Stripe trafia w :448-451 i zwraca duplicate:true; uznanie portfela (:523) nigdy nie następuje</t>
  </si>
  <si>
    <t xml:space="preserve">Klient zapłacił, saldo się nie pojawiło, system uważa zdarzenie za obsłużone i odrzuca ponowienia. Odzysk wyłącznie ręcznie w bazie — brak endpointu do ponownego przetworzenia.</t>
  </si>
  <si>
    <t xml:space="preserve">M-08</t>
  </si>
  <si>
    <t xml:space="preserve">Anulowanie faktury (VOID) z panelu</t>
  </si>
  <si>
    <t xml:space="preserve">InvoiceStatus.VOID w schema.prisma:1354 nigdy nie ustawiany</t>
  </si>
  <si>
    <t xml:space="preserve">C-18</t>
  </si>
  <si>
    <t xml:space="preserve">Konto FTP — zmiana hasła</t>
  </si>
  <si>
    <t xml:space="preserve">C — Pliki, FTP, SSH, Git</t>
  </si>
  <si>
    <t xml:space="preserve">brak jakiejkolwiek ścieżki edycji istniejącego konta</t>
  </si>
  <si>
    <t xml:space="preserve">Z-01</t>
  </si>
  <si>
    <t xml:space="preserve">Faktura VAT dla płatności portfelem (część)</t>
  </si>
  <si>
    <t xml:space="preserve">Faza 1 — Rozliczenia i dowód odtworzenia</t>
  </si>
  <si>
    <t xml:space="preserve">2026-09-14</t>
  </si>
  <si>
    <t xml:space="preserve">2026-09-18</t>
  </si>
  <si>
    <t xml:space="preserve"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</si>
  <si>
    <t xml:space="preserve">X-01 (bez CI nie ma jak potwierdzić tej zmiany)</t>
  </si>
  <si>
    <t xml:space="preserve">Klient płaci realnie i nie dostaje ŻADNEGO dokumentu księgowego. Brak obejścia w systemie — operator nie wystawi faktury ręcznie. Poważniejsze niż brak korekt: te dotyczą dokumentów, których w ogóle się nie wystawia.</t>
  </si>
  <si>
    <t xml:space="preserve">2026-09-21</t>
  </si>
  <si>
    <t xml:space="preserve">2026-09-25</t>
  </si>
  <si>
    <t xml:space="preserve">P-15</t>
  </si>
  <si>
    <t xml:space="preserve">Podpisane DPA z subprocesorami (część)</t>
  </si>
  <si>
    <t xml:space="preserve">P — Zgodność</t>
  </si>
  <si>
    <t xml:space="preserve">docs/legal/dpa-subprocessors-tracking.md — wszystkie pozycje w statusie „do podpisania” lub „do akceptacji”, kolumna Data pusta</t>
  </si>
  <si>
    <t xml:space="preserve"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</si>
  <si>
    <t xml:space="preserve">PB-04</t>
  </si>
  <si>
    <t xml:space="preserve">Procedura obsługi nadużyć (abuse) — dokument</t>
  </si>
  <si>
    <t xml:space="preserve">WYSOKI</t>
  </si>
  <si>
    <t xml:space="preserve">Dokument w ops/docs z właścicielem i czasami reakcji. Test: zgłoszenie wysłane na abuse@ trafia do kogoś i ma odpowiedź w deklarowanym czasie.</t>
  </si>
  <si>
    <t xml:space="preserve">Adres abuse@ obsługiwany, ścieżka od zgłoszenia do reakcji, czasy reakcji, kto decyduje o zawieszeniu, wzory odpowiedzi do CERT i rejestratorów.</t>
  </si>
  <si>
    <t xml:space="preserve">M-06</t>
  </si>
  <si>
    <t xml:space="preserve">FAKTURA KORYGUJĄCA (część)</t>
  </si>
  <si>
    <t xml:space="preserve">2026-09-28</t>
  </si>
  <si>
    <t xml:space="preserve">2026-10-02</t>
  </si>
  <si>
    <t xml:space="preserve">zero wystąpień korekty w apps/api i schema.prisma; fa3-xml.builder.ts:177 zawsze &lt;RodzajFaktury&gt;VAT</t>
  </si>
  <si>
    <t xml:space="preserve">Z-01 (korekta korzysta z tej samej ścieżki wystawiania)</t>
  </si>
  <si>
    <t xml:space="preserve">pierwszy zwrot, pierwsza rezygnacja w trakcie okresu, pierwsza literówka w NIP — i operator wychodzi poza system</t>
  </si>
  <si>
    <t xml:space="preserve">2026-10-05</t>
  </si>
  <si>
    <t xml:space="preserve">2026-10-09</t>
  </si>
  <si>
    <t xml:space="preserve">PB-02</t>
  </si>
  <si>
    <t xml:space="preserve">Onboarding produkcyjnego węzła #1 (EX63)</t>
  </si>
  <si>
    <t xml:space="preserve">Węzeł przechodzi wszystkie 14 checków live-readiness. /etc/verris-backup.conf istnieje, pierwszy backup off-site wykonany i zaraportowany do control-plane.</t>
  </si>
  <si>
    <t xml:space="preserve">Pełny przebieg node-onboard-live.sh na docelowym serwerze, z konfiguracją backupu off-site jako krokiem obowiązkowym.</t>
  </si>
  <si>
    <t xml:space="preserve">H-20</t>
  </si>
  <si>
    <t xml:space="preserve">Test odtworzeniowy z datą ostatniego wykonania</t>
  </si>
  <si>
    <t xml:space="preserve">H — Backup i odtwarzanie</t>
  </si>
  <si>
    <t xml:space="preserve">2026-10-12</t>
  </si>
  <si>
    <t xml:space="preserve">2026-10-16</t>
  </si>
  <si>
    <t xml:space="preserve">ops/scripts/restore-drill-isolated.sh istnieje jako procedura ręczna; live-readiness.service.ts:175-177 sprawdza tylko czy backup się WYKONAŁ</t>
  </si>
  <si>
    <t xml:space="preserve">PB-02 (drill wykonujemy na węźle #1)</t>
  </si>
  <si>
    <t xml:space="preserve">POTWIERDZONE jako bloker. Runbook wymaga drilla przed LIVE (OFFSITE_RESTORE_RUNBOOK.md:37-40) i nie ma w repo śladu jego wykonania. Backupy i DR wymagają poziomu D4 — data, wynik, właściciel. Bez tego cała warstwa DR jest niepotwierdzona.</t>
  </si>
  <si>
    <t xml:space="preserve">D-04</t>
  </si>
  <si>
    <t xml:space="preserve">Dodatkowy użytkownik bazy — utworzenie</t>
  </si>
  <si>
    <t xml:space="preserve">D — Bazy danych</t>
  </si>
  <si>
    <t xml:space="preserve">Faza 2 — Odzyskanie funkcji-widm i luki pierwszego tygodnia</t>
  </si>
  <si>
    <t xml:space="preserve">2026-10-19</t>
  </si>
  <si>
    <t xml:space="preserve">2026-10-23</t>
  </si>
  <si>
    <t xml:space="preserve">hosting-db-users-actions.ts:25 → brak trasy</t>
  </si>
  <si>
    <t xml:space="preserve">serwis directadmin.service.ts:1900 gotowy; kontroler nie istnieje → 404</t>
  </si>
  <si>
    <t xml:space="preserve">D-05</t>
  </si>
  <si>
    <t xml:space="preserve">Użytkownik bazy — usunięcie</t>
  </si>
  <si>
    <t xml:space="preserve">hosting-db-users-actions.ts:43 → brak trasy</t>
  </si>
  <si>
    <t xml:space="preserve">j.w., directadmin.service.ts:1925</t>
  </si>
  <si>
    <t xml:space="preserve">D-06</t>
  </si>
  <si>
    <t xml:space="preserve">Użytkownik bazy — zmiana hasła</t>
  </si>
  <si>
    <t xml:space="preserve">hosting-db-users-actions.ts:60 → brak trasy</t>
  </si>
  <si>
    <t xml:space="preserve">j.w., directadmin.service.ts:1945</t>
  </si>
  <si>
    <t xml:space="preserve">D-07</t>
  </si>
  <si>
    <t xml:space="preserve">Użytkownik bazy — lista</t>
  </si>
  <si>
    <t xml:space="preserve">hosting-db-users-actions.ts:14 → brak trasy</t>
  </si>
  <si>
    <t xml:space="preserve">całe rozwijane pole zwraca błąd</t>
  </si>
  <si>
    <t xml:space="preserve">D-11</t>
  </si>
  <si>
    <t xml:space="preserve">phpMyAdmin — auto-logowanie (SSO)</t>
  </si>
  <si>
    <t xml:space="preserve">hosting-sso-actions.ts:16 → brak trasy hosting-sso-url</t>
  </si>
  <si>
    <t xml:space="preserve">cichy fallback „Auto-logowanie niedostępne” (DatabasesTab.tsx:65) — użytkownik nie widzi błędu</t>
  </si>
  <si>
    <t xml:space="preserve">F-01</t>
  </si>
  <si>
    <t xml:space="preserve">Edytor rekordów DNS (A/CNAME/MX/TXT)</t>
  </si>
  <si>
    <t xml:space="preserve">F — DNS</t>
  </si>
  <si>
    <t xml:space="preserve">2026-10-26</t>
  </si>
  <si>
    <t xml:space="preserve">2026-10-30</t>
  </si>
  <si>
    <t xml:space="preserve">dns-manager.tsx:79,91 — komponent osierocony; dns/page.tsx:15 przekierowuje gdzie indziej</t>
  </si>
  <si>
    <t xml:space="preserve">Skorygowane: obejściem jest link do DirectAdmina (services.controller.ts:350) z poświadczeniami z „dane dostępowe”. Uwaga — SSO nie działa, trasa hosting-sso-url nie istnieje w API, więc klient trafia do obcego panelu i loguje się ręcznie.</t>
  </si>
  <si>
    <t xml:space="preserve">F-02</t>
  </si>
  <si>
    <t xml:space="preserve">Rekordy SRV / CAA</t>
  </si>
  <si>
    <t xml:space="preserve">j.w.</t>
  </si>
  <si>
    <t xml:space="preserve">F-01 (ten sam edytor)</t>
  </si>
  <si>
    <t xml:space="preserve">E-14</t>
  </si>
  <si>
    <t xml:space="preserve">Webmail — auto-logowanie (SSO)</t>
  </si>
  <si>
    <t xml:space="preserve">E — Poczta</t>
  </si>
  <si>
    <t xml:space="preserve">MailTab.tsx:68 → brak trasy; fallback :81</t>
  </si>
  <si>
    <t xml:space="preserve">directadmin.service.ts:1977 gotowe i nieużywane</t>
  </si>
  <si>
    <t xml:space="preserve">B-02</t>
  </si>
  <si>
    <t xml:space="preserve">Zmiana wersji PHP per domena</t>
  </si>
  <si>
    <t xml:space="preserve">B — Runtime WWW</t>
  </si>
  <si>
    <t xml:space="preserve">php-actions.ts:56 → brak trasy hosting-domain-php</t>
  </si>
  <si>
    <t xml:space="preserve">serwis directadmin.service.ts:2058 gotowy, kontroler nie istnieje</t>
  </si>
  <si>
    <t xml:space="preserve">E-15</t>
  </si>
  <si>
    <t xml:space="preserve">Rekordy SPF — kreator</t>
  </si>
  <si>
    <t xml:space="preserve">2026-11-02</t>
  </si>
  <si>
    <t xml:space="preserve">2026-11-06</t>
  </si>
  <si>
    <t xml:space="preserve">ENDPOINT BEZ UI</t>
  </si>
  <si>
    <t xml:space="preserve">services.controller.ts:114</t>
  </si>
  <si>
    <t xml:space="preserve">Panel wywołuje istniejący endpoint; akcja zostawia wpis w logu audytu. Test potwierdza, że guard nadal blokuje nieuprawnionych.</t>
  </si>
  <si>
    <t xml:space="preserve">deliverability-panel.tsx:26 to komponent osierocony — nikt go nie importuje</t>
  </si>
  <si>
    <t xml:space="preserve">E-16</t>
  </si>
  <si>
    <t xml:space="preserve">Rekordy DKIM — konfiguracja</t>
  </si>
  <si>
    <t xml:space="preserve">E-15 (ten sam panel dostarczalności)</t>
  </si>
  <si>
    <t xml:space="preserve">E-17</t>
  </si>
  <si>
    <t xml:space="preserve">Rekord DMARC — konfiguracja</t>
  </si>
  <si>
    <t xml:space="preserve">E-05</t>
  </si>
  <si>
    <t xml:space="preserve">Zmiana quoty ISTNIEJĄCEJ skrzynki</t>
  </si>
  <si>
    <t xml:space="preserve">hosting-email-actions.ts:41 zachowuje starą quotę</t>
  </si>
  <si>
    <t xml:space="preserve">brak jakiejkolwiek ścieżki edycji — klient musi usunąć i odtworzyć skrzynkę</t>
  </si>
  <si>
    <t xml:space="preserve">M-26</t>
  </si>
  <si>
    <t xml:space="preserve">Usunięcie zapisanej karty przez klienta</t>
  </si>
  <si>
    <t xml:space="preserve">billing.controller.ts:38 tylko GET, brak DELETE</t>
  </si>
  <si>
    <t xml:space="preserve">wymóg konsumencki</t>
  </si>
  <si>
    <t xml:space="preserve">A-25</t>
  </si>
  <si>
    <t xml:space="preserve">Ręczne zawieszenie usługi przez operatora</t>
  </si>
  <si>
    <t xml:space="preserve">A — Domeny i konta</t>
  </si>
  <si>
    <t xml:space="preserve">2026-11-09</t>
  </si>
  <si>
    <t xml:space="preserve">2026-11-13</t>
  </si>
  <si>
    <t xml:space="preserve">subscriptions.admin.controller.ts:192</t>
  </si>
  <si>
    <t xml:space="preserve">Skorygowane: endpoint działa i jest osiągalny (curl + DirectAdmin), auto-suspend za brak płatności działa. Brakuje UI, nie możliwości zatrzymania szkody.</t>
  </si>
  <si>
    <t xml:space="preserve">A-26</t>
  </si>
  <si>
    <t xml:space="preserve">Ręczne odwieszenie usługi przez operatora</t>
  </si>
  <si>
    <t xml:space="preserve">subscriptions.admin.controller.ts:210</t>
  </si>
  <si>
    <t xml:space="preserve">A-25 (ten sam widok)</t>
  </si>
  <si>
    <t xml:space="preserve">Skorygowane: jak A-25, endpoint subscriptions.admin.controller.ts:210 działa z chargeRenewal.</t>
  </si>
  <si>
    <t xml:space="preserve">N-07</t>
  </si>
  <si>
    <t xml:space="preserve">Ręczne tworzenie incydentu na status page</t>
  </si>
  <si>
    <t xml:space="preserve">N — Wsparcie i ops</t>
  </si>
  <si>
    <t xml:space="preserve">product-ops.admin.controller.ts:371; brak UI tworzenia</t>
  </si>
  <si>
    <t xml:space="preserve">w kryzysie nie ma jak zakomunikować awarii</t>
  </si>
  <si>
    <t xml:space="preserve">N-14</t>
  </si>
  <si>
    <t xml:space="preserve">Cordon wysyłki poczty (auto-blokada spamu)</t>
  </si>
  <si>
    <t xml:space="preserve">outbound-cordon.admin.controller.ts:20,25,32; zero „cordon” w admin-panel</t>
  </si>
  <si>
    <t xml:space="preserve">mechanizm działa, operator nie może go zobaczyć ani zdjąć</t>
  </si>
  <si>
    <t xml:space="preserve">H-22</t>
  </si>
  <si>
    <t xml:space="preserve">Panel odtwarzania w widocznym miejscu</t>
  </si>
  <si>
    <t xml:space="preserve">CZĘŚCIOWE</t>
  </si>
  <si>
    <t xml:space="preserve">panel off-site siedzi w zakładce „Usage”, nie „Kopie zapasowe” (page.tsx:74,128,313,319)</t>
  </si>
  <si>
    <t xml:space="preserve">Ograniczenie opisane w uwagach macierzy zniknęło; test potwierdza zachowanie także w scenariuszu awaryjnym.</t>
  </si>
  <si>
    <t xml:space="preserve">klient w kryzysie tego nie znajdzie</t>
  </si>
  <si>
    <t xml:space="preserve">H-09</t>
  </si>
  <si>
    <t xml:space="preserve">Kopia bezpieczeństwa przed odtworzeniem</t>
  </si>
  <si>
    <t xml:space="preserve">2026-11-16</t>
  </si>
  <si>
    <t xml:space="preserve">2026-11-20</t>
  </si>
  <si>
    <t xml:space="preserve">hosting-restore.service.ts:167</t>
  </si>
  <si>
    <t xml:space="preserve">OSŁABIONE: hosting-restore.service.ts:167 tylko KOLEJKUJE backup w DA i nie czeka na wynik — destrukcyjne odtworzenie rusza mimo nieudanej kopii. Job dostaje COMPLETED (:182) w chwili przyjęcia zadania, nie po odtworzeniu.</t>
  </si>
  <si>
    <t xml:space="preserve">H-17</t>
  </si>
  <si>
    <t xml:space="preserve">Tryb restore skryptu odtwarzającego osiągalny z produktu</t>
  </si>
  <si>
    <t xml:space="preserve">node-account-restore.sh:82-99 ma tryb restore; offsite-restore.service.ts:94 przyjmuje wyłącznie list|fetch</t>
  </si>
  <si>
    <t xml:space="preserve">H-20 (najpierw potwierdzone odtworzenie, potem wystawienie trybu w produkcie)</t>
  </si>
  <si>
    <t xml:space="preserve">Skorygowane: tryb restore jest martwy z poziomu produktu, ale żywy z CLI (node-account-restore.sh:120-124) i udokumentowany w runbooku.</t>
  </si>
  <si>
    <t xml:space="preserve">G-20</t>
  </si>
  <si>
    <t xml:space="preserve">Ochrona przed atakiem słownikowym na panel</t>
  </si>
  <si>
    <t xml:space="preserve">rate-limit.guard.ts — ZERO testów</t>
  </si>
  <si>
    <t xml:space="preserve">brak dowodu D2 na krytycznym guardzie</t>
  </si>
  <si>
    <t xml:space="preserve">I-11</t>
  </si>
  <si>
    <t xml:space="preserve">Staging — publikacja na produkcję</t>
  </si>
  <si>
    <t xml:space="preserve">I — Aplikacje i WordPress</t>
  </si>
  <si>
    <t xml:space="preserve">services.controller.ts:187</t>
  </si>
  <si>
    <t xml:space="preserve">OSŁABIONE: node-staging-sync.sh:141-142 backup plików jest twardą bramką, ale :152-153 backup bazy LIVE jest best-effort — linia 158 robi wp db import na produkcji mimo braku kopii.</t>
  </si>
  <si>
    <t xml:space="preserve">PB-13</t>
  </si>
  <si>
    <t xml:space="preserve">Decyzja: własny KSeF czy integracja z programem księgowym</t>
  </si>
  <si>
    <t xml:space="preserve">Decyzja zapisana w repo z uzasadnieniem i datą. Jeśli wybrana integracja — sprint 17 zmienia zakres z dokończenia modułu na wdrożenie eksportu do programu księgowego. Decyzja musi zapaść przed sprintem 17, inaczej blokuje start.</t>
  </si>
  <si>
    <t xml:space="preserve"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</si>
  <si>
    <t xml:space="preserve">N-16</t>
  </si>
  <si>
    <t xml:space="preserve">SLA z zapisanymi kredytami</t>
  </si>
  <si>
    <t xml:space="preserve">2026-11-23</t>
  </si>
  <si>
    <t xml:space="preserve">2026-11-27</t>
  </si>
  <si>
    <t xml:space="preserve">FLAGA</t>
  </si>
  <si>
    <t xml:space="preserve">sla-credit.scheduler.ts:79 — if (!policy.enabled) return; SLA_CREDITS_ENABLED default '0' (platform-settings.keys.ts:116)</t>
  </si>
  <si>
    <t xml:space="preserve">PB-03 (kredyty SLA muszą być zgodne z opublikowanym regulaminem)</t>
  </si>
  <si>
    <t xml:space="preserve">Wartość domyślna włączona albo check w live-readiness pilnuje konfiguracji — flaga nie może po cichu wyłączyć funkcji.</t>
  </si>
  <si>
    <t xml:space="preserve">OSŁABIONE: funkcja jest domyślnie martwa, a live-readiness nie ma checka SLA — flaga może zostać wyłączona bez żadnego sygnału. Regulamin obiecuje kredyty, kod ich nie nalicza.</t>
  </si>
  <si>
    <t xml:space="preserve">A-11</t>
  </si>
  <si>
    <t xml:space="preserve">Wyszukiwarka wolnych domen</t>
  </si>
  <si>
    <t xml:space="preserve">domains.controller.ts:54</t>
  </si>
  <si>
    <t xml:space="preserve">C-11</t>
  </si>
  <si>
    <t xml:space="preserve">Spakowanie do archiwum</t>
  </si>
  <si>
    <t xml:space="preserve">ŚREDNIA</t>
  </si>
  <si>
    <t xml:space="preserve">files.service.ts:320 — tylko extract</t>
  </si>
  <si>
    <t xml:space="preserve">standard we wszystkich panelach</t>
  </si>
  <si>
    <t xml:space="preserve">PB-11</t>
  </si>
  <si>
    <t xml:space="preserve">Bus factor: drugi kanał alertów i procedura zastępstwa</t>
  </si>
  <si>
    <t xml:space="preserve">Alert testowy dociera dwoma kanałami. Dokument zastępstwa zawiera dostęp awaryjny i listę rzeczy, które muszą się dziać codziennie.</t>
  </si>
  <si>
    <t xml:space="preserve">Alerty na więcej niż jeden adres, przetestowane. Dokument: co robi ktoś inny, gdy Ciebie nie ma przez tydzień.</t>
  </si>
  <si>
    <t xml:space="preserve">PB-03</t>
  </si>
  <si>
    <t xml:space="preserve">Finalizacja dokumentów prawnych 1.0.0</t>
  </si>
  <si>
    <t xml:space="preserve">Faza 3 — Wejście na rynek</t>
  </si>
  <si>
    <t xml:space="preserve">2026-11-30</t>
  </si>
  <si>
    <t xml:space="preserve">2026-12-04</t>
  </si>
  <si>
    <t xml:space="preserve">Wszystkie dokumenty w statusie opublikowanym z numerem wersji i datą. Panel /legal nie pokazuje ani jednego „Dokument w przygotowaniu”.</t>
  </si>
  <si>
    <t xml:space="preserve">Regulamin, polityka prywatności, SLA, DPA, polityka cookies — wyjście z DRAFT-u, wersjonowanie i publikacja w panelu.</t>
  </si>
  <si>
    <t xml:space="preserve">PB-07</t>
  </si>
  <si>
    <t xml:space="preserve">Treści i cennik na verris.pl</t>
  </si>
  <si>
    <t xml:space="preserve">PB-01 (cennik zależy od unit economics)</t>
  </si>
  <si>
    <t xml:space="preserve">Cennik zgodny z wynikiem PB-01. Specyfikacja techniczna publiczna, jak u cyber_Folks — to jest element zaufania, którego rynek oczekuje.</t>
  </si>
  <si>
    <t xml:space="preserve">Strona główna, cennik, specyfikacja techniczna pakietu, strona SLA. Narracja: cena stała, bez skoku po roku.</t>
  </si>
  <si>
    <t xml:space="preserve">PB-06</t>
  </si>
  <si>
    <t xml:space="preserve">Landing /przenies-strone</t>
  </si>
  <si>
    <t xml:space="preserve">2026-12-07</t>
  </si>
  <si>
    <t xml:space="preserve">2026-12-11</t>
  </si>
  <si>
    <t xml:space="preserve">PB-07 (landing korzysta z ustalonego cennika)</t>
  </si>
  <si>
    <t xml:space="preserve">Strona opublikowana, pomiar działa, formularz i CTA prowadzą do rejestracji. Żadne twierdzenie na stronie nie jest oznaczone w macierzy jako LUKA lub ATRAPA.</t>
  </si>
  <si>
    <t xml:space="preserve">Strona docelowa kampanii Google Ads na osi migracji. Treść oparta na realnych przewagach z audytu, nie na obietnicach.</t>
  </si>
  <si>
    <t xml:space="preserve">PB-08</t>
  </si>
  <si>
    <t xml:space="preserve">Pomiar: Consent Mode v2 + GTM + dedup event_id</t>
  </si>
  <si>
    <t xml:space="preserve">ŚREDNI</t>
  </si>
  <si>
    <t xml:space="preserve">Zdarzenie zakupu dociera raz, nie dwa. Consent Mode nie blokuje pomiaru po zgodzie. Zweryfikowane w GTM Preview i w raporcie.</t>
  </si>
  <si>
    <t xml:space="preserve">Wdrożenie ustaleń z audytu pomiaru: www linkuje, panel działa, deduplikacja po event_id, cookie Domain=.verris.pl.</t>
  </si>
  <si>
    <t xml:space="preserve">M-17</t>
  </si>
  <si>
    <t xml:space="preserve">KSeF — walidacja XSD przed wysyłką</t>
  </si>
  <si>
    <t xml:space="preserve">2026-12-14</t>
  </si>
  <si>
    <t xml:space="preserve">2026-12-18</t>
  </si>
  <si>
    <t xml:space="preserve">fa3-xml.builder.ts składa XML stringowo; komentarz ksef-v2.client.ts:61-62 sam to wskazuje</t>
  </si>
  <si>
    <t xml:space="preserve">M-16 (najpierw obsługa awarii, potem walidacja schematu)</t>
  </si>
  <si>
    <t xml:space="preserve">smoke na api-test MF nie został wykonany</t>
  </si>
  <si>
    <t xml:space="preserve">M-16</t>
  </si>
  <si>
    <t xml:space="preserve">KSeF — tryb offline/awaryjny</t>
  </si>
  <si>
    <t xml:space="preserve">KsefStatus.OFFLINE w schema.prisma:1432 nigdy nie ustawiany</t>
  </si>
  <si>
    <t xml:space="preserve">PB-13 (zakres zależy od kierunku fakturowania)</t>
  </si>
  <si>
    <t xml:space="preserve">awaria KSeF zostawia fakturę w PENDING, bez kodu QR offline</t>
  </si>
  <si>
    <t xml:space="preserve">M-15</t>
  </si>
  <si>
    <t xml:space="preserve">KSeF — pobranie UPO przez operatora</t>
  </si>
  <si>
    <t xml:space="preserve">ksef.admin.controller.ts:38; zero wystąpień UPO w admin-panel</t>
  </si>
  <si>
    <t xml:space="preserve">Skorygowane: UPO jest dostępne w portalu MF, więc warunek dokumentu księgowego nie jest naruszony. Brakuje wygody.</t>
  </si>
  <si>
    <t xml:space="preserve">M-14</t>
  </si>
  <si>
    <t xml:space="preserve">KSeF — numer i UPO widoczne dla klienta</t>
  </si>
  <si>
    <t xml:space="preserve">2026-12-21</t>
  </si>
  <si>
    <t xml:space="preserve">2026-12-25</t>
  </si>
  <si>
    <t xml:space="preserve">zero wystąpień „ksef” w apps/client-panel</t>
  </si>
  <si>
    <t xml:space="preserve">M-17 (numer KSeF pokazujemy dopiero po potwierdzonej wysyłce)</t>
  </si>
  <si>
    <t xml:space="preserve">dhosting pokazuje numer KSeF i QR na fakturze</t>
  </si>
  <si>
    <t xml:space="preserve">PB-09</t>
  </si>
  <si>
    <t xml:space="preserve">Baza wiedzy — 20 artykułów startowych</t>
  </si>
  <si>
    <t xml:space="preserve">20 artykułów opublikowanych i zaindeksowanych do asystenta AI. Każdy opisuje funkcję, która w macierzy ma status DZIAŁA.</t>
  </si>
  <si>
    <t xml:space="preserve">Artykuły pokrywające najczęstsze pytania pierwszego tygodnia: skierowanie domeny, SSL, poczta, FTP, backup, migracja, faktury.</t>
  </si>
  <si>
    <t xml:space="preserve">PB-10</t>
  </si>
  <si>
    <t xml:space="preserve">Kampania gads-search-hosting-202607 — uruchomienie</t>
  </si>
  <si>
    <t xml:space="preserve">PB-06 (kampania kieruje na landing)</t>
  </si>
  <si>
    <t xml:space="preserve">Kampania utworzona wstrzymana, konwersje podpięte, budżet i stawki ustawione. Start dopiero po PB-05.</t>
  </si>
  <si>
    <t xml:space="preserve">Konfiguracja kampanii wyszukiwarkowej, budżet 500–1000 zł/mies., oś przekazu: migracja bez przestoju.</t>
  </si>
  <si>
    <t xml:space="preserve">PB-05</t>
  </si>
  <si>
    <t xml:space="preserve">Test end-to-end „pierwszy klient”</t>
  </si>
  <si>
    <t xml:space="preserve">2026-12-28</t>
  </si>
  <si>
    <t xml:space="preserve">2027-01-01</t>
  </si>
  <si>
    <t xml:space="preserve">wszystkie blokery zamknięte (sprint 8)</t>
  </si>
  <si>
    <t xml:space="preserve">Zapisany przebieg z timestampami dla każdego kroku — to jest dowód poziomu D3, jedyny w całym projekcie. Każdy nieudany krok wraca do backlogu jako bloker.</t>
  </si>
  <si>
    <t xml:space="preserve">Przejście całej ścieżki na produkcji jako realny klient: rejestracja, zakup, płatność, provisioning, migracja strony, wystawienie faktury, KSeF, backup, odtworzenie.</t>
  </si>
  <si>
    <t xml:space="preserve">PB-12</t>
  </si>
  <si>
    <t xml:space="preserve">Runbook startu i decyzja GO</t>
  </si>
  <si>
    <t xml:space="preserve">PB-05 (decyzja GO po przejściu ścieżki na produkcji)</t>
  </si>
  <si>
    <t xml:space="preserve">Każdy z 11 blokerów ma wpis: co zrobiono, gdzie jest dowód, kto potwierdził. Bez formuły „warunkowe GO”.</t>
  </si>
  <si>
    <t xml:space="preserve">Domknięcie: przegląd wszystkich blokerów z dowodem zamknięcia, decyzja GO/NO-GO zapisana z datą.</t>
  </si>
  <si>
    <t xml:space="preserve">Cel sprintu</t>
  </si>
  <si>
    <t xml:space="preserve">Zadań</t>
  </si>
  <si>
    <t xml:space="preserve">Obciążenie</t>
  </si>
  <si>
    <t xml:space="preserve">Ryzyko</t>
  </si>
  <si>
    <t xml:space="preserve">Zatrzymać krwawienie i włączyć CI</t>
  </si>
  <si>
    <t xml:space="preserve">PB-01 może wywrócić cenę 39 zł. Dlatego jest w pierwszym sprincie, a nie w ostatnim — wynik zmienia treść cennika w sprincie 15.</t>
  </si>
  <si>
    <t xml:space="preserve">Zamknąć luki bezpieczeństwa z passu adwersaryjnego</t>
  </si>
  <si>
    <t xml:space="preserve">Z-03 dotyka skryptów na węźle — zmiana wymaga przetestowania całej ścieżki migracji, nie tylko walidacji DTO.</t>
  </si>
  <si>
    <t xml:space="preserve">Odporność płatności i porządek w fakturach</t>
  </si>
  <si>
    <t xml:space="preserve">Z-05 wymaga przeniesienia zapisu zdarzenia do tej samej transakcji co handler. Przy okazji sprawdzić, czy inne webhooki nie mają tego samego wzorca.</t>
  </si>
  <si>
    <t xml:space="preserve">Faktura dla każdej płatności — część 1</t>
  </si>
  <si>
    <t xml:space="preserve">Największa pojedyncza pozycja w planie i zmiana architektoniczna: wszystkie obciążenia portfela muszą przechodzić przez InvoicesService. Jeśli ma się rozjechać, rozjedzie się tutaj.</t>
  </si>
  <si>
    <t xml:space="preserve">Faktura dla każdej płatności — domknięcie, DPA, abuse</t>
  </si>
  <si>
    <t xml:space="preserve">P-15 zaczyna się tu, bo podpisanie DPA zależy od tempa dostawców, nie od nas. Wysłać wnioski w poniedziałek sprintu.</t>
  </si>
  <si>
    <t xml:space="preserve">Faktury korygujące — część 1</t>
  </si>
  <si>
    <t xml:space="preserve">Korekta pociąga za sobą model danych, PDF i portfel naraz. Nie da się jej zrobić w połowie. Wysyłkę korekty do KSeF zostawiamy na sprint 17 — model musi ją przewidzieć już teraz.</t>
  </si>
  <si>
    <t xml:space="preserve">Faktury korygujące — domknięcie, węzeł produkcyjny</t>
  </si>
  <si>
    <t xml:space="preserve">Węzeł #1 musi stanąć przed sprintem 8, bo drill odtworzeniowy wykonujemy na nim.</t>
  </si>
  <si>
    <t xml:space="preserve">Dowód odtworzenia kopii i domknięcie DPA</t>
  </si>
  <si>
    <t xml:space="preserve">Kamień milowy: po tym sprincie zamknięte są wszystkie blokery poza KSeF-em, który świadomie stoi na końcu. Drill może wykazać, że odtworzenie nie działa — wtedy sprint się przedłuża i tak ma być.</t>
  </si>
  <si>
    <t xml:space="preserve">Odzyskanie funkcji-widm: bazy danych</t>
  </si>
  <si>
    <t xml:space="preserve">Pięć pozycji, jeden kontroler. Najlepszy stosunek wartości do pracy w całym planie.</t>
  </si>
  <si>
    <t xml:space="preserve">DNS i SSO — koniec z wysyłaniem klienta do DirectAdmina</t>
  </si>
  <si>
    <t xml:space="preserve"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</si>
  <si>
    <t xml:space="preserve">Poczta: dostarczalność i zarządzanie skrzynkami</t>
  </si>
  <si>
    <t xml:space="preserve">Brak SPF/DKIM w panelu to najczęstsza przyczyna „moja poczta trafia do spamu”. Backend działa — to jest wyłącznie podpięcie osieroconego komponentu.</t>
  </si>
  <si>
    <t xml:space="preserve">Warstwa operatorska: zatrzymywanie szkody</t>
  </si>
  <si>
    <t xml:space="preserve">Bez tego pierwszy incydent obsługujesz curlem o drugiej w nocy. Wszystkie cztery pierwsze pozycje to endpointy, które już działają.</t>
  </si>
  <si>
    <t xml:space="preserve">Backup, staging i decyzja o kierunku fakturowania</t>
  </si>
  <si>
    <t xml:space="preserve">PB-13 musi zapaść tutaj, nie później — od niej zależy zakres sprintu 17. Odkładanie tej decyzji jest jedynym sposobem, żeby KSeF stał się blokerem w ostatnim tygodniu.</t>
  </si>
  <si>
    <t xml:space="preserve">Rozliczenia od strony klienta i odporność operacyjna</t>
  </si>
  <si>
    <t xml:space="preserve">N-16 to włączenie flagi plus check w live-readiness — ale regulamin obiecuje kredyty, więc najpierw przeliczyć je na realnych danych z probe'ów.</t>
  </si>
  <si>
    <t xml:space="preserve">Dokumenty prawne i treści produktowe</t>
  </si>
  <si>
    <t xml:space="preserve">Cennik musi być zgodny z wynikiem PB-01. Jeśli unit economics wyszło źle, ten sprint jest momentem korekty ceny — nie później.</t>
  </si>
  <si>
    <t xml:space="preserve">Landing migracyjny i pomiar</t>
  </si>
  <si>
    <t xml:space="preserve">Landing nie może obiecywać funkcji ze statusem LUKA lub ATRAPA. Każde zdanie sprawdzić wobec macierzy — to jest dokładnie ten błąd, który audyt wykrył w oferta.md.</t>
  </si>
  <si>
    <t xml:space="preserve">KSeF — domknięcie tuż przed sprzedażą</t>
  </si>
  <si>
    <t xml:space="preserve"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</si>
  <si>
    <t xml:space="preserve">Baza wiedzy, KSeF od strony klienta, kampania</t>
  </si>
  <si>
    <t xml:space="preserve">Kampania powstaje wstrzymana. Uruchomienie dopiero po PB-05 w sprincie 19.</t>
  </si>
  <si>
    <t xml:space="preserve">Ścieżka pierwszego klienta na produkcji i decyzja GO</t>
  </si>
  <si>
    <t xml:space="preserve">Jedyny moment w całym planie, w którym powstaje dowód poziomu D3. Każdy nieudany krok wraca do backlogu jako bloker i przesuwa start. Zaplanowane 24 h zostawiają zapas na to, co wyjdzie.</t>
  </si>
  <si>
    <t xml:space="preserve">Epik</t>
  </si>
  <si>
    <t xml:space="preserve">Nazwa epiku</t>
  </si>
  <si>
    <t xml:space="preserve">Kwartał</t>
  </si>
  <si>
    <t xml:space="preserve">Priorytet epiku</t>
  </si>
  <si>
    <t xml:space="preserve">Funkcja</t>
  </si>
  <si>
    <t xml:space="preserve">Krytyczność</t>
  </si>
  <si>
    <t xml:space="preserve">Dowód / uwagi</t>
  </si>
  <si>
    <t xml:space="preserve">B-03</t>
  </si>
  <si>
    <t xml:space="preserve">E-01</t>
  </si>
  <si>
    <t xml:space="preserve">Runtime, pliki i diagnostyka</t>
  </si>
  <si>
    <t xml:space="preserve">Q1 2027</t>
  </si>
  <si>
    <t xml:space="preserve">Zmiana wersji PHP per katalog</t>
  </si>
  <si>
    <t xml:space="preserve">NISKA</t>
  </si>
  <si>
    <t xml:space="preserve">B-04</t>
  </si>
  <si>
    <t xml:space="preserve">Włączanie/wyłączanie rozszerzeń PHP</t>
  </si>
  <si>
    <t xml:space="preserve">B-05</t>
  </si>
  <si>
    <t xml:space="preserve">Edycja dyrektyw php.ini z panelu</t>
  </si>
  <si>
    <t xml:space="preserve">4 z 5 hostingów PL to ma</t>
  </si>
  <si>
    <t xml:space="preserve">B-06</t>
  </si>
  <si>
    <t xml:space="preserve">Podgląd aktualnej konfiguracji PHP (phpinfo)</t>
  </si>
  <si>
    <t xml:space="preserve">B-08</t>
  </si>
  <si>
    <t xml:space="preserve">Aplikacje Node.js</t>
  </si>
  <si>
    <t xml:space="preserve">żaden z 5 hostingów PL tego nie ma</t>
  </si>
  <si>
    <t xml:space="preserve">B-09</t>
  </si>
  <si>
    <t xml:space="preserve">Aplikacje Python</t>
  </si>
  <si>
    <t xml:space="preserve">B-17</t>
  </si>
  <si>
    <t xml:space="preserve">Własne strony błędów</t>
  </si>
  <si>
    <t xml:space="preserve">B-18</t>
  </si>
  <si>
    <t xml:space="preserve">Menedżer indeksowania katalogu</t>
  </si>
  <si>
    <t xml:space="preserve">B-19</t>
  </si>
  <si>
    <t xml:space="preserve">Kreator stron WWW</t>
  </si>
  <si>
    <t xml:space="preserve">SiteBuilderTab.tsx (1612 l.) wyłączony w page.tsx:65,296</t>
  </si>
  <si>
    <t xml:space="preserve">C-14</t>
  </si>
  <si>
    <t xml:space="preserve">Wyszukiwanie plików</t>
  </si>
  <si>
    <t xml:space="preserve">C-15</t>
  </si>
  <si>
    <t xml:space="preserve">Podgląd zajętości katalogów (disk usage)</t>
  </si>
  <si>
    <t xml:space="preserve">częste źródło ticketów „skończyło się miejsce”</t>
  </si>
  <si>
    <t xml:space="preserve">C-19</t>
  </si>
  <si>
    <t xml:space="preserve">Konto FTP — limit powierzchni (quota)</t>
  </si>
  <si>
    <t xml:space="preserve">C-21</t>
  </si>
  <si>
    <t xml:space="preserve">Dostęp SSH</t>
  </si>
  <si>
    <t xml:space="preserve">ServiceConnectionCard.tsx:235 — tylko odczyt flagi</t>
  </si>
  <si>
    <t xml:space="preserve">C-22</t>
  </si>
  <si>
    <t xml:space="preserve">Zarządzanie kluczami SSH konta hostingowego</t>
  </si>
  <si>
    <t xml:space="preserve">klucze są tylko dla VPS, nie dla hostingu</t>
  </si>
  <si>
    <t xml:space="preserve">C-25</t>
  </si>
  <si>
    <t xml:space="preserve">Klonowanie repozytorium Git z panelu</t>
  </si>
  <si>
    <t xml:space="preserve">DeployTab.tsx:192 przyznaje brak</t>
  </si>
  <si>
    <t xml:space="preserve">C-26</t>
  </si>
  <si>
    <t xml:space="preserve">Deploy z repozytorium (pull na żądanie)</t>
  </si>
  <si>
    <t xml:space="preserve">services.controller.ts:717; directadmin.service.ts:2450</t>
  </si>
  <si>
    <t xml:space="preserve">C-27</t>
  </si>
  <si>
    <t xml:space="preserve">Webhook deploy z GitHuba</t>
  </si>
  <si>
    <t xml:space="preserve">C-28</t>
  </si>
  <si>
    <t xml:space="preserve">Composer / narzędzia CLI przez SSH</t>
  </si>
  <si>
    <t xml:space="preserve">zależne od C-21</t>
  </si>
  <si>
    <t xml:space="preserve">D-08</t>
  </si>
  <si>
    <t xml:space="preserve">Nadawanie uprawnień użytkownikowi bazy</t>
  </si>
  <si>
    <t xml:space="preserve">D-10</t>
  </si>
  <si>
    <t xml:space="preserve">phpMyAdmin — dostęp</t>
  </si>
  <si>
    <t xml:space="preserve">link do DA zamiast SSO</t>
  </si>
  <si>
    <t xml:space="preserve">D-12</t>
  </si>
  <si>
    <t xml:space="preserve">Import / eksport bazy z panelu</t>
  </si>
  <si>
    <t xml:space="preserve">standard u wszystkich 5 hostingów PL</t>
  </si>
  <si>
    <t xml:space="preserve">D-13</t>
  </si>
  <si>
    <t xml:space="preserve">Kopia bazy na żądanie</t>
  </si>
  <si>
    <t xml:space="preserve">w ramach backupu konta</t>
  </si>
  <si>
    <t xml:space="preserve">D-14</t>
  </si>
  <si>
    <t xml:space="preserve">PostgreSQL</t>
  </si>
  <si>
    <t xml:space="preserve">2 z 5 hostingów PL</t>
  </si>
  <si>
    <t xml:space="preserve">D-17</t>
  </si>
  <si>
    <t xml:space="preserve">Podgląd rozmiaru bazy</t>
  </si>
  <si>
    <t xml:space="preserve">w statystykach konta</t>
  </si>
  <si>
    <t xml:space="preserve">D-18</t>
  </si>
  <si>
    <t xml:space="preserve">Naprawa / optymalizacja tabel</t>
  </si>
  <si>
    <t xml:space="preserve">K-03</t>
  </si>
  <si>
    <t xml:space="preserve">Licznik inodów</t>
  </si>
  <si>
    <t xml:space="preserve">K — Statystyki, logi, limity</t>
  </si>
  <si>
    <t xml:space="preserve">żaden hosting PL nie publikuje — okazja na transparentność</t>
  </si>
  <si>
    <t xml:space="preserve">K-04</t>
  </si>
  <si>
    <t xml:space="preserve">Logi dostępu WWW (access log)</t>
  </si>
  <si>
    <t xml:space="preserve">wszystkie 5 hostingów PL to ma; seohost reklamuje jako darmowe</t>
  </si>
  <si>
    <t xml:space="preserve">K-05</t>
  </si>
  <si>
    <t xml:space="preserve">Logi błędów PHP</t>
  </si>
  <si>
    <t xml:space="preserve">j.w. — bez tego klient nie zdiagnozuje własnej strony</t>
  </si>
  <si>
    <t xml:space="preserve">K-06</t>
  </si>
  <si>
    <t xml:space="preserve">Surowe logi do pobrania</t>
  </si>
  <si>
    <t xml:space="preserve">K-08</t>
  </si>
  <si>
    <t xml:space="preserve">Powiadomienia o przekroczeniu limitów</t>
  </si>
  <si>
    <t xml:space="preserve">monitoring dostępności działa; brak alertów o limitach zasobów</t>
  </si>
  <si>
    <t xml:space="preserve">K-14</t>
  </si>
  <si>
    <t xml:space="preserve">Wolne zapytania SQL</t>
  </si>
  <si>
    <t xml:space="preserve">D-15</t>
  </si>
  <si>
    <t xml:space="preserve">E-02</t>
  </si>
  <si>
    <t xml:space="preserve">Wydajność: cache i skalowanie</t>
  </si>
  <si>
    <t xml:space="preserve">Redis / cache obiektowy dla klienta</t>
  </si>
  <si>
    <t xml:space="preserve">3 z 5 hostingów PL ma w cenie — realny wyróżnik dla WordPressa</t>
  </si>
  <si>
    <t xml:space="preserve">D-16</t>
  </si>
  <si>
    <t xml:space="preserve">Memcached</t>
  </si>
  <si>
    <t xml:space="preserve">J-01</t>
  </si>
  <si>
    <t xml:space="preserve">LiteSpeed / serwer o wysokiej wydajności</t>
  </si>
  <si>
    <t xml:space="preserve">J — Wydajność i cache</t>
  </si>
  <si>
    <t xml:space="preserve">b.d.</t>
  </si>
  <si>
    <t xml:space="preserve">decyzja infrastrukturalna, poza kodem panelu</t>
  </si>
  <si>
    <t xml:space="preserve">J-02</t>
  </si>
  <si>
    <t xml:space="preserve">Cache stron (LSCache) sterowany z panelu</t>
  </si>
  <si>
    <t xml:space="preserve">J-03</t>
  </si>
  <si>
    <t xml:space="preserve">Cache obiektowy (Redis) dla WordPressa</t>
  </si>
  <si>
    <t xml:space="preserve">patrz D-15</t>
  </si>
  <si>
    <t xml:space="preserve">J-04</t>
  </si>
  <si>
    <t xml:space="preserve">HTTP/3</t>
  </si>
  <si>
    <t xml:space="preserve">poza kodem panelu</t>
  </si>
  <si>
    <t xml:space="preserve">J-05</t>
  </si>
  <si>
    <t xml:space="preserve">CDN</t>
  </si>
  <si>
    <t xml:space="preserve">na rynku PL płatny dodatek</t>
  </si>
  <si>
    <t xml:space="preserve">J-06</t>
  </si>
  <si>
    <t xml:space="preserve">Optymalizacja obrazów</t>
  </si>
  <si>
    <t xml:space="preserve">J-07</t>
  </si>
  <si>
    <t xml:space="preserve">Dedykowany adres IP</t>
  </si>
  <si>
    <t xml:space="preserve">addons — jako dodatek typu workorder</t>
  </si>
  <si>
    <t xml:space="preserve">H-04</t>
  </si>
  <si>
    <t xml:space="preserve">E-12</t>
  </si>
  <si>
    <t xml:space="preserve">Backup: granularność i retencja</t>
  </si>
  <si>
    <t xml:space="preserve">Retencja co najmniej 28 dni w cenie</t>
  </si>
  <si>
    <t xml:space="preserve">off-site: 30 dni (node-offsite-backup.sh:101)</t>
  </si>
  <si>
    <t xml:space="preserve">H-10</t>
  </si>
  <si>
    <t xml:space="preserve">Odtworzenie pojedynczego pliku</t>
  </si>
  <si>
    <t xml:space="preserve">JetBackup/Plesk to mają; seohost i dhosting też</t>
  </si>
  <si>
    <t xml:space="preserve">H-11</t>
  </si>
  <si>
    <t xml:space="preserve">Podgląd zawartości archiwum przed odtworzeniem</t>
  </si>
  <si>
    <t xml:space="preserve">services.controller.ts:788-793 — buduje z BIEŻĄCEGO inwentarza konta, nie z archiwum</t>
  </si>
  <si>
    <t xml:space="preserve">H-13</t>
  </si>
  <si>
    <t xml:space="preserve">Pobranie archiwum kopii lokalnie</t>
  </si>
  <si>
    <t xml:space="preserve">services.controller.ts:855 — kopiuje na konto, nie do przeglądarki</t>
  </si>
  <si>
    <t xml:space="preserve">H-16</t>
  </si>
  <si>
    <t xml:space="preserve">ODTWORZENIE KONTA NA INNY WĘZEŁ</t>
  </si>
  <si>
    <t xml:space="preserve">offsite-restore.service.ts:125 kieruje zadanie na account.serverId; node-account-restore.sh:76 przerywa gdy brak katalogu</t>
  </si>
  <si>
    <t xml:space="preserve">H-18</t>
  </si>
  <si>
    <t xml:space="preserve">Odtworzenie konta przez operatora z panelu</t>
  </si>
  <si>
    <t xml:space="preserve">subscriptions.admin.controller.ts:69,86 — zero wywołań w admin-panel</t>
  </si>
  <si>
    <t xml:space="preserve">H-19</t>
  </si>
  <si>
    <t xml:space="preserve">Automatyczna konfiguracja backupu przy wdrożeniu węzła</t>
  </si>
  <si>
    <t xml:space="preserve">node-onboard-live.sh:240-244 tylko log_warn; wizard węzła (wizard-content.ts:21-40) nie ma kroku backupu</t>
  </si>
  <si>
    <t xml:space="preserve">M-07</t>
  </si>
  <si>
    <t xml:space="preserve">Rozliczenia: dokończenie</t>
  </si>
  <si>
    <t xml:space="preserve">DUPLIKAT FAKTURY</t>
  </si>
  <si>
    <t xml:space="preserve">brak flagi isDuplicate, brak endpointu</t>
  </si>
  <si>
    <t xml:space="preserve">M-09</t>
  </si>
  <si>
    <t xml:space="preserve">Stawki VAT inne niż 23%</t>
  </si>
  <si>
    <t xml:space="preserve">invoices.service.ts:17 — DEFAULT_VAT_RATE = 23 na sztywno</t>
  </si>
  <si>
    <t xml:space="preserve">M-10</t>
  </si>
  <si>
    <t xml:space="preserve">Faktury w walucie obcej z przeliczeniem VAT</t>
  </si>
  <si>
    <t xml:space="preserve">invoice-pdf.service.ts:61 formatuje PLN/EUR/USD; brak kursu i przeliczenia (art. 31a)</t>
  </si>
  <si>
    <t xml:space="preserve">M-24</t>
  </si>
  <si>
    <t xml:space="preserve">Proforma przed odnowieniem</t>
  </si>
  <si>
    <t xml:space="preserve">renewal-reminder.scheduler.ts — przypomnienie, nie proforma</t>
  </si>
  <si>
    <t xml:space="preserve">M-27</t>
  </si>
  <si>
    <t xml:space="preserve">Dodanie karty niezależnie od zakupu</t>
  </si>
  <si>
    <t xml:space="preserve">karta zapisuje się tylko przy okazji Stripe Checkout</t>
  </si>
  <si>
    <t xml:space="preserve">M-28</t>
  </si>
  <si>
    <t xml:space="preserve">Eksport historii transakcji do CSV</t>
  </si>
  <si>
    <t xml:space="preserve">billing.controller.ts:70 — zero odwołań w panelu</t>
  </si>
  <si>
    <t xml:space="preserve">M-33</t>
  </si>
  <si>
    <t xml:space="preserve">Dodatki płatne (IP, wsparcie priorytetowe)</t>
  </si>
  <si>
    <t xml:space="preserve">addon.service.ts:120 — 2 z 3 to workorder do BOK</t>
  </si>
  <si>
    <t xml:space="preserve">Z-07</t>
  </si>
  <si>
    <t xml:space="preserve">Ponowienie płatności portfelem w okresie karencji</t>
  </si>
  <si>
    <t xml:space="preserve">renewal.scheduler.ts:74-78 wybiera wyłącznie status ACTIVE — subskrypcja w PAST_DUE (:236-241) nie jest ponawiana; getPaymentRetryUrl (subscriptions.service.ts:1509-1516) odrzuca wszystko poza STRIPE_CARD</t>
  </si>
  <si>
    <t xml:space="preserve">N-05</t>
  </si>
  <si>
    <t xml:space="preserve">Wsparcie i ops: kolejka abuse</t>
  </si>
  <si>
    <t xml:space="preserve">Podpowiedzi artykułów przy zgłoszeniu</t>
  </si>
  <si>
    <t xml:space="preserve">ai.controller.ts:53 — AI_API_KEY</t>
  </si>
  <si>
    <t xml:space="preserve">N-10</t>
  </si>
  <si>
    <t xml:space="preserve">Preferencje powiadomień e-mail</t>
  </si>
  <si>
    <t xml:space="preserve">notifications-tab.tsx:70 — sekcja „Zawsze włączone” to statyczny tekst bez backendu</t>
  </si>
  <si>
    <t xml:space="preserve">N-11</t>
  </si>
  <si>
    <t xml:space="preserve">Ogłoszenia i okna serwisowe</t>
  </si>
  <si>
    <t xml:space="preserve">product-ops.admin.controller.ts:281,307,342,427; product-ops/data.ts:78-85 to same GET-y</t>
  </si>
  <si>
    <t xml:space="preserve">N-12</t>
  </si>
  <si>
    <t xml:space="preserve">Feature flagi z panelu operatora</t>
  </si>
  <si>
    <t xml:space="preserve">product-ops.admin.controller.ts:342</t>
  </si>
  <si>
    <t xml:space="preserve">N-13</t>
  </si>
  <si>
    <t xml:space="preserve">KOLEJKA OBSŁUGI NADUŻYĆ (ABUSE)</t>
  </si>
  <si>
    <t xml:space="preserve">brak modułu, encji i trasy; jest tylko outbound-abuse.guard.ts:7-18 bez UI</t>
  </si>
  <si>
    <t xml:space="preserve">N-20</t>
  </si>
  <si>
    <t xml:space="preserve">Link ze zgłoszenia do szczegółu (admin)</t>
  </si>
  <si>
    <t xml:space="preserve">tickets/page.tsx:24 → /tickets/${id}; trasa nie istnieje w admin-panel</t>
  </si>
  <si>
    <t xml:space="preserve">N-21</t>
  </si>
  <si>
    <t xml:space="preserve">Wsparcie telefoniczne</t>
  </si>
  <si>
    <t xml:space="preserve">poza produktem</t>
  </si>
  <si>
    <t xml:space="preserve">I-04</t>
  </si>
  <si>
    <t xml:space="preserve">E-03</t>
  </si>
  <si>
    <t xml:space="preserve">WordPress Toolkit</t>
  </si>
  <si>
    <t xml:space="preserve">Q2 2027</t>
  </si>
  <si>
    <t xml:space="preserve">Automatyczne aktualizacje WordPressa</t>
  </si>
  <si>
    <t xml:space="preserve">I-05</t>
  </si>
  <si>
    <t xml:space="preserve">Aktualizacje wtyczek i motywów z panelu</t>
  </si>
  <si>
    <t xml:space="preserve">I-07</t>
  </si>
  <si>
    <t xml:space="preserve">Skanowanie podatności WordPressa</t>
  </si>
  <si>
    <t xml:space="preserve">Plesk używa Patchstack</t>
  </si>
  <si>
    <t xml:space="preserve">I-08</t>
  </si>
  <si>
    <t xml:space="preserve">Hardening WordPressa (checklist)</t>
  </si>
  <si>
    <t xml:space="preserve">I-13</t>
  </si>
  <si>
    <t xml:space="preserve">Klonowanie strony między domenami</t>
  </si>
  <si>
    <t xml:space="preserve">I-14</t>
  </si>
  <si>
    <t xml:space="preserve">Masowe zarządzanie wieloma instalacjami WP</t>
  </si>
  <si>
    <t xml:space="preserve">realna przewaga dla agencji</t>
  </si>
  <si>
    <t xml:space="preserve">I-15</t>
  </si>
  <si>
    <t xml:space="preserve">Tryb konserwacji WordPressa</t>
  </si>
  <si>
    <t xml:space="preserve">I-16</t>
  </si>
  <si>
    <t xml:space="preserve">WP-CLI</t>
  </si>
  <si>
    <t xml:space="preserve">używane wewnętrznie przy WP_INSTALL</t>
  </si>
  <si>
    <t xml:space="preserve">I-18</t>
  </si>
  <si>
    <t xml:space="preserve">Migracja — test poświadczeń (preflight)</t>
  </si>
  <si>
    <t xml:space="preserve">services.controller.ts:1001</t>
  </si>
  <si>
    <t xml:space="preserve">I-22</t>
  </si>
  <si>
    <t xml:space="preserve">Migracja — cockpit operatora</t>
  </si>
  <si>
    <t xml:space="preserve">migrations.staff.controller.ts:75,90,126</t>
  </si>
  <si>
    <t xml:space="preserve">A-06</t>
  </si>
  <si>
    <t xml:space="preserve">E-04</t>
  </si>
  <si>
    <t xml:space="preserve">Domeny jako produkt</t>
  </si>
  <si>
    <t xml:space="preserve">Zmiana document root domeny</t>
  </si>
  <si>
    <t xml:space="preserve">DA to potrafi; brak UI</t>
  </si>
  <si>
    <t xml:space="preserve">A-08</t>
  </si>
  <si>
    <t xml:space="preserve">Rejestracja domeny z panelu</t>
  </si>
  <si>
    <t xml:space="preserve">domains.controller.ts:118</t>
  </si>
  <si>
    <t xml:space="preserve">A-09</t>
  </si>
  <si>
    <t xml:space="preserve">Transfer domeny (kod authinfo)</t>
  </si>
  <si>
    <t xml:space="preserve">domains.controller.ts:123</t>
  </si>
  <si>
    <t xml:space="preserve">A-10</t>
  </si>
  <si>
    <t xml:space="preserve">Odnowienie domeny przez klienta</t>
  </si>
  <si>
    <t xml:space="preserve">domains.controller.ts:133</t>
  </si>
  <si>
    <t xml:space="preserve">A-12</t>
  </si>
  <si>
    <t xml:space="preserve">Cennik rejestracji na 1–10 lat</t>
  </si>
  <si>
    <t xml:space="preserve">domains.controller.ts:59</t>
  </si>
  <si>
    <t xml:space="preserve">A-13</t>
  </si>
  <si>
    <t xml:space="preserve">Zmiana danych abonenta domeny</t>
  </si>
  <si>
    <t xml:space="preserve">wymóg operatorski przy własnej rejestracji</t>
  </si>
  <si>
    <t xml:space="preserve">A-14</t>
  </si>
  <si>
    <t xml:space="preserve">Ukrycie danych WHOIS / domain privacy</t>
  </si>
  <si>
    <t xml:space="preserve">A-15</t>
  </si>
  <si>
    <t xml:space="preserve">Blokada transferu domeny (transfer lock)</t>
  </si>
  <si>
    <t xml:space="preserve">A-16</t>
  </si>
  <si>
    <t xml:space="preserve">Weryfikacja własności domeny</t>
  </si>
  <si>
    <t xml:space="preserve">domains.service.ts:92-153 — runChecklist robi resolve4/resolve6/resolveNs + handshake TLS</t>
  </si>
  <si>
    <t xml:space="preserve">A-24</t>
  </si>
  <si>
    <t xml:space="preserve">Zakładanie konta klienta przez operatora</t>
  </si>
  <si>
    <t xml:space="preserve">brak @Post w users.admin.controller.ts</t>
  </si>
  <si>
    <t xml:space="preserve">I-01</t>
  </si>
  <si>
    <t xml:space="preserve">Katalog aplikacji</t>
  </si>
  <si>
    <t xml:space="preserve">Autoinstalator aplikacji</t>
  </si>
  <si>
    <t xml:space="preserve">app-install.service.ts:25,32 — katalog ma 2 pozycje</t>
  </si>
  <si>
    <t xml:space="preserve">E-06</t>
  </si>
  <si>
    <t xml:space="preserve">E-10</t>
  </si>
  <si>
    <t xml:space="preserve">Poczta: filtry, kalendarz, limity</t>
  </si>
  <si>
    <t xml:space="preserve">Podgląd zużycia skrzynki</t>
  </si>
  <si>
    <t xml:space="preserve">Reguły filtrowania poczty (Sieve)</t>
  </si>
  <si>
    <t xml:space="preserve">wszystkie 5 hostingów PL to ma</t>
  </si>
  <si>
    <t xml:space="preserve">E-13</t>
  </si>
  <si>
    <t xml:space="preserve">Webmail — dostęp</t>
  </si>
  <si>
    <t xml:space="preserve">link do DA</t>
  </si>
  <si>
    <t xml:space="preserve">E-18</t>
  </si>
  <si>
    <t xml:space="preserve">Sprawdzenie obecności na RBL</t>
  </si>
  <si>
    <t xml:space="preserve">E-19</t>
  </si>
  <si>
    <t xml:space="preserve">Podgląd kolejki i logów dostarczania</t>
  </si>
  <si>
    <t xml:space="preserve">„gdzie jest mój mail” to najczęstszy ticket poczty</t>
  </si>
  <si>
    <t xml:space="preserve">E-20</t>
  </si>
  <si>
    <t xml:space="preserve">Limity wysyłki pokazane klientowi</t>
  </si>
  <si>
    <t xml:space="preserve">cyber_Folks publikuje jawnie: 1000/dobę, 300/15 min</t>
  </si>
  <si>
    <t xml:space="preserve">E-21</t>
  </si>
  <si>
    <t xml:space="preserve">Samodzielny import skrzynek przez IMAP</t>
  </si>
  <si>
    <t xml:space="preserve">w ramach migracji, nie jako osobne narzędzie</t>
  </si>
  <si>
    <t xml:space="preserve">E-23</t>
  </si>
  <si>
    <t xml:space="preserve">Kalendarz i kontakty (CalDAV/CardDAV)</t>
  </si>
  <si>
    <t xml:space="preserve">dhosting i home.pl mają w produkcie „poczta biznesowa”</t>
  </si>
  <si>
    <t xml:space="preserve">E-24</t>
  </si>
  <si>
    <t xml:space="preserve">2FA dla webmaila</t>
  </si>
  <si>
    <t xml:space="preserve">cyber_Folks ma nawet 2FA dla IMAP/SMTP</t>
  </si>
  <si>
    <t xml:space="preserve">G-07</t>
  </si>
  <si>
    <t xml:space="preserve">Bezpieczeństwo jako funkcja</t>
  </si>
  <si>
    <t xml:space="preserve">Q3 2027</t>
  </si>
  <si>
    <t xml:space="preserve">HSTS</t>
  </si>
  <si>
    <t xml:space="preserve">G-08</t>
  </si>
  <si>
    <t xml:space="preserve">Sprzedaż certyfikatów DV/OV/EV</t>
  </si>
  <si>
    <t xml:space="preserve">wszystkie 5 hostingów PL to sprzedaje</t>
  </si>
  <si>
    <t xml:space="preserve">G-11</t>
  </si>
  <si>
    <t xml:space="preserve">Skaner malware dla klienta</t>
  </si>
  <si>
    <t xml:space="preserve">Imunify to koszt licencyjny — pozycja do unit economics</t>
  </si>
  <si>
    <t xml:space="preserve">G-12</t>
  </si>
  <si>
    <t xml:space="preserve">Czyszczenie zainfekowanych plików</t>
  </si>
  <si>
    <t xml:space="preserve">G-19</t>
  </si>
  <si>
    <t xml:space="preserve">Auto-wylogowanie po bezczynności</t>
  </si>
  <si>
    <t xml:space="preserve">session-idle-guard.tsx</t>
  </si>
  <si>
    <t xml:space="preserve">G-21</t>
  </si>
  <si>
    <t xml:space="preserve">Anty-DDoS</t>
  </si>
  <si>
    <t xml:space="preserve">wszystkie 5 hostingów PL to deklaruje — brak w ofercie będzie widoczny</t>
  </si>
  <si>
    <t xml:space="preserve">G-22</t>
  </si>
  <si>
    <t xml:space="preserve">Powiadomienie o podejrzanym logowaniu</t>
  </si>
  <si>
    <t xml:space="preserve">O-03</t>
  </si>
  <si>
    <t xml:space="preserve">E-07</t>
  </si>
  <si>
    <t xml:space="preserve">Reseller jako produkt</t>
  </si>
  <si>
    <t xml:space="preserve">Dziennik audytu działań subkont</t>
  </si>
  <si>
    <t xml:space="preserve">customer-iam.controller.ts:36</t>
  </si>
  <si>
    <t xml:space="preserve">O-05</t>
  </si>
  <si>
    <t xml:space="preserve">Reseller — przegląd klientów</t>
  </si>
  <si>
    <t xml:space="preserve">reseller.controller.ts:12,17 — 2 GET-y, zero mutacji</t>
  </si>
  <si>
    <t xml:space="preserve">O-06</t>
  </si>
  <si>
    <t xml:space="preserve">Reseller — zakładanie kont klientom</t>
  </si>
  <si>
    <t xml:space="preserve">bez tego reseller nie jest produktem</t>
  </si>
  <si>
    <t xml:space="preserve">O-07</t>
  </si>
  <si>
    <t xml:space="preserve">Reseller — ustawianie własnej marży</t>
  </si>
  <si>
    <t xml:space="preserve">reseller.admin.controller.ts:44,50 — tylko operator, nie reseller</t>
  </si>
  <si>
    <t xml:space="preserve">O-08</t>
  </si>
  <si>
    <t xml:space="preserve">Reseller — samodzielne włączenie programu</t>
  </si>
  <si>
    <t xml:space="preserve">reseller-client.tsx:49 — jedyna akcja to „Napisz do nas”</t>
  </si>
  <si>
    <t xml:space="preserve">O-09</t>
  </si>
  <si>
    <t xml:space="preserve">White-label / własna marka resellera</t>
  </si>
  <si>
    <t xml:space="preserve">reseller.admin.controller.ts:44 (brand po stronie operatora)</t>
  </si>
  <si>
    <t xml:space="preserve">P-11</t>
  </si>
  <si>
    <t xml:space="preserve">E-08</t>
  </si>
  <si>
    <t xml:space="preserve">Dostępność i zgodność w produkcie</t>
  </si>
  <si>
    <t xml:space="preserve">Rejestr czynności przetwarzania (art. 30)</t>
  </si>
  <si>
    <t xml:space="preserve">docs/legal/rcpd.md — sekcje A (administrator), B (procesor, art. 30 ust. 2), C (art. 32), D (przeglądy)</t>
  </si>
  <si>
    <t xml:space="preserve">P-12</t>
  </si>
  <si>
    <t xml:space="preserve">Dostępność panelu wg WCAG 2.1 AA (EAA)</t>
  </si>
  <si>
    <t xml:space="preserve">docs/legal/EAA_AUDYT_DOSTEPNOSCI_2026-07-07.md — audyt wykonany, skip-link i focus-visible naprawione w commicie z 2026-07-07</t>
  </si>
  <si>
    <t xml:space="preserve">P-13</t>
  </si>
  <si>
    <t xml:space="preserve">Deklaracja lokalizacji danych</t>
  </si>
  <si>
    <t xml:space="preserve">poza kodem</t>
  </si>
  <si>
    <t xml:space="preserve">P-14</t>
  </si>
  <si>
    <t xml:space="preserve">Certyfikacja ISO 27001</t>
  </si>
  <si>
    <t xml:space="preserve">home.pl i nazwa.pl mają — element przetargowy w B2B</t>
  </si>
  <si>
    <t xml:space="preserve">Q-09</t>
  </si>
  <si>
    <t xml:space="preserve">Panel responsywny na telefonie</t>
  </si>
  <si>
    <t xml:space="preserve">Q — Przewaga</t>
  </si>
  <si>
    <t xml:space="preserve">brak audytu w repo</t>
  </si>
  <si>
    <t xml:space="preserve">F-03</t>
  </si>
  <si>
    <t xml:space="preserve">E-11</t>
  </si>
  <si>
    <t xml:space="preserve">DNS: DNSSEC i zarządzanie strefą</t>
  </si>
  <si>
    <t xml:space="preserve">Link do strefy DNS w DirectAdmin</t>
  </si>
  <si>
    <t xml:space="preserve">DZIAŁA</t>
  </si>
  <si>
    <t xml:space="preserve">services.controller.ts:350</t>
  </si>
  <si>
    <t xml:space="preserve">F-06</t>
  </si>
  <si>
    <t xml:space="preserve">DNSSEC</t>
  </si>
  <si>
    <t xml:space="preserve">żaden z 5 hostingów PL nie potwierdza publicznie</t>
  </si>
  <si>
    <t xml:space="preserve">F-11</t>
  </si>
  <si>
    <t xml:space="preserve">Zmiana TTL rekordów</t>
  </si>
  <si>
    <t xml:space="preserve">zależne od F-01</t>
  </si>
  <si>
    <t xml:space="preserve">F-12</t>
  </si>
  <si>
    <t xml:space="preserve">Anycast DNS</t>
  </si>
  <si>
    <t xml:space="preserve">tylko nazwa.pl na rynku PL</t>
  </si>
  <si>
    <t xml:space="preserve">L-03</t>
  </si>
  <si>
    <t xml:space="preserve">Automatyzacja: API zapisu i webhooki</t>
  </si>
  <si>
    <t xml:space="preserve">Zadanie cron — edycja</t>
  </si>
  <si>
    <t xml:space="preserve">L — Automatyzacja</t>
  </si>
  <si>
    <t xml:space="preserve">obecnie usuń i dodaj ponownie</t>
  </si>
  <si>
    <t xml:space="preserve">L-04</t>
  </si>
  <si>
    <t xml:space="preserve">Cron z interwałem 1 minuty</t>
  </si>
  <si>
    <t xml:space="preserve">zależne od konfiguracji DA</t>
  </si>
  <si>
    <t xml:space="preserve">L-05</t>
  </si>
  <si>
    <t xml:space="preserve">Cron z wyborem wersji PHP</t>
  </si>
  <si>
    <t xml:space="preserve">seohost to reklamuje</t>
  </si>
  <si>
    <t xml:space="preserve">L-06</t>
  </si>
  <si>
    <t xml:space="preserve">Podgląd wyniku ostatniego wykonania crona</t>
  </si>
  <si>
    <t xml:space="preserve">L-08</t>
  </si>
  <si>
    <t xml:space="preserve">Publiczne API — zapis</t>
  </si>
  <si>
    <t xml:space="preserve">api-scopes.ts:3 — 3 zakresy read-only; przyznane w api-tokens-client.tsx:158</t>
  </si>
  <si>
    <t xml:space="preserve">L-09</t>
  </si>
  <si>
    <t xml:space="preserve">Tokeny API z zakresami uprawnień</t>
  </si>
  <si>
    <t xml:space="preserve">api-tokens.controller.ts:35</t>
  </si>
  <si>
    <t xml:space="preserve">L-10</t>
  </si>
  <si>
    <t xml:space="preserve">Webhooki dla klienta</t>
  </si>
  <si>
    <t xml:space="preserve">L-11</t>
  </si>
  <si>
    <t xml:space="preserve">Asystent AI w panelu</t>
  </si>
  <si>
    <t xml:space="preserve">HostingAssistant.tsx:61; ai-provider.service.ts:21 — AI_API_KEY domyślnie pusty</t>
  </si>
  <si>
    <t xml:space="preserve">L-12</t>
  </si>
  <si>
    <t xml:space="preserve">Prognoza zużycia zasobów (AI)</t>
  </si>
  <si>
    <t xml:space="preserve">hosting-forecast-actions.ts:7; fallback ServiceForecastPanel.tsx:97</t>
  </si>
  <si>
    <t xml:space="preserve">Q-06</t>
  </si>
  <si>
    <t xml:space="preserve">Rozszerzenia oferty</t>
  </si>
  <si>
    <t xml:space="preserve">Q4 2027</t>
  </si>
  <si>
    <t xml:space="preserve">NISKI</t>
  </si>
  <si>
    <t xml:space="preserve">VPS / cloud w tym samym panelu</t>
  </si>
  <si>
    <t xml:space="preserve">vps.controller.ts:53,59,69; HETZNER_API_TOKEN</t>
  </si>
  <si>
    <t xml:space="preserve">Q-07</t>
  </si>
  <si>
    <t xml:space="preserve">VPS — konsola / VNC</t>
  </si>
  <si>
    <t xml:space="preserve">Q-08</t>
  </si>
  <si>
    <t xml:space="preserve">VPS — snapshoty i rebuild</t>
  </si>
  <si>
    <t xml:space="preserve">Q-14</t>
  </si>
  <si>
    <t xml:space="preserve">Kreator uruchomienia węzła</t>
  </si>
  <si>
    <t xml:space="preserve">node-wizard.tsx:277,288 — realnie tylko init + bootstrap; 7 z 9 kroków to treść runbooka (wizard-content.ts:21-40)</t>
  </si>
  <si>
    <t xml:space="preserve">X-04</t>
  </si>
  <si>
    <t xml:space="preserve">E-09</t>
  </si>
  <si>
    <t xml:space="preserve">Pokrycie testowe warstw krytycznych</t>
  </si>
  <si>
    <t xml:space="preserve">ciągłe</t>
  </si>
  <si>
    <t xml:space="preserve">Testy integracyjne / e2e API</t>
  </si>
  <si>
    <t xml:space="preserve">zero @nestjs/testing i supertest nawet w devDependencies (apps/api/package.json:52-73)</t>
  </si>
  <si>
    <t xml:space="preserve">X-05</t>
  </si>
  <si>
    <t xml:space="preserve">Testy paneli frontowych</t>
  </si>
  <si>
    <t xml:space="preserve">admin-panel i staff-panel: 0 plików; client-panel: 1 plik bez runnera (brak skryptu test w package.json:5-11)</t>
  </si>
  <si>
    <t xml:space="preserve">X-06</t>
  </si>
  <si>
    <t xml:space="preserve">Pokrycie testami modułu auth</t>
  </si>
  <si>
    <t xml:space="preserve">zero plików .spec w apps/api/src/auth</t>
  </si>
  <si>
    <t xml:space="preserve">X-07</t>
  </si>
  <si>
    <t xml:space="preserve">Pokrycie testami klienta KSeF</t>
  </si>
  <si>
    <t xml:space="preserve">ksef-v2.client.ts (487 l. kryptografii + API skarbowe) — ZERO testów; testowany jest tylko builder XML</t>
  </si>
  <si>
    <t xml:space="preserve">X-08</t>
  </si>
  <si>
    <t xml:space="preserve">Pokrycie testami ścieżki backup/restore</t>
  </si>
  <si>
    <t xml:space="preserve">offsite-restore.service.ts (regex chroniący przed path traversal na wejściu od klienta) — ZERO testów</t>
  </si>
  <si>
    <t xml:space="preserve">X-09</t>
  </si>
  <si>
    <t xml:space="preserve">Pokrycie testami DirectAdminService</t>
  </si>
  <si>
    <t xml:space="preserve">directadmin.service.ts ma 3057 linii; testowany jest wyłącznie helper mergeAdminSettingsPayload</t>
  </si>
  <si>
    <t xml:space="preserve">X-10</t>
  </si>
  <si>
    <t xml:space="preserve">Testy RBAC sprawdzające zachowanie, nie metadane</t>
  </si>
  <si>
    <t xml:space="preserve">3 pliki spec czytają Reflect.getMetadata(ROLES_KEY) — weryfikują, że dekorator napisano, nie że guard blokuje</t>
  </si>
  <si>
    <t xml:space="preserve">Uzasadnienie decyzji</t>
  </si>
  <si>
    <t xml:space="preserve">B-07</t>
  </si>
  <si>
    <t xml:space="preserve">Wybór handlera PHP (LSAPI/FPM/CGI)</t>
  </si>
  <si>
    <t xml:space="preserve">decyzja operatorska, nie klienta</t>
  </si>
  <si>
    <t xml:space="preserve">B-10</t>
  </si>
  <si>
    <t xml:space="preserve">Aplikacje Ruby</t>
  </si>
  <si>
    <t xml:space="preserve">rynek PL tego nie oczekuje</t>
  </si>
  <si>
    <t xml:space="preserve">C-20</t>
  </si>
  <si>
    <t xml:space="preserve">FTP anonimowy</t>
  </si>
  <si>
    <t xml:space="preserve">funkcja schyłkowa, ryzyko nadużyć</t>
  </si>
  <si>
    <t xml:space="preserve">C-23</t>
  </si>
  <si>
    <t xml:space="preserve">Terminal SSH w przeglądarce</t>
  </si>
  <si>
    <t xml:space="preserve">żaden hosting PL tego nie daje</t>
  </si>
  <si>
    <t xml:space="preserve">C-24</t>
  </si>
  <si>
    <t xml:space="preserve">WebDAV / Web Disk</t>
  </si>
  <si>
    <t xml:space="preserve">Protokół schyłkowy — żaden z pięciu badanych hostingów PL go nie wystawia, a menedżer plików i SFTP pokrywają ten sam scenariusz.</t>
  </si>
  <si>
    <t xml:space="preserve">E-22</t>
  </si>
  <si>
    <t xml:space="preserve">Listy mailingowe</t>
  </si>
  <si>
    <t xml:space="preserve">zastąpione modułem email-marketing</t>
  </si>
  <si>
    <t xml:space="preserve">F-07</t>
  </si>
  <si>
    <t xml:space="preserve">Secondary / slave DNS</t>
  </si>
  <si>
    <t xml:space="preserve">Wtórny DNS ma sens przy własnej infrastrukturze DNS wielolokalizacyjnej; przy jednym operatorze i delegacji na zewnątrz (F-09) nie wnosi odporności, którą obiecuje.</t>
  </si>
  <si>
    <t xml:space="preserve">F-10</t>
  </si>
  <si>
    <t xml:space="preserve">Szablony stref DNS</t>
  </si>
  <si>
    <t xml:space="preserve">Szablony stref są narzędziem resellera zarządzającego setkami domen. Do rozważenia razem z epikiem E-07, nie wcześniej.</t>
  </si>
  <si>
    <t xml:space="preserve">G-10</t>
  </si>
  <si>
    <t xml:space="preserve">ModSecurity — zarządzanie regułami</t>
  </si>
  <si>
    <t xml:space="preserve">poziom operatora</t>
  </si>
  <si>
    <t xml:space="preserve">I-06</t>
  </si>
  <si>
    <t xml:space="preserve">Smart Updates (test przed aktualizacją)</t>
  </si>
  <si>
    <t xml:space="preserve">wyróżnik Pleska, rynek PL tego nie ma</t>
  </si>
  <si>
    <t xml:space="preserve">K-07</t>
  </si>
  <si>
    <t xml:space="preserve">Statystyki odwiedzin (AWStats/Webalizer)</t>
  </si>
  <si>
    <t xml:space="preserve">zastąpione własną analityką (K-12)</t>
  </si>
  <si>
    <t xml:space="preserve">Q-10</t>
  </si>
  <si>
    <t xml:space="preserve">Natywna aplikacja mobilna</t>
  </si>
  <si>
    <t xml:space="preserve">tylko home.pl (iOS)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</si>
</sst>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Arial"/>
      <family val="0"/>
      <charset val="1"/>
    </font>
    <font>
      <i val="true"/>
      <sz val="10"/>
      <color rgb="FF606060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Arial"/>
        <charset val="1"/>
        <family val="0"/>
        <b val="1"/>
        <color rgb="FFFFFFFF"/>
        <sz val="10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8CBAD"/>
        </patternFill>
      </fill>
    </dxf>
    <dxf>
      <font>
        <name val="Arial"/>
        <charset val="1"/>
        <family val="0"/>
        <b val="1"/>
        <color rgb="FF000000"/>
        <sz val="1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0C6B0C"/>
        <sz val="10"/>
      </font>
      <fill>
        <patternFill>
          <bgColor rgb="FFD6EF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C6B0C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EFD8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06060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15" hidden="false" customHeight="false" outlineLevel="0" collapsed="false">
      <c r="A4" s="3" t="s">
        <v>2</v>
      </c>
    </row>
    <row r="6" customFormat="false" ht="15" hidden="false" customHeight="false" outlineLevel="0" collapsed="false">
      <c r="A6" s="4" t="s">
        <v>3</v>
      </c>
      <c r="B6" s="5" t="n">
        <f aca="false">COUNTA('Backlog do startu'!$A$2:$A$61)</f>
        <v>60</v>
      </c>
    </row>
    <row r="7" customFormat="false" ht="15" hidden="false" customHeight="false" outlineLevel="0" collapsed="false">
      <c r="A7" s="4" t="s">
        <v>4</v>
      </c>
      <c r="B7" s="5" t="n">
        <f aca="false">SUM('Backlog do startu'!$F$2:$F$61)</f>
        <v>540</v>
      </c>
    </row>
    <row r="8" customFormat="false" ht="15" hidden="false" customHeight="false" outlineLevel="0" collapsed="false">
      <c r="A8" s="4" t="s">
        <v>5</v>
      </c>
      <c r="B8" s="5" t="n">
        <v>570</v>
      </c>
    </row>
    <row r="9" customFormat="false" ht="15" hidden="false" customHeight="false" outlineLevel="0" collapsed="false">
      <c r="A9" s="4" t="s">
        <v>6</v>
      </c>
      <c r="B9" s="5" t="n">
        <f aca="false">B7-B6</f>
        <v>480</v>
      </c>
    </row>
    <row r="10" customFormat="false" ht="15" hidden="false" customHeight="false" outlineLevel="0" collapsed="false">
      <c r="A10" s="6" t="s">
        <v>7</v>
      </c>
      <c r="B10" s="7" t="n">
        <f aca="false">COUNTIF('Backlog do startu'!$E$2:$E$61,"BLOKER STARTU")+COUNTIF('Backlog do startu'!$E$2:$E$61,"BLOKER BIZNESOWY")</f>
        <v>19</v>
      </c>
    </row>
    <row r="11" customFormat="false" ht="15" hidden="false" customHeight="false" outlineLevel="0" collapsed="false">
      <c r="A11" s="4" t="s">
        <v>8</v>
      </c>
      <c r="B11" s="5" t="n">
        <f aca="false">COUNTIF('Backlog do startu'!$P$2:$P$61,"zrobione")</f>
        <v>0</v>
      </c>
    </row>
    <row r="12" customFormat="false" ht="15" hidden="false" customHeight="false" outlineLevel="0" collapsed="false">
      <c r="A12" s="4" t="s">
        <v>9</v>
      </c>
      <c r="B12" s="5" t="n">
        <f aca="false">SUMIF('Backlog do startu'!$P$2:$P$61,"zrobione",'Backlog do startu'!$F$2:$F$61)</f>
        <v>0</v>
      </c>
    </row>
    <row r="13" customFormat="false" ht="15" hidden="false" customHeight="false" outlineLevel="0" collapsed="false">
      <c r="A13" s="4" t="s">
        <v>10</v>
      </c>
      <c r="B13" s="8" t="n">
        <f aca="false">IFERROR(B12/B6,0)</f>
        <v>0</v>
      </c>
    </row>
    <row r="15" customFormat="false" ht="16.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4" t="s">
        <v>12</v>
      </c>
      <c r="B16" s="5" t="n">
        <v>134</v>
      </c>
    </row>
    <row r="17" customFormat="false" ht="15" hidden="false" customHeight="false" outlineLevel="0" collapsed="false">
      <c r="A17" s="4" t="s">
        <v>13</v>
      </c>
      <c r="B17" s="5" t="n">
        <v>2102</v>
      </c>
    </row>
    <row r="18" customFormat="false" ht="15" hidden="false" customHeight="false" outlineLevel="0" collapsed="false">
      <c r="A18" s="4" t="s">
        <v>14</v>
      </c>
      <c r="B18" s="5" t="n">
        <v>70.1</v>
      </c>
    </row>
    <row r="19" customFormat="false" ht="15" hidden="false" customHeight="false" outlineLevel="0" collapsed="false">
      <c r="A19" s="4" t="s">
        <v>15</v>
      </c>
      <c r="B19" s="5" t="n">
        <v>12</v>
      </c>
    </row>
    <row r="21" customFormat="false" ht="16.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4" t="s">
        <v>17</v>
      </c>
    </row>
    <row r="23" customFormat="false" ht="15" hidden="false" customHeight="false" outlineLevel="0" collapsed="false">
      <c r="A23" s="4" t="s">
        <v>18</v>
      </c>
    </row>
    <row r="24" customFormat="false" ht="15" hidden="false" customHeight="false" outlineLevel="0" collapsed="false">
      <c r="A24" s="4" t="s">
        <v>19</v>
      </c>
    </row>
    <row r="25" customFormat="false" ht="15" hidden="false" customHeight="false" outlineLevel="0" collapsed="false">
      <c r="A25" s="4" t="s">
        <v>20</v>
      </c>
    </row>
    <row r="26" customFormat="false" ht="15" hidden="false" customHeight="false" outlineLevel="0" collapsed="false">
      <c r="A26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26"/>
    <col collapsed="false" customWidth="true" hidden="false" outlineLevel="0" max="5" min="5" style="0" width="17"/>
    <col collapsed="false" customWidth="true" hidden="false" outlineLevel="0" max="6" min="6" style="0" width="5"/>
    <col collapsed="false" customWidth="true" hidden="false" outlineLevel="0" max="7" min="7" style="0" width="7"/>
    <col collapsed="false" customWidth="true" hidden="false" outlineLevel="0" max="8" min="8" style="0" width="42"/>
    <col collapsed="false" customWidth="true" hidden="false" outlineLevel="0" max="10" min="9" style="0" width="11"/>
    <col collapsed="false" customWidth="true" hidden="false" outlineLevel="0" max="11" min="11" style="0" width="17"/>
    <col collapsed="false" customWidth="true" hidden="false" outlineLevel="0" max="12" min="12" style="0" width="44"/>
    <col collapsed="false" customWidth="true" hidden="false" outlineLevel="0" max="13" min="13" style="0" width="40"/>
    <col collapsed="false" customWidth="true" hidden="false" outlineLevel="0" max="15" min="14" style="0" width="60"/>
    <col collapsed="false" customWidth="true" hidden="false" outlineLevel="0" max="16" min="16" style="0" width="14"/>
  </cols>
  <sheetData>
    <row r="1" customFormat="false" ht="30" hidden="false" customHeight="true" outlineLevel="0" collapsed="false">
      <c r="A1" s="9" t="s">
        <v>22</v>
      </c>
      <c r="B1" s="9" t="s">
        <v>23</v>
      </c>
      <c r="C1" s="9" t="s">
        <v>24</v>
      </c>
      <c r="D1" s="9" t="s">
        <v>25</v>
      </c>
      <c r="E1" s="9" t="s">
        <v>26</v>
      </c>
      <c r="F1" s="9" t="s">
        <v>27</v>
      </c>
      <c r="G1" s="9" t="s">
        <v>28</v>
      </c>
      <c r="H1" s="9" t="s">
        <v>29</v>
      </c>
      <c r="I1" s="9" t="s">
        <v>30</v>
      </c>
      <c r="J1" s="9" t="s">
        <v>31</v>
      </c>
      <c r="K1" s="9" t="s">
        <v>32</v>
      </c>
      <c r="L1" s="9" t="s">
        <v>33</v>
      </c>
      <c r="M1" s="9" t="s">
        <v>34</v>
      </c>
      <c r="N1" s="9" t="s">
        <v>35</v>
      </c>
      <c r="O1" s="9" t="s">
        <v>36</v>
      </c>
      <c r="P1" s="9" t="s">
        <v>37</v>
      </c>
    </row>
    <row r="2" customFormat="false" ht="46.25" hidden="false" customHeight="false" outlineLevel="0" collapsed="false">
      <c r="A2" s="10" t="s">
        <v>38</v>
      </c>
      <c r="B2" s="11" t="s">
        <v>39</v>
      </c>
      <c r="C2" s="10" t="s">
        <v>40</v>
      </c>
      <c r="D2" s="10" t="s">
        <v>41</v>
      </c>
      <c r="E2" s="10" t="s">
        <v>42</v>
      </c>
      <c r="F2" s="10" t="n">
        <v>6</v>
      </c>
      <c r="G2" s="10" t="n">
        <v>1</v>
      </c>
      <c r="H2" s="10" t="s">
        <v>43</v>
      </c>
      <c r="I2" s="10" t="s">
        <v>44</v>
      </c>
      <c r="J2" s="10" t="s">
        <v>45</v>
      </c>
      <c r="K2" s="10" t="s">
        <v>46</v>
      </c>
      <c r="L2" s="11" t="s">
        <v>47</v>
      </c>
      <c r="M2" s="11" t="s">
        <v>48</v>
      </c>
      <c r="N2" s="11" t="s">
        <v>49</v>
      </c>
      <c r="O2" s="11" t="s">
        <v>50</v>
      </c>
      <c r="P2" s="10" t="s">
        <v>51</v>
      </c>
    </row>
    <row r="3" customFormat="false" ht="23.85" hidden="false" customHeight="false" outlineLevel="0" collapsed="false">
      <c r="A3" s="10" t="s">
        <v>52</v>
      </c>
      <c r="B3" s="11" t="s">
        <v>53</v>
      </c>
      <c r="C3" s="10" t="s">
        <v>40</v>
      </c>
      <c r="D3" s="10" t="s">
        <v>41</v>
      </c>
      <c r="E3" s="10" t="s">
        <v>42</v>
      </c>
      <c r="F3" s="10" t="n">
        <v>6</v>
      </c>
      <c r="G3" s="10" t="n">
        <v>1</v>
      </c>
      <c r="H3" s="10" t="s">
        <v>43</v>
      </c>
      <c r="I3" s="10" t="s">
        <v>44</v>
      </c>
      <c r="J3" s="10" t="s">
        <v>45</v>
      </c>
      <c r="K3" s="10" t="s">
        <v>46</v>
      </c>
      <c r="L3" s="11" t="s">
        <v>54</v>
      </c>
      <c r="M3" s="11" t="s">
        <v>48</v>
      </c>
      <c r="N3" s="11" t="s">
        <v>49</v>
      </c>
      <c r="O3" s="11" t="s">
        <v>55</v>
      </c>
      <c r="P3" s="10" t="s">
        <v>51</v>
      </c>
    </row>
    <row r="4" customFormat="false" ht="23.85" hidden="false" customHeight="false" outlineLevel="0" collapsed="false">
      <c r="A4" s="10" t="s">
        <v>56</v>
      </c>
      <c r="B4" s="11" t="s">
        <v>57</v>
      </c>
      <c r="C4" s="10" t="s">
        <v>40</v>
      </c>
      <c r="D4" s="10" t="s">
        <v>41</v>
      </c>
      <c r="E4" s="10" t="s">
        <v>42</v>
      </c>
      <c r="F4" s="10" t="n">
        <v>6</v>
      </c>
      <c r="G4" s="10" t="n">
        <v>1</v>
      </c>
      <c r="H4" s="10" t="s">
        <v>43</v>
      </c>
      <c r="I4" s="10" t="s">
        <v>44</v>
      </c>
      <c r="J4" s="10" t="s">
        <v>45</v>
      </c>
      <c r="K4" s="10" t="s">
        <v>46</v>
      </c>
      <c r="L4" s="11" t="s">
        <v>58</v>
      </c>
      <c r="M4" s="11" t="s">
        <v>48</v>
      </c>
      <c r="N4" s="11" t="s">
        <v>49</v>
      </c>
      <c r="O4" s="11" t="s">
        <v>55</v>
      </c>
      <c r="P4" s="10" t="s">
        <v>51</v>
      </c>
    </row>
    <row r="5" customFormat="false" ht="79.85" hidden="false" customHeight="false" outlineLevel="0" collapsed="false">
      <c r="A5" s="10" t="s">
        <v>59</v>
      </c>
      <c r="B5" s="11" t="s">
        <v>60</v>
      </c>
      <c r="C5" s="10" t="s">
        <v>40</v>
      </c>
      <c r="D5" s="10" t="s">
        <v>61</v>
      </c>
      <c r="E5" s="10" t="s">
        <v>62</v>
      </c>
      <c r="F5" s="10" t="n">
        <v>6</v>
      </c>
      <c r="G5" s="10" t="n">
        <v>1</v>
      </c>
      <c r="H5" s="10" t="s">
        <v>43</v>
      </c>
      <c r="I5" s="10" t="s">
        <v>44</v>
      </c>
      <c r="J5" s="10" t="s">
        <v>45</v>
      </c>
      <c r="K5" s="10" t="s">
        <v>46</v>
      </c>
      <c r="L5" s="11" t="s">
        <v>63</v>
      </c>
      <c r="M5" s="11" t="s">
        <v>48</v>
      </c>
      <c r="N5" s="11" t="s">
        <v>49</v>
      </c>
      <c r="O5" s="11" t="s">
        <v>64</v>
      </c>
      <c r="P5" s="10" t="s">
        <v>51</v>
      </c>
    </row>
    <row r="6" customFormat="false" ht="35.05" hidden="false" customHeight="false" outlineLevel="0" collapsed="false">
      <c r="A6" s="10" t="s">
        <v>65</v>
      </c>
      <c r="B6" s="11" t="s">
        <v>66</v>
      </c>
      <c r="C6" s="10" t="s">
        <v>67</v>
      </c>
      <c r="D6" s="10" t="s">
        <v>68</v>
      </c>
      <c r="E6" s="10" t="s">
        <v>69</v>
      </c>
      <c r="F6" s="10" t="n">
        <v>8</v>
      </c>
      <c r="G6" s="10" t="n">
        <v>1</v>
      </c>
      <c r="H6" s="10" t="s">
        <v>43</v>
      </c>
      <c r="I6" s="10" t="s">
        <v>44</v>
      </c>
      <c r="J6" s="10" t="s">
        <v>45</v>
      </c>
      <c r="K6" s="10" t="s">
        <v>48</v>
      </c>
      <c r="L6" s="11" t="s">
        <v>48</v>
      </c>
      <c r="M6" s="11" t="s">
        <v>48</v>
      </c>
      <c r="N6" s="11" t="s">
        <v>70</v>
      </c>
      <c r="O6" s="11" t="s">
        <v>71</v>
      </c>
      <c r="P6" s="10" t="s">
        <v>51</v>
      </c>
    </row>
    <row r="7" customFormat="false" ht="68.65" hidden="false" customHeight="false" outlineLevel="0" collapsed="false">
      <c r="A7" s="10" t="s">
        <v>72</v>
      </c>
      <c r="B7" s="11" t="s">
        <v>73</v>
      </c>
      <c r="C7" s="10" t="s">
        <v>40</v>
      </c>
      <c r="D7" s="10" t="s">
        <v>74</v>
      </c>
      <c r="E7" s="10" t="s">
        <v>62</v>
      </c>
      <c r="F7" s="10" t="n">
        <v>6</v>
      </c>
      <c r="G7" s="10" t="n">
        <v>2</v>
      </c>
      <c r="H7" s="10" t="s">
        <v>43</v>
      </c>
      <c r="I7" s="10" t="s">
        <v>75</v>
      </c>
      <c r="J7" s="10" t="s">
        <v>76</v>
      </c>
      <c r="K7" s="10" t="s">
        <v>46</v>
      </c>
      <c r="L7" s="11" t="s">
        <v>77</v>
      </c>
      <c r="M7" s="11" t="s">
        <v>48</v>
      </c>
      <c r="N7" s="11" t="s">
        <v>49</v>
      </c>
      <c r="O7" s="11" t="s">
        <v>78</v>
      </c>
      <c r="P7" s="10" t="s">
        <v>51</v>
      </c>
    </row>
    <row r="8" customFormat="false" ht="91" hidden="false" customHeight="false" outlineLevel="0" collapsed="false">
      <c r="A8" s="10" t="s">
        <v>79</v>
      </c>
      <c r="B8" s="11" t="s">
        <v>80</v>
      </c>
      <c r="C8" s="10" t="s">
        <v>40</v>
      </c>
      <c r="D8" s="10" t="s">
        <v>81</v>
      </c>
      <c r="E8" s="10" t="s">
        <v>62</v>
      </c>
      <c r="F8" s="10" t="n">
        <v>16</v>
      </c>
      <c r="G8" s="10" t="n">
        <v>2</v>
      </c>
      <c r="H8" s="10" t="s">
        <v>43</v>
      </c>
      <c r="I8" s="10" t="s">
        <v>75</v>
      </c>
      <c r="J8" s="10" t="s">
        <v>76</v>
      </c>
      <c r="K8" s="10" t="s">
        <v>46</v>
      </c>
      <c r="L8" s="11" t="s">
        <v>82</v>
      </c>
      <c r="M8" s="11" t="s">
        <v>48</v>
      </c>
      <c r="N8" s="11" t="s">
        <v>49</v>
      </c>
      <c r="O8" s="11" t="s">
        <v>83</v>
      </c>
      <c r="P8" s="10" t="s">
        <v>51</v>
      </c>
    </row>
    <row r="9" customFormat="false" ht="57.45" hidden="false" customHeight="false" outlineLevel="0" collapsed="false">
      <c r="A9" s="10" t="s">
        <v>84</v>
      </c>
      <c r="B9" s="11" t="s">
        <v>85</v>
      </c>
      <c r="C9" s="10" t="s">
        <v>40</v>
      </c>
      <c r="D9" s="10" t="s">
        <v>61</v>
      </c>
      <c r="E9" s="10" t="s">
        <v>62</v>
      </c>
      <c r="F9" s="10" t="n">
        <v>6</v>
      </c>
      <c r="G9" s="10" t="n">
        <v>2</v>
      </c>
      <c r="H9" s="10" t="s">
        <v>43</v>
      </c>
      <c r="I9" s="10" t="s">
        <v>75</v>
      </c>
      <c r="J9" s="10" t="s">
        <v>76</v>
      </c>
      <c r="K9" s="10" t="s">
        <v>86</v>
      </c>
      <c r="L9" s="11" t="s">
        <v>87</v>
      </c>
      <c r="M9" s="11" t="s">
        <v>48</v>
      </c>
      <c r="N9" s="11" t="s">
        <v>88</v>
      </c>
      <c r="O9" s="11" t="s">
        <v>89</v>
      </c>
      <c r="P9" s="10" t="s">
        <v>51</v>
      </c>
    </row>
    <row r="10" customFormat="false" ht="68.65" hidden="false" customHeight="false" outlineLevel="0" collapsed="false">
      <c r="A10" s="10" t="s">
        <v>90</v>
      </c>
      <c r="B10" s="11" t="s">
        <v>91</v>
      </c>
      <c r="C10" s="10" t="s">
        <v>40</v>
      </c>
      <c r="D10" s="10" t="s">
        <v>61</v>
      </c>
      <c r="E10" s="10" t="s">
        <v>62</v>
      </c>
      <c r="F10" s="10" t="n">
        <v>16</v>
      </c>
      <c r="G10" s="10" t="n">
        <v>3</v>
      </c>
      <c r="H10" s="10" t="s">
        <v>43</v>
      </c>
      <c r="I10" s="10" t="s">
        <v>92</v>
      </c>
      <c r="J10" s="10" t="s">
        <v>93</v>
      </c>
      <c r="K10" s="10" t="s">
        <v>46</v>
      </c>
      <c r="L10" s="11" t="s">
        <v>94</v>
      </c>
      <c r="M10" s="11" t="s">
        <v>48</v>
      </c>
      <c r="N10" s="11" t="s">
        <v>49</v>
      </c>
      <c r="O10" s="11" t="s">
        <v>95</v>
      </c>
      <c r="P10" s="10" t="s">
        <v>51</v>
      </c>
    </row>
    <row r="11" customFormat="false" ht="23.85" hidden="false" customHeight="false" outlineLevel="0" collapsed="false">
      <c r="A11" s="10" t="s">
        <v>96</v>
      </c>
      <c r="B11" s="11" t="s">
        <v>97</v>
      </c>
      <c r="C11" s="10" t="s">
        <v>40</v>
      </c>
      <c r="D11" s="10" t="s">
        <v>61</v>
      </c>
      <c r="E11" s="10" t="s">
        <v>42</v>
      </c>
      <c r="F11" s="10" t="n">
        <v>6</v>
      </c>
      <c r="G11" s="10" t="n">
        <v>3</v>
      </c>
      <c r="H11" s="10" t="s">
        <v>43</v>
      </c>
      <c r="I11" s="10" t="s">
        <v>92</v>
      </c>
      <c r="J11" s="10" t="s">
        <v>93</v>
      </c>
      <c r="K11" s="10" t="s">
        <v>46</v>
      </c>
      <c r="L11" s="11" t="s">
        <v>98</v>
      </c>
      <c r="M11" s="11" t="s">
        <v>48</v>
      </c>
      <c r="N11" s="11" t="s">
        <v>49</v>
      </c>
      <c r="O11" s="11"/>
      <c r="P11" s="10" t="s">
        <v>51</v>
      </c>
    </row>
    <row r="12" customFormat="false" ht="23.85" hidden="false" customHeight="false" outlineLevel="0" collapsed="false">
      <c r="A12" s="10" t="s">
        <v>99</v>
      </c>
      <c r="B12" s="11" t="s">
        <v>100</v>
      </c>
      <c r="C12" s="10" t="s">
        <v>40</v>
      </c>
      <c r="D12" s="10" t="s">
        <v>101</v>
      </c>
      <c r="E12" s="10" t="s">
        <v>42</v>
      </c>
      <c r="F12" s="10" t="n">
        <v>6</v>
      </c>
      <c r="G12" s="10" t="n">
        <v>3</v>
      </c>
      <c r="H12" s="10" t="s">
        <v>43</v>
      </c>
      <c r="I12" s="10" t="s">
        <v>92</v>
      </c>
      <c r="J12" s="10" t="s">
        <v>93</v>
      </c>
      <c r="K12" s="10" t="s">
        <v>46</v>
      </c>
      <c r="L12" s="11" t="s">
        <v>48</v>
      </c>
      <c r="M12" s="11" t="s">
        <v>48</v>
      </c>
      <c r="N12" s="11" t="s">
        <v>49</v>
      </c>
      <c r="O12" s="11" t="s">
        <v>102</v>
      </c>
      <c r="P12" s="10" t="s">
        <v>51</v>
      </c>
    </row>
    <row r="13" customFormat="false" ht="113.4" hidden="false" customHeight="false" outlineLevel="0" collapsed="false">
      <c r="A13" s="10" t="s">
        <v>103</v>
      </c>
      <c r="B13" s="11" t="s">
        <v>104</v>
      </c>
      <c r="C13" s="10" t="s">
        <v>40</v>
      </c>
      <c r="D13" s="10" t="s">
        <v>61</v>
      </c>
      <c r="E13" s="10" t="s">
        <v>62</v>
      </c>
      <c r="F13" s="10" t="n">
        <v>30</v>
      </c>
      <c r="G13" s="10" t="n">
        <v>4</v>
      </c>
      <c r="H13" s="10" t="s">
        <v>105</v>
      </c>
      <c r="I13" s="10" t="s">
        <v>106</v>
      </c>
      <c r="J13" s="10" t="s">
        <v>107</v>
      </c>
      <c r="K13" s="10" t="s">
        <v>46</v>
      </c>
      <c r="L13" s="11" t="s">
        <v>108</v>
      </c>
      <c r="M13" s="11" t="s">
        <v>109</v>
      </c>
      <c r="N13" s="11" t="s">
        <v>49</v>
      </c>
      <c r="O13" s="11" t="s">
        <v>110</v>
      </c>
      <c r="P13" s="10" t="s">
        <v>51</v>
      </c>
    </row>
    <row r="14" customFormat="false" ht="113.4" hidden="false" customHeight="false" outlineLevel="0" collapsed="false">
      <c r="A14" s="10" t="s">
        <v>103</v>
      </c>
      <c r="B14" s="11" t="s">
        <v>104</v>
      </c>
      <c r="C14" s="10" t="s">
        <v>40</v>
      </c>
      <c r="D14" s="10" t="s">
        <v>61</v>
      </c>
      <c r="E14" s="10" t="s">
        <v>62</v>
      </c>
      <c r="F14" s="10" t="n">
        <v>10</v>
      </c>
      <c r="G14" s="10" t="n">
        <v>5</v>
      </c>
      <c r="H14" s="10" t="s">
        <v>105</v>
      </c>
      <c r="I14" s="10" t="s">
        <v>111</v>
      </c>
      <c r="J14" s="10" t="s">
        <v>112</v>
      </c>
      <c r="K14" s="10" t="s">
        <v>46</v>
      </c>
      <c r="L14" s="11" t="s">
        <v>108</v>
      </c>
      <c r="M14" s="11" t="s">
        <v>109</v>
      </c>
      <c r="N14" s="11" t="s">
        <v>49</v>
      </c>
      <c r="O14" s="11" t="s">
        <v>110</v>
      </c>
      <c r="P14" s="10" t="s">
        <v>51</v>
      </c>
    </row>
    <row r="15" customFormat="false" ht="46.25" hidden="false" customHeight="false" outlineLevel="0" collapsed="false">
      <c r="A15" s="10" t="s">
        <v>113</v>
      </c>
      <c r="B15" s="11" t="s">
        <v>114</v>
      </c>
      <c r="C15" s="10" t="s">
        <v>40</v>
      </c>
      <c r="D15" s="10" t="s">
        <v>115</v>
      </c>
      <c r="E15" s="10" t="s">
        <v>62</v>
      </c>
      <c r="F15" s="10" t="n">
        <v>8</v>
      </c>
      <c r="G15" s="10" t="n">
        <v>5</v>
      </c>
      <c r="H15" s="10" t="s">
        <v>105</v>
      </c>
      <c r="I15" s="10" t="s">
        <v>111</v>
      </c>
      <c r="J15" s="10" t="s">
        <v>112</v>
      </c>
      <c r="K15" s="10" t="s">
        <v>46</v>
      </c>
      <c r="L15" s="11" t="s">
        <v>116</v>
      </c>
      <c r="M15" s="11" t="s">
        <v>48</v>
      </c>
      <c r="N15" s="11" t="s">
        <v>49</v>
      </c>
      <c r="O15" s="11" t="s">
        <v>117</v>
      </c>
      <c r="P15" s="10" t="s">
        <v>51</v>
      </c>
    </row>
    <row r="16" customFormat="false" ht="35.05" hidden="false" customHeight="false" outlineLevel="0" collapsed="false">
      <c r="A16" s="10" t="s">
        <v>118</v>
      </c>
      <c r="B16" s="11" t="s">
        <v>119</v>
      </c>
      <c r="C16" s="10" t="s">
        <v>67</v>
      </c>
      <c r="D16" s="10" t="s">
        <v>68</v>
      </c>
      <c r="E16" s="10" t="s">
        <v>120</v>
      </c>
      <c r="F16" s="10" t="n">
        <v>8</v>
      </c>
      <c r="G16" s="10" t="n">
        <v>5</v>
      </c>
      <c r="H16" s="10" t="s">
        <v>105</v>
      </c>
      <c r="I16" s="10" t="s">
        <v>111</v>
      </c>
      <c r="J16" s="10" t="s">
        <v>112</v>
      </c>
      <c r="K16" s="10" t="s">
        <v>48</v>
      </c>
      <c r="L16" s="11" t="s">
        <v>48</v>
      </c>
      <c r="M16" s="11" t="s">
        <v>48</v>
      </c>
      <c r="N16" s="11" t="s">
        <v>121</v>
      </c>
      <c r="O16" s="11" t="s">
        <v>122</v>
      </c>
      <c r="P16" s="10" t="s">
        <v>51</v>
      </c>
    </row>
    <row r="17" customFormat="false" ht="23.85" hidden="false" customHeight="false" outlineLevel="0" collapsed="false">
      <c r="A17" s="10" t="s">
        <v>123</v>
      </c>
      <c r="B17" s="11" t="s">
        <v>124</v>
      </c>
      <c r="C17" s="10" t="s">
        <v>40</v>
      </c>
      <c r="D17" s="10" t="s">
        <v>61</v>
      </c>
      <c r="E17" s="10" t="s">
        <v>62</v>
      </c>
      <c r="F17" s="10" t="n">
        <v>30</v>
      </c>
      <c r="G17" s="10" t="n">
        <v>6</v>
      </c>
      <c r="H17" s="10" t="s">
        <v>105</v>
      </c>
      <c r="I17" s="10" t="s">
        <v>125</v>
      </c>
      <c r="J17" s="10" t="s">
        <v>126</v>
      </c>
      <c r="K17" s="10" t="s">
        <v>46</v>
      </c>
      <c r="L17" s="11" t="s">
        <v>127</v>
      </c>
      <c r="M17" s="11" t="s">
        <v>128</v>
      </c>
      <c r="N17" s="11" t="s">
        <v>49</v>
      </c>
      <c r="O17" s="11" t="s">
        <v>129</v>
      </c>
      <c r="P17" s="10" t="s">
        <v>51</v>
      </c>
    </row>
    <row r="18" customFormat="false" ht="23.85" hidden="false" customHeight="false" outlineLevel="0" collapsed="false">
      <c r="A18" s="10" t="s">
        <v>123</v>
      </c>
      <c r="B18" s="11" t="s">
        <v>124</v>
      </c>
      <c r="C18" s="10" t="s">
        <v>40</v>
      </c>
      <c r="D18" s="10" t="s">
        <v>61</v>
      </c>
      <c r="E18" s="10" t="s">
        <v>62</v>
      </c>
      <c r="F18" s="10" t="n">
        <v>10</v>
      </c>
      <c r="G18" s="10" t="n">
        <v>7</v>
      </c>
      <c r="H18" s="10" t="s">
        <v>105</v>
      </c>
      <c r="I18" s="10" t="s">
        <v>130</v>
      </c>
      <c r="J18" s="10" t="s">
        <v>131</v>
      </c>
      <c r="K18" s="10" t="s">
        <v>46</v>
      </c>
      <c r="L18" s="11" t="s">
        <v>127</v>
      </c>
      <c r="M18" s="11" t="s">
        <v>128</v>
      </c>
      <c r="N18" s="11" t="s">
        <v>49</v>
      </c>
      <c r="O18" s="11" t="s">
        <v>129</v>
      </c>
      <c r="P18" s="10" t="s">
        <v>51</v>
      </c>
    </row>
    <row r="19" customFormat="false" ht="35.05" hidden="false" customHeight="false" outlineLevel="0" collapsed="false">
      <c r="A19" s="10" t="s">
        <v>132</v>
      </c>
      <c r="B19" s="11" t="s">
        <v>133</v>
      </c>
      <c r="C19" s="10" t="s">
        <v>67</v>
      </c>
      <c r="D19" s="10" t="s">
        <v>68</v>
      </c>
      <c r="E19" s="10" t="s">
        <v>120</v>
      </c>
      <c r="F19" s="10" t="n">
        <v>16</v>
      </c>
      <c r="G19" s="10" t="n">
        <v>7</v>
      </c>
      <c r="H19" s="10" t="s">
        <v>105</v>
      </c>
      <c r="I19" s="10" t="s">
        <v>130</v>
      </c>
      <c r="J19" s="10" t="s">
        <v>131</v>
      </c>
      <c r="K19" s="10" t="s">
        <v>48</v>
      </c>
      <c r="L19" s="11" t="s">
        <v>48</v>
      </c>
      <c r="M19" s="11" t="s">
        <v>48</v>
      </c>
      <c r="N19" s="11" t="s">
        <v>134</v>
      </c>
      <c r="O19" s="11" t="s">
        <v>135</v>
      </c>
      <c r="P19" s="10" t="s">
        <v>51</v>
      </c>
    </row>
    <row r="20" customFormat="false" ht="46.25" hidden="false" customHeight="false" outlineLevel="0" collapsed="false">
      <c r="A20" s="10" t="s">
        <v>136</v>
      </c>
      <c r="B20" s="11" t="s">
        <v>137</v>
      </c>
      <c r="C20" s="10" t="s">
        <v>40</v>
      </c>
      <c r="D20" s="10" t="s">
        <v>138</v>
      </c>
      <c r="E20" s="10" t="s">
        <v>62</v>
      </c>
      <c r="F20" s="10" t="n">
        <v>16</v>
      </c>
      <c r="G20" s="10" t="n">
        <v>8</v>
      </c>
      <c r="H20" s="10" t="s">
        <v>105</v>
      </c>
      <c r="I20" s="10" t="s">
        <v>139</v>
      </c>
      <c r="J20" s="10" t="s">
        <v>140</v>
      </c>
      <c r="K20" s="10" t="s">
        <v>46</v>
      </c>
      <c r="L20" s="11" t="s">
        <v>141</v>
      </c>
      <c r="M20" s="11" t="s">
        <v>142</v>
      </c>
      <c r="N20" s="11" t="s">
        <v>49</v>
      </c>
      <c r="O20" s="11" t="s">
        <v>143</v>
      </c>
      <c r="P20" s="10" t="s">
        <v>51</v>
      </c>
    </row>
    <row r="21" customFormat="false" ht="46.25" hidden="false" customHeight="false" outlineLevel="0" collapsed="false">
      <c r="A21" s="10" t="s">
        <v>113</v>
      </c>
      <c r="B21" s="11" t="s">
        <v>114</v>
      </c>
      <c r="C21" s="10" t="s">
        <v>40</v>
      </c>
      <c r="D21" s="10" t="s">
        <v>115</v>
      </c>
      <c r="E21" s="10" t="s">
        <v>62</v>
      </c>
      <c r="F21" s="10" t="n">
        <v>8</v>
      </c>
      <c r="G21" s="10" t="n">
        <v>8</v>
      </c>
      <c r="H21" s="10" t="s">
        <v>105</v>
      </c>
      <c r="I21" s="10" t="s">
        <v>139</v>
      </c>
      <c r="J21" s="10" t="s">
        <v>140</v>
      </c>
      <c r="K21" s="10" t="s">
        <v>46</v>
      </c>
      <c r="L21" s="11" t="s">
        <v>116</v>
      </c>
      <c r="M21" s="11" t="s">
        <v>48</v>
      </c>
      <c r="N21" s="11" t="s">
        <v>49</v>
      </c>
      <c r="O21" s="11" t="s">
        <v>117</v>
      </c>
      <c r="P21" s="10" t="s">
        <v>51</v>
      </c>
    </row>
    <row r="22" customFormat="false" ht="23.85" hidden="false" customHeight="false" outlineLevel="0" collapsed="false">
      <c r="A22" s="10" t="s">
        <v>144</v>
      </c>
      <c r="B22" s="11" t="s">
        <v>145</v>
      </c>
      <c r="C22" s="10" t="s">
        <v>40</v>
      </c>
      <c r="D22" s="10" t="s">
        <v>146</v>
      </c>
      <c r="E22" s="10" t="s">
        <v>42</v>
      </c>
      <c r="F22" s="10" t="n">
        <v>6</v>
      </c>
      <c r="G22" s="10" t="n">
        <v>9</v>
      </c>
      <c r="H22" s="10" t="s">
        <v>147</v>
      </c>
      <c r="I22" s="10" t="s">
        <v>148</v>
      </c>
      <c r="J22" s="10" t="s">
        <v>149</v>
      </c>
      <c r="K22" s="10" t="s">
        <v>86</v>
      </c>
      <c r="L22" s="11" t="s">
        <v>150</v>
      </c>
      <c r="M22" s="11" t="s">
        <v>48</v>
      </c>
      <c r="N22" s="11" t="s">
        <v>88</v>
      </c>
      <c r="O22" s="11" t="s">
        <v>151</v>
      </c>
      <c r="P22" s="10" t="s">
        <v>51</v>
      </c>
    </row>
    <row r="23" customFormat="false" ht="23.85" hidden="false" customHeight="false" outlineLevel="0" collapsed="false">
      <c r="A23" s="10" t="s">
        <v>152</v>
      </c>
      <c r="B23" s="11" t="s">
        <v>153</v>
      </c>
      <c r="C23" s="10" t="s">
        <v>40</v>
      </c>
      <c r="D23" s="10" t="s">
        <v>146</v>
      </c>
      <c r="E23" s="10" t="s">
        <v>42</v>
      </c>
      <c r="F23" s="10" t="n">
        <v>6</v>
      </c>
      <c r="G23" s="10" t="n">
        <v>9</v>
      </c>
      <c r="H23" s="10" t="s">
        <v>147</v>
      </c>
      <c r="I23" s="10" t="s">
        <v>148</v>
      </c>
      <c r="J23" s="10" t="s">
        <v>149</v>
      </c>
      <c r="K23" s="10" t="s">
        <v>86</v>
      </c>
      <c r="L23" s="11" t="s">
        <v>154</v>
      </c>
      <c r="M23" s="11" t="s">
        <v>144</v>
      </c>
      <c r="N23" s="11" t="s">
        <v>88</v>
      </c>
      <c r="O23" s="11" t="s">
        <v>155</v>
      </c>
      <c r="P23" s="10" t="s">
        <v>51</v>
      </c>
    </row>
    <row r="24" customFormat="false" ht="23.85" hidden="false" customHeight="false" outlineLevel="0" collapsed="false">
      <c r="A24" s="10" t="s">
        <v>156</v>
      </c>
      <c r="B24" s="11" t="s">
        <v>157</v>
      </c>
      <c r="C24" s="10" t="s">
        <v>40</v>
      </c>
      <c r="D24" s="10" t="s">
        <v>146</v>
      </c>
      <c r="E24" s="10" t="s">
        <v>42</v>
      </c>
      <c r="F24" s="10" t="n">
        <v>6</v>
      </c>
      <c r="G24" s="10" t="n">
        <v>9</v>
      </c>
      <c r="H24" s="10" t="s">
        <v>147</v>
      </c>
      <c r="I24" s="10" t="s">
        <v>148</v>
      </c>
      <c r="J24" s="10" t="s">
        <v>149</v>
      </c>
      <c r="K24" s="10" t="s">
        <v>86</v>
      </c>
      <c r="L24" s="11" t="s">
        <v>158</v>
      </c>
      <c r="M24" s="11" t="s">
        <v>144</v>
      </c>
      <c r="N24" s="11" t="s">
        <v>88</v>
      </c>
      <c r="O24" s="11" t="s">
        <v>159</v>
      </c>
      <c r="P24" s="10" t="s">
        <v>51</v>
      </c>
    </row>
    <row r="25" customFormat="false" ht="23.85" hidden="false" customHeight="false" outlineLevel="0" collapsed="false">
      <c r="A25" s="10" t="s">
        <v>160</v>
      </c>
      <c r="B25" s="11" t="s">
        <v>161</v>
      </c>
      <c r="C25" s="10" t="s">
        <v>40</v>
      </c>
      <c r="D25" s="10" t="s">
        <v>146</v>
      </c>
      <c r="E25" s="10" t="s">
        <v>42</v>
      </c>
      <c r="F25" s="10" t="n">
        <v>6</v>
      </c>
      <c r="G25" s="10" t="n">
        <v>9</v>
      </c>
      <c r="H25" s="10" t="s">
        <v>147</v>
      </c>
      <c r="I25" s="10" t="s">
        <v>148</v>
      </c>
      <c r="J25" s="10" t="s">
        <v>149</v>
      </c>
      <c r="K25" s="10" t="s">
        <v>86</v>
      </c>
      <c r="L25" s="11" t="s">
        <v>162</v>
      </c>
      <c r="M25" s="11" t="s">
        <v>144</v>
      </c>
      <c r="N25" s="11" t="s">
        <v>88</v>
      </c>
      <c r="O25" s="11" t="s">
        <v>163</v>
      </c>
      <c r="P25" s="10" t="s">
        <v>51</v>
      </c>
    </row>
    <row r="26" customFormat="false" ht="23.85" hidden="false" customHeight="false" outlineLevel="0" collapsed="false">
      <c r="A26" s="10" t="s">
        <v>164</v>
      </c>
      <c r="B26" s="11" t="s">
        <v>165</v>
      </c>
      <c r="C26" s="10" t="s">
        <v>40</v>
      </c>
      <c r="D26" s="10" t="s">
        <v>146</v>
      </c>
      <c r="E26" s="10" t="s">
        <v>42</v>
      </c>
      <c r="F26" s="10" t="n">
        <v>6</v>
      </c>
      <c r="G26" s="10" t="n">
        <v>9</v>
      </c>
      <c r="H26" s="10" t="s">
        <v>147</v>
      </c>
      <c r="I26" s="10" t="s">
        <v>148</v>
      </c>
      <c r="J26" s="10" t="s">
        <v>149</v>
      </c>
      <c r="K26" s="10" t="s">
        <v>86</v>
      </c>
      <c r="L26" s="11" t="s">
        <v>166</v>
      </c>
      <c r="M26" s="11" t="s">
        <v>48</v>
      </c>
      <c r="N26" s="11" t="s">
        <v>88</v>
      </c>
      <c r="O26" s="11" t="s">
        <v>167</v>
      </c>
      <c r="P26" s="10" t="s">
        <v>51</v>
      </c>
    </row>
    <row r="27" customFormat="false" ht="46.25" hidden="false" customHeight="false" outlineLevel="0" collapsed="false">
      <c r="A27" s="10" t="s">
        <v>168</v>
      </c>
      <c r="B27" s="11" t="s">
        <v>169</v>
      </c>
      <c r="C27" s="10" t="s">
        <v>40</v>
      </c>
      <c r="D27" s="10" t="s">
        <v>170</v>
      </c>
      <c r="E27" s="10" t="s">
        <v>42</v>
      </c>
      <c r="F27" s="10" t="n">
        <v>6</v>
      </c>
      <c r="G27" s="10" t="n">
        <v>10</v>
      </c>
      <c r="H27" s="10" t="s">
        <v>147</v>
      </c>
      <c r="I27" s="10" t="s">
        <v>171</v>
      </c>
      <c r="J27" s="10" t="s">
        <v>172</v>
      </c>
      <c r="K27" s="10" t="s">
        <v>86</v>
      </c>
      <c r="L27" s="11" t="s">
        <v>173</v>
      </c>
      <c r="M27" s="11" t="s">
        <v>48</v>
      </c>
      <c r="N27" s="11" t="s">
        <v>88</v>
      </c>
      <c r="O27" s="11" t="s">
        <v>174</v>
      </c>
      <c r="P27" s="10" t="s">
        <v>51</v>
      </c>
    </row>
    <row r="28" customFormat="false" ht="23.85" hidden="false" customHeight="false" outlineLevel="0" collapsed="false">
      <c r="A28" s="10" t="s">
        <v>175</v>
      </c>
      <c r="B28" s="11" t="s">
        <v>176</v>
      </c>
      <c r="C28" s="10" t="s">
        <v>40</v>
      </c>
      <c r="D28" s="10" t="s">
        <v>170</v>
      </c>
      <c r="E28" s="10" t="s">
        <v>42</v>
      </c>
      <c r="F28" s="10" t="n">
        <v>6</v>
      </c>
      <c r="G28" s="10" t="n">
        <v>10</v>
      </c>
      <c r="H28" s="10" t="s">
        <v>147</v>
      </c>
      <c r="I28" s="10" t="s">
        <v>171</v>
      </c>
      <c r="J28" s="10" t="s">
        <v>172</v>
      </c>
      <c r="K28" s="10" t="s">
        <v>86</v>
      </c>
      <c r="L28" s="11" t="s">
        <v>177</v>
      </c>
      <c r="M28" s="11" t="s">
        <v>178</v>
      </c>
      <c r="N28" s="11" t="s">
        <v>88</v>
      </c>
      <c r="O28" s="11"/>
      <c r="P28" s="10" t="s">
        <v>51</v>
      </c>
    </row>
    <row r="29" customFormat="false" ht="23.85" hidden="false" customHeight="false" outlineLevel="0" collapsed="false">
      <c r="A29" s="10" t="s">
        <v>179</v>
      </c>
      <c r="B29" s="11" t="s">
        <v>180</v>
      </c>
      <c r="C29" s="10" t="s">
        <v>40</v>
      </c>
      <c r="D29" s="10" t="s">
        <v>181</v>
      </c>
      <c r="E29" s="10" t="s">
        <v>42</v>
      </c>
      <c r="F29" s="10" t="n">
        <v>6</v>
      </c>
      <c r="G29" s="10" t="n">
        <v>10</v>
      </c>
      <c r="H29" s="10" t="s">
        <v>147</v>
      </c>
      <c r="I29" s="10" t="s">
        <v>171</v>
      </c>
      <c r="J29" s="10" t="s">
        <v>172</v>
      </c>
      <c r="K29" s="10" t="s">
        <v>86</v>
      </c>
      <c r="L29" s="11" t="s">
        <v>182</v>
      </c>
      <c r="M29" s="11" t="s">
        <v>48</v>
      </c>
      <c r="N29" s="11" t="s">
        <v>88</v>
      </c>
      <c r="O29" s="11" t="s">
        <v>183</v>
      </c>
      <c r="P29" s="10" t="s">
        <v>51</v>
      </c>
    </row>
    <row r="30" customFormat="false" ht="23.85" hidden="false" customHeight="false" outlineLevel="0" collapsed="false">
      <c r="A30" s="10" t="s">
        <v>184</v>
      </c>
      <c r="B30" s="11" t="s">
        <v>185</v>
      </c>
      <c r="C30" s="10" t="s">
        <v>40</v>
      </c>
      <c r="D30" s="10" t="s">
        <v>186</v>
      </c>
      <c r="E30" s="10" t="s">
        <v>42</v>
      </c>
      <c r="F30" s="10" t="n">
        <v>6</v>
      </c>
      <c r="G30" s="10" t="n">
        <v>10</v>
      </c>
      <c r="H30" s="10" t="s">
        <v>147</v>
      </c>
      <c r="I30" s="10" t="s">
        <v>171</v>
      </c>
      <c r="J30" s="10" t="s">
        <v>172</v>
      </c>
      <c r="K30" s="10" t="s">
        <v>86</v>
      </c>
      <c r="L30" s="11" t="s">
        <v>187</v>
      </c>
      <c r="M30" s="11" t="s">
        <v>48</v>
      </c>
      <c r="N30" s="11" t="s">
        <v>88</v>
      </c>
      <c r="O30" s="11" t="s">
        <v>188</v>
      </c>
      <c r="P30" s="10" t="s">
        <v>51</v>
      </c>
    </row>
    <row r="31" customFormat="false" ht="23.85" hidden="false" customHeight="false" outlineLevel="0" collapsed="false">
      <c r="A31" s="10" t="s">
        <v>189</v>
      </c>
      <c r="B31" s="11" t="s">
        <v>190</v>
      </c>
      <c r="C31" s="10" t="s">
        <v>40</v>
      </c>
      <c r="D31" s="10" t="s">
        <v>181</v>
      </c>
      <c r="E31" s="10" t="s">
        <v>42</v>
      </c>
      <c r="F31" s="10" t="n">
        <v>6</v>
      </c>
      <c r="G31" s="10" t="n">
        <v>11</v>
      </c>
      <c r="H31" s="10" t="s">
        <v>147</v>
      </c>
      <c r="I31" s="10" t="s">
        <v>191</v>
      </c>
      <c r="J31" s="10" t="s">
        <v>192</v>
      </c>
      <c r="K31" s="10" t="s">
        <v>193</v>
      </c>
      <c r="L31" s="11" t="s">
        <v>194</v>
      </c>
      <c r="M31" s="11" t="s">
        <v>48</v>
      </c>
      <c r="N31" s="11" t="s">
        <v>195</v>
      </c>
      <c r="O31" s="11" t="s">
        <v>196</v>
      </c>
      <c r="P31" s="10" t="s">
        <v>51</v>
      </c>
    </row>
    <row r="32" customFormat="false" ht="23.85" hidden="false" customHeight="false" outlineLevel="0" collapsed="false">
      <c r="A32" s="10" t="s">
        <v>197</v>
      </c>
      <c r="B32" s="11" t="s">
        <v>198</v>
      </c>
      <c r="C32" s="10" t="s">
        <v>40</v>
      </c>
      <c r="D32" s="10" t="s">
        <v>181</v>
      </c>
      <c r="E32" s="10" t="s">
        <v>42</v>
      </c>
      <c r="F32" s="10" t="n">
        <v>6</v>
      </c>
      <c r="G32" s="10" t="n">
        <v>11</v>
      </c>
      <c r="H32" s="10" t="s">
        <v>147</v>
      </c>
      <c r="I32" s="10" t="s">
        <v>191</v>
      </c>
      <c r="J32" s="10" t="s">
        <v>192</v>
      </c>
      <c r="K32" s="10" t="s">
        <v>193</v>
      </c>
      <c r="L32" s="11" t="s">
        <v>194</v>
      </c>
      <c r="M32" s="11" t="s">
        <v>199</v>
      </c>
      <c r="N32" s="11" t="s">
        <v>195</v>
      </c>
      <c r="O32" s="11" t="s">
        <v>177</v>
      </c>
      <c r="P32" s="10" t="s">
        <v>51</v>
      </c>
    </row>
    <row r="33" customFormat="false" ht="23.85" hidden="false" customHeight="false" outlineLevel="0" collapsed="false">
      <c r="A33" s="10" t="s">
        <v>200</v>
      </c>
      <c r="B33" s="11" t="s">
        <v>201</v>
      </c>
      <c r="C33" s="10" t="s">
        <v>40</v>
      </c>
      <c r="D33" s="10" t="s">
        <v>181</v>
      </c>
      <c r="E33" s="10" t="s">
        <v>42</v>
      </c>
      <c r="F33" s="10" t="n">
        <v>6</v>
      </c>
      <c r="G33" s="10" t="n">
        <v>11</v>
      </c>
      <c r="H33" s="10" t="s">
        <v>147</v>
      </c>
      <c r="I33" s="10" t="s">
        <v>191</v>
      </c>
      <c r="J33" s="10" t="s">
        <v>192</v>
      </c>
      <c r="K33" s="10" t="s">
        <v>193</v>
      </c>
      <c r="L33" s="11" t="s">
        <v>194</v>
      </c>
      <c r="M33" s="11" t="s">
        <v>189</v>
      </c>
      <c r="N33" s="11" t="s">
        <v>195</v>
      </c>
      <c r="O33" s="11" t="s">
        <v>177</v>
      </c>
      <c r="P33" s="10" t="s">
        <v>51</v>
      </c>
    </row>
    <row r="34" customFormat="false" ht="23.85" hidden="false" customHeight="false" outlineLevel="0" collapsed="false">
      <c r="A34" s="10" t="s">
        <v>202</v>
      </c>
      <c r="B34" s="11" t="s">
        <v>203</v>
      </c>
      <c r="C34" s="10" t="s">
        <v>40</v>
      </c>
      <c r="D34" s="10" t="s">
        <v>181</v>
      </c>
      <c r="E34" s="10" t="s">
        <v>42</v>
      </c>
      <c r="F34" s="10" t="n">
        <v>6</v>
      </c>
      <c r="G34" s="10" t="n">
        <v>11</v>
      </c>
      <c r="H34" s="10" t="s">
        <v>147</v>
      </c>
      <c r="I34" s="10" t="s">
        <v>191</v>
      </c>
      <c r="J34" s="10" t="s">
        <v>192</v>
      </c>
      <c r="K34" s="10" t="s">
        <v>46</v>
      </c>
      <c r="L34" s="11" t="s">
        <v>204</v>
      </c>
      <c r="M34" s="11" t="s">
        <v>48</v>
      </c>
      <c r="N34" s="11" t="s">
        <v>49</v>
      </c>
      <c r="O34" s="11" t="s">
        <v>205</v>
      </c>
      <c r="P34" s="10" t="s">
        <v>51</v>
      </c>
    </row>
    <row r="35" customFormat="false" ht="23.85" hidden="false" customHeight="false" outlineLevel="0" collapsed="false">
      <c r="A35" s="10" t="s">
        <v>206</v>
      </c>
      <c r="B35" s="11" t="s">
        <v>207</v>
      </c>
      <c r="C35" s="10" t="s">
        <v>40</v>
      </c>
      <c r="D35" s="10" t="s">
        <v>61</v>
      </c>
      <c r="E35" s="10" t="s">
        <v>42</v>
      </c>
      <c r="F35" s="10" t="n">
        <v>6</v>
      </c>
      <c r="G35" s="10" t="n">
        <v>11</v>
      </c>
      <c r="H35" s="10" t="s">
        <v>147</v>
      </c>
      <c r="I35" s="10" t="s">
        <v>191</v>
      </c>
      <c r="J35" s="10" t="s">
        <v>192</v>
      </c>
      <c r="K35" s="10" t="s">
        <v>46</v>
      </c>
      <c r="L35" s="11" t="s">
        <v>208</v>
      </c>
      <c r="M35" s="11" t="s">
        <v>48</v>
      </c>
      <c r="N35" s="11" t="s">
        <v>49</v>
      </c>
      <c r="O35" s="11" t="s">
        <v>209</v>
      </c>
      <c r="P35" s="10" t="s">
        <v>51</v>
      </c>
    </row>
    <row r="36" customFormat="false" ht="35.05" hidden="false" customHeight="false" outlineLevel="0" collapsed="false">
      <c r="A36" s="10" t="s">
        <v>210</v>
      </c>
      <c r="B36" s="11" t="s">
        <v>211</v>
      </c>
      <c r="C36" s="10" t="s">
        <v>40</v>
      </c>
      <c r="D36" s="10" t="s">
        <v>212</v>
      </c>
      <c r="E36" s="10" t="s">
        <v>42</v>
      </c>
      <c r="F36" s="10" t="n">
        <v>6</v>
      </c>
      <c r="G36" s="10" t="n">
        <v>12</v>
      </c>
      <c r="H36" s="10" t="s">
        <v>147</v>
      </c>
      <c r="I36" s="10" t="s">
        <v>213</v>
      </c>
      <c r="J36" s="10" t="s">
        <v>214</v>
      </c>
      <c r="K36" s="10" t="s">
        <v>193</v>
      </c>
      <c r="L36" s="11" t="s">
        <v>215</v>
      </c>
      <c r="M36" s="11" t="s">
        <v>48</v>
      </c>
      <c r="N36" s="11" t="s">
        <v>195</v>
      </c>
      <c r="O36" s="11" t="s">
        <v>216</v>
      </c>
      <c r="P36" s="10" t="s">
        <v>51</v>
      </c>
    </row>
    <row r="37" customFormat="false" ht="23.85" hidden="false" customHeight="false" outlineLevel="0" collapsed="false">
      <c r="A37" s="10" t="s">
        <v>217</v>
      </c>
      <c r="B37" s="11" t="s">
        <v>218</v>
      </c>
      <c r="C37" s="10" t="s">
        <v>40</v>
      </c>
      <c r="D37" s="10" t="s">
        <v>212</v>
      </c>
      <c r="E37" s="10" t="s">
        <v>42</v>
      </c>
      <c r="F37" s="10" t="n">
        <v>6</v>
      </c>
      <c r="G37" s="10" t="n">
        <v>12</v>
      </c>
      <c r="H37" s="10" t="s">
        <v>147</v>
      </c>
      <c r="I37" s="10" t="s">
        <v>213</v>
      </c>
      <c r="J37" s="10" t="s">
        <v>214</v>
      </c>
      <c r="K37" s="10" t="s">
        <v>193</v>
      </c>
      <c r="L37" s="11" t="s">
        <v>219</v>
      </c>
      <c r="M37" s="11" t="s">
        <v>220</v>
      </c>
      <c r="N37" s="11" t="s">
        <v>195</v>
      </c>
      <c r="O37" s="11" t="s">
        <v>221</v>
      </c>
      <c r="P37" s="10" t="s">
        <v>51</v>
      </c>
    </row>
    <row r="38" customFormat="false" ht="23.85" hidden="false" customHeight="false" outlineLevel="0" collapsed="false">
      <c r="A38" s="10" t="s">
        <v>222</v>
      </c>
      <c r="B38" s="11" t="s">
        <v>223</v>
      </c>
      <c r="C38" s="10" t="s">
        <v>40</v>
      </c>
      <c r="D38" s="10" t="s">
        <v>224</v>
      </c>
      <c r="E38" s="10" t="s">
        <v>42</v>
      </c>
      <c r="F38" s="10" t="n">
        <v>6</v>
      </c>
      <c r="G38" s="10" t="n">
        <v>12</v>
      </c>
      <c r="H38" s="10" t="s">
        <v>147</v>
      </c>
      <c r="I38" s="10" t="s">
        <v>213</v>
      </c>
      <c r="J38" s="10" t="s">
        <v>214</v>
      </c>
      <c r="K38" s="10" t="s">
        <v>193</v>
      </c>
      <c r="L38" s="11" t="s">
        <v>225</v>
      </c>
      <c r="M38" s="11" t="s">
        <v>48</v>
      </c>
      <c r="N38" s="11" t="s">
        <v>195</v>
      </c>
      <c r="O38" s="11" t="s">
        <v>226</v>
      </c>
      <c r="P38" s="10" t="s">
        <v>51</v>
      </c>
    </row>
    <row r="39" customFormat="false" ht="23.85" hidden="false" customHeight="false" outlineLevel="0" collapsed="false">
      <c r="A39" s="10" t="s">
        <v>227</v>
      </c>
      <c r="B39" s="11" t="s">
        <v>228</v>
      </c>
      <c r="C39" s="10" t="s">
        <v>40</v>
      </c>
      <c r="D39" s="10" t="s">
        <v>224</v>
      </c>
      <c r="E39" s="10" t="s">
        <v>42</v>
      </c>
      <c r="F39" s="10" t="n">
        <v>6</v>
      </c>
      <c r="G39" s="10" t="n">
        <v>12</v>
      </c>
      <c r="H39" s="10" t="s">
        <v>147</v>
      </c>
      <c r="I39" s="10" t="s">
        <v>213</v>
      </c>
      <c r="J39" s="10" t="s">
        <v>214</v>
      </c>
      <c r="K39" s="10" t="s">
        <v>193</v>
      </c>
      <c r="L39" s="11" t="s">
        <v>229</v>
      </c>
      <c r="M39" s="11" t="s">
        <v>48</v>
      </c>
      <c r="N39" s="11" t="s">
        <v>195</v>
      </c>
      <c r="O39" s="11" t="s">
        <v>230</v>
      </c>
      <c r="P39" s="10" t="s">
        <v>51</v>
      </c>
    </row>
    <row r="40" customFormat="false" ht="23.85" hidden="false" customHeight="false" outlineLevel="0" collapsed="false">
      <c r="A40" s="10" t="s">
        <v>231</v>
      </c>
      <c r="B40" s="11" t="s">
        <v>232</v>
      </c>
      <c r="C40" s="10" t="s">
        <v>40</v>
      </c>
      <c r="D40" s="10" t="s">
        <v>138</v>
      </c>
      <c r="E40" s="10" t="s">
        <v>42</v>
      </c>
      <c r="F40" s="10" t="n">
        <v>6</v>
      </c>
      <c r="G40" s="10" t="n">
        <v>12</v>
      </c>
      <c r="H40" s="10" t="s">
        <v>147</v>
      </c>
      <c r="I40" s="10" t="s">
        <v>213</v>
      </c>
      <c r="J40" s="10" t="s">
        <v>214</v>
      </c>
      <c r="K40" s="10" t="s">
        <v>233</v>
      </c>
      <c r="L40" s="11" t="s">
        <v>234</v>
      </c>
      <c r="M40" s="11" t="s">
        <v>48</v>
      </c>
      <c r="N40" s="11" t="s">
        <v>235</v>
      </c>
      <c r="O40" s="11" t="s">
        <v>236</v>
      </c>
      <c r="P40" s="10" t="s">
        <v>51</v>
      </c>
    </row>
    <row r="41" customFormat="false" ht="46.25" hidden="false" customHeight="false" outlineLevel="0" collapsed="false">
      <c r="A41" s="10" t="s">
        <v>237</v>
      </c>
      <c r="B41" s="11" t="s">
        <v>238</v>
      </c>
      <c r="C41" s="10" t="s">
        <v>40</v>
      </c>
      <c r="D41" s="10" t="s">
        <v>138</v>
      </c>
      <c r="E41" s="10" t="s">
        <v>42</v>
      </c>
      <c r="F41" s="10" t="n">
        <v>6</v>
      </c>
      <c r="G41" s="10" t="n">
        <v>13</v>
      </c>
      <c r="H41" s="10" t="s">
        <v>147</v>
      </c>
      <c r="I41" s="10" t="s">
        <v>239</v>
      </c>
      <c r="J41" s="10" t="s">
        <v>240</v>
      </c>
      <c r="K41" s="10" t="s">
        <v>233</v>
      </c>
      <c r="L41" s="11" t="s">
        <v>241</v>
      </c>
      <c r="M41" s="11" t="s">
        <v>48</v>
      </c>
      <c r="N41" s="11" t="s">
        <v>235</v>
      </c>
      <c r="O41" s="11" t="s">
        <v>242</v>
      </c>
      <c r="P41" s="10" t="s">
        <v>51</v>
      </c>
    </row>
    <row r="42" customFormat="false" ht="35.05" hidden="false" customHeight="false" outlineLevel="0" collapsed="false">
      <c r="A42" s="10" t="s">
        <v>243</v>
      </c>
      <c r="B42" s="11" t="s">
        <v>244</v>
      </c>
      <c r="C42" s="10" t="s">
        <v>40</v>
      </c>
      <c r="D42" s="10" t="s">
        <v>138</v>
      </c>
      <c r="E42" s="10" t="s">
        <v>42</v>
      </c>
      <c r="F42" s="10" t="n">
        <v>6</v>
      </c>
      <c r="G42" s="10" t="n">
        <v>13</v>
      </c>
      <c r="H42" s="10" t="s">
        <v>147</v>
      </c>
      <c r="I42" s="10" t="s">
        <v>239</v>
      </c>
      <c r="J42" s="10" t="s">
        <v>240</v>
      </c>
      <c r="K42" s="10" t="s">
        <v>46</v>
      </c>
      <c r="L42" s="11" t="s">
        <v>245</v>
      </c>
      <c r="M42" s="11" t="s">
        <v>246</v>
      </c>
      <c r="N42" s="11" t="s">
        <v>49</v>
      </c>
      <c r="O42" s="11" t="s">
        <v>247</v>
      </c>
      <c r="P42" s="10" t="s">
        <v>51</v>
      </c>
    </row>
    <row r="43" customFormat="false" ht="23.85" hidden="false" customHeight="false" outlineLevel="0" collapsed="false">
      <c r="A43" s="10" t="s">
        <v>248</v>
      </c>
      <c r="B43" s="11" t="s">
        <v>249</v>
      </c>
      <c r="C43" s="10" t="s">
        <v>40</v>
      </c>
      <c r="D43" s="10" t="s">
        <v>81</v>
      </c>
      <c r="E43" s="10" t="s">
        <v>42</v>
      </c>
      <c r="F43" s="10" t="n">
        <v>6</v>
      </c>
      <c r="G43" s="10" t="n">
        <v>13</v>
      </c>
      <c r="H43" s="10" t="s">
        <v>147</v>
      </c>
      <c r="I43" s="10" t="s">
        <v>239</v>
      </c>
      <c r="J43" s="10" t="s">
        <v>240</v>
      </c>
      <c r="K43" s="10" t="s">
        <v>233</v>
      </c>
      <c r="L43" s="11" t="s">
        <v>250</v>
      </c>
      <c r="M43" s="11" t="s">
        <v>48</v>
      </c>
      <c r="N43" s="11" t="s">
        <v>235</v>
      </c>
      <c r="O43" s="11" t="s">
        <v>251</v>
      </c>
      <c r="P43" s="10" t="s">
        <v>51</v>
      </c>
    </row>
    <row r="44" customFormat="false" ht="35.05" hidden="false" customHeight="false" outlineLevel="0" collapsed="false">
      <c r="A44" s="10" t="s">
        <v>252</v>
      </c>
      <c r="B44" s="11" t="s">
        <v>253</v>
      </c>
      <c r="C44" s="10" t="s">
        <v>40</v>
      </c>
      <c r="D44" s="10" t="s">
        <v>254</v>
      </c>
      <c r="E44" s="10" t="s">
        <v>42</v>
      </c>
      <c r="F44" s="10" t="n">
        <v>6</v>
      </c>
      <c r="G44" s="10" t="n">
        <v>13</v>
      </c>
      <c r="H44" s="10" t="s">
        <v>147</v>
      </c>
      <c r="I44" s="10" t="s">
        <v>239</v>
      </c>
      <c r="J44" s="10" t="s">
        <v>240</v>
      </c>
      <c r="K44" s="10" t="s">
        <v>233</v>
      </c>
      <c r="L44" s="11" t="s">
        <v>255</v>
      </c>
      <c r="M44" s="11" t="s">
        <v>48</v>
      </c>
      <c r="N44" s="11" t="s">
        <v>235</v>
      </c>
      <c r="O44" s="11" t="s">
        <v>256</v>
      </c>
      <c r="P44" s="10" t="s">
        <v>51</v>
      </c>
    </row>
    <row r="45" customFormat="false" ht="46.25" hidden="false" customHeight="false" outlineLevel="0" collapsed="false">
      <c r="A45" s="10" t="s">
        <v>257</v>
      </c>
      <c r="B45" s="11" t="s">
        <v>258</v>
      </c>
      <c r="C45" s="10" t="s">
        <v>67</v>
      </c>
      <c r="D45" s="10" t="s">
        <v>68</v>
      </c>
      <c r="E45" s="10" t="s">
        <v>69</v>
      </c>
      <c r="F45" s="10" t="n">
        <v>6</v>
      </c>
      <c r="G45" s="10" t="n">
        <v>13</v>
      </c>
      <c r="H45" s="10" t="s">
        <v>147</v>
      </c>
      <c r="I45" s="10" t="s">
        <v>239</v>
      </c>
      <c r="J45" s="10" t="s">
        <v>240</v>
      </c>
      <c r="K45" s="10" t="s">
        <v>48</v>
      </c>
      <c r="L45" s="11" t="s">
        <v>48</v>
      </c>
      <c r="M45" s="11" t="s">
        <v>48</v>
      </c>
      <c r="N45" s="11" t="s">
        <v>259</v>
      </c>
      <c r="O45" s="11" t="s">
        <v>260</v>
      </c>
      <c r="P45" s="10" t="s">
        <v>51</v>
      </c>
    </row>
    <row r="46" customFormat="false" ht="35.05" hidden="false" customHeight="false" outlineLevel="0" collapsed="false">
      <c r="A46" s="10" t="s">
        <v>261</v>
      </c>
      <c r="B46" s="11" t="s">
        <v>262</v>
      </c>
      <c r="C46" s="10" t="s">
        <v>40</v>
      </c>
      <c r="D46" s="10" t="s">
        <v>224</v>
      </c>
      <c r="E46" s="10" t="s">
        <v>42</v>
      </c>
      <c r="F46" s="10" t="n">
        <v>6</v>
      </c>
      <c r="G46" s="10" t="n">
        <v>14</v>
      </c>
      <c r="H46" s="10" t="s">
        <v>147</v>
      </c>
      <c r="I46" s="10" t="s">
        <v>263</v>
      </c>
      <c r="J46" s="10" t="s">
        <v>264</v>
      </c>
      <c r="K46" s="10" t="s">
        <v>265</v>
      </c>
      <c r="L46" s="11" t="s">
        <v>266</v>
      </c>
      <c r="M46" s="11" t="s">
        <v>267</v>
      </c>
      <c r="N46" s="11" t="s">
        <v>268</v>
      </c>
      <c r="O46" s="11" t="s">
        <v>269</v>
      </c>
      <c r="P46" s="10" t="s">
        <v>51</v>
      </c>
    </row>
    <row r="47" customFormat="false" ht="23.85" hidden="false" customHeight="false" outlineLevel="0" collapsed="false">
      <c r="A47" s="10" t="s">
        <v>270</v>
      </c>
      <c r="B47" s="11" t="s">
        <v>271</v>
      </c>
      <c r="C47" s="10" t="s">
        <v>40</v>
      </c>
      <c r="D47" s="10" t="s">
        <v>212</v>
      </c>
      <c r="E47" s="10" t="s">
        <v>42</v>
      </c>
      <c r="F47" s="10" t="n">
        <v>6</v>
      </c>
      <c r="G47" s="10" t="n">
        <v>14</v>
      </c>
      <c r="H47" s="10" t="s">
        <v>147</v>
      </c>
      <c r="I47" s="10" t="s">
        <v>263</v>
      </c>
      <c r="J47" s="10" t="s">
        <v>264</v>
      </c>
      <c r="K47" s="10" t="s">
        <v>265</v>
      </c>
      <c r="L47" s="11" t="s">
        <v>272</v>
      </c>
      <c r="M47" s="11" t="s">
        <v>48</v>
      </c>
      <c r="N47" s="11" t="s">
        <v>268</v>
      </c>
      <c r="O47" s="11"/>
      <c r="P47" s="10" t="s">
        <v>51</v>
      </c>
    </row>
    <row r="48" customFormat="false" ht="23.85" hidden="false" customHeight="false" outlineLevel="0" collapsed="false">
      <c r="A48" s="10" t="s">
        <v>273</v>
      </c>
      <c r="B48" s="11" t="s">
        <v>274</v>
      </c>
      <c r="C48" s="10" t="s">
        <v>40</v>
      </c>
      <c r="D48" s="10" t="s">
        <v>101</v>
      </c>
      <c r="E48" s="10" t="s">
        <v>275</v>
      </c>
      <c r="F48" s="10" t="n">
        <v>6</v>
      </c>
      <c r="G48" s="10" t="n">
        <v>14</v>
      </c>
      <c r="H48" s="10" t="s">
        <v>147</v>
      </c>
      <c r="I48" s="10" t="s">
        <v>263</v>
      </c>
      <c r="J48" s="10" t="s">
        <v>264</v>
      </c>
      <c r="K48" s="10" t="s">
        <v>46</v>
      </c>
      <c r="L48" s="11" t="s">
        <v>276</v>
      </c>
      <c r="M48" s="11" t="s">
        <v>48</v>
      </c>
      <c r="N48" s="11" t="s">
        <v>49</v>
      </c>
      <c r="O48" s="11" t="s">
        <v>277</v>
      </c>
      <c r="P48" s="10" t="s">
        <v>51</v>
      </c>
    </row>
    <row r="49" customFormat="false" ht="23.85" hidden="false" customHeight="false" outlineLevel="0" collapsed="false">
      <c r="A49" s="10" t="s">
        <v>278</v>
      </c>
      <c r="B49" s="11" t="s">
        <v>279</v>
      </c>
      <c r="C49" s="10" t="s">
        <v>67</v>
      </c>
      <c r="D49" s="10" t="s">
        <v>68</v>
      </c>
      <c r="E49" s="10" t="s">
        <v>120</v>
      </c>
      <c r="F49" s="10" t="n">
        <v>8</v>
      </c>
      <c r="G49" s="10" t="n">
        <v>14</v>
      </c>
      <c r="H49" s="10" t="s">
        <v>147</v>
      </c>
      <c r="I49" s="10" t="s">
        <v>263</v>
      </c>
      <c r="J49" s="10" t="s">
        <v>264</v>
      </c>
      <c r="K49" s="10" t="s">
        <v>48</v>
      </c>
      <c r="L49" s="11" t="s">
        <v>48</v>
      </c>
      <c r="M49" s="11" t="s">
        <v>48</v>
      </c>
      <c r="N49" s="11" t="s">
        <v>280</v>
      </c>
      <c r="O49" s="11" t="s">
        <v>281</v>
      </c>
      <c r="P49" s="10" t="s">
        <v>51</v>
      </c>
    </row>
    <row r="50" customFormat="false" ht="23.85" hidden="false" customHeight="false" outlineLevel="0" collapsed="false">
      <c r="A50" s="10" t="s">
        <v>282</v>
      </c>
      <c r="B50" s="11" t="s">
        <v>283</v>
      </c>
      <c r="C50" s="10" t="s">
        <v>67</v>
      </c>
      <c r="D50" s="10" t="s">
        <v>68</v>
      </c>
      <c r="E50" s="10" t="s">
        <v>69</v>
      </c>
      <c r="F50" s="10" t="n">
        <v>16</v>
      </c>
      <c r="G50" s="10" t="n">
        <v>15</v>
      </c>
      <c r="H50" s="10" t="s">
        <v>284</v>
      </c>
      <c r="I50" s="10" t="s">
        <v>285</v>
      </c>
      <c r="J50" s="10" t="s">
        <v>286</v>
      </c>
      <c r="K50" s="10" t="s">
        <v>48</v>
      </c>
      <c r="L50" s="11" t="s">
        <v>48</v>
      </c>
      <c r="M50" s="11" t="s">
        <v>48</v>
      </c>
      <c r="N50" s="11" t="s">
        <v>287</v>
      </c>
      <c r="O50" s="11" t="s">
        <v>288</v>
      </c>
      <c r="P50" s="10" t="s">
        <v>51</v>
      </c>
    </row>
    <row r="51" customFormat="false" ht="23.85" hidden="false" customHeight="false" outlineLevel="0" collapsed="false">
      <c r="A51" s="10" t="s">
        <v>289</v>
      </c>
      <c r="B51" s="11" t="s">
        <v>290</v>
      </c>
      <c r="C51" s="10" t="s">
        <v>67</v>
      </c>
      <c r="D51" s="10" t="s">
        <v>68</v>
      </c>
      <c r="E51" s="10" t="s">
        <v>120</v>
      </c>
      <c r="F51" s="10" t="n">
        <v>16</v>
      </c>
      <c r="G51" s="10" t="n">
        <v>15</v>
      </c>
      <c r="H51" s="10" t="s">
        <v>284</v>
      </c>
      <c r="I51" s="10" t="s">
        <v>285</v>
      </c>
      <c r="J51" s="10" t="s">
        <v>286</v>
      </c>
      <c r="K51" s="10" t="s">
        <v>48</v>
      </c>
      <c r="L51" s="11" t="s">
        <v>48</v>
      </c>
      <c r="M51" s="11" t="s">
        <v>291</v>
      </c>
      <c r="N51" s="11" t="s">
        <v>292</v>
      </c>
      <c r="O51" s="11" t="s">
        <v>293</v>
      </c>
      <c r="P51" s="10" t="s">
        <v>51</v>
      </c>
    </row>
    <row r="52" customFormat="false" ht="35.05" hidden="false" customHeight="false" outlineLevel="0" collapsed="false">
      <c r="A52" s="10" t="s">
        <v>294</v>
      </c>
      <c r="B52" s="11" t="s">
        <v>295</v>
      </c>
      <c r="C52" s="10" t="s">
        <v>67</v>
      </c>
      <c r="D52" s="10" t="s">
        <v>68</v>
      </c>
      <c r="E52" s="10" t="s">
        <v>120</v>
      </c>
      <c r="F52" s="10" t="n">
        <v>16</v>
      </c>
      <c r="G52" s="10" t="n">
        <v>16</v>
      </c>
      <c r="H52" s="10" t="s">
        <v>284</v>
      </c>
      <c r="I52" s="10" t="s">
        <v>296</v>
      </c>
      <c r="J52" s="10" t="s">
        <v>297</v>
      </c>
      <c r="K52" s="10" t="s">
        <v>48</v>
      </c>
      <c r="L52" s="11" t="s">
        <v>48</v>
      </c>
      <c r="M52" s="11" t="s">
        <v>298</v>
      </c>
      <c r="N52" s="11" t="s">
        <v>299</v>
      </c>
      <c r="O52" s="11" t="s">
        <v>300</v>
      </c>
      <c r="P52" s="10" t="s">
        <v>51</v>
      </c>
    </row>
    <row r="53" customFormat="false" ht="23.85" hidden="false" customHeight="false" outlineLevel="0" collapsed="false">
      <c r="A53" s="10" t="s">
        <v>301</v>
      </c>
      <c r="B53" s="11" t="s">
        <v>302</v>
      </c>
      <c r="C53" s="10" t="s">
        <v>67</v>
      </c>
      <c r="D53" s="10" t="s">
        <v>68</v>
      </c>
      <c r="E53" s="10" t="s">
        <v>303</v>
      </c>
      <c r="F53" s="10" t="n">
        <v>16</v>
      </c>
      <c r="G53" s="10" t="n">
        <v>16</v>
      </c>
      <c r="H53" s="10" t="s">
        <v>284</v>
      </c>
      <c r="I53" s="10" t="s">
        <v>296</v>
      </c>
      <c r="J53" s="10" t="s">
        <v>297</v>
      </c>
      <c r="K53" s="10" t="s">
        <v>48</v>
      </c>
      <c r="L53" s="11" t="s">
        <v>48</v>
      </c>
      <c r="M53" s="11" t="s">
        <v>48</v>
      </c>
      <c r="N53" s="11" t="s">
        <v>304</v>
      </c>
      <c r="O53" s="11" t="s">
        <v>305</v>
      </c>
      <c r="P53" s="10" t="s">
        <v>51</v>
      </c>
    </row>
    <row r="54" customFormat="false" ht="23.85" hidden="false" customHeight="false" outlineLevel="0" collapsed="false">
      <c r="A54" s="10" t="s">
        <v>306</v>
      </c>
      <c r="B54" s="11" t="s">
        <v>307</v>
      </c>
      <c r="C54" s="10" t="s">
        <v>40</v>
      </c>
      <c r="D54" s="10" t="s">
        <v>61</v>
      </c>
      <c r="E54" s="10" t="s">
        <v>62</v>
      </c>
      <c r="F54" s="10" t="n">
        <v>6</v>
      </c>
      <c r="G54" s="10" t="n">
        <v>17</v>
      </c>
      <c r="H54" s="10" t="s">
        <v>284</v>
      </c>
      <c r="I54" s="10" t="s">
        <v>308</v>
      </c>
      <c r="J54" s="10" t="s">
        <v>309</v>
      </c>
      <c r="K54" s="10" t="s">
        <v>46</v>
      </c>
      <c r="L54" s="11" t="s">
        <v>310</v>
      </c>
      <c r="M54" s="11" t="s">
        <v>311</v>
      </c>
      <c r="N54" s="11" t="s">
        <v>49</v>
      </c>
      <c r="O54" s="11" t="s">
        <v>312</v>
      </c>
      <c r="P54" s="10" t="s">
        <v>51</v>
      </c>
    </row>
    <row r="55" customFormat="false" ht="23.85" hidden="false" customHeight="false" outlineLevel="0" collapsed="false">
      <c r="A55" s="10" t="s">
        <v>313</v>
      </c>
      <c r="B55" s="11" t="s">
        <v>314</v>
      </c>
      <c r="C55" s="10" t="s">
        <v>40</v>
      </c>
      <c r="D55" s="10" t="s">
        <v>61</v>
      </c>
      <c r="E55" s="10" t="s">
        <v>62</v>
      </c>
      <c r="F55" s="10" t="n">
        <v>16</v>
      </c>
      <c r="G55" s="10" t="n">
        <v>17</v>
      </c>
      <c r="H55" s="10" t="s">
        <v>284</v>
      </c>
      <c r="I55" s="10" t="s">
        <v>308</v>
      </c>
      <c r="J55" s="10" t="s">
        <v>309</v>
      </c>
      <c r="K55" s="10" t="s">
        <v>46</v>
      </c>
      <c r="L55" s="11" t="s">
        <v>315</v>
      </c>
      <c r="M55" s="11" t="s">
        <v>316</v>
      </c>
      <c r="N55" s="11" t="s">
        <v>49</v>
      </c>
      <c r="O55" s="11" t="s">
        <v>317</v>
      </c>
      <c r="P55" s="10" t="s">
        <v>51</v>
      </c>
    </row>
    <row r="56" customFormat="false" ht="23.85" hidden="false" customHeight="false" outlineLevel="0" collapsed="false">
      <c r="A56" s="10" t="s">
        <v>318</v>
      </c>
      <c r="B56" s="11" t="s">
        <v>319</v>
      </c>
      <c r="C56" s="10" t="s">
        <v>40</v>
      </c>
      <c r="D56" s="10" t="s">
        <v>61</v>
      </c>
      <c r="E56" s="10" t="s">
        <v>275</v>
      </c>
      <c r="F56" s="10" t="n">
        <v>6</v>
      </c>
      <c r="G56" s="10" t="n">
        <v>17</v>
      </c>
      <c r="H56" s="10" t="s">
        <v>284</v>
      </c>
      <c r="I56" s="10" t="s">
        <v>308</v>
      </c>
      <c r="J56" s="10" t="s">
        <v>309</v>
      </c>
      <c r="K56" s="10" t="s">
        <v>193</v>
      </c>
      <c r="L56" s="11" t="s">
        <v>320</v>
      </c>
      <c r="M56" s="11" t="s">
        <v>257</v>
      </c>
      <c r="N56" s="11" t="s">
        <v>195</v>
      </c>
      <c r="O56" s="11" t="s">
        <v>321</v>
      </c>
      <c r="P56" s="10" t="s">
        <v>51</v>
      </c>
    </row>
    <row r="57" customFormat="false" ht="23.85" hidden="false" customHeight="false" outlineLevel="0" collapsed="false">
      <c r="A57" s="10" t="s">
        <v>322</v>
      </c>
      <c r="B57" s="11" t="s">
        <v>323</v>
      </c>
      <c r="C57" s="10" t="s">
        <v>40</v>
      </c>
      <c r="D57" s="10" t="s">
        <v>61</v>
      </c>
      <c r="E57" s="10" t="s">
        <v>42</v>
      </c>
      <c r="F57" s="10" t="n">
        <v>6</v>
      </c>
      <c r="G57" s="10" t="n">
        <v>18</v>
      </c>
      <c r="H57" s="10" t="s">
        <v>284</v>
      </c>
      <c r="I57" s="10" t="s">
        <v>324</v>
      </c>
      <c r="J57" s="10" t="s">
        <v>325</v>
      </c>
      <c r="K57" s="10" t="s">
        <v>46</v>
      </c>
      <c r="L57" s="11" t="s">
        <v>326</v>
      </c>
      <c r="M57" s="11" t="s">
        <v>327</v>
      </c>
      <c r="N57" s="11" t="s">
        <v>49</v>
      </c>
      <c r="O57" s="11" t="s">
        <v>328</v>
      </c>
      <c r="P57" s="10" t="s">
        <v>51</v>
      </c>
    </row>
    <row r="58" customFormat="false" ht="23.85" hidden="false" customHeight="false" outlineLevel="0" collapsed="false">
      <c r="A58" s="10" t="s">
        <v>329</v>
      </c>
      <c r="B58" s="11" t="s">
        <v>330</v>
      </c>
      <c r="C58" s="10" t="s">
        <v>67</v>
      </c>
      <c r="D58" s="10" t="s">
        <v>68</v>
      </c>
      <c r="E58" s="10" t="s">
        <v>303</v>
      </c>
      <c r="F58" s="10" t="n">
        <v>16</v>
      </c>
      <c r="G58" s="10" t="n">
        <v>18</v>
      </c>
      <c r="H58" s="10" t="s">
        <v>284</v>
      </c>
      <c r="I58" s="10" t="s">
        <v>324</v>
      </c>
      <c r="J58" s="10" t="s">
        <v>325</v>
      </c>
      <c r="K58" s="10" t="s">
        <v>48</v>
      </c>
      <c r="L58" s="11" t="s">
        <v>48</v>
      </c>
      <c r="M58" s="11" t="s">
        <v>48</v>
      </c>
      <c r="N58" s="11" t="s">
        <v>331</v>
      </c>
      <c r="O58" s="11" t="s">
        <v>332</v>
      </c>
      <c r="P58" s="10" t="s">
        <v>51</v>
      </c>
    </row>
    <row r="59" customFormat="false" ht="23.85" hidden="false" customHeight="false" outlineLevel="0" collapsed="false">
      <c r="A59" s="10" t="s">
        <v>333</v>
      </c>
      <c r="B59" s="11" t="s">
        <v>334</v>
      </c>
      <c r="C59" s="10" t="s">
        <v>67</v>
      </c>
      <c r="D59" s="10" t="s">
        <v>68</v>
      </c>
      <c r="E59" s="10" t="s">
        <v>303</v>
      </c>
      <c r="F59" s="10" t="n">
        <v>8</v>
      </c>
      <c r="G59" s="10" t="n">
        <v>18</v>
      </c>
      <c r="H59" s="10" t="s">
        <v>284</v>
      </c>
      <c r="I59" s="10" t="s">
        <v>324</v>
      </c>
      <c r="J59" s="10" t="s">
        <v>325</v>
      </c>
      <c r="K59" s="10" t="s">
        <v>48</v>
      </c>
      <c r="L59" s="11" t="s">
        <v>48</v>
      </c>
      <c r="M59" s="11" t="s">
        <v>335</v>
      </c>
      <c r="N59" s="11" t="s">
        <v>336</v>
      </c>
      <c r="O59" s="11" t="s">
        <v>337</v>
      </c>
      <c r="P59" s="10" t="s">
        <v>51</v>
      </c>
    </row>
    <row r="60" customFormat="false" ht="35.05" hidden="false" customHeight="false" outlineLevel="0" collapsed="false">
      <c r="A60" s="10" t="s">
        <v>338</v>
      </c>
      <c r="B60" s="11" t="s">
        <v>339</v>
      </c>
      <c r="C60" s="10" t="s">
        <v>67</v>
      </c>
      <c r="D60" s="10" t="s">
        <v>68</v>
      </c>
      <c r="E60" s="10" t="s">
        <v>69</v>
      </c>
      <c r="F60" s="10" t="n">
        <v>16</v>
      </c>
      <c r="G60" s="10" t="n">
        <v>19</v>
      </c>
      <c r="H60" s="10" t="s">
        <v>284</v>
      </c>
      <c r="I60" s="10" t="s">
        <v>340</v>
      </c>
      <c r="J60" s="10" t="s">
        <v>341</v>
      </c>
      <c r="K60" s="10" t="s">
        <v>48</v>
      </c>
      <c r="L60" s="11" t="s">
        <v>48</v>
      </c>
      <c r="M60" s="11" t="s">
        <v>342</v>
      </c>
      <c r="N60" s="11" t="s">
        <v>343</v>
      </c>
      <c r="O60" s="11" t="s">
        <v>344</v>
      </c>
      <c r="P60" s="10" t="s">
        <v>51</v>
      </c>
    </row>
    <row r="61" customFormat="false" ht="23.85" hidden="false" customHeight="false" outlineLevel="0" collapsed="false">
      <c r="A61" s="10" t="s">
        <v>345</v>
      </c>
      <c r="B61" s="11" t="s">
        <v>346</v>
      </c>
      <c r="C61" s="10" t="s">
        <v>67</v>
      </c>
      <c r="D61" s="10" t="s">
        <v>68</v>
      </c>
      <c r="E61" s="10" t="s">
        <v>69</v>
      </c>
      <c r="F61" s="10" t="n">
        <v>8</v>
      </c>
      <c r="G61" s="10" t="n">
        <v>19</v>
      </c>
      <c r="H61" s="10" t="s">
        <v>284</v>
      </c>
      <c r="I61" s="10" t="s">
        <v>340</v>
      </c>
      <c r="J61" s="10" t="s">
        <v>341</v>
      </c>
      <c r="K61" s="10" t="s">
        <v>48</v>
      </c>
      <c r="L61" s="11" t="s">
        <v>48</v>
      </c>
      <c r="M61" s="11" t="s">
        <v>347</v>
      </c>
      <c r="N61" s="11" t="s">
        <v>348</v>
      </c>
      <c r="O61" s="11" t="s">
        <v>349</v>
      </c>
      <c r="P61" s="10" t="s">
        <v>51</v>
      </c>
    </row>
  </sheetData>
  <autoFilter ref="A1:P61"/>
  <conditionalFormatting sqref="E2:E61">
    <cfRule type="cellIs" priority="2" operator="equal" aboveAverage="0" equalAverage="0" bottom="0" percent="0" rank="0" text="" dxfId="7">
      <formula>"BLOKER STARTU"</formula>
    </cfRule>
    <cfRule type="cellIs" priority="3" operator="equal" aboveAverage="0" equalAverage="0" bottom="0" percent="0" rank="0" text="" dxfId="7">
      <formula>"BLOKER BIZNESOWY"</formula>
    </cfRule>
    <cfRule type="cellIs" priority="4" operator="equal" aboveAverage="0" equalAverage="0" bottom="0" percent="0" rank="0" text="" dxfId="8">
      <formula>"WYSOKA"</formula>
    </cfRule>
    <cfRule type="cellIs" priority="5" operator="equal" aboveAverage="0" equalAverage="0" bottom="0" percent="0" rank="0" text="" dxfId="8">
      <formula>"WYSOKI"</formula>
    </cfRule>
    <cfRule type="cellIs" priority="6" operator="equal" aboveAverage="0" equalAverage="0" bottom="0" percent="0" rank="0" text="" dxfId="9">
      <formula>"ŚREDNIA"</formula>
    </cfRule>
    <cfRule type="cellIs" priority="7" operator="equal" aboveAverage="0" equalAverage="0" bottom="0" percent="0" rank="0" text="" dxfId="9">
      <formula>"ŚREDNI"</formula>
    </cfRule>
  </conditionalFormatting>
  <conditionalFormatting sqref="P2:P61">
    <cfRule type="cellIs" priority="8" operator="equal" aboveAverage="0" equalAverage="0" bottom="0" percent="0" rank="0" text="" dxfId="10">
      <formula>"zrobione"</formula>
    </cfRule>
    <cfRule type="cellIs" priority="9" operator="equal" aboveAverage="0" equalAverage="0" bottom="0" percent="0" rank="0" text="" dxfId="9">
      <formula>"w toku"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40"/>
    <col collapsed="false" customWidth="true" hidden="false" outlineLevel="0" max="5" min="5" style="0" width="52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92"/>
  </cols>
  <sheetData>
    <row r="1" customFormat="false" ht="30" hidden="false" customHeight="true" outlineLevel="0" collapsed="false">
      <c r="A1" s="9" t="s">
        <v>28</v>
      </c>
      <c r="B1" s="9" t="s">
        <v>30</v>
      </c>
      <c r="C1" s="9" t="s">
        <v>31</v>
      </c>
      <c r="D1" s="9" t="s">
        <v>29</v>
      </c>
      <c r="E1" s="9" t="s">
        <v>350</v>
      </c>
      <c r="F1" s="9" t="s">
        <v>351</v>
      </c>
      <c r="G1" s="9" t="s">
        <v>13</v>
      </c>
      <c r="H1" s="9" t="s">
        <v>5</v>
      </c>
      <c r="I1" s="9" t="s">
        <v>352</v>
      </c>
      <c r="J1" s="9" t="s">
        <v>353</v>
      </c>
    </row>
    <row r="2" customFormat="false" ht="23.85" hidden="false" customHeight="false" outlineLevel="0" collapsed="false">
      <c r="A2" s="10" t="n">
        <v>1</v>
      </c>
      <c r="B2" s="10" t="s">
        <v>44</v>
      </c>
      <c r="C2" s="10" t="s">
        <v>45</v>
      </c>
      <c r="D2" s="11" t="s">
        <v>43</v>
      </c>
      <c r="E2" s="11" t="s">
        <v>354</v>
      </c>
      <c r="F2" s="10" t="n">
        <f aca="false">COUNTIF('Backlog do startu'!$G$2:$G$61,A2)</f>
        <v>5</v>
      </c>
      <c r="G2" s="10" t="n">
        <f aca="false">SUMIF('Backlog do startu'!$G$2:$G$61,A2,'Backlog do startu'!$F$2:$F$61)</f>
        <v>32</v>
      </c>
      <c r="H2" s="10" t="n">
        <v>30</v>
      </c>
      <c r="I2" s="12" t="n">
        <f aca="false">IFERROR(G2/H2,0)</f>
        <v>1.06666666666667</v>
      </c>
      <c r="J2" s="11" t="s">
        <v>355</v>
      </c>
    </row>
    <row r="3" customFormat="false" ht="15" hidden="false" customHeight="false" outlineLevel="0" collapsed="false">
      <c r="A3" s="10" t="n">
        <v>2</v>
      </c>
      <c r="B3" s="10" t="s">
        <v>75</v>
      </c>
      <c r="C3" s="10" t="s">
        <v>76</v>
      </c>
      <c r="D3" s="11" t="s">
        <v>43</v>
      </c>
      <c r="E3" s="11" t="s">
        <v>356</v>
      </c>
      <c r="F3" s="10" t="n">
        <f aca="false">COUNTIF('Backlog do startu'!$G$2:$G$61,A3)</f>
        <v>3</v>
      </c>
      <c r="G3" s="10" t="n">
        <f aca="false">SUMIF('Backlog do startu'!$G$2:$G$61,A3,'Backlog do startu'!$F$2:$F$61)</f>
        <v>28</v>
      </c>
      <c r="H3" s="10" t="n">
        <v>30</v>
      </c>
      <c r="I3" s="12" t="n">
        <f aca="false">IFERROR(G3/H3,0)</f>
        <v>0.933333333333333</v>
      </c>
      <c r="J3" s="11" t="s">
        <v>357</v>
      </c>
    </row>
    <row r="4" customFormat="false" ht="23.85" hidden="false" customHeight="false" outlineLevel="0" collapsed="false">
      <c r="A4" s="10" t="n">
        <v>3</v>
      </c>
      <c r="B4" s="10" t="s">
        <v>92</v>
      </c>
      <c r="C4" s="10" t="s">
        <v>93</v>
      </c>
      <c r="D4" s="11" t="s">
        <v>43</v>
      </c>
      <c r="E4" s="11" t="s">
        <v>358</v>
      </c>
      <c r="F4" s="10" t="n">
        <f aca="false">COUNTIF('Backlog do startu'!$G$2:$G$61,A4)</f>
        <v>3</v>
      </c>
      <c r="G4" s="10" t="n">
        <f aca="false">SUMIF('Backlog do startu'!$G$2:$G$61,A4,'Backlog do startu'!$F$2:$F$61)</f>
        <v>28</v>
      </c>
      <c r="H4" s="10" t="n">
        <v>30</v>
      </c>
      <c r="I4" s="12" t="n">
        <f aca="false">IFERROR(G4/H4,0)</f>
        <v>0.933333333333333</v>
      </c>
      <c r="J4" s="11" t="s">
        <v>359</v>
      </c>
    </row>
    <row r="5" customFormat="false" ht="23.85" hidden="false" customHeight="false" outlineLevel="0" collapsed="false">
      <c r="A5" s="10" t="n">
        <v>4</v>
      </c>
      <c r="B5" s="10" t="s">
        <v>106</v>
      </c>
      <c r="C5" s="10" t="s">
        <v>107</v>
      </c>
      <c r="D5" s="11" t="s">
        <v>105</v>
      </c>
      <c r="E5" s="11" t="s">
        <v>360</v>
      </c>
      <c r="F5" s="10" t="n">
        <f aca="false">COUNTIF('Backlog do startu'!$G$2:$G$61,A5)</f>
        <v>1</v>
      </c>
      <c r="G5" s="10" t="n">
        <f aca="false">SUMIF('Backlog do startu'!$G$2:$G$61,A5,'Backlog do startu'!$F$2:$F$61)</f>
        <v>30</v>
      </c>
      <c r="H5" s="10" t="n">
        <v>30</v>
      </c>
      <c r="I5" s="12" t="n">
        <f aca="false">IFERROR(G5/H5,0)</f>
        <v>1</v>
      </c>
      <c r="J5" s="11" t="s">
        <v>361</v>
      </c>
    </row>
    <row r="6" customFormat="false" ht="23.85" hidden="false" customHeight="false" outlineLevel="0" collapsed="false">
      <c r="A6" s="10" t="n">
        <v>5</v>
      </c>
      <c r="B6" s="10" t="s">
        <v>111</v>
      </c>
      <c r="C6" s="10" t="s">
        <v>112</v>
      </c>
      <c r="D6" s="11" t="s">
        <v>105</v>
      </c>
      <c r="E6" s="11" t="s">
        <v>362</v>
      </c>
      <c r="F6" s="10" t="n">
        <f aca="false">COUNTIF('Backlog do startu'!$G$2:$G$61,A6)</f>
        <v>3</v>
      </c>
      <c r="G6" s="10" t="n">
        <f aca="false">SUMIF('Backlog do startu'!$G$2:$G$61,A6,'Backlog do startu'!$F$2:$F$61)</f>
        <v>26</v>
      </c>
      <c r="H6" s="10" t="n">
        <v>30</v>
      </c>
      <c r="I6" s="12" t="n">
        <f aca="false">IFERROR(G6/H6,0)</f>
        <v>0.866666666666667</v>
      </c>
      <c r="J6" s="11" t="s">
        <v>363</v>
      </c>
    </row>
    <row r="7" customFormat="false" ht="23.85" hidden="false" customHeight="false" outlineLevel="0" collapsed="false">
      <c r="A7" s="10" t="n">
        <v>6</v>
      </c>
      <c r="B7" s="10" t="s">
        <v>125</v>
      </c>
      <c r="C7" s="10" t="s">
        <v>126</v>
      </c>
      <c r="D7" s="11" t="s">
        <v>105</v>
      </c>
      <c r="E7" s="11" t="s">
        <v>364</v>
      </c>
      <c r="F7" s="10" t="n">
        <f aca="false">COUNTIF('Backlog do startu'!$G$2:$G$61,A7)</f>
        <v>1</v>
      </c>
      <c r="G7" s="10" t="n">
        <f aca="false">SUMIF('Backlog do startu'!$G$2:$G$61,A7,'Backlog do startu'!$F$2:$F$61)</f>
        <v>30</v>
      </c>
      <c r="H7" s="10" t="n">
        <v>30</v>
      </c>
      <c r="I7" s="12" t="n">
        <f aca="false">IFERROR(G7/H7,0)</f>
        <v>1</v>
      </c>
      <c r="J7" s="11" t="s">
        <v>365</v>
      </c>
    </row>
    <row r="8" customFormat="false" ht="15" hidden="false" customHeight="false" outlineLevel="0" collapsed="false">
      <c r="A8" s="10" t="n">
        <v>7</v>
      </c>
      <c r="B8" s="10" t="s">
        <v>130</v>
      </c>
      <c r="C8" s="10" t="s">
        <v>131</v>
      </c>
      <c r="D8" s="11" t="s">
        <v>105</v>
      </c>
      <c r="E8" s="11" t="s">
        <v>366</v>
      </c>
      <c r="F8" s="10" t="n">
        <f aca="false">COUNTIF('Backlog do startu'!$G$2:$G$61,A8)</f>
        <v>2</v>
      </c>
      <c r="G8" s="10" t="n">
        <f aca="false">SUMIF('Backlog do startu'!$G$2:$G$61,A8,'Backlog do startu'!$F$2:$F$61)</f>
        <v>26</v>
      </c>
      <c r="H8" s="10" t="n">
        <v>30</v>
      </c>
      <c r="I8" s="12" t="n">
        <f aca="false">IFERROR(G8/H8,0)</f>
        <v>0.866666666666667</v>
      </c>
      <c r="J8" s="11" t="s">
        <v>367</v>
      </c>
    </row>
    <row r="9" customFormat="false" ht="23.85" hidden="false" customHeight="false" outlineLevel="0" collapsed="false">
      <c r="A9" s="10" t="n">
        <v>8</v>
      </c>
      <c r="B9" s="10" t="s">
        <v>139</v>
      </c>
      <c r="C9" s="10" t="s">
        <v>140</v>
      </c>
      <c r="D9" s="11" t="s">
        <v>105</v>
      </c>
      <c r="E9" s="11" t="s">
        <v>368</v>
      </c>
      <c r="F9" s="10" t="n">
        <f aca="false">COUNTIF('Backlog do startu'!$G$2:$G$61,A9)</f>
        <v>2</v>
      </c>
      <c r="G9" s="10" t="n">
        <f aca="false">SUMIF('Backlog do startu'!$G$2:$G$61,A9,'Backlog do startu'!$F$2:$F$61)</f>
        <v>24</v>
      </c>
      <c r="H9" s="10" t="n">
        <v>30</v>
      </c>
      <c r="I9" s="12" t="n">
        <f aca="false">IFERROR(G9/H9,0)</f>
        <v>0.8</v>
      </c>
      <c r="J9" s="11" t="s">
        <v>369</v>
      </c>
    </row>
    <row r="10" customFormat="false" ht="23.85" hidden="false" customHeight="false" outlineLevel="0" collapsed="false">
      <c r="A10" s="10" t="n">
        <v>9</v>
      </c>
      <c r="B10" s="10" t="s">
        <v>148</v>
      </c>
      <c r="C10" s="10" t="s">
        <v>149</v>
      </c>
      <c r="D10" s="11" t="s">
        <v>147</v>
      </c>
      <c r="E10" s="11" t="s">
        <v>370</v>
      </c>
      <c r="F10" s="10" t="n">
        <f aca="false">COUNTIF('Backlog do startu'!$G$2:$G$61,A10)</f>
        <v>5</v>
      </c>
      <c r="G10" s="10" t="n">
        <f aca="false">SUMIF('Backlog do startu'!$G$2:$G$61,A10,'Backlog do startu'!$F$2:$F$61)</f>
        <v>30</v>
      </c>
      <c r="H10" s="10" t="n">
        <v>30</v>
      </c>
      <c r="I10" s="12" t="n">
        <f aca="false">IFERROR(G10/H10,0)</f>
        <v>1</v>
      </c>
      <c r="J10" s="11" t="s">
        <v>371</v>
      </c>
    </row>
    <row r="11" customFormat="false" ht="35.05" hidden="false" customHeight="false" outlineLevel="0" collapsed="false">
      <c r="A11" s="10" t="n">
        <v>10</v>
      </c>
      <c r="B11" s="10" t="s">
        <v>171</v>
      </c>
      <c r="C11" s="10" t="s">
        <v>172</v>
      </c>
      <c r="D11" s="11" t="s">
        <v>147</v>
      </c>
      <c r="E11" s="11" t="s">
        <v>372</v>
      </c>
      <c r="F11" s="10" t="n">
        <f aca="false">COUNTIF('Backlog do startu'!$G$2:$G$61,A11)</f>
        <v>4</v>
      </c>
      <c r="G11" s="10" t="n">
        <f aca="false">SUMIF('Backlog do startu'!$G$2:$G$61,A11,'Backlog do startu'!$F$2:$F$61)</f>
        <v>24</v>
      </c>
      <c r="H11" s="10" t="n">
        <v>30</v>
      </c>
      <c r="I11" s="12" t="n">
        <f aca="false">IFERROR(G11/H11,0)</f>
        <v>0.8</v>
      </c>
      <c r="J11" s="11" t="s">
        <v>373</v>
      </c>
    </row>
    <row r="12" customFormat="false" ht="23.85" hidden="false" customHeight="false" outlineLevel="0" collapsed="false">
      <c r="A12" s="10" t="n">
        <v>11</v>
      </c>
      <c r="B12" s="10" t="s">
        <v>191</v>
      </c>
      <c r="C12" s="10" t="s">
        <v>192</v>
      </c>
      <c r="D12" s="11" t="s">
        <v>147</v>
      </c>
      <c r="E12" s="11" t="s">
        <v>374</v>
      </c>
      <c r="F12" s="10" t="n">
        <f aca="false">COUNTIF('Backlog do startu'!$G$2:$G$61,A12)</f>
        <v>5</v>
      </c>
      <c r="G12" s="10" t="n">
        <f aca="false">SUMIF('Backlog do startu'!$G$2:$G$61,A12,'Backlog do startu'!$F$2:$F$61)</f>
        <v>30</v>
      </c>
      <c r="H12" s="10" t="n">
        <v>30</v>
      </c>
      <c r="I12" s="12" t="n">
        <f aca="false">IFERROR(G12/H12,0)</f>
        <v>1</v>
      </c>
      <c r="J12" s="11" t="s">
        <v>375</v>
      </c>
    </row>
    <row r="13" customFormat="false" ht="23.85" hidden="false" customHeight="false" outlineLevel="0" collapsed="false">
      <c r="A13" s="10" t="n">
        <v>12</v>
      </c>
      <c r="B13" s="10" t="s">
        <v>213</v>
      </c>
      <c r="C13" s="10" t="s">
        <v>214</v>
      </c>
      <c r="D13" s="11" t="s">
        <v>147</v>
      </c>
      <c r="E13" s="11" t="s">
        <v>376</v>
      </c>
      <c r="F13" s="10" t="n">
        <f aca="false">COUNTIF('Backlog do startu'!$G$2:$G$61,A13)</f>
        <v>5</v>
      </c>
      <c r="G13" s="10" t="n">
        <f aca="false">SUMIF('Backlog do startu'!$G$2:$G$61,A13,'Backlog do startu'!$F$2:$F$61)</f>
        <v>30</v>
      </c>
      <c r="H13" s="10" t="n">
        <v>30</v>
      </c>
      <c r="I13" s="12" t="n">
        <f aca="false">IFERROR(G13/H13,0)</f>
        <v>1</v>
      </c>
      <c r="J13" s="11" t="s">
        <v>377</v>
      </c>
    </row>
    <row r="14" customFormat="false" ht="23.85" hidden="false" customHeight="false" outlineLevel="0" collapsed="false">
      <c r="A14" s="10" t="n">
        <v>13</v>
      </c>
      <c r="B14" s="10" t="s">
        <v>239</v>
      </c>
      <c r="C14" s="10" t="s">
        <v>240</v>
      </c>
      <c r="D14" s="11" t="s">
        <v>147</v>
      </c>
      <c r="E14" s="11" t="s">
        <v>378</v>
      </c>
      <c r="F14" s="10" t="n">
        <f aca="false">COUNTIF('Backlog do startu'!$G$2:$G$61,A14)</f>
        <v>5</v>
      </c>
      <c r="G14" s="10" t="n">
        <f aca="false">SUMIF('Backlog do startu'!$G$2:$G$61,A14,'Backlog do startu'!$F$2:$F$61)</f>
        <v>30</v>
      </c>
      <c r="H14" s="10" t="n">
        <v>30</v>
      </c>
      <c r="I14" s="12" t="n">
        <f aca="false">IFERROR(G14/H14,0)</f>
        <v>1</v>
      </c>
      <c r="J14" s="11" t="s">
        <v>379</v>
      </c>
    </row>
    <row r="15" customFormat="false" ht="23.85" hidden="false" customHeight="false" outlineLevel="0" collapsed="false">
      <c r="A15" s="10" t="n">
        <v>14</v>
      </c>
      <c r="B15" s="10" t="s">
        <v>263</v>
      </c>
      <c r="C15" s="10" t="s">
        <v>264</v>
      </c>
      <c r="D15" s="11" t="s">
        <v>147</v>
      </c>
      <c r="E15" s="11" t="s">
        <v>380</v>
      </c>
      <c r="F15" s="10" t="n">
        <f aca="false">COUNTIF('Backlog do startu'!$G$2:$G$61,A15)</f>
        <v>4</v>
      </c>
      <c r="G15" s="10" t="n">
        <f aca="false">SUMIF('Backlog do startu'!$G$2:$G$61,A15,'Backlog do startu'!$F$2:$F$61)</f>
        <v>26</v>
      </c>
      <c r="H15" s="10" t="n">
        <v>30</v>
      </c>
      <c r="I15" s="12" t="n">
        <f aca="false">IFERROR(G15/H15,0)</f>
        <v>0.866666666666667</v>
      </c>
      <c r="J15" s="11" t="s">
        <v>381</v>
      </c>
    </row>
    <row r="16" customFormat="false" ht="23.85" hidden="false" customHeight="false" outlineLevel="0" collapsed="false">
      <c r="A16" s="10" t="n">
        <v>15</v>
      </c>
      <c r="B16" s="10" t="s">
        <v>285</v>
      </c>
      <c r="C16" s="10" t="s">
        <v>286</v>
      </c>
      <c r="D16" s="11" t="s">
        <v>284</v>
      </c>
      <c r="E16" s="11" t="s">
        <v>382</v>
      </c>
      <c r="F16" s="10" t="n">
        <f aca="false">COUNTIF('Backlog do startu'!$G$2:$G$61,A16)</f>
        <v>2</v>
      </c>
      <c r="G16" s="10" t="n">
        <f aca="false">SUMIF('Backlog do startu'!$G$2:$G$61,A16,'Backlog do startu'!$F$2:$F$61)</f>
        <v>32</v>
      </c>
      <c r="H16" s="10" t="n">
        <v>30</v>
      </c>
      <c r="I16" s="12" t="n">
        <f aca="false">IFERROR(G16/H16,0)</f>
        <v>1.06666666666667</v>
      </c>
      <c r="J16" s="11" t="s">
        <v>383</v>
      </c>
    </row>
    <row r="17" customFormat="false" ht="23.85" hidden="false" customHeight="false" outlineLevel="0" collapsed="false">
      <c r="A17" s="10" t="n">
        <v>16</v>
      </c>
      <c r="B17" s="10" t="s">
        <v>296</v>
      </c>
      <c r="C17" s="10" t="s">
        <v>297</v>
      </c>
      <c r="D17" s="11" t="s">
        <v>284</v>
      </c>
      <c r="E17" s="11" t="s">
        <v>384</v>
      </c>
      <c r="F17" s="10" t="n">
        <f aca="false">COUNTIF('Backlog do startu'!$G$2:$G$61,A17)</f>
        <v>2</v>
      </c>
      <c r="G17" s="10" t="n">
        <f aca="false">SUMIF('Backlog do startu'!$G$2:$G$61,A17,'Backlog do startu'!$F$2:$F$61)</f>
        <v>32</v>
      </c>
      <c r="H17" s="10" t="n">
        <v>30</v>
      </c>
      <c r="I17" s="12" t="n">
        <f aca="false">IFERROR(G17/H17,0)</f>
        <v>1.06666666666667</v>
      </c>
      <c r="J17" s="11" t="s">
        <v>385</v>
      </c>
    </row>
    <row r="18" customFormat="false" ht="35.05" hidden="false" customHeight="false" outlineLevel="0" collapsed="false">
      <c r="A18" s="10" t="n">
        <v>17</v>
      </c>
      <c r="B18" s="10" t="s">
        <v>308</v>
      </c>
      <c r="C18" s="10" t="s">
        <v>309</v>
      </c>
      <c r="D18" s="11" t="s">
        <v>284</v>
      </c>
      <c r="E18" s="11" t="s">
        <v>386</v>
      </c>
      <c r="F18" s="10" t="n">
        <f aca="false">COUNTIF('Backlog do startu'!$G$2:$G$61,A18)</f>
        <v>3</v>
      </c>
      <c r="G18" s="10" t="n">
        <f aca="false">SUMIF('Backlog do startu'!$G$2:$G$61,A18,'Backlog do startu'!$F$2:$F$61)</f>
        <v>28</v>
      </c>
      <c r="H18" s="10" t="n">
        <v>30</v>
      </c>
      <c r="I18" s="12" t="n">
        <f aca="false">IFERROR(G18/H18,0)</f>
        <v>0.933333333333333</v>
      </c>
      <c r="J18" s="11" t="s">
        <v>387</v>
      </c>
    </row>
    <row r="19" customFormat="false" ht="15" hidden="false" customHeight="false" outlineLevel="0" collapsed="false">
      <c r="A19" s="10" t="n">
        <v>18</v>
      </c>
      <c r="B19" s="10" t="s">
        <v>324</v>
      </c>
      <c r="C19" s="10" t="s">
        <v>325</v>
      </c>
      <c r="D19" s="11" t="s">
        <v>284</v>
      </c>
      <c r="E19" s="11" t="s">
        <v>388</v>
      </c>
      <c r="F19" s="10" t="n">
        <f aca="false">COUNTIF('Backlog do startu'!$G$2:$G$61,A19)</f>
        <v>3</v>
      </c>
      <c r="G19" s="10" t="n">
        <f aca="false">SUMIF('Backlog do startu'!$G$2:$G$61,A19,'Backlog do startu'!$F$2:$F$61)</f>
        <v>30</v>
      </c>
      <c r="H19" s="10" t="n">
        <v>30</v>
      </c>
      <c r="I19" s="12" t="n">
        <f aca="false">IFERROR(G19/H19,0)</f>
        <v>1</v>
      </c>
      <c r="J19" s="11" t="s">
        <v>389</v>
      </c>
    </row>
    <row r="20" customFormat="false" ht="23.85" hidden="false" customHeight="false" outlineLevel="0" collapsed="false">
      <c r="A20" s="10" t="n">
        <v>19</v>
      </c>
      <c r="B20" s="10" t="s">
        <v>340</v>
      </c>
      <c r="C20" s="10" t="s">
        <v>341</v>
      </c>
      <c r="D20" s="11" t="s">
        <v>284</v>
      </c>
      <c r="E20" s="11" t="s">
        <v>390</v>
      </c>
      <c r="F20" s="10" t="n">
        <f aca="false">COUNTIF('Backlog do startu'!$G$2:$G$61,A20)</f>
        <v>2</v>
      </c>
      <c r="G20" s="10" t="n">
        <f aca="false">SUMIF('Backlog do startu'!$G$2:$G$61,A20,'Backlog do startu'!$F$2:$F$61)</f>
        <v>24</v>
      </c>
      <c r="H20" s="10" t="n">
        <v>30</v>
      </c>
      <c r="I20" s="12" t="n">
        <f aca="false">IFERROR(G20/H20,0)</f>
        <v>0.8</v>
      </c>
      <c r="J20" s="11" t="s">
        <v>391</v>
      </c>
    </row>
  </sheetData>
  <autoFilter ref="A1:J20"/>
  <conditionalFormatting sqref="G2:G20">
    <cfRule type="dataBar" priority="2">
      <dataBar showValue="1" minLength="10" maxLength="90">
        <cfvo type="num" val="0"/>
        <cfvo type="num" val="30"/>
        <color rgb="FF4A90D9"/>
      </dataBar>
      <extLst>
        <ext xmlns:x14="http://schemas.microsoft.com/office/spreadsheetml/2009/9/main" uri="{B025F937-C7B1-47D3-B67F-A62EFF666E3E}">
          <x14:id>{C9D57580-4615-4396-923D-70C246812E51}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D57580-4615-4396-923D-70C246812E51}">
            <x14:dataBar minLength="10" maxLength="90" axisPosition="none" gradient="true">
              <x14:cfvo type="num">
                <xm:f>0</xm:f>
              </x14:cfvo>
              <x14:cfvo type="num">
                <xm:f>30</xm:f>
              </x14:cfvo>
              <x14:negativeFillColor rgb="FF4A90D9"/>
              <x14:axisColor rgb="FF000000"/>
            </x14:dataBar>
          </x14:cfRule>
          <xm:sqref>G2:G20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46"/>
    <col collapsed="false" customWidth="true" hidden="false" outlineLevel="0" max="7" min="7" style="0" width="26"/>
    <col collapsed="false" customWidth="true" hidden="false" outlineLevel="0" max="8" min="8" style="0" width="15"/>
    <col collapsed="false" customWidth="true" hidden="false" outlineLevel="0" max="9" min="9" style="0" width="5"/>
    <col collapsed="false" customWidth="true" hidden="false" outlineLevel="0" max="10" min="10" style="0" width="17"/>
    <col collapsed="false" customWidth="true" hidden="false" outlineLevel="0" max="11" min="11" style="0" width="66"/>
  </cols>
  <sheetData>
    <row r="1" customFormat="false" ht="30" hidden="false" customHeight="true" outlineLevel="0" collapsed="false">
      <c r="A1" s="9" t="s">
        <v>22</v>
      </c>
      <c r="B1" s="9" t="s">
        <v>392</v>
      </c>
      <c r="C1" s="9" t="s">
        <v>393</v>
      </c>
      <c r="D1" s="9" t="s">
        <v>394</v>
      </c>
      <c r="E1" s="9" t="s">
        <v>395</v>
      </c>
      <c r="F1" s="9" t="s">
        <v>396</v>
      </c>
      <c r="G1" s="9" t="s">
        <v>25</v>
      </c>
      <c r="H1" s="9" t="s">
        <v>397</v>
      </c>
      <c r="I1" s="9" t="s">
        <v>27</v>
      </c>
      <c r="J1" s="9" t="s">
        <v>32</v>
      </c>
      <c r="K1" s="9" t="s">
        <v>398</v>
      </c>
    </row>
    <row r="2" customFormat="false" ht="15" hidden="false" customHeight="false" outlineLevel="0" collapsed="false">
      <c r="A2" s="10" t="s">
        <v>399</v>
      </c>
      <c r="B2" s="10" t="s">
        <v>400</v>
      </c>
      <c r="C2" s="11" t="s">
        <v>401</v>
      </c>
      <c r="D2" s="10" t="s">
        <v>402</v>
      </c>
      <c r="E2" s="10" t="s">
        <v>120</v>
      </c>
      <c r="F2" s="11" t="s">
        <v>403</v>
      </c>
      <c r="G2" s="10" t="s">
        <v>186</v>
      </c>
      <c r="H2" s="10" t="s">
        <v>404</v>
      </c>
      <c r="I2" s="10" t="n">
        <v>16</v>
      </c>
      <c r="J2" s="10" t="s">
        <v>46</v>
      </c>
      <c r="K2" s="11"/>
    </row>
    <row r="3" customFormat="false" ht="15" hidden="false" customHeight="false" outlineLevel="0" collapsed="false">
      <c r="A3" s="10" t="s">
        <v>405</v>
      </c>
      <c r="B3" s="10" t="s">
        <v>400</v>
      </c>
      <c r="C3" s="11" t="s">
        <v>401</v>
      </c>
      <c r="D3" s="10" t="s">
        <v>402</v>
      </c>
      <c r="E3" s="10" t="s">
        <v>120</v>
      </c>
      <c r="F3" s="11" t="s">
        <v>406</v>
      </c>
      <c r="G3" s="10" t="s">
        <v>186</v>
      </c>
      <c r="H3" s="10" t="s">
        <v>275</v>
      </c>
      <c r="I3" s="10" t="n">
        <v>16</v>
      </c>
      <c r="J3" s="10" t="s">
        <v>46</v>
      </c>
      <c r="K3" s="11"/>
    </row>
    <row r="4" customFormat="false" ht="15" hidden="false" customHeight="false" outlineLevel="0" collapsed="false">
      <c r="A4" s="10" t="s">
        <v>407</v>
      </c>
      <c r="B4" s="10" t="s">
        <v>400</v>
      </c>
      <c r="C4" s="11" t="s">
        <v>401</v>
      </c>
      <c r="D4" s="10" t="s">
        <v>402</v>
      </c>
      <c r="E4" s="10" t="s">
        <v>120</v>
      </c>
      <c r="F4" s="11" t="s">
        <v>408</v>
      </c>
      <c r="G4" s="10" t="s">
        <v>186</v>
      </c>
      <c r="H4" s="10" t="s">
        <v>42</v>
      </c>
      <c r="I4" s="10" t="n">
        <v>16</v>
      </c>
      <c r="J4" s="10" t="s">
        <v>46</v>
      </c>
      <c r="K4" s="11" t="s">
        <v>409</v>
      </c>
    </row>
    <row r="5" customFormat="false" ht="15" hidden="false" customHeight="false" outlineLevel="0" collapsed="false">
      <c r="A5" s="10" t="s">
        <v>410</v>
      </c>
      <c r="B5" s="10" t="s">
        <v>400</v>
      </c>
      <c r="C5" s="11" t="s">
        <v>401</v>
      </c>
      <c r="D5" s="10" t="s">
        <v>402</v>
      </c>
      <c r="E5" s="10" t="s">
        <v>120</v>
      </c>
      <c r="F5" s="11" t="s">
        <v>411</v>
      </c>
      <c r="G5" s="10" t="s">
        <v>186</v>
      </c>
      <c r="H5" s="10" t="s">
        <v>404</v>
      </c>
      <c r="I5" s="10" t="n">
        <v>6</v>
      </c>
      <c r="J5" s="10" t="s">
        <v>46</v>
      </c>
      <c r="K5" s="11"/>
    </row>
    <row r="6" customFormat="false" ht="15" hidden="false" customHeight="false" outlineLevel="0" collapsed="false">
      <c r="A6" s="10" t="s">
        <v>412</v>
      </c>
      <c r="B6" s="10" t="s">
        <v>400</v>
      </c>
      <c r="C6" s="11" t="s">
        <v>401</v>
      </c>
      <c r="D6" s="10" t="s">
        <v>402</v>
      </c>
      <c r="E6" s="10" t="s">
        <v>120</v>
      </c>
      <c r="F6" s="11" t="s">
        <v>413</v>
      </c>
      <c r="G6" s="10" t="s">
        <v>186</v>
      </c>
      <c r="H6" s="10" t="s">
        <v>404</v>
      </c>
      <c r="I6" s="10" t="n">
        <v>40</v>
      </c>
      <c r="J6" s="10" t="s">
        <v>46</v>
      </c>
      <c r="K6" s="11" t="s">
        <v>414</v>
      </c>
    </row>
    <row r="7" customFormat="false" ht="15" hidden="false" customHeight="false" outlineLevel="0" collapsed="false">
      <c r="A7" s="10" t="s">
        <v>415</v>
      </c>
      <c r="B7" s="10" t="s">
        <v>400</v>
      </c>
      <c r="C7" s="11" t="s">
        <v>401</v>
      </c>
      <c r="D7" s="10" t="s">
        <v>402</v>
      </c>
      <c r="E7" s="10" t="s">
        <v>120</v>
      </c>
      <c r="F7" s="11" t="s">
        <v>416</v>
      </c>
      <c r="G7" s="10" t="s">
        <v>186</v>
      </c>
      <c r="H7" s="10" t="s">
        <v>404</v>
      </c>
      <c r="I7" s="10" t="n">
        <v>40</v>
      </c>
      <c r="J7" s="10" t="s">
        <v>46</v>
      </c>
      <c r="K7" s="11"/>
    </row>
    <row r="8" customFormat="false" ht="15" hidden="false" customHeight="false" outlineLevel="0" collapsed="false">
      <c r="A8" s="10" t="s">
        <v>417</v>
      </c>
      <c r="B8" s="10" t="s">
        <v>400</v>
      </c>
      <c r="C8" s="11" t="s">
        <v>401</v>
      </c>
      <c r="D8" s="10" t="s">
        <v>402</v>
      </c>
      <c r="E8" s="10" t="s">
        <v>120</v>
      </c>
      <c r="F8" s="11" t="s">
        <v>418</v>
      </c>
      <c r="G8" s="10" t="s">
        <v>186</v>
      </c>
      <c r="H8" s="10" t="s">
        <v>404</v>
      </c>
      <c r="I8" s="10" t="n">
        <v>6</v>
      </c>
      <c r="J8" s="10" t="s">
        <v>46</v>
      </c>
      <c r="K8" s="11"/>
    </row>
    <row r="9" customFormat="false" ht="15" hidden="false" customHeight="false" outlineLevel="0" collapsed="false">
      <c r="A9" s="10" t="s">
        <v>419</v>
      </c>
      <c r="B9" s="10" t="s">
        <v>400</v>
      </c>
      <c r="C9" s="11" t="s">
        <v>401</v>
      </c>
      <c r="D9" s="10" t="s">
        <v>402</v>
      </c>
      <c r="E9" s="10" t="s">
        <v>120</v>
      </c>
      <c r="F9" s="11" t="s">
        <v>420</v>
      </c>
      <c r="G9" s="10" t="s">
        <v>186</v>
      </c>
      <c r="H9" s="10" t="s">
        <v>404</v>
      </c>
      <c r="I9" s="10" t="n">
        <v>6</v>
      </c>
      <c r="J9" s="10" t="s">
        <v>46</v>
      </c>
      <c r="K9" s="11"/>
    </row>
    <row r="10" customFormat="false" ht="15" hidden="false" customHeight="false" outlineLevel="0" collapsed="false">
      <c r="A10" s="10" t="s">
        <v>421</v>
      </c>
      <c r="B10" s="10" t="s">
        <v>400</v>
      </c>
      <c r="C10" s="11" t="s">
        <v>401</v>
      </c>
      <c r="D10" s="10" t="s">
        <v>402</v>
      </c>
      <c r="E10" s="10" t="s">
        <v>120</v>
      </c>
      <c r="F10" s="11" t="s">
        <v>422</v>
      </c>
      <c r="G10" s="10" t="s">
        <v>186</v>
      </c>
      <c r="H10" s="10" t="s">
        <v>404</v>
      </c>
      <c r="I10" s="10" t="n">
        <v>16</v>
      </c>
      <c r="J10" s="10" t="s">
        <v>86</v>
      </c>
      <c r="K10" s="11" t="s">
        <v>423</v>
      </c>
    </row>
    <row r="11" customFormat="false" ht="15" hidden="false" customHeight="false" outlineLevel="0" collapsed="false">
      <c r="A11" s="10" t="s">
        <v>424</v>
      </c>
      <c r="B11" s="10" t="s">
        <v>400</v>
      </c>
      <c r="C11" s="11" t="s">
        <v>401</v>
      </c>
      <c r="D11" s="10" t="s">
        <v>402</v>
      </c>
      <c r="E11" s="10" t="s">
        <v>120</v>
      </c>
      <c r="F11" s="11" t="s">
        <v>425</v>
      </c>
      <c r="G11" s="10" t="s">
        <v>101</v>
      </c>
      <c r="H11" s="10" t="s">
        <v>404</v>
      </c>
      <c r="I11" s="10" t="n">
        <v>6</v>
      </c>
      <c r="J11" s="10" t="s">
        <v>46</v>
      </c>
      <c r="K11" s="11"/>
    </row>
    <row r="12" customFormat="false" ht="15" hidden="false" customHeight="false" outlineLevel="0" collapsed="false">
      <c r="A12" s="10" t="s">
        <v>426</v>
      </c>
      <c r="B12" s="10" t="s">
        <v>400</v>
      </c>
      <c r="C12" s="11" t="s">
        <v>401</v>
      </c>
      <c r="D12" s="10" t="s">
        <v>402</v>
      </c>
      <c r="E12" s="10" t="s">
        <v>120</v>
      </c>
      <c r="F12" s="11" t="s">
        <v>427</v>
      </c>
      <c r="G12" s="10" t="s">
        <v>101</v>
      </c>
      <c r="H12" s="10" t="s">
        <v>275</v>
      </c>
      <c r="I12" s="10" t="n">
        <v>6</v>
      </c>
      <c r="J12" s="10" t="s">
        <v>46</v>
      </c>
      <c r="K12" s="11" t="s">
        <v>428</v>
      </c>
    </row>
    <row r="13" customFormat="false" ht="15" hidden="false" customHeight="false" outlineLevel="0" collapsed="false">
      <c r="A13" s="10" t="s">
        <v>429</v>
      </c>
      <c r="B13" s="10" t="s">
        <v>400</v>
      </c>
      <c r="C13" s="11" t="s">
        <v>401</v>
      </c>
      <c r="D13" s="10" t="s">
        <v>402</v>
      </c>
      <c r="E13" s="10" t="s">
        <v>120</v>
      </c>
      <c r="F13" s="11" t="s">
        <v>430</v>
      </c>
      <c r="G13" s="10" t="s">
        <v>101</v>
      </c>
      <c r="H13" s="10" t="s">
        <v>404</v>
      </c>
      <c r="I13" s="10" t="n">
        <v>6</v>
      </c>
      <c r="J13" s="10" t="s">
        <v>46</v>
      </c>
      <c r="K13" s="11"/>
    </row>
    <row r="14" customFormat="false" ht="15" hidden="false" customHeight="false" outlineLevel="0" collapsed="false">
      <c r="A14" s="10" t="s">
        <v>431</v>
      </c>
      <c r="B14" s="10" t="s">
        <v>400</v>
      </c>
      <c r="C14" s="11" t="s">
        <v>401</v>
      </c>
      <c r="D14" s="10" t="s">
        <v>402</v>
      </c>
      <c r="E14" s="10" t="s">
        <v>120</v>
      </c>
      <c r="F14" s="11" t="s">
        <v>432</v>
      </c>
      <c r="G14" s="10" t="s">
        <v>101</v>
      </c>
      <c r="H14" s="10" t="s">
        <v>42</v>
      </c>
      <c r="I14" s="10" t="n">
        <v>16</v>
      </c>
      <c r="J14" s="10" t="s">
        <v>233</v>
      </c>
      <c r="K14" s="11" t="s">
        <v>433</v>
      </c>
    </row>
    <row r="15" customFormat="false" ht="15" hidden="false" customHeight="false" outlineLevel="0" collapsed="false">
      <c r="A15" s="10" t="s">
        <v>434</v>
      </c>
      <c r="B15" s="10" t="s">
        <v>400</v>
      </c>
      <c r="C15" s="11" t="s">
        <v>401</v>
      </c>
      <c r="D15" s="10" t="s">
        <v>402</v>
      </c>
      <c r="E15" s="10" t="s">
        <v>120</v>
      </c>
      <c r="F15" s="11" t="s">
        <v>435</v>
      </c>
      <c r="G15" s="10" t="s">
        <v>101</v>
      </c>
      <c r="H15" s="10" t="s">
        <v>42</v>
      </c>
      <c r="I15" s="10" t="n">
        <v>16</v>
      </c>
      <c r="J15" s="10" t="s">
        <v>46</v>
      </c>
      <c r="K15" s="11" t="s">
        <v>436</v>
      </c>
    </row>
    <row r="16" customFormat="false" ht="15" hidden="false" customHeight="false" outlineLevel="0" collapsed="false">
      <c r="A16" s="10" t="s">
        <v>437</v>
      </c>
      <c r="B16" s="10" t="s">
        <v>400</v>
      </c>
      <c r="C16" s="11" t="s">
        <v>401</v>
      </c>
      <c r="D16" s="10" t="s">
        <v>402</v>
      </c>
      <c r="E16" s="10" t="s">
        <v>120</v>
      </c>
      <c r="F16" s="11" t="s">
        <v>438</v>
      </c>
      <c r="G16" s="10" t="s">
        <v>101</v>
      </c>
      <c r="H16" s="10" t="s">
        <v>275</v>
      </c>
      <c r="I16" s="10" t="n">
        <v>16</v>
      </c>
      <c r="J16" s="10" t="s">
        <v>46</v>
      </c>
      <c r="K16" s="11" t="s">
        <v>439</v>
      </c>
    </row>
    <row r="17" customFormat="false" ht="15" hidden="false" customHeight="false" outlineLevel="0" collapsed="false">
      <c r="A17" s="10" t="s">
        <v>440</v>
      </c>
      <c r="B17" s="10" t="s">
        <v>400</v>
      </c>
      <c r="C17" s="11" t="s">
        <v>401</v>
      </c>
      <c r="D17" s="10" t="s">
        <v>402</v>
      </c>
      <c r="E17" s="10" t="s">
        <v>120</v>
      </c>
      <c r="F17" s="11" t="s">
        <v>441</v>
      </c>
      <c r="G17" s="10" t="s">
        <v>101</v>
      </c>
      <c r="H17" s="10" t="s">
        <v>275</v>
      </c>
      <c r="I17" s="10" t="n">
        <v>16</v>
      </c>
      <c r="J17" s="10" t="s">
        <v>233</v>
      </c>
      <c r="K17" s="11" t="s">
        <v>442</v>
      </c>
    </row>
    <row r="18" customFormat="false" ht="15" hidden="false" customHeight="false" outlineLevel="0" collapsed="false">
      <c r="A18" s="10" t="s">
        <v>443</v>
      </c>
      <c r="B18" s="10" t="s">
        <v>400</v>
      </c>
      <c r="C18" s="11" t="s">
        <v>401</v>
      </c>
      <c r="D18" s="10" t="s">
        <v>402</v>
      </c>
      <c r="E18" s="10" t="s">
        <v>120</v>
      </c>
      <c r="F18" s="11" t="s">
        <v>444</v>
      </c>
      <c r="G18" s="10" t="s">
        <v>101</v>
      </c>
      <c r="H18" s="10" t="s">
        <v>404</v>
      </c>
      <c r="I18" s="10" t="n">
        <v>16</v>
      </c>
      <c r="J18" s="10" t="s">
        <v>46</v>
      </c>
      <c r="K18" s="11"/>
    </row>
    <row r="19" customFormat="false" ht="15" hidden="false" customHeight="false" outlineLevel="0" collapsed="false">
      <c r="A19" s="10" t="s">
        <v>445</v>
      </c>
      <c r="B19" s="10" t="s">
        <v>400</v>
      </c>
      <c r="C19" s="11" t="s">
        <v>401</v>
      </c>
      <c r="D19" s="10" t="s">
        <v>402</v>
      </c>
      <c r="E19" s="10" t="s">
        <v>120</v>
      </c>
      <c r="F19" s="11" t="s">
        <v>446</v>
      </c>
      <c r="G19" s="10" t="s">
        <v>101</v>
      </c>
      <c r="H19" s="10" t="s">
        <v>275</v>
      </c>
      <c r="I19" s="10" t="n">
        <v>0</v>
      </c>
      <c r="J19" s="10" t="s">
        <v>233</v>
      </c>
      <c r="K19" s="11" t="s">
        <v>447</v>
      </c>
    </row>
    <row r="20" customFormat="false" ht="15" hidden="false" customHeight="false" outlineLevel="0" collapsed="false">
      <c r="A20" s="10" t="s">
        <v>448</v>
      </c>
      <c r="B20" s="10" t="s">
        <v>400</v>
      </c>
      <c r="C20" s="11" t="s">
        <v>401</v>
      </c>
      <c r="D20" s="10" t="s">
        <v>402</v>
      </c>
      <c r="E20" s="10" t="s">
        <v>120</v>
      </c>
      <c r="F20" s="11" t="s">
        <v>449</v>
      </c>
      <c r="G20" s="10" t="s">
        <v>146</v>
      </c>
      <c r="H20" s="10" t="s">
        <v>275</v>
      </c>
      <c r="I20" s="10" t="n">
        <v>6</v>
      </c>
      <c r="J20" s="10" t="s">
        <v>46</v>
      </c>
      <c r="K20" s="11"/>
    </row>
    <row r="21" customFormat="false" ht="15" hidden="false" customHeight="false" outlineLevel="0" collapsed="false">
      <c r="A21" s="10" t="s">
        <v>450</v>
      </c>
      <c r="B21" s="10" t="s">
        <v>400</v>
      </c>
      <c r="C21" s="11" t="s">
        <v>401</v>
      </c>
      <c r="D21" s="10" t="s">
        <v>402</v>
      </c>
      <c r="E21" s="10" t="s">
        <v>120</v>
      </c>
      <c r="F21" s="11" t="s">
        <v>451</v>
      </c>
      <c r="G21" s="10" t="s">
        <v>146</v>
      </c>
      <c r="H21" s="10" t="s">
        <v>275</v>
      </c>
      <c r="I21" s="10" t="n">
        <v>6</v>
      </c>
      <c r="J21" s="10" t="s">
        <v>233</v>
      </c>
      <c r="K21" s="11" t="s">
        <v>452</v>
      </c>
    </row>
    <row r="22" customFormat="false" ht="15" hidden="false" customHeight="false" outlineLevel="0" collapsed="false">
      <c r="A22" s="10" t="s">
        <v>453</v>
      </c>
      <c r="B22" s="10" t="s">
        <v>400</v>
      </c>
      <c r="C22" s="11" t="s">
        <v>401</v>
      </c>
      <c r="D22" s="10" t="s">
        <v>402</v>
      </c>
      <c r="E22" s="10" t="s">
        <v>120</v>
      </c>
      <c r="F22" s="11" t="s">
        <v>454</v>
      </c>
      <c r="G22" s="10" t="s">
        <v>146</v>
      </c>
      <c r="H22" s="10" t="s">
        <v>42</v>
      </c>
      <c r="I22" s="10" t="n">
        <v>16</v>
      </c>
      <c r="J22" s="10" t="s">
        <v>46</v>
      </c>
      <c r="K22" s="11" t="s">
        <v>455</v>
      </c>
    </row>
    <row r="23" customFormat="false" ht="15" hidden="false" customHeight="false" outlineLevel="0" collapsed="false">
      <c r="A23" s="10" t="s">
        <v>456</v>
      </c>
      <c r="B23" s="10" t="s">
        <v>400</v>
      </c>
      <c r="C23" s="11" t="s">
        <v>401</v>
      </c>
      <c r="D23" s="10" t="s">
        <v>402</v>
      </c>
      <c r="E23" s="10" t="s">
        <v>120</v>
      </c>
      <c r="F23" s="11" t="s">
        <v>457</v>
      </c>
      <c r="G23" s="10" t="s">
        <v>146</v>
      </c>
      <c r="H23" s="10" t="s">
        <v>275</v>
      </c>
      <c r="I23" s="10" t="n">
        <v>6</v>
      </c>
      <c r="J23" s="10" t="s">
        <v>233</v>
      </c>
      <c r="K23" s="11" t="s">
        <v>458</v>
      </c>
    </row>
    <row r="24" customFormat="false" ht="15" hidden="false" customHeight="false" outlineLevel="0" collapsed="false">
      <c r="A24" s="10" t="s">
        <v>459</v>
      </c>
      <c r="B24" s="10" t="s">
        <v>400</v>
      </c>
      <c r="C24" s="11" t="s">
        <v>401</v>
      </c>
      <c r="D24" s="10" t="s">
        <v>402</v>
      </c>
      <c r="E24" s="10" t="s">
        <v>120</v>
      </c>
      <c r="F24" s="11" t="s">
        <v>460</v>
      </c>
      <c r="G24" s="10" t="s">
        <v>146</v>
      </c>
      <c r="H24" s="10" t="s">
        <v>404</v>
      </c>
      <c r="I24" s="10" t="n">
        <v>40</v>
      </c>
      <c r="J24" s="10" t="s">
        <v>46</v>
      </c>
      <c r="K24" s="11" t="s">
        <v>461</v>
      </c>
    </row>
    <row r="25" customFormat="false" ht="15" hidden="false" customHeight="false" outlineLevel="0" collapsed="false">
      <c r="A25" s="10" t="s">
        <v>462</v>
      </c>
      <c r="B25" s="10" t="s">
        <v>400</v>
      </c>
      <c r="C25" s="11" t="s">
        <v>401</v>
      </c>
      <c r="D25" s="10" t="s">
        <v>402</v>
      </c>
      <c r="E25" s="10" t="s">
        <v>120</v>
      </c>
      <c r="F25" s="11" t="s">
        <v>463</v>
      </c>
      <c r="G25" s="10" t="s">
        <v>146</v>
      </c>
      <c r="H25" s="10" t="s">
        <v>404</v>
      </c>
      <c r="I25" s="10" t="n">
        <v>6</v>
      </c>
      <c r="J25" s="10" t="s">
        <v>233</v>
      </c>
      <c r="K25" s="11" t="s">
        <v>464</v>
      </c>
    </row>
    <row r="26" customFormat="false" ht="15" hidden="false" customHeight="false" outlineLevel="0" collapsed="false">
      <c r="A26" s="10" t="s">
        <v>465</v>
      </c>
      <c r="B26" s="10" t="s">
        <v>400</v>
      </c>
      <c r="C26" s="11" t="s">
        <v>401</v>
      </c>
      <c r="D26" s="10" t="s">
        <v>402</v>
      </c>
      <c r="E26" s="10" t="s">
        <v>120</v>
      </c>
      <c r="F26" s="11" t="s">
        <v>466</v>
      </c>
      <c r="G26" s="10" t="s">
        <v>146</v>
      </c>
      <c r="H26" s="10" t="s">
        <v>404</v>
      </c>
      <c r="I26" s="10" t="n">
        <v>6</v>
      </c>
      <c r="J26" s="10" t="s">
        <v>46</v>
      </c>
      <c r="K26" s="11"/>
    </row>
    <row r="27" customFormat="false" ht="15" hidden="false" customHeight="false" outlineLevel="0" collapsed="false">
      <c r="A27" s="10" t="s">
        <v>467</v>
      </c>
      <c r="B27" s="10" t="s">
        <v>400</v>
      </c>
      <c r="C27" s="11" t="s">
        <v>401</v>
      </c>
      <c r="D27" s="10" t="s">
        <v>402</v>
      </c>
      <c r="E27" s="10" t="s">
        <v>120</v>
      </c>
      <c r="F27" s="11" t="s">
        <v>468</v>
      </c>
      <c r="G27" s="10" t="s">
        <v>469</v>
      </c>
      <c r="H27" s="10" t="s">
        <v>275</v>
      </c>
      <c r="I27" s="10" t="n">
        <v>6</v>
      </c>
      <c r="J27" s="10" t="s">
        <v>46</v>
      </c>
      <c r="K27" s="11" t="s">
        <v>470</v>
      </c>
    </row>
    <row r="28" customFormat="false" ht="15" hidden="false" customHeight="false" outlineLevel="0" collapsed="false">
      <c r="A28" s="10" t="s">
        <v>471</v>
      </c>
      <c r="B28" s="10" t="s">
        <v>400</v>
      </c>
      <c r="C28" s="11" t="s">
        <v>401</v>
      </c>
      <c r="D28" s="10" t="s">
        <v>402</v>
      </c>
      <c r="E28" s="10" t="s">
        <v>120</v>
      </c>
      <c r="F28" s="11" t="s">
        <v>472</v>
      </c>
      <c r="G28" s="10" t="s">
        <v>469</v>
      </c>
      <c r="H28" s="10" t="s">
        <v>42</v>
      </c>
      <c r="I28" s="10" t="n">
        <v>16</v>
      </c>
      <c r="J28" s="10" t="s">
        <v>46</v>
      </c>
      <c r="K28" s="11" t="s">
        <v>473</v>
      </c>
    </row>
    <row r="29" customFormat="false" ht="15" hidden="false" customHeight="false" outlineLevel="0" collapsed="false">
      <c r="A29" s="10" t="s">
        <v>474</v>
      </c>
      <c r="B29" s="10" t="s">
        <v>400</v>
      </c>
      <c r="C29" s="11" t="s">
        <v>401</v>
      </c>
      <c r="D29" s="10" t="s">
        <v>402</v>
      </c>
      <c r="E29" s="10" t="s">
        <v>120</v>
      </c>
      <c r="F29" s="11" t="s">
        <v>475</v>
      </c>
      <c r="G29" s="10" t="s">
        <v>469</v>
      </c>
      <c r="H29" s="10" t="s">
        <v>42</v>
      </c>
      <c r="I29" s="10" t="n">
        <v>16</v>
      </c>
      <c r="J29" s="10" t="s">
        <v>46</v>
      </c>
      <c r="K29" s="11" t="s">
        <v>476</v>
      </c>
    </row>
    <row r="30" customFormat="false" ht="15" hidden="false" customHeight="false" outlineLevel="0" collapsed="false">
      <c r="A30" s="10" t="s">
        <v>477</v>
      </c>
      <c r="B30" s="10" t="s">
        <v>400</v>
      </c>
      <c r="C30" s="11" t="s">
        <v>401</v>
      </c>
      <c r="D30" s="10" t="s">
        <v>402</v>
      </c>
      <c r="E30" s="10" t="s">
        <v>120</v>
      </c>
      <c r="F30" s="11" t="s">
        <v>478</v>
      </c>
      <c r="G30" s="10" t="s">
        <v>469</v>
      </c>
      <c r="H30" s="10" t="s">
        <v>275</v>
      </c>
      <c r="I30" s="10" t="n">
        <v>6</v>
      </c>
      <c r="J30" s="10" t="s">
        <v>46</v>
      </c>
      <c r="K30" s="11"/>
    </row>
    <row r="31" customFormat="false" ht="15" hidden="false" customHeight="false" outlineLevel="0" collapsed="false">
      <c r="A31" s="10" t="s">
        <v>479</v>
      </c>
      <c r="B31" s="10" t="s">
        <v>400</v>
      </c>
      <c r="C31" s="11" t="s">
        <v>401</v>
      </c>
      <c r="D31" s="10" t="s">
        <v>402</v>
      </c>
      <c r="E31" s="10" t="s">
        <v>120</v>
      </c>
      <c r="F31" s="11" t="s">
        <v>480</v>
      </c>
      <c r="G31" s="10" t="s">
        <v>469</v>
      </c>
      <c r="H31" s="10" t="s">
        <v>275</v>
      </c>
      <c r="I31" s="10" t="n">
        <v>6</v>
      </c>
      <c r="J31" s="10" t="s">
        <v>233</v>
      </c>
      <c r="K31" s="11" t="s">
        <v>481</v>
      </c>
    </row>
    <row r="32" customFormat="false" ht="15" hidden="false" customHeight="false" outlineLevel="0" collapsed="false">
      <c r="A32" s="10" t="s">
        <v>482</v>
      </c>
      <c r="B32" s="10" t="s">
        <v>400</v>
      </c>
      <c r="C32" s="11" t="s">
        <v>401</v>
      </c>
      <c r="D32" s="10" t="s">
        <v>402</v>
      </c>
      <c r="E32" s="10" t="s">
        <v>120</v>
      </c>
      <c r="F32" s="11" t="s">
        <v>483</v>
      </c>
      <c r="G32" s="10" t="s">
        <v>469</v>
      </c>
      <c r="H32" s="10" t="s">
        <v>404</v>
      </c>
      <c r="I32" s="10" t="n">
        <v>16</v>
      </c>
      <c r="J32" s="10" t="s">
        <v>46</v>
      </c>
      <c r="K32" s="11"/>
    </row>
    <row r="33" customFormat="false" ht="15" hidden="false" customHeight="false" outlineLevel="0" collapsed="false">
      <c r="A33" s="10" t="s">
        <v>484</v>
      </c>
      <c r="B33" s="10" t="s">
        <v>485</v>
      </c>
      <c r="C33" s="11" t="s">
        <v>486</v>
      </c>
      <c r="D33" s="10" t="s">
        <v>402</v>
      </c>
      <c r="E33" s="10" t="s">
        <v>120</v>
      </c>
      <c r="F33" s="11" t="s">
        <v>487</v>
      </c>
      <c r="G33" s="10" t="s">
        <v>146</v>
      </c>
      <c r="H33" s="10" t="s">
        <v>42</v>
      </c>
      <c r="I33" s="10" t="n">
        <v>16</v>
      </c>
      <c r="J33" s="10" t="s">
        <v>46</v>
      </c>
      <c r="K33" s="11" t="s">
        <v>488</v>
      </c>
    </row>
    <row r="34" customFormat="false" ht="15" hidden="false" customHeight="false" outlineLevel="0" collapsed="false">
      <c r="A34" s="10" t="s">
        <v>489</v>
      </c>
      <c r="B34" s="10" t="s">
        <v>485</v>
      </c>
      <c r="C34" s="11" t="s">
        <v>486</v>
      </c>
      <c r="D34" s="10" t="s">
        <v>402</v>
      </c>
      <c r="E34" s="10" t="s">
        <v>120</v>
      </c>
      <c r="F34" s="11" t="s">
        <v>490</v>
      </c>
      <c r="G34" s="10" t="s">
        <v>146</v>
      </c>
      <c r="H34" s="10" t="s">
        <v>404</v>
      </c>
      <c r="I34" s="10" t="n">
        <v>16</v>
      </c>
      <c r="J34" s="10" t="s">
        <v>46</v>
      </c>
      <c r="K34" s="11"/>
    </row>
    <row r="35" customFormat="false" ht="15" hidden="false" customHeight="false" outlineLevel="0" collapsed="false">
      <c r="A35" s="10" t="s">
        <v>491</v>
      </c>
      <c r="B35" s="10" t="s">
        <v>485</v>
      </c>
      <c r="C35" s="11" t="s">
        <v>486</v>
      </c>
      <c r="D35" s="10" t="s">
        <v>402</v>
      </c>
      <c r="E35" s="10" t="s">
        <v>120</v>
      </c>
      <c r="F35" s="11" t="s">
        <v>492</v>
      </c>
      <c r="G35" s="10" t="s">
        <v>493</v>
      </c>
      <c r="H35" s="10" t="s">
        <v>42</v>
      </c>
      <c r="I35" s="10" t="n">
        <v>0</v>
      </c>
      <c r="J35" s="10" t="s">
        <v>494</v>
      </c>
      <c r="K35" s="11" t="s">
        <v>495</v>
      </c>
    </row>
    <row r="36" customFormat="false" ht="15" hidden="false" customHeight="false" outlineLevel="0" collapsed="false">
      <c r="A36" s="10" t="s">
        <v>496</v>
      </c>
      <c r="B36" s="10" t="s">
        <v>485</v>
      </c>
      <c r="C36" s="11" t="s">
        <v>486</v>
      </c>
      <c r="D36" s="10" t="s">
        <v>402</v>
      </c>
      <c r="E36" s="10" t="s">
        <v>120</v>
      </c>
      <c r="F36" s="11" t="s">
        <v>497</v>
      </c>
      <c r="G36" s="10" t="s">
        <v>493</v>
      </c>
      <c r="H36" s="10" t="s">
        <v>42</v>
      </c>
      <c r="I36" s="10" t="n">
        <v>16</v>
      </c>
      <c r="J36" s="10" t="s">
        <v>46</v>
      </c>
      <c r="K36" s="11"/>
    </row>
    <row r="37" customFormat="false" ht="15" hidden="false" customHeight="false" outlineLevel="0" collapsed="false">
      <c r="A37" s="10" t="s">
        <v>498</v>
      </c>
      <c r="B37" s="10" t="s">
        <v>485</v>
      </c>
      <c r="C37" s="11" t="s">
        <v>486</v>
      </c>
      <c r="D37" s="10" t="s">
        <v>402</v>
      </c>
      <c r="E37" s="10" t="s">
        <v>120</v>
      </c>
      <c r="F37" s="11" t="s">
        <v>499</v>
      </c>
      <c r="G37" s="10" t="s">
        <v>493</v>
      </c>
      <c r="H37" s="10" t="s">
        <v>42</v>
      </c>
      <c r="I37" s="10" t="n">
        <v>16</v>
      </c>
      <c r="J37" s="10" t="s">
        <v>46</v>
      </c>
      <c r="K37" s="11" t="s">
        <v>500</v>
      </c>
    </row>
    <row r="38" customFormat="false" ht="15" hidden="false" customHeight="false" outlineLevel="0" collapsed="false">
      <c r="A38" s="10" t="s">
        <v>501</v>
      </c>
      <c r="B38" s="10" t="s">
        <v>485</v>
      </c>
      <c r="C38" s="11" t="s">
        <v>486</v>
      </c>
      <c r="D38" s="10" t="s">
        <v>402</v>
      </c>
      <c r="E38" s="10" t="s">
        <v>120</v>
      </c>
      <c r="F38" s="11" t="s">
        <v>502</v>
      </c>
      <c r="G38" s="10" t="s">
        <v>493</v>
      </c>
      <c r="H38" s="10" t="s">
        <v>275</v>
      </c>
      <c r="I38" s="10" t="n">
        <v>0</v>
      </c>
      <c r="J38" s="10" t="s">
        <v>494</v>
      </c>
      <c r="K38" s="11" t="s">
        <v>503</v>
      </c>
    </row>
    <row r="39" customFormat="false" ht="15" hidden="false" customHeight="false" outlineLevel="0" collapsed="false">
      <c r="A39" s="10" t="s">
        <v>504</v>
      </c>
      <c r="B39" s="10" t="s">
        <v>485</v>
      </c>
      <c r="C39" s="11" t="s">
        <v>486</v>
      </c>
      <c r="D39" s="10" t="s">
        <v>402</v>
      </c>
      <c r="E39" s="10" t="s">
        <v>120</v>
      </c>
      <c r="F39" s="11" t="s">
        <v>505</v>
      </c>
      <c r="G39" s="10" t="s">
        <v>493</v>
      </c>
      <c r="H39" s="10" t="s">
        <v>404</v>
      </c>
      <c r="I39" s="10" t="n">
        <v>40</v>
      </c>
      <c r="J39" s="10" t="s">
        <v>46</v>
      </c>
      <c r="K39" s="11" t="s">
        <v>506</v>
      </c>
    </row>
    <row r="40" customFormat="false" ht="15" hidden="false" customHeight="false" outlineLevel="0" collapsed="false">
      <c r="A40" s="10" t="s">
        <v>507</v>
      </c>
      <c r="B40" s="10" t="s">
        <v>485</v>
      </c>
      <c r="C40" s="11" t="s">
        <v>486</v>
      </c>
      <c r="D40" s="10" t="s">
        <v>402</v>
      </c>
      <c r="E40" s="10" t="s">
        <v>120</v>
      </c>
      <c r="F40" s="11" t="s">
        <v>508</v>
      </c>
      <c r="G40" s="10" t="s">
        <v>493</v>
      </c>
      <c r="H40" s="10" t="s">
        <v>404</v>
      </c>
      <c r="I40" s="10" t="n">
        <v>16</v>
      </c>
      <c r="J40" s="10" t="s">
        <v>46</v>
      </c>
      <c r="K40" s="11"/>
    </row>
    <row r="41" customFormat="false" ht="15" hidden="false" customHeight="false" outlineLevel="0" collapsed="false">
      <c r="A41" s="10" t="s">
        <v>509</v>
      </c>
      <c r="B41" s="10" t="s">
        <v>485</v>
      </c>
      <c r="C41" s="11" t="s">
        <v>486</v>
      </c>
      <c r="D41" s="10" t="s">
        <v>402</v>
      </c>
      <c r="E41" s="10" t="s">
        <v>120</v>
      </c>
      <c r="F41" s="11" t="s">
        <v>510</v>
      </c>
      <c r="G41" s="10" t="s">
        <v>493</v>
      </c>
      <c r="H41" s="10" t="s">
        <v>275</v>
      </c>
      <c r="I41" s="10" t="n">
        <v>6</v>
      </c>
      <c r="J41" s="10" t="s">
        <v>233</v>
      </c>
      <c r="K41" s="11" t="s">
        <v>511</v>
      </c>
    </row>
    <row r="42" customFormat="false" ht="15" hidden="false" customHeight="false" outlineLevel="0" collapsed="false">
      <c r="A42" s="10" t="s">
        <v>512</v>
      </c>
      <c r="B42" s="10" t="s">
        <v>513</v>
      </c>
      <c r="C42" s="11" t="s">
        <v>514</v>
      </c>
      <c r="D42" s="10" t="s">
        <v>402</v>
      </c>
      <c r="E42" s="10" t="s">
        <v>120</v>
      </c>
      <c r="F42" s="11" t="s">
        <v>515</v>
      </c>
      <c r="G42" s="10" t="s">
        <v>138</v>
      </c>
      <c r="H42" s="10" t="s">
        <v>42</v>
      </c>
      <c r="I42" s="10" t="n">
        <v>16</v>
      </c>
      <c r="J42" s="10" t="s">
        <v>233</v>
      </c>
      <c r="K42" s="11" t="s">
        <v>516</v>
      </c>
    </row>
    <row r="43" customFormat="false" ht="15" hidden="false" customHeight="false" outlineLevel="0" collapsed="false">
      <c r="A43" s="10" t="s">
        <v>517</v>
      </c>
      <c r="B43" s="10" t="s">
        <v>513</v>
      </c>
      <c r="C43" s="11" t="s">
        <v>514</v>
      </c>
      <c r="D43" s="10" t="s">
        <v>402</v>
      </c>
      <c r="E43" s="10" t="s">
        <v>120</v>
      </c>
      <c r="F43" s="11" t="s">
        <v>518</v>
      </c>
      <c r="G43" s="10" t="s">
        <v>138</v>
      </c>
      <c r="H43" s="10" t="s">
        <v>42</v>
      </c>
      <c r="I43" s="10" t="n">
        <v>16</v>
      </c>
      <c r="J43" s="10" t="s">
        <v>46</v>
      </c>
      <c r="K43" s="11" t="s">
        <v>519</v>
      </c>
    </row>
    <row r="44" customFormat="false" ht="23.85" hidden="false" customHeight="false" outlineLevel="0" collapsed="false">
      <c r="A44" s="10" t="s">
        <v>520</v>
      </c>
      <c r="B44" s="10" t="s">
        <v>513</v>
      </c>
      <c r="C44" s="11" t="s">
        <v>514</v>
      </c>
      <c r="D44" s="10" t="s">
        <v>402</v>
      </c>
      <c r="E44" s="10" t="s">
        <v>120</v>
      </c>
      <c r="F44" s="11" t="s">
        <v>521</v>
      </c>
      <c r="G44" s="10" t="s">
        <v>138</v>
      </c>
      <c r="H44" s="10" t="s">
        <v>42</v>
      </c>
      <c r="I44" s="10" t="n">
        <v>16</v>
      </c>
      <c r="J44" s="10" t="s">
        <v>86</v>
      </c>
      <c r="K44" s="11" t="s">
        <v>522</v>
      </c>
    </row>
    <row r="45" customFormat="false" ht="15" hidden="false" customHeight="false" outlineLevel="0" collapsed="false">
      <c r="A45" s="10" t="s">
        <v>523</v>
      </c>
      <c r="B45" s="10" t="s">
        <v>513</v>
      </c>
      <c r="C45" s="11" t="s">
        <v>514</v>
      </c>
      <c r="D45" s="10" t="s">
        <v>402</v>
      </c>
      <c r="E45" s="10" t="s">
        <v>120</v>
      </c>
      <c r="F45" s="11" t="s">
        <v>524</v>
      </c>
      <c r="G45" s="10" t="s">
        <v>138</v>
      </c>
      <c r="H45" s="10" t="s">
        <v>275</v>
      </c>
      <c r="I45" s="10" t="n">
        <v>6</v>
      </c>
      <c r="J45" s="10" t="s">
        <v>233</v>
      </c>
      <c r="K45" s="11" t="s">
        <v>525</v>
      </c>
    </row>
    <row r="46" customFormat="false" ht="23.85" hidden="false" customHeight="false" outlineLevel="0" collapsed="false">
      <c r="A46" s="10" t="s">
        <v>526</v>
      </c>
      <c r="B46" s="10" t="s">
        <v>513</v>
      </c>
      <c r="C46" s="11" t="s">
        <v>514</v>
      </c>
      <c r="D46" s="10" t="s">
        <v>402</v>
      </c>
      <c r="E46" s="10" t="s">
        <v>120</v>
      </c>
      <c r="F46" s="11" t="s">
        <v>527</v>
      </c>
      <c r="G46" s="10" t="s">
        <v>138</v>
      </c>
      <c r="H46" s="10" t="s">
        <v>42</v>
      </c>
      <c r="I46" s="10" t="n">
        <v>40</v>
      </c>
      <c r="J46" s="10" t="s">
        <v>46</v>
      </c>
      <c r="K46" s="11" t="s">
        <v>528</v>
      </c>
    </row>
    <row r="47" customFormat="false" ht="15" hidden="false" customHeight="false" outlineLevel="0" collapsed="false">
      <c r="A47" s="10" t="s">
        <v>529</v>
      </c>
      <c r="B47" s="10" t="s">
        <v>513</v>
      </c>
      <c r="C47" s="11" t="s">
        <v>514</v>
      </c>
      <c r="D47" s="10" t="s">
        <v>402</v>
      </c>
      <c r="E47" s="10" t="s">
        <v>120</v>
      </c>
      <c r="F47" s="11" t="s">
        <v>530</v>
      </c>
      <c r="G47" s="10" t="s">
        <v>138</v>
      </c>
      <c r="H47" s="10" t="s">
        <v>275</v>
      </c>
      <c r="I47" s="10" t="n">
        <v>6</v>
      </c>
      <c r="J47" s="10" t="s">
        <v>193</v>
      </c>
      <c r="K47" s="11" t="s">
        <v>531</v>
      </c>
    </row>
    <row r="48" customFormat="false" ht="23.85" hidden="false" customHeight="false" outlineLevel="0" collapsed="false">
      <c r="A48" s="10" t="s">
        <v>532</v>
      </c>
      <c r="B48" s="10" t="s">
        <v>513</v>
      </c>
      <c r="C48" s="11" t="s">
        <v>514</v>
      </c>
      <c r="D48" s="10" t="s">
        <v>402</v>
      </c>
      <c r="E48" s="10" t="s">
        <v>120</v>
      </c>
      <c r="F48" s="11" t="s">
        <v>533</v>
      </c>
      <c r="G48" s="10" t="s">
        <v>138</v>
      </c>
      <c r="H48" s="10" t="s">
        <v>42</v>
      </c>
      <c r="I48" s="10" t="n">
        <v>16</v>
      </c>
      <c r="J48" s="10" t="s">
        <v>46</v>
      </c>
      <c r="K48" s="11" t="s">
        <v>534</v>
      </c>
    </row>
    <row r="49" customFormat="false" ht="15" hidden="false" customHeight="false" outlineLevel="0" collapsed="false">
      <c r="A49" s="10" t="s">
        <v>535</v>
      </c>
      <c r="B49" s="10" t="s">
        <v>179</v>
      </c>
      <c r="C49" s="11" t="s">
        <v>536</v>
      </c>
      <c r="D49" s="10" t="s">
        <v>402</v>
      </c>
      <c r="E49" s="10" t="s">
        <v>120</v>
      </c>
      <c r="F49" s="11" t="s">
        <v>537</v>
      </c>
      <c r="G49" s="10" t="s">
        <v>61</v>
      </c>
      <c r="H49" s="10" t="s">
        <v>275</v>
      </c>
      <c r="I49" s="10" t="n">
        <v>16</v>
      </c>
      <c r="J49" s="10" t="s">
        <v>46</v>
      </c>
      <c r="K49" s="11" t="s">
        <v>538</v>
      </c>
    </row>
    <row r="50" customFormat="false" ht="15" hidden="false" customHeight="false" outlineLevel="0" collapsed="false">
      <c r="A50" s="10" t="s">
        <v>539</v>
      </c>
      <c r="B50" s="10" t="s">
        <v>179</v>
      </c>
      <c r="C50" s="11" t="s">
        <v>536</v>
      </c>
      <c r="D50" s="10" t="s">
        <v>402</v>
      </c>
      <c r="E50" s="10" t="s">
        <v>120</v>
      </c>
      <c r="F50" s="11" t="s">
        <v>540</v>
      </c>
      <c r="G50" s="10" t="s">
        <v>61</v>
      </c>
      <c r="H50" s="10" t="s">
        <v>42</v>
      </c>
      <c r="I50" s="10" t="n">
        <v>16</v>
      </c>
      <c r="J50" s="10" t="s">
        <v>46</v>
      </c>
      <c r="K50" s="11" t="s">
        <v>541</v>
      </c>
    </row>
    <row r="51" customFormat="false" ht="23.85" hidden="false" customHeight="false" outlineLevel="0" collapsed="false">
      <c r="A51" s="10" t="s">
        <v>542</v>
      </c>
      <c r="B51" s="10" t="s">
        <v>179</v>
      </c>
      <c r="C51" s="11" t="s">
        <v>536</v>
      </c>
      <c r="D51" s="10" t="s">
        <v>402</v>
      </c>
      <c r="E51" s="10" t="s">
        <v>120</v>
      </c>
      <c r="F51" s="11" t="s">
        <v>543</v>
      </c>
      <c r="G51" s="10" t="s">
        <v>61</v>
      </c>
      <c r="H51" s="10" t="s">
        <v>42</v>
      </c>
      <c r="I51" s="10" t="n">
        <v>16</v>
      </c>
      <c r="J51" s="10" t="s">
        <v>233</v>
      </c>
      <c r="K51" s="11" t="s">
        <v>544</v>
      </c>
    </row>
    <row r="52" customFormat="false" ht="15" hidden="false" customHeight="false" outlineLevel="0" collapsed="false">
      <c r="A52" s="10" t="s">
        <v>545</v>
      </c>
      <c r="B52" s="10" t="s">
        <v>179</v>
      </c>
      <c r="C52" s="11" t="s">
        <v>536</v>
      </c>
      <c r="D52" s="10" t="s">
        <v>402</v>
      </c>
      <c r="E52" s="10" t="s">
        <v>120</v>
      </c>
      <c r="F52" s="11" t="s">
        <v>546</v>
      </c>
      <c r="G52" s="10" t="s">
        <v>61</v>
      </c>
      <c r="H52" s="10" t="s">
        <v>275</v>
      </c>
      <c r="I52" s="10" t="n">
        <v>6</v>
      </c>
      <c r="J52" s="10" t="s">
        <v>233</v>
      </c>
      <c r="K52" s="11" t="s">
        <v>547</v>
      </c>
    </row>
    <row r="53" customFormat="false" ht="15" hidden="false" customHeight="false" outlineLevel="0" collapsed="false">
      <c r="A53" s="10" t="s">
        <v>548</v>
      </c>
      <c r="B53" s="10" t="s">
        <v>179</v>
      </c>
      <c r="C53" s="11" t="s">
        <v>536</v>
      </c>
      <c r="D53" s="10" t="s">
        <v>402</v>
      </c>
      <c r="E53" s="10" t="s">
        <v>120</v>
      </c>
      <c r="F53" s="11" t="s">
        <v>549</v>
      </c>
      <c r="G53" s="10" t="s">
        <v>61</v>
      </c>
      <c r="H53" s="10" t="s">
        <v>275</v>
      </c>
      <c r="I53" s="10" t="n">
        <v>6</v>
      </c>
      <c r="J53" s="10" t="s">
        <v>46</v>
      </c>
      <c r="K53" s="11" t="s">
        <v>550</v>
      </c>
    </row>
    <row r="54" customFormat="false" ht="15" hidden="false" customHeight="false" outlineLevel="0" collapsed="false">
      <c r="A54" s="10" t="s">
        <v>551</v>
      </c>
      <c r="B54" s="10" t="s">
        <v>179</v>
      </c>
      <c r="C54" s="11" t="s">
        <v>536</v>
      </c>
      <c r="D54" s="10" t="s">
        <v>402</v>
      </c>
      <c r="E54" s="10" t="s">
        <v>120</v>
      </c>
      <c r="F54" s="11" t="s">
        <v>552</v>
      </c>
      <c r="G54" s="10" t="s">
        <v>61</v>
      </c>
      <c r="H54" s="10" t="s">
        <v>404</v>
      </c>
      <c r="I54" s="10" t="n">
        <v>6</v>
      </c>
      <c r="J54" s="10" t="s">
        <v>193</v>
      </c>
      <c r="K54" s="11" t="s">
        <v>553</v>
      </c>
    </row>
    <row r="55" customFormat="false" ht="15" hidden="false" customHeight="false" outlineLevel="0" collapsed="false">
      <c r="A55" s="10" t="s">
        <v>554</v>
      </c>
      <c r="B55" s="10" t="s">
        <v>179</v>
      </c>
      <c r="C55" s="11" t="s">
        <v>536</v>
      </c>
      <c r="D55" s="10" t="s">
        <v>402</v>
      </c>
      <c r="E55" s="10" t="s">
        <v>120</v>
      </c>
      <c r="F55" s="11" t="s">
        <v>555</v>
      </c>
      <c r="G55" s="10" t="s">
        <v>61</v>
      </c>
      <c r="H55" s="10" t="s">
        <v>404</v>
      </c>
      <c r="I55" s="10" t="n">
        <v>16</v>
      </c>
      <c r="J55" s="10" t="s">
        <v>233</v>
      </c>
      <c r="K55" s="11" t="s">
        <v>556</v>
      </c>
    </row>
    <row r="56" customFormat="false" ht="35.05" hidden="false" customHeight="false" outlineLevel="0" collapsed="false">
      <c r="A56" s="10" t="s">
        <v>557</v>
      </c>
      <c r="B56" s="10" t="s">
        <v>179</v>
      </c>
      <c r="C56" s="11" t="s">
        <v>536</v>
      </c>
      <c r="D56" s="10" t="s">
        <v>402</v>
      </c>
      <c r="E56" s="10" t="s">
        <v>120</v>
      </c>
      <c r="F56" s="11" t="s">
        <v>558</v>
      </c>
      <c r="G56" s="10" t="s">
        <v>61</v>
      </c>
      <c r="H56" s="10" t="s">
        <v>42</v>
      </c>
      <c r="I56" s="10" t="n">
        <v>16</v>
      </c>
      <c r="J56" s="10" t="s">
        <v>46</v>
      </c>
      <c r="K56" s="11" t="s">
        <v>559</v>
      </c>
    </row>
    <row r="57" customFormat="false" ht="15" hidden="false" customHeight="false" outlineLevel="0" collapsed="false">
      <c r="A57" s="10" t="s">
        <v>560</v>
      </c>
      <c r="B57" s="10" t="s">
        <v>189</v>
      </c>
      <c r="C57" s="11" t="s">
        <v>561</v>
      </c>
      <c r="D57" s="10" t="s">
        <v>402</v>
      </c>
      <c r="E57" s="10" t="s">
        <v>120</v>
      </c>
      <c r="F57" s="11" t="s">
        <v>562</v>
      </c>
      <c r="G57" s="10" t="s">
        <v>224</v>
      </c>
      <c r="H57" s="10" t="s">
        <v>404</v>
      </c>
      <c r="I57" s="10" t="n">
        <v>6</v>
      </c>
      <c r="J57" s="10" t="s">
        <v>265</v>
      </c>
      <c r="K57" s="11" t="s">
        <v>563</v>
      </c>
    </row>
    <row r="58" customFormat="false" ht="23.85" hidden="false" customHeight="false" outlineLevel="0" collapsed="false">
      <c r="A58" s="10" t="s">
        <v>564</v>
      </c>
      <c r="B58" s="10" t="s">
        <v>189</v>
      </c>
      <c r="C58" s="11" t="s">
        <v>561</v>
      </c>
      <c r="D58" s="10" t="s">
        <v>402</v>
      </c>
      <c r="E58" s="10" t="s">
        <v>120</v>
      </c>
      <c r="F58" s="11" t="s">
        <v>565</v>
      </c>
      <c r="G58" s="10" t="s">
        <v>224</v>
      </c>
      <c r="H58" s="10" t="s">
        <v>275</v>
      </c>
      <c r="I58" s="10" t="n">
        <v>6</v>
      </c>
      <c r="J58" s="10" t="s">
        <v>233</v>
      </c>
      <c r="K58" s="11" t="s">
        <v>566</v>
      </c>
    </row>
    <row r="59" customFormat="false" ht="23.85" hidden="false" customHeight="false" outlineLevel="0" collapsed="false">
      <c r="A59" s="10" t="s">
        <v>567</v>
      </c>
      <c r="B59" s="10" t="s">
        <v>189</v>
      </c>
      <c r="C59" s="11" t="s">
        <v>561</v>
      </c>
      <c r="D59" s="10" t="s">
        <v>402</v>
      </c>
      <c r="E59" s="10" t="s">
        <v>120</v>
      </c>
      <c r="F59" s="11" t="s">
        <v>568</v>
      </c>
      <c r="G59" s="10" t="s">
        <v>224</v>
      </c>
      <c r="H59" s="10" t="s">
        <v>42</v>
      </c>
      <c r="I59" s="10" t="n">
        <v>16</v>
      </c>
      <c r="J59" s="10" t="s">
        <v>193</v>
      </c>
      <c r="K59" s="11" t="s">
        <v>569</v>
      </c>
    </row>
    <row r="60" customFormat="false" ht="15" hidden="false" customHeight="false" outlineLevel="0" collapsed="false">
      <c r="A60" s="10" t="s">
        <v>570</v>
      </c>
      <c r="B60" s="10" t="s">
        <v>189</v>
      </c>
      <c r="C60" s="11" t="s">
        <v>561</v>
      </c>
      <c r="D60" s="10" t="s">
        <v>402</v>
      </c>
      <c r="E60" s="10" t="s">
        <v>120</v>
      </c>
      <c r="F60" s="11" t="s">
        <v>571</v>
      </c>
      <c r="G60" s="10" t="s">
        <v>224</v>
      </c>
      <c r="H60" s="10" t="s">
        <v>275</v>
      </c>
      <c r="I60" s="10" t="n">
        <v>6</v>
      </c>
      <c r="J60" s="10" t="s">
        <v>193</v>
      </c>
      <c r="K60" s="11" t="s">
        <v>572</v>
      </c>
    </row>
    <row r="61" customFormat="false" ht="15" hidden="false" customHeight="false" outlineLevel="0" collapsed="false">
      <c r="A61" s="10" t="s">
        <v>573</v>
      </c>
      <c r="B61" s="10" t="s">
        <v>189</v>
      </c>
      <c r="C61" s="11" t="s">
        <v>561</v>
      </c>
      <c r="D61" s="10" t="s">
        <v>402</v>
      </c>
      <c r="E61" s="10" t="s">
        <v>120</v>
      </c>
      <c r="F61" s="11" t="s">
        <v>574</v>
      </c>
      <c r="G61" s="10" t="s">
        <v>224</v>
      </c>
      <c r="H61" s="10" t="s">
        <v>42</v>
      </c>
      <c r="I61" s="10" t="n">
        <v>40</v>
      </c>
      <c r="J61" s="10" t="s">
        <v>46</v>
      </c>
      <c r="K61" s="11" t="s">
        <v>575</v>
      </c>
    </row>
    <row r="62" customFormat="false" ht="15" hidden="false" customHeight="false" outlineLevel="0" collapsed="false">
      <c r="A62" s="10" t="s">
        <v>576</v>
      </c>
      <c r="B62" s="10" t="s">
        <v>189</v>
      </c>
      <c r="C62" s="11" t="s">
        <v>561</v>
      </c>
      <c r="D62" s="10" t="s">
        <v>402</v>
      </c>
      <c r="E62" s="10" t="s">
        <v>120</v>
      </c>
      <c r="F62" s="11" t="s">
        <v>577</v>
      </c>
      <c r="G62" s="10" t="s">
        <v>224</v>
      </c>
      <c r="H62" s="10" t="s">
        <v>275</v>
      </c>
      <c r="I62" s="10" t="n">
        <v>6</v>
      </c>
      <c r="J62" s="10" t="s">
        <v>86</v>
      </c>
      <c r="K62" s="11" t="s">
        <v>578</v>
      </c>
    </row>
    <row r="63" customFormat="false" ht="15" hidden="false" customHeight="false" outlineLevel="0" collapsed="false">
      <c r="A63" s="10" t="s">
        <v>579</v>
      </c>
      <c r="B63" s="10" t="s">
        <v>189</v>
      </c>
      <c r="C63" s="11" t="s">
        <v>561</v>
      </c>
      <c r="D63" s="10" t="s">
        <v>402</v>
      </c>
      <c r="E63" s="10" t="s">
        <v>120</v>
      </c>
      <c r="F63" s="11" t="s">
        <v>580</v>
      </c>
      <c r="G63" s="10" t="s">
        <v>224</v>
      </c>
      <c r="H63" s="10" t="s">
        <v>275</v>
      </c>
      <c r="I63" s="10" t="n">
        <v>0</v>
      </c>
      <c r="J63" s="10" t="s">
        <v>46</v>
      </c>
      <c r="K63" s="11" t="s">
        <v>581</v>
      </c>
    </row>
    <row r="64" customFormat="false" ht="15" hidden="false" customHeight="false" outlineLevel="0" collapsed="false">
      <c r="A64" s="10" t="s">
        <v>582</v>
      </c>
      <c r="B64" s="10" t="s">
        <v>583</v>
      </c>
      <c r="C64" s="11" t="s">
        <v>584</v>
      </c>
      <c r="D64" s="10" t="s">
        <v>585</v>
      </c>
      <c r="E64" s="10" t="s">
        <v>120</v>
      </c>
      <c r="F64" s="11" t="s">
        <v>586</v>
      </c>
      <c r="G64" s="10" t="s">
        <v>254</v>
      </c>
      <c r="H64" s="10" t="s">
        <v>42</v>
      </c>
      <c r="I64" s="10" t="n">
        <v>16</v>
      </c>
      <c r="J64" s="10" t="s">
        <v>46</v>
      </c>
      <c r="K64" s="11" t="s">
        <v>409</v>
      </c>
    </row>
    <row r="65" customFormat="false" ht="15" hidden="false" customHeight="false" outlineLevel="0" collapsed="false">
      <c r="A65" s="10" t="s">
        <v>587</v>
      </c>
      <c r="B65" s="10" t="s">
        <v>583</v>
      </c>
      <c r="C65" s="11" t="s">
        <v>584</v>
      </c>
      <c r="D65" s="10" t="s">
        <v>585</v>
      </c>
      <c r="E65" s="10" t="s">
        <v>120</v>
      </c>
      <c r="F65" s="11" t="s">
        <v>588</v>
      </c>
      <c r="G65" s="10" t="s">
        <v>254</v>
      </c>
      <c r="H65" s="10" t="s">
        <v>275</v>
      </c>
      <c r="I65" s="10" t="n">
        <v>16</v>
      </c>
      <c r="J65" s="10" t="s">
        <v>46</v>
      </c>
      <c r="K65" s="11"/>
    </row>
    <row r="66" customFormat="false" ht="15" hidden="false" customHeight="false" outlineLevel="0" collapsed="false">
      <c r="A66" s="10" t="s">
        <v>589</v>
      </c>
      <c r="B66" s="10" t="s">
        <v>583</v>
      </c>
      <c r="C66" s="11" t="s">
        <v>584</v>
      </c>
      <c r="D66" s="10" t="s">
        <v>585</v>
      </c>
      <c r="E66" s="10" t="s">
        <v>120</v>
      </c>
      <c r="F66" s="11" t="s">
        <v>590</v>
      </c>
      <c r="G66" s="10" t="s">
        <v>254</v>
      </c>
      <c r="H66" s="10" t="s">
        <v>275</v>
      </c>
      <c r="I66" s="10" t="n">
        <v>40</v>
      </c>
      <c r="J66" s="10" t="s">
        <v>46</v>
      </c>
      <c r="K66" s="11" t="s">
        <v>591</v>
      </c>
    </row>
    <row r="67" customFormat="false" ht="15" hidden="false" customHeight="false" outlineLevel="0" collapsed="false">
      <c r="A67" s="10" t="s">
        <v>592</v>
      </c>
      <c r="B67" s="10" t="s">
        <v>583</v>
      </c>
      <c r="C67" s="11" t="s">
        <v>584</v>
      </c>
      <c r="D67" s="10" t="s">
        <v>585</v>
      </c>
      <c r="E67" s="10" t="s">
        <v>120</v>
      </c>
      <c r="F67" s="11" t="s">
        <v>593</v>
      </c>
      <c r="G67" s="10" t="s">
        <v>254</v>
      </c>
      <c r="H67" s="10" t="s">
        <v>275</v>
      </c>
      <c r="I67" s="10" t="n">
        <v>16</v>
      </c>
      <c r="J67" s="10" t="s">
        <v>46</v>
      </c>
      <c r="K67" s="11"/>
    </row>
    <row r="68" customFormat="false" ht="15" hidden="false" customHeight="false" outlineLevel="0" collapsed="false">
      <c r="A68" s="10" t="s">
        <v>594</v>
      </c>
      <c r="B68" s="10" t="s">
        <v>583</v>
      </c>
      <c r="C68" s="11" t="s">
        <v>584</v>
      </c>
      <c r="D68" s="10" t="s">
        <v>585</v>
      </c>
      <c r="E68" s="10" t="s">
        <v>120</v>
      </c>
      <c r="F68" s="11" t="s">
        <v>595</v>
      </c>
      <c r="G68" s="10" t="s">
        <v>254</v>
      </c>
      <c r="H68" s="10" t="s">
        <v>275</v>
      </c>
      <c r="I68" s="10" t="n">
        <v>16</v>
      </c>
      <c r="J68" s="10" t="s">
        <v>46</v>
      </c>
      <c r="K68" s="11"/>
    </row>
    <row r="69" customFormat="false" ht="15" hidden="false" customHeight="false" outlineLevel="0" collapsed="false">
      <c r="A69" s="10" t="s">
        <v>596</v>
      </c>
      <c r="B69" s="10" t="s">
        <v>583</v>
      </c>
      <c r="C69" s="11" t="s">
        <v>584</v>
      </c>
      <c r="D69" s="10" t="s">
        <v>585</v>
      </c>
      <c r="E69" s="10" t="s">
        <v>120</v>
      </c>
      <c r="F69" s="11" t="s">
        <v>597</v>
      </c>
      <c r="G69" s="10" t="s">
        <v>254</v>
      </c>
      <c r="H69" s="10" t="s">
        <v>404</v>
      </c>
      <c r="I69" s="10" t="n">
        <v>40</v>
      </c>
      <c r="J69" s="10" t="s">
        <v>46</v>
      </c>
      <c r="K69" s="11" t="s">
        <v>598</v>
      </c>
    </row>
    <row r="70" customFormat="false" ht="15" hidden="false" customHeight="false" outlineLevel="0" collapsed="false">
      <c r="A70" s="10" t="s">
        <v>599</v>
      </c>
      <c r="B70" s="10" t="s">
        <v>583</v>
      </c>
      <c r="C70" s="11" t="s">
        <v>584</v>
      </c>
      <c r="D70" s="10" t="s">
        <v>585</v>
      </c>
      <c r="E70" s="10" t="s">
        <v>120</v>
      </c>
      <c r="F70" s="11" t="s">
        <v>600</v>
      </c>
      <c r="G70" s="10" t="s">
        <v>254</v>
      </c>
      <c r="H70" s="10" t="s">
        <v>404</v>
      </c>
      <c r="I70" s="10" t="n">
        <v>6</v>
      </c>
      <c r="J70" s="10" t="s">
        <v>46</v>
      </c>
      <c r="K70" s="11"/>
    </row>
    <row r="71" customFormat="false" ht="15" hidden="false" customHeight="false" outlineLevel="0" collapsed="false">
      <c r="A71" s="10" t="s">
        <v>601</v>
      </c>
      <c r="B71" s="10" t="s">
        <v>583</v>
      </c>
      <c r="C71" s="11" t="s">
        <v>584</v>
      </c>
      <c r="D71" s="10" t="s">
        <v>585</v>
      </c>
      <c r="E71" s="10" t="s">
        <v>120</v>
      </c>
      <c r="F71" s="11" t="s">
        <v>602</v>
      </c>
      <c r="G71" s="10" t="s">
        <v>254</v>
      </c>
      <c r="H71" s="10" t="s">
        <v>275</v>
      </c>
      <c r="I71" s="10" t="n">
        <v>6</v>
      </c>
      <c r="J71" s="10" t="s">
        <v>233</v>
      </c>
      <c r="K71" s="11" t="s">
        <v>603</v>
      </c>
    </row>
    <row r="72" customFormat="false" ht="15" hidden="false" customHeight="false" outlineLevel="0" collapsed="false">
      <c r="A72" s="10" t="s">
        <v>604</v>
      </c>
      <c r="B72" s="10" t="s">
        <v>583</v>
      </c>
      <c r="C72" s="11" t="s">
        <v>584</v>
      </c>
      <c r="D72" s="10" t="s">
        <v>585</v>
      </c>
      <c r="E72" s="10" t="s">
        <v>120</v>
      </c>
      <c r="F72" s="11" t="s">
        <v>605</v>
      </c>
      <c r="G72" s="10" t="s">
        <v>254</v>
      </c>
      <c r="H72" s="10" t="s">
        <v>275</v>
      </c>
      <c r="I72" s="10" t="n">
        <v>6</v>
      </c>
      <c r="J72" s="10" t="s">
        <v>233</v>
      </c>
      <c r="K72" s="11" t="s">
        <v>606</v>
      </c>
    </row>
    <row r="73" customFormat="false" ht="15" hidden="false" customHeight="false" outlineLevel="0" collapsed="false">
      <c r="A73" s="10" t="s">
        <v>607</v>
      </c>
      <c r="B73" s="10" t="s">
        <v>583</v>
      </c>
      <c r="C73" s="11" t="s">
        <v>584</v>
      </c>
      <c r="D73" s="10" t="s">
        <v>585</v>
      </c>
      <c r="E73" s="10" t="s">
        <v>120</v>
      </c>
      <c r="F73" s="11" t="s">
        <v>608</v>
      </c>
      <c r="G73" s="10" t="s">
        <v>254</v>
      </c>
      <c r="H73" s="10" t="s">
        <v>275</v>
      </c>
      <c r="I73" s="10" t="n">
        <v>6</v>
      </c>
      <c r="J73" s="10" t="s">
        <v>233</v>
      </c>
      <c r="K73" s="11" t="s">
        <v>609</v>
      </c>
    </row>
    <row r="74" customFormat="false" ht="15" hidden="false" customHeight="false" outlineLevel="0" collapsed="false">
      <c r="A74" s="10" t="s">
        <v>610</v>
      </c>
      <c r="B74" s="10" t="s">
        <v>611</v>
      </c>
      <c r="C74" s="11" t="s">
        <v>612</v>
      </c>
      <c r="D74" s="10" t="s">
        <v>585</v>
      </c>
      <c r="E74" s="10" t="s">
        <v>120</v>
      </c>
      <c r="F74" s="11" t="s">
        <v>613</v>
      </c>
      <c r="G74" s="10" t="s">
        <v>212</v>
      </c>
      <c r="H74" s="10" t="s">
        <v>404</v>
      </c>
      <c r="I74" s="10" t="n">
        <v>6</v>
      </c>
      <c r="J74" s="10" t="s">
        <v>46</v>
      </c>
      <c r="K74" s="11" t="s">
        <v>614</v>
      </c>
    </row>
    <row r="75" customFormat="false" ht="15" hidden="false" customHeight="false" outlineLevel="0" collapsed="false">
      <c r="A75" s="10" t="s">
        <v>615</v>
      </c>
      <c r="B75" s="10" t="s">
        <v>611</v>
      </c>
      <c r="C75" s="11" t="s">
        <v>612</v>
      </c>
      <c r="D75" s="10" t="s">
        <v>585</v>
      </c>
      <c r="E75" s="10" t="s">
        <v>120</v>
      </c>
      <c r="F75" s="11" t="s">
        <v>616</v>
      </c>
      <c r="G75" s="10" t="s">
        <v>212</v>
      </c>
      <c r="H75" s="10" t="s">
        <v>275</v>
      </c>
      <c r="I75" s="10" t="n">
        <v>16</v>
      </c>
      <c r="J75" s="10" t="s">
        <v>265</v>
      </c>
      <c r="K75" s="11" t="s">
        <v>617</v>
      </c>
    </row>
    <row r="76" customFormat="false" ht="15" hidden="false" customHeight="false" outlineLevel="0" collapsed="false">
      <c r="A76" s="10" t="s">
        <v>618</v>
      </c>
      <c r="B76" s="10" t="s">
        <v>611</v>
      </c>
      <c r="C76" s="11" t="s">
        <v>612</v>
      </c>
      <c r="D76" s="10" t="s">
        <v>585</v>
      </c>
      <c r="E76" s="10" t="s">
        <v>120</v>
      </c>
      <c r="F76" s="11" t="s">
        <v>619</v>
      </c>
      <c r="G76" s="10" t="s">
        <v>212</v>
      </c>
      <c r="H76" s="10" t="s">
        <v>42</v>
      </c>
      <c r="I76" s="10" t="n">
        <v>16</v>
      </c>
      <c r="J76" s="10" t="s">
        <v>265</v>
      </c>
      <c r="K76" s="11" t="s">
        <v>620</v>
      </c>
    </row>
    <row r="77" customFormat="false" ht="15" hidden="false" customHeight="false" outlineLevel="0" collapsed="false">
      <c r="A77" s="10" t="s">
        <v>621</v>
      </c>
      <c r="B77" s="10" t="s">
        <v>611</v>
      </c>
      <c r="C77" s="11" t="s">
        <v>612</v>
      </c>
      <c r="D77" s="10" t="s">
        <v>585</v>
      </c>
      <c r="E77" s="10" t="s">
        <v>120</v>
      </c>
      <c r="F77" s="11" t="s">
        <v>622</v>
      </c>
      <c r="G77" s="10" t="s">
        <v>212</v>
      </c>
      <c r="H77" s="10" t="s">
        <v>275</v>
      </c>
      <c r="I77" s="10" t="n">
        <v>6</v>
      </c>
      <c r="J77" s="10" t="s">
        <v>193</v>
      </c>
      <c r="K77" s="11" t="s">
        <v>623</v>
      </c>
    </row>
    <row r="78" customFormat="false" ht="15" hidden="false" customHeight="false" outlineLevel="0" collapsed="false">
      <c r="A78" s="10" t="s">
        <v>624</v>
      </c>
      <c r="B78" s="10" t="s">
        <v>611</v>
      </c>
      <c r="C78" s="11" t="s">
        <v>612</v>
      </c>
      <c r="D78" s="10" t="s">
        <v>585</v>
      </c>
      <c r="E78" s="10" t="s">
        <v>120</v>
      </c>
      <c r="F78" s="11" t="s">
        <v>625</v>
      </c>
      <c r="G78" s="10" t="s">
        <v>212</v>
      </c>
      <c r="H78" s="10" t="s">
        <v>275</v>
      </c>
      <c r="I78" s="10" t="n">
        <v>6</v>
      </c>
      <c r="J78" s="10" t="s">
        <v>265</v>
      </c>
      <c r="K78" s="11" t="s">
        <v>626</v>
      </c>
    </row>
    <row r="79" customFormat="false" ht="15" hidden="false" customHeight="false" outlineLevel="0" collapsed="false">
      <c r="A79" s="10" t="s">
        <v>627</v>
      </c>
      <c r="B79" s="10" t="s">
        <v>611</v>
      </c>
      <c r="C79" s="11" t="s">
        <v>612</v>
      </c>
      <c r="D79" s="10" t="s">
        <v>585</v>
      </c>
      <c r="E79" s="10" t="s">
        <v>120</v>
      </c>
      <c r="F79" s="11" t="s">
        <v>628</v>
      </c>
      <c r="G79" s="10" t="s">
        <v>212</v>
      </c>
      <c r="H79" s="10" t="s">
        <v>42</v>
      </c>
      <c r="I79" s="10" t="n">
        <v>16</v>
      </c>
      <c r="J79" s="10" t="s">
        <v>46</v>
      </c>
      <c r="K79" s="11" t="s">
        <v>629</v>
      </c>
    </row>
    <row r="80" customFormat="false" ht="15" hidden="false" customHeight="false" outlineLevel="0" collapsed="false">
      <c r="A80" s="10" t="s">
        <v>630</v>
      </c>
      <c r="B80" s="10" t="s">
        <v>611</v>
      </c>
      <c r="C80" s="11" t="s">
        <v>612</v>
      </c>
      <c r="D80" s="10" t="s">
        <v>585</v>
      </c>
      <c r="E80" s="10" t="s">
        <v>120</v>
      </c>
      <c r="F80" s="11" t="s">
        <v>631</v>
      </c>
      <c r="G80" s="10" t="s">
        <v>212</v>
      </c>
      <c r="H80" s="10" t="s">
        <v>404</v>
      </c>
      <c r="I80" s="10" t="n">
        <v>6</v>
      </c>
      <c r="J80" s="10" t="s">
        <v>46</v>
      </c>
      <c r="K80" s="11"/>
    </row>
    <row r="81" customFormat="false" ht="15" hidden="false" customHeight="false" outlineLevel="0" collapsed="false">
      <c r="A81" s="10" t="s">
        <v>632</v>
      </c>
      <c r="B81" s="10" t="s">
        <v>611</v>
      </c>
      <c r="C81" s="11" t="s">
        <v>612</v>
      </c>
      <c r="D81" s="10" t="s">
        <v>585</v>
      </c>
      <c r="E81" s="10" t="s">
        <v>120</v>
      </c>
      <c r="F81" s="11" t="s">
        <v>633</v>
      </c>
      <c r="G81" s="10" t="s">
        <v>212</v>
      </c>
      <c r="H81" s="10" t="s">
        <v>275</v>
      </c>
      <c r="I81" s="10" t="n">
        <v>6</v>
      </c>
      <c r="J81" s="10" t="s">
        <v>46</v>
      </c>
      <c r="K81" s="11"/>
    </row>
    <row r="82" customFormat="false" ht="23.85" hidden="false" customHeight="false" outlineLevel="0" collapsed="false">
      <c r="A82" s="10" t="s">
        <v>634</v>
      </c>
      <c r="B82" s="10" t="s">
        <v>611</v>
      </c>
      <c r="C82" s="11" t="s">
        <v>612</v>
      </c>
      <c r="D82" s="10" t="s">
        <v>585</v>
      </c>
      <c r="E82" s="10" t="s">
        <v>120</v>
      </c>
      <c r="F82" s="11" t="s">
        <v>635</v>
      </c>
      <c r="G82" s="10" t="s">
        <v>212</v>
      </c>
      <c r="H82" s="10" t="s">
        <v>42</v>
      </c>
      <c r="I82" s="10" t="n">
        <v>16</v>
      </c>
      <c r="J82" s="10" t="s">
        <v>233</v>
      </c>
      <c r="K82" s="11" t="s">
        <v>636</v>
      </c>
    </row>
    <row r="83" customFormat="false" ht="15" hidden="false" customHeight="false" outlineLevel="0" collapsed="false">
      <c r="A83" s="10" t="s">
        <v>637</v>
      </c>
      <c r="B83" s="10" t="s">
        <v>611</v>
      </c>
      <c r="C83" s="11" t="s">
        <v>612</v>
      </c>
      <c r="D83" s="10" t="s">
        <v>585</v>
      </c>
      <c r="E83" s="10" t="s">
        <v>120</v>
      </c>
      <c r="F83" s="11" t="s">
        <v>638</v>
      </c>
      <c r="G83" s="10" t="s">
        <v>212</v>
      </c>
      <c r="H83" s="10" t="s">
        <v>42</v>
      </c>
      <c r="I83" s="10" t="n">
        <v>16</v>
      </c>
      <c r="J83" s="10" t="s">
        <v>46</v>
      </c>
      <c r="K83" s="11" t="s">
        <v>639</v>
      </c>
    </row>
    <row r="84" customFormat="false" ht="15" hidden="false" customHeight="false" outlineLevel="0" collapsed="false">
      <c r="A84" s="10" t="s">
        <v>640</v>
      </c>
      <c r="B84" s="10" t="s">
        <v>202</v>
      </c>
      <c r="C84" s="11" t="s">
        <v>641</v>
      </c>
      <c r="D84" s="10" t="s">
        <v>585</v>
      </c>
      <c r="E84" s="10" t="s">
        <v>303</v>
      </c>
      <c r="F84" s="11" t="s">
        <v>642</v>
      </c>
      <c r="G84" s="10" t="s">
        <v>254</v>
      </c>
      <c r="H84" s="10" t="s">
        <v>42</v>
      </c>
      <c r="I84" s="10" t="n">
        <v>16</v>
      </c>
      <c r="J84" s="10" t="s">
        <v>233</v>
      </c>
      <c r="K84" s="11" t="s">
        <v>643</v>
      </c>
    </row>
    <row r="85" customFormat="false" ht="15" hidden="false" customHeight="false" outlineLevel="0" collapsed="false">
      <c r="A85" s="10" t="s">
        <v>644</v>
      </c>
      <c r="B85" s="10" t="s">
        <v>645</v>
      </c>
      <c r="C85" s="11" t="s">
        <v>646</v>
      </c>
      <c r="D85" s="10" t="s">
        <v>585</v>
      </c>
      <c r="E85" s="10" t="s">
        <v>303</v>
      </c>
      <c r="F85" s="11" t="s">
        <v>647</v>
      </c>
      <c r="G85" s="10" t="s">
        <v>181</v>
      </c>
      <c r="H85" s="10" t="s">
        <v>275</v>
      </c>
      <c r="I85" s="10" t="n">
        <v>6</v>
      </c>
      <c r="J85" s="10" t="s">
        <v>46</v>
      </c>
      <c r="K85" s="11"/>
    </row>
    <row r="86" customFormat="false" ht="15" hidden="false" customHeight="false" outlineLevel="0" collapsed="false">
      <c r="A86" s="10" t="s">
        <v>513</v>
      </c>
      <c r="B86" s="10" t="s">
        <v>645</v>
      </c>
      <c r="C86" s="11" t="s">
        <v>646</v>
      </c>
      <c r="D86" s="10" t="s">
        <v>585</v>
      </c>
      <c r="E86" s="10" t="s">
        <v>303</v>
      </c>
      <c r="F86" s="11" t="s">
        <v>648</v>
      </c>
      <c r="G86" s="10" t="s">
        <v>181</v>
      </c>
      <c r="H86" s="10" t="s">
        <v>275</v>
      </c>
      <c r="I86" s="10" t="n">
        <v>16</v>
      </c>
      <c r="J86" s="10" t="s">
        <v>46</v>
      </c>
      <c r="K86" s="11" t="s">
        <v>649</v>
      </c>
    </row>
    <row r="87" customFormat="false" ht="15" hidden="false" customHeight="false" outlineLevel="0" collapsed="false">
      <c r="A87" s="10" t="s">
        <v>650</v>
      </c>
      <c r="B87" s="10" t="s">
        <v>645</v>
      </c>
      <c r="C87" s="11" t="s">
        <v>646</v>
      </c>
      <c r="D87" s="10" t="s">
        <v>585</v>
      </c>
      <c r="E87" s="10" t="s">
        <v>303</v>
      </c>
      <c r="F87" s="11" t="s">
        <v>651</v>
      </c>
      <c r="G87" s="10" t="s">
        <v>181</v>
      </c>
      <c r="H87" s="10" t="s">
        <v>275</v>
      </c>
      <c r="I87" s="10" t="n">
        <v>6</v>
      </c>
      <c r="J87" s="10" t="s">
        <v>233</v>
      </c>
      <c r="K87" s="11" t="s">
        <v>652</v>
      </c>
    </row>
    <row r="88" customFormat="false" ht="15" hidden="false" customHeight="false" outlineLevel="0" collapsed="false">
      <c r="A88" s="10" t="s">
        <v>653</v>
      </c>
      <c r="B88" s="10" t="s">
        <v>645</v>
      </c>
      <c r="C88" s="11" t="s">
        <v>646</v>
      </c>
      <c r="D88" s="10" t="s">
        <v>585</v>
      </c>
      <c r="E88" s="10" t="s">
        <v>303</v>
      </c>
      <c r="F88" s="11" t="s">
        <v>654</v>
      </c>
      <c r="G88" s="10" t="s">
        <v>181</v>
      </c>
      <c r="H88" s="10" t="s">
        <v>275</v>
      </c>
      <c r="I88" s="10" t="n">
        <v>6</v>
      </c>
      <c r="J88" s="10" t="s">
        <v>193</v>
      </c>
      <c r="K88" s="11" t="s">
        <v>194</v>
      </c>
    </row>
    <row r="89" customFormat="false" ht="15" hidden="false" customHeight="false" outlineLevel="0" collapsed="false">
      <c r="A89" s="10" t="s">
        <v>655</v>
      </c>
      <c r="B89" s="10" t="s">
        <v>645</v>
      </c>
      <c r="C89" s="11" t="s">
        <v>646</v>
      </c>
      <c r="D89" s="10" t="s">
        <v>585</v>
      </c>
      <c r="E89" s="10" t="s">
        <v>303</v>
      </c>
      <c r="F89" s="11" t="s">
        <v>656</v>
      </c>
      <c r="G89" s="10" t="s">
        <v>181</v>
      </c>
      <c r="H89" s="10" t="s">
        <v>275</v>
      </c>
      <c r="I89" s="10" t="n">
        <v>16</v>
      </c>
      <c r="J89" s="10" t="s">
        <v>46</v>
      </c>
      <c r="K89" s="11" t="s">
        <v>657</v>
      </c>
    </row>
    <row r="90" customFormat="false" ht="15" hidden="false" customHeight="false" outlineLevel="0" collapsed="false">
      <c r="A90" s="10" t="s">
        <v>658</v>
      </c>
      <c r="B90" s="10" t="s">
        <v>645</v>
      </c>
      <c r="C90" s="11" t="s">
        <v>646</v>
      </c>
      <c r="D90" s="10" t="s">
        <v>585</v>
      </c>
      <c r="E90" s="10" t="s">
        <v>303</v>
      </c>
      <c r="F90" s="11" t="s">
        <v>659</v>
      </c>
      <c r="G90" s="10" t="s">
        <v>181</v>
      </c>
      <c r="H90" s="10" t="s">
        <v>275</v>
      </c>
      <c r="I90" s="10" t="n">
        <v>6</v>
      </c>
      <c r="J90" s="10" t="s">
        <v>46</v>
      </c>
      <c r="K90" s="11" t="s">
        <v>660</v>
      </c>
    </row>
    <row r="91" customFormat="false" ht="15" hidden="false" customHeight="false" outlineLevel="0" collapsed="false">
      <c r="A91" s="10" t="s">
        <v>661</v>
      </c>
      <c r="B91" s="10" t="s">
        <v>645</v>
      </c>
      <c r="C91" s="11" t="s">
        <v>646</v>
      </c>
      <c r="D91" s="10" t="s">
        <v>585</v>
      </c>
      <c r="E91" s="10" t="s">
        <v>303</v>
      </c>
      <c r="F91" s="11" t="s">
        <v>662</v>
      </c>
      <c r="G91" s="10" t="s">
        <v>181</v>
      </c>
      <c r="H91" s="10" t="s">
        <v>275</v>
      </c>
      <c r="I91" s="10" t="n">
        <v>6</v>
      </c>
      <c r="J91" s="10" t="s">
        <v>233</v>
      </c>
      <c r="K91" s="11" t="s">
        <v>663</v>
      </c>
    </row>
    <row r="92" customFormat="false" ht="15" hidden="false" customHeight="false" outlineLevel="0" collapsed="false">
      <c r="A92" s="10" t="s">
        <v>664</v>
      </c>
      <c r="B92" s="10" t="s">
        <v>645</v>
      </c>
      <c r="C92" s="11" t="s">
        <v>646</v>
      </c>
      <c r="D92" s="10" t="s">
        <v>585</v>
      </c>
      <c r="E92" s="10" t="s">
        <v>303</v>
      </c>
      <c r="F92" s="11" t="s">
        <v>665</v>
      </c>
      <c r="G92" s="10" t="s">
        <v>181</v>
      </c>
      <c r="H92" s="10" t="s">
        <v>404</v>
      </c>
      <c r="I92" s="10" t="n">
        <v>40</v>
      </c>
      <c r="J92" s="10" t="s">
        <v>46</v>
      </c>
      <c r="K92" s="11" t="s">
        <v>666</v>
      </c>
    </row>
    <row r="93" customFormat="false" ht="15" hidden="false" customHeight="false" outlineLevel="0" collapsed="false">
      <c r="A93" s="10" t="s">
        <v>667</v>
      </c>
      <c r="B93" s="10" t="s">
        <v>645</v>
      </c>
      <c r="C93" s="11" t="s">
        <v>646</v>
      </c>
      <c r="D93" s="10" t="s">
        <v>585</v>
      </c>
      <c r="E93" s="10" t="s">
        <v>303</v>
      </c>
      <c r="F93" s="11" t="s">
        <v>668</v>
      </c>
      <c r="G93" s="10" t="s">
        <v>181</v>
      </c>
      <c r="H93" s="10" t="s">
        <v>404</v>
      </c>
      <c r="I93" s="10" t="n">
        <v>16</v>
      </c>
      <c r="J93" s="10" t="s">
        <v>46</v>
      </c>
      <c r="K93" s="11" t="s">
        <v>669</v>
      </c>
    </row>
    <row r="94" customFormat="false" ht="15" hidden="false" customHeight="false" outlineLevel="0" collapsed="false">
      <c r="A94" s="10" t="s">
        <v>670</v>
      </c>
      <c r="B94" s="10" t="s">
        <v>644</v>
      </c>
      <c r="C94" s="11" t="s">
        <v>671</v>
      </c>
      <c r="D94" s="10" t="s">
        <v>672</v>
      </c>
      <c r="E94" s="10" t="s">
        <v>303</v>
      </c>
      <c r="F94" s="11" t="s">
        <v>673</v>
      </c>
      <c r="G94" s="10" t="s">
        <v>81</v>
      </c>
      <c r="H94" s="10" t="s">
        <v>404</v>
      </c>
      <c r="I94" s="10" t="n">
        <v>6</v>
      </c>
      <c r="J94" s="10" t="s">
        <v>46</v>
      </c>
      <c r="K94" s="11"/>
    </row>
    <row r="95" customFormat="false" ht="15" hidden="false" customHeight="false" outlineLevel="0" collapsed="false">
      <c r="A95" s="10" t="s">
        <v>674</v>
      </c>
      <c r="B95" s="10" t="s">
        <v>644</v>
      </c>
      <c r="C95" s="11" t="s">
        <v>671</v>
      </c>
      <c r="D95" s="10" t="s">
        <v>672</v>
      </c>
      <c r="E95" s="10" t="s">
        <v>303</v>
      </c>
      <c r="F95" s="11" t="s">
        <v>675</v>
      </c>
      <c r="G95" s="10" t="s">
        <v>81</v>
      </c>
      <c r="H95" s="10" t="s">
        <v>404</v>
      </c>
      <c r="I95" s="10" t="n">
        <v>16</v>
      </c>
      <c r="J95" s="10" t="s">
        <v>46</v>
      </c>
      <c r="K95" s="11" t="s">
        <v>676</v>
      </c>
    </row>
    <row r="96" customFormat="false" ht="15" hidden="false" customHeight="false" outlineLevel="0" collapsed="false">
      <c r="A96" s="10" t="s">
        <v>677</v>
      </c>
      <c r="B96" s="10" t="s">
        <v>644</v>
      </c>
      <c r="C96" s="11" t="s">
        <v>671</v>
      </c>
      <c r="D96" s="10" t="s">
        <v>672</v>
      </c>
      <c r="E96" s="10" t="s">
        <v>303</v>
      </c>
      <c r="F96" s="11" t="s">
        <v>678</v>
      </c>
      <c r="G96" s="10" t="s">
        <v>81</v>
      </c>
      <c r="H96" s="10" t="s">
        <v>42</v>
      </c>
      <c r="I96" s="10" t="n">
        <v>40</v>
      </c>
      <c r="J96" s="10" t="s">
        <v>46</v>
      </c>
      <c r="K96" s="11" t="s">
        <v>679</v>
      </c>
    </row>
    <row r="97" customFormat="false" ht="15" hidden="false" customHeight="false" outlineLevel="0" collapsed="false">
      <c r="A97" s="10" t="s">
        <v>680</v>
      </c>
      <c r="B97" s="10" t="s">
        <v>644</v>
      </c>
      <c r="C97" s="11" t="s">
        <v>671</v>
      </c>
      <c r="D97" s="10" t="s">
        <v>672</v>
      </c>
      <c r="E97" s="10" t="s">
        <v>303</v>
      </c>
      <c r="F97" s="11" t="s">
        <v>681</v>
      </c>
      <c r="G97" s="10" t="s">
        <v>81</v>
      </c>
      <c r="H97" s="10" t="s">
        <v>275</v>
      </c>
      <c r="I97" s="10" t="n">
        <v>40</v>
      </c>
      <c r="J97" s="10" t="s">
        <v>46</v>
      </c>
      <c r="K97" s="11"/>
    </row>
    <row r="98" customFormat="false" ht="15" hidden="false" customHeight="false" outlineLevel="0" collapsed="false">
      <c r="A98" s="10" t="s">
        <v>682</v>
      </c>
      <c r="B98" s="10" t="s">
        <v>644</v>
      </c>
      <c r="C98" s="11" t="s">
        <v>671</v>
      </c>
      <c r="D98" s="10" t="s">
        <v>672</v>
      </c>
      <c r="E98" s="10" t="s">
        <v>303</v>
      </c>
      <c r="F98" s="11" t="s">
        <v>683</v>
      </c>
      <c r="G98" s="10" t="s">
        <v>81</v>
      </c>
      <c r="H98" s="10" t="s">
        <v>275</v>
      </c>
      <c r="I98" s="10" t="n">
        <v>6</v>
      </c>
      <c r="J98" s="10" t="s">
        <v>233</v>
      </c>
      <c r="K98" s="11" t="s">
        <v>684</v>
      </c>
    </row>
    <row r="99" customFormat="false" ht="15" hidden="false" customHeight="false" outlineLevel="0" collapsed="false">
      <c r="A99" s="10" t="s">
        <v>685</v>
      </c>
      <c r="B99" s="10" t="s">
        <v>644</v>
      </c>
      <c r="C99" s="11" t="s">
        <v>671</v>
      </c>
      <c r="D99" s="10" t="s">
        <v>672</v>
      </c>
      <c r="E99" s="10" t="s">
        <v>303</v>
      </c>
      <c r="F99" s="11" t="s">
        <v>686</v>
      </c>
      <c r="G99" s="10" t="s">
        <v>81</v>
      </c>
      <c r="H99" s="10" t="s">
        <v>275</v>
      </c>
      <c r="I99" s="10" t="n">
        <v>40</v>
      </c>
      <c r="J99" s="10" t="s">
        <v>46</v>
      </c>
      <c r="K99" s="11" t="s">
        <v>687</v>
      </c>
    </row>
    <row r="100" customFormat="false" ht="15" hidden="false" customHeight="false" outlineLevel="0" collapsed="false">
      <c r="A100" s="10" t="s">
        <v>688</v>
      </c>
      <c r="B100" s="10" t="s">
        <v>644</v>
      </c>
      <c r="C100" s="11" t="s">
        <v>671</v>
      </c>
      <c r="D100" s="10" t="s">
        <v>672</v>
      </c>
      <c r="E100" s="10" t="s">
        <v>303</v>
      </c>
      <c r="F100" s="11" t="s">
        <v>689</v>
      </c>
      <c r="G100" s="10" t="s">
        <v>81</v>
      </c>
      <c r="H100" s="10" t="s">
        <v>404</v>
      </c>
      <c r="I100" s="10" t="n">
        <v>6</v>
      </c>
      <c r="J100" s="10" t="s">
        <v>46</v>
      </c>
      <c r="K100" s="11"/>
    </row>
    <row r="101" customFormat="false" ht="15" hidden="false" customHeight="false" outlineLevel="0" collapsed="false">
      <c r="A101" s="10" t="s">
        <v>690</v>
      </c>
      <c r="B101" s="10" t="s">
        <v>691</v>
      </c>
      <c r="C101" s="11" t="s">
        <v>692</v>
      </c>
      <c r="D101" s="10" t="s">
        <v>672</v>
      </c>
      <c r="E101" s="10" t="s">
        <v>303</v>
      </c>
      <c r="F101" s="11" t="s">
        <v>693</v>
      </c>
      <c r="G101" s="10" t="s">
        <v>74</v>
      </c>
      <c r="H101" s="10" t="s">
        <v>275</v>
      </c>
      <c r="I101" s="10" t="n">
        <v>16</v>
      </c>
      <c r="J101" s="10" t="s">
        <v>233</v>
      </c>
      <c r="K101" s="11" t="s">
        <v>694</v>
      </c>
    </row>
    <row r="102" customFormat="false" ht="15" hidden="false" customHeight="false" outlineLevel="0" collapsed="false">
      <c r="A102" s="10" t="s">
        <v>695</v>
      </c>
      <c r="B102" s="10" t="s">
        <v>691</v>
      </c>
      <c r="C102" s="11" t="s">
        <v>692</v>
      </c>
      <c r="D102" s="10" t="s">
        <v>672</v>
      </c>
      <c r="E102" s="10" t="s">
        <v>303</v>
      </c>
      <c r="F102" s="11" t="s">
        <v>696</v>
      </c>
      <c r="G102" s="10" t="s">
        <v>74</v>
      </c>
      <c r="H102" s="10" t="s">
        <v>275</v>
      </c>
      <c r="I102" s="10" t="n">
        <v>40</v>
      </c>
      <c r="J102" s="10" t="s">
        <v>233</v>
      </c>
      <c r="K102" s="11" t="s">
        <v>697</v>
      </c>
    </row>
    <row r="103" customFormat="false" ht="15" hidden="false" customHeight="false" outlineLevel="0" collapsed="false">
      <c r="A103" s="10" t="s">
        <v>698</v>
      </c>
      <c r="B103" s="10" t="s">
        <v>691</v>
      </c>
      <c r="C103" s="11" t="s">
        <v>692</v>
      </c>
      <c r="D103" s="10" t="s">
        <v>672</v>
      </c>
      <c r="E103" s="10" t="s">
        <v>303</v>
      </c>
      <c r="F103" s="11" t="s">
        <v>699</v>
      </c>
      <c r="G103" s="10" t="s">
        <v>74</v>
      </c>
      <c r="H103" s="10" t="s">
        <v>275</v>
      </c>
      <c r="I103" s="10" t="n">
        <v>40</v>
      </c>
      <c r="J103" s="10" t="s">
        <v>46</v>
      </c>
      <c r="K103" s="11" t="s">
        <v>700</v>
      </c>
    </row>
    <row r="104" customFormat="false" ht="15" hidden="false" customHeight="false" outlineLevel="0" collapsed="false">
      <c r="A104" s="10" t="s">
        <v>701</v>
      </c>
      <c r="B104" s="10" t="s">
        <v>691</v>
      </c>
      <c r="C104" s="11" t="s">
        <v>692</v>
      </c>
      <c r="D104" s="10" t="s">
        <v>672</v>
      </c>
      <c r="E104" s="10" t="s">
        <v>303</v>
      </c>
      <c r="F104" s="11" t="s">
        <v>702</v>
      </c>
      <c r="G104" s="10" t="s">
        <v>74</v>
      </c>
      <c r="H104" s="10" t="s">
        <v>404</v>
      </c>
      <c r="I104" s="10" t="n">
        <v>16</v>
      </c>
      <c r="J104" s="10" t="s">
        <v>233</v>
      </c>
      <c r="K104" s="11" t="s">
        <v>703</v>
      </c>
    </row>
    <row r="105" customFormat="false" ht="15" hidden="false" customHeight="false" outlineLevel="0" collapsed="false">
      <c r="A105" s="10" t="s">
        <v>704</v>
      </c>
      <c r="B105" s="10" t="s">
        <v>691</v>
      </c>
      <c r="C105" s="11" t="s">
        <v>692</v>
      </c>
      <c r="D105" s="10" t="s">
        <v>672</v>
      </c>
      <c r="E105" s="10" t="s">
        <v>303</v>
      </c>
      <c r="F105" s="11" t="s">
        <v>705</v>
      </c>
      <c r="G105" s="10" t="s">
        <v>74</v>
      </c>
      <c r="H105" s="10" t="s">
        <v>404</v>
      </c>
      <c r="I105" s="10" t="n">
        <v>16</v>
      </c>
      <c r="J105" s="10" t="s">
        <v>86</v>
      </c>
      <c r="K105" s="11" t="s">
        <v>706</v>
      </c>
    </row>
    <row r="106" customFormat="false" ht="15" hidden="false" customHeight="false" outlineLevel="0" collapsed="false">
      <c r="A106" s="10" t="s">
        <v>707</v>
      </c>
      <c r="B106" s="10" t="s">
        <v>691</v>
      </c>
      <c r="C106" s="11" t="s">
        <v>692</v>
      </c>
      <c r="D106" s="10" t="s">
        <v>672</v>
      </c>
      <c r="E106" s="10" t="s">
        <v>303</v>
      </c>
      <c r="F106" s="11" t="s">
        <v>708</v>
      </c>
      <c r="G106" s="10" t="s">
        <v>74</v>
      </c>
      <c r="H106" s="10" t="s">
        <v>404</v>
      </c>
      <c r="I106" s="10" t="n">
        <v>40</v>
      </c>
      <c r="J106" s="10" t="s">
        <v>233</v>
      </c>
      <c r="K106" s="11" t="s">
        <v>709</v>
      </c>
    </row>
    <row r="107" customFormat="false" ht="23.85" hidden="false" customHeight="false" outlineLevel="0" collapsed="false">
      <c r="A107" s="10" t="s">
        <v>710</v>
      </c>
      <c r="B107" s="10" t="s">
        <v>711</v>
      </c>
      <c r="C107" s="11" t="s">
        <v>712</v>
      </c>
      <c r="D107" s="10" t="s">
        <v>672</v>
      </c>
      <c r="E107" s="10" t="s">
        <v>303</v>
      </c>
      <c r="F107" s="11" t="s">
        <v>713</v>
      </c>
      <c r="G107" s="10" t="s">
        <v>115</v>
      </c>
      <c r="H107" s="10" t="s">
        <v>275</v>
      </c>
      <c r="I107" s="10" t="n">
        <v>16</v>
      </c>
      <c r="J107" s="10" t="s">
        <v>46</v>
      </c>
      <c r="K107" s="11" t="s">
        <v>714</v>
      </c>
    </row>
    <row r="108" customFormat="false" ht="23.85" hidden="false" customHeight="false" outlineLevel="0" collapsed="false">
      <c r="A108" s="10" t="s">
        <v>715</v>
      </c>
      <c r="B108" s="10" t="s">
        <v>711</v>
      </c>
      <c r="C108" s="11" t="s">
        <v>712</v>
      </c>
      <c r="D108" s="10" t="s">
        <v>672</v>
      </c>
      <c r="E108" s="10" t="s">
        <v>303</v>
      </c>
      <c r="F108" s="11" t="s">
        <v>716</v>
      </c>
      <c r="G108" s="10" t="s">
        <v>115</v>
      </c>
      <c r="H108" s="10" t="s">
        <v>275</v>
      </c>
      <c r="I108" s="10" t="n">
        <v>40</v>
      </c>
      <c r="J108" s="10" t="s">
        <v>46</v>
      </c>
      <c r="K108" s="11" t="s">
        <v>717</v>
      </c>
    </row>
    <row r="109" customFormat="false" ht="15" hidden="false" customHeight="false" outlineLevel="0" collapsed="false">
      <c r="A109" s="10" t="s">
        <v>718</v>
      </c>
      <c r="B109" s="10" t="s">
        <v>711</v>
      </c>
      <c r="C109" s="11" t="s">
        <v>712</v>
      </c>
      <c r="D109" s="10" t="s">
        <v>672</v>
      </c>
      <c r="E109" s="10" t="s">
        <v>303</v>
      </c>
      <c r="F109" s="11" t="s">
        <v>719</v>
      </c>
      <c r="G109" s="10" t="s">
        <v>115</v>
      </c>
      <c r="H109" s="10" t="s">
        <v>275</v>
      </c>
      <c r="I109" s="10" t="n">
        <v>6</v>
      </c>
      <c r="J109" s="10" t="s">
        <v>494</v>
      </c>
      <c r="K109" s="11" t="s">
        <v>720</v>
      </c>
    </row>
    <row r="110" customFormat="false" ht="15" hidden="false" customHeight="false" outlineLevel="0" collapsed="false">
      <c r="A110" s="10" t="s">
        <v>721</v>
      </c>
      <c r="B110" s="10" t="s">
        <v>711</v>
      </c>
      <c r="C110" s="11" t="s">
        <v>712</v>
      </c>
      <c r="D110" s="10" t="s">
        <v>672</v>
      </c>
      <c r="E110" s="10" t="s">
        <v>303</v>
      </c>
      <c r="F110" s="11" t="s">
        <v>722</v>
      </c>
      <c r="G110" s="10" t="s">
        <v>115</v>
      </c>
      <c r="H110" s="10" t="s">
        <v>404</v>
      </c>
      <c r="I110" s="10" t="n">
        <v>40</v>
      </c>
      <c r="J110" s="10" t="s">
        <v>46</v>
      </c>
      <c r="K110" s="11" t="s">
        <v>723</v>
      </c>
    </row>
    <row r="111" customFormat="false" ht="15" hidden="false" customHeight="false" outlineLevel="0" collapsed="false">
      <c r="A111" s="10" t="s">
        <v>724</v>
      </c>
      <c r="B111" s="10" t="s">
        <v>711</v>
      </c>
      <c r="C111" s="11" t="s">
        <v>712</v>
      </c>
      <c r="D111" s="10" t="s">
        <v>672</v>
      </c>
      <c r="E111" s="10" t="s">
        <v>303</v>
      </c>
      <c r="F111" s="11" t="s">
        <v>725</v>
      </c>
      <c r="G111" s="10" t="s">
        <v>726</v>
      </c>
      <c r="H111" s="10" t="s">
        <v>42</v>
      </c>
      <c r="I111" s="10" t="n">
        <v>16</v>
      </c>
      <c r="J111" s="10" t="s">
        <v>494</v>
      </c>
      <c r="K111" s="11" t="s">
        <v>727</v>
      </c>
    </row>
    <row r="112" customFormat="false" ht="15" hidden="false" customHeight="false" outlineLevel="0" collapsed="false">
      <c r="A112" s="10" t="s">
        <v>728</v>
      </c>
      <c r="B112" s="10" t="s">
        <v>729</v>
      </c>
      <c r="C112" s="11" t="s">
        <v>730</v>
      </c>
      <c r="D112" s="10" t="s">
        <v>672</v>
      </c>
      <c r="E112" s="10" t="s">
        <v>303</v>
      </c>
      <c r="F112" s="11" t="s">
        <v>731</v>
      </c>
      <c r="G112" s="10" t="s">
        <v>170</v>
      </c>
      <c r="H112" s="10" t="s">
        <v>48</v>
      </c>
      <c r="I112" s="10" t="n">
        <v>0</v>
      </c>
      <c r="J112" s="10" t="s">
        <v>732</v>
      </c>
      <c r="K112" s="11" t="s">
        <v>733</v>
      </c>
    </row>
    <row r="113" customFormat="false" ht="15" hidden="false" customHeight="false" outlineLevel="0" collapsed="false">
      <c r="A113" s="10" t="s">
        <v>734</v>
      </c>
      <c r="B113" s="10" t="s">
        <v>729</v>
      </c>
      <c r="C113" s="11" t="s">
        <v>730</v>
      </c>
      <c r="D113" s="10" t="s">
        <v>672</v>
      </c>
      <c r="E113" s="10" t="s">
        <v>303</v>
      </c>
      <c r="F113" s="11" t="s">
        <v>735</v>
      </c>
      <c r="G113" s="10" t="s">
        <v>170</v>
      </c>
      <c r="H113" s="10" t="s">
        <v>275</v>
      </c>
      <c r="I113" s="10" t="n">
        <v>16</v>
      </c>
      <c r="J113" s="10" t="s">
        <v>46</v>
      </c>
      <c r="K113" s="11" t="s">
        <v>736</v>
      </c>
    </row>
    <row r="114" customFormat="false" ht="15" hidden="false" customHeight="false" outlineLevel="0" collapsed="false">
      <c r="A114" s="10" t="s">
        <v>737</v>
      </c>
      <c r="B114" s="10" t="s">
        <v>729</v>
      </c>
      <c r="C114" s="11" t="s">
        <v>730</v>
      </c>
      <c r="D114" s="10" t="s">
        <v>672</v>
      </c>
      <c r="E114" s="10" t="s">
        <v>303</v>
      </c>
      <c r="F114" s="11" t="s">
        <v>738</v>
      </c>
      <c r="G114" s="10" t="s">
        <v>170</v>
      </c>
      <c r="H114" s="10" t="s">
        <v>275</v>
      </c>
      <c r="I114" s="10" t="n">
        <v>6</v>
      </c>
      <c r="J114" s="10" t="s">
        <v>86</v>
      </c>
      <c r="K114" s="11" t="s">
        <v>739</v>
      </c>
    </row>
    <row r="115" customFormat="false" ht="15" hidden="false" customHeight="false" outlineLevel="0" collapsed="false">
      <c r="A115" s="10" t="s">
        <v>740</v>
      </c>
      <c r="B115" s="10" t="s">
        <v>729</v>
      </c>
      <c r="C115" s="11" t="s">
        <v>730</v>
      </c>
      <c r="D115" s="10" t="s">
        <v>672</v>
      </c>
      <c r="E115" s="10" t="s">
        <v>303</v>
      </c>
      <c r="F115" s="11" t="s">
        <v>741</v>
      </c>
      <c r="G115" s="10" t="s">
        <v>170</v>
      </c>
      <c r="H115" s="10" t="s">
        <v>404</v>
      </c>
      <c r="I115" s="10" t="n">
        <v>40</v>
      </c>
      <c r="J115" s="10" t="s">
        <v>46</v>
      </c>
      <c r="K115" s="11" t="s">
        <v>742</v>
      </c>
    </row>
    <row r="116" customFormat="false" ht="15" hidden="false" customHeight="false" outlineLevel="0" collapsed="false">
      <c r="A116" s="10" t="s">
        <v>743</v>
      </c>
      <c r="B116" s="10" t="s">
        <v>650</v>
      </c>
      <c r="C116" s="11" t="s">
        <v>744</v>
      </c>
      <c r="D116" s="10" t="s">
        <v>672</v>
      </c>
      <c r="E116" s="10" t="s">
        <v>303</v>
      </c>
      <c r="F116" s="11" t="s">
        <v>745</v>
      </c>
      <c r="G116" s="10" t="s">
        <v>746</v>
      </c>
      <c r="H116" s="10" t="s">
        <v>275</v>
      </c>
      <c r="I116" s="10" t="n">
        <v>6</v>
      </c>
      <c r="J116" s="10" t="s">
        <v>46</v>
      </c>
      <c r="K116" s="11" t="s">
        <v>747</v>
      </c>
    </row>
    <row r="117" customFormat="false" ht="15" hidden="false" customHeight="false" outlineLevel="0" collapsed="false">
      <c r="A117" s="10" t="s">
        <v>748</v>
      </c>
      <c r="B117" s="10" t="s">
        <v>650</v>
      </c>
      <c r="C117" s="11" t="s">
        <v>744</v>
      </c>
      <c r="D117" s="10" t="s">
        <v>672</v>
      </c>
      <c r="E117" s="10" t="s">
        <v>303</v>
      </c>
      <c r="F117" s="11" t="s">
        <v>749</v>
      </c>
      <c r="G117" s="10" t="s">
        <v>746</v>
      </c>
      <c r="H117" s="10" t="s">
        <v>404</v>
      </c>
      <c r="I117" s="10" t="n">
        <v>6</v>
      </c>
      <c r="J117" s="10" t="s">
        <v>494</v>
      </c>
      <c r="K117" s="11" t="s">
        <v>750</v>
      </c>
    </row>
    <row r="118" customFormat="false" ht="15" hidden="false" customHeight="false" outlineLevel="0" collapsed="false">
      <c r="A118" s="10" t="s">
        <v>751</v>
      </c>
      <c r="B118" s="10" t="s">
        <v>650</v>
      </c>
      <c r="C118" s="11" t="s">
        <v>744</v>
      </c>
      <c r="D118" s="10" t="s">
        <v>672</v>
      </c>
      <c r="E118" s="10" t="s">
        <v>303</v>
      </c>
      <c r="F118" s="11" t="s">
        <v>752</v>
      </c>
      <c r="G118" s="10" t="s">
        <v>746</v>
      </c>
      <c r="H118" s="10" t="s">
        <v>275</v>
      </c>
      <c r="I118" s="10" t="n">
        <v>6</v>
      </c>
      <c r="J118" s="10" t="s">
        <v>46</v>
      </c>
      <c r="K118" s="11" t="s">
        <v>753</v>
      </c>
    </row>
    <row r="119" customFormat="false" ht="15" hidden="false" customHeight="false" outlineLevel="0" collapsed="false">
      <c r="A119" s="10" t="s">
        <v>754</v>
      </c>
      <c r="B119" s="10" t="s">
        <v>650</v>
      </c>
      <c r="C119" s="11" t="s">
        <v>744</v>
      </c>
      <c r="D119" s="10" t="s">
        <v>672</v>
      </c>
      <c r="E119" s="10" t="s">
        <v>303</v>
      </c>
      <c r="F119" s="11" t="s">
        <v>755</v>
      </c>
      <c r="G119" s="10" t="s">
        <v>746</v>
      </c>
      <c r="H119" s="10" t="s">
        <v>275</v>
      </c>
      <c r="I119" s="10" t="n">
        <v>16</v>
      </c>
      <c r="J119" s="10" t="s">
        <v>46</v>
      </c>
      <c r="K119" s="11"/>
    </row>
    <row r="120" customFormat="false" ht="15" hidden="false" customHeight="false" outlineLevel="0" collapsed="false">
      <c r="A120" s="10" t="s">
        <v>756</v>
      </c>
      <c r="B120" s="10" t="s">
        <v>650</v>
      </c>
      <c r="C120" s="11" t="s">
        <v>744</v>
      </c>
      <c r="D120" s="10" t="s">
        <v>672</v>
      </c>
      <c r="E120" s="10" t="s">
        <v>303</v>
      </c>
      <c r="F120" s="11" t="s">
        <v>757</v>
      </c>
      <c r="G120" s="10" t="s">
        <v>746</v>
      </c>
      <c r="H120" s="10" t="s">
        <v>275</v>
      </c>
      <c r="I120" s="10" t="n">
        <v>40</v>
      </c>
      <c r="J120" s="10" t="s">
        <v>46</v>
      </c>
      <c r="K120" s="11" t="s">
        <v>758</v>
      </c>
    </row>
    <row r="121" customFormat="false" ht="15" hidden="false" customHeight="false" outlineLevel="0" collapsed="false">
      <c r="A121" s="10" t="s">
        <v>759</v>
      </c>
      <c r="B121" s="10" t="s">
        <v>650</v>
      </c>
      <c r="C121" s="11" t="s">
        <v>744</v>
      </c>
      <c r="D121" s="10" t="s">
        <v>672</v>
      </c>
      <c r="E121" s="10" t="s">
        <v>303</v>
      </c>
      <c r="F121" s="11" t="s">
        <v>760</v>
      </c>
      <c r="G121" s="10" t="s">
        <v>746</v>
      </c>
      <c r="H121" s="10" t="s">
        <v>404</v>
      </c>
      <c r="I121" s="10" t="n">
        <v>6</v>
      </c>
      <c r="J121" s="10" t="s">
        <v>233</v>
      </c>
      <c r="K121" s="11" t="s">
        <v>761</v>
      </c>
    </row>
    <row r="122" customFormat="false" ht="15" hidden="false" customHeight="false" outlineLevel="0" collapsed="false">
      <c r="A122" s="10" t="s">
        <v>762</v>
      </c>
      <c r="B122" s="10" t="s">
        <v>650</v>
      </c>
      <c r="C122" s="11" t="s">
        <v>744</v>
      </c>
      <c r="D122" s="10" t="s">
        <v>672</v>
      </c>
      <c r="E122" s="10" t="s">
        <v>303</v>
      </c>
      <c r="F122" s="11" t="s">
        <v>763</v>
      </c>
      <c r="G122" s="10" t="s">
        <v>746</v>
      </c>
      <c r="H122" s="10" t="s">
        <v>404</v>
      </c>
      <c r="I122" s="10" t="n">
        <v>16</v>
      </c>
      <c r="J122" s="10" t="s">
        <v>46</v>
      </c>
      <c r="K122" s="11"/>
    </row>
    <row r="123" customFormat="false" ht="23.85" hidden="false" customHeight="false" outlineLevel="0" collapsed="false">
      <c r="A123" s="10" t="s">
        <v>764</v>
      </c>
      <c r="B123" s="10" t="s">
        <v>650</v>
      </c>
      <c r="C123" s="11" t="s">
        <v>744</v>
      </c>
      <c r="D123" s="10" t="s">
        <v>672</v>
      </c>
      <c r="E123" s="10" t="s">
        <v>303</v>
      </c>
      <c r="F123" s="11" t="s">
        <v>765</v>
      </c>
      <c r="G123" s="10" t="s">
        <v>746</v>
      </c>
      <c r="H123" s="10" t="s">
        <v>275</v>
      </c>
      <c r="I123" s="10" t="n">
        <v>6</v>
      </c>
      <c r="J123" s="10" t="s">
        <v>265</v>
      </c>
      <c r="K123" s="11" t="s">
        <v>766</v>
      </c>
    </row>
    <row r="124" customFormat="false" ht="15" hidden="false" customHeight="false" outlineLevel="0" collapsed="false">
      <c r="A124" s="10" t="s">
        <v>767</v>
      </c>
      <c r="B124" s="10" t="s">
        <v>650</v>
      </c>
      <c r="C124" s="11" t="s">
        <v>744</v>
      </c>
      <c r="D124" s="10" t="s">
        <v>672</v>
      </c>
      <c r="E124" s="10" t="s">
        <v>303</v>
      </c>
      <c r="F124" s="11" t="s">
        <v>768</v>
      </c>
      <c r="G124" s="10" t="s">
        <v>746</v>
      </c>
      <c r="H124" s="10" t="s">
        <v>404</v>
      </c>
      <c r="I124" s="10" t="n">
        <v>6</v>
      </c>
      <c r="J124" s="10" t="s">
        <v>265</v>
      </c>
      <c r="K124" s="11" t="s">
        <v>769</v>
      </c>
    </row>
    <row r="125" customFormat="false" ht="15" hidden="false" customHeight="false" outlineLevel="0" collapsed="false">
      <c r="A125" s="10" t="s">
        <v>770</v>
      </c>
      <c r="B125" s="10" t="s">
        <v>197</v>
      </c>
      <c r="C125" s="11" t="s">
        <v>771</v>
      </c>
      <c r="D125" s="10" t="s">
        <v>772</v>
      </c>
      <c r="E125" s="10" t="s">
        <v>773</v>
      </c>
      <c r="F125" s="11" t="s">
        <v>774</v>
      </c>
      <c r="G125" s="10" t="s">
        <v>726</v>
      </c>
      <c r="H125" s="10" t="s">
        <v>275</v>
      </c>
      <c r="I125" s="10" t="n">
        <v>16</v>
      </c>
      <c r="J125" s="10" t="s">
        <v>265</v>
      </c>
      <c r="K125" s="11" t="s">
        <v>775</v>
      </c>
    </row>
    <row r="126" customFormat="false" ht="15" hidden="false" customHeight="false" outlineLevel="0" collapsed="false">
      <c r="A126" s="10" t="s">
        <v>776</v>
      </c>
      <c r="B126" s="10" t="s">
        <v>197</v>
      </c>
      <c r="C126" s="11" t="s">
        <v>771</v>
      </c>
      <c r="D126" s="10" t="s">
        <v>772</v>
      </c>
      <c r="E126" s="10" t="s">
        <v>773</v>
      </c>
      <c r="F126" s="11" t="s">
        <v>777</v>
      </c>
      <c r="G126" s="10" t="s">
        <v>726</v>
      </c>
      <c r="H126" s="10" t="s">
        <v>404</v>
      </c>
      <c r="I126" s="10" t="n">
        <v>16</v>
      </c>
      <c r="J126" s="10" t="s">
        <v>46</v>
      </c>
      <c r="K126" s="11"/>
    </row>
    <row r="127" customFormat="false" ht="15" hidden="false" customHeight="false" outlineLevel="0" collapsed="false">
      <c r="A127" s="10" t="s">
        <v>778</v>
      </c>
      <c r="B127" s="10" t="s">
        <v>197</v>
      </c>
      <c r="C127" s="11" t="s">
        <v>771</v>
      </c>
      <c r="D127" s="10" t="s">
        <v>772</v>
      </c>
      <c r="E127" s="10" t="s">
        <v>773</v>
      </c>
      <c r="F127" s="11" t="s">
        <v>779</v>
      </c>
      <c r="G127" s="10" t="s">
        <v>726</v>
      </c>
      <c r="H127" s="10" t="s">
        <v>404</v>
      </c>
      <c r="I127" s="10" t="n">
        <v>16</v>
      </c>
      <c r="J127" s="10" t="s">
        <v>46</v>
      </c>
      <c r="K127" s="11"/>
    </row>
    <row r="128" customFormat="false" ht="23.85" hidden="false" customHeight="false" outlineLevel="0" collapsed="false">
      <c r="A128" s="10" t="s">
        <v>780</v>
      </c>
      <c r="B128" s="10" t="s">
        <v>197</v>
      </c>
      <c r="C128" s="11" t="s">
        <v>771</v>
      </c>
      <c r="D128" s="10" t="s">
        <v>772</v>
      </c>
      <c r="E128" s="10" t="s">
        <v>773</v>
      </c>
      <c r="F128" s="11" t="s">
        <v>781</v>
      </c>
      <c r="G128" s="10" t="s">
        <v>726</v>
      </c>
      <c r="H128" s="10" t="s">
        <v>42</v>
      </c>
      <c r="I128" s="10" t="n">
        <v>16</v>
      </c>
      <c r="J128" s="10" t="s">
        <v>233</v>
      </c>
      <c r="K128" s="11" t="s">
        <v>782</v>
      </c>
    </row>
    <row r="129" customFormat="false" ht="23.85" hidden="false" customHeight="false" outlineLevel="0" collapsed="false">
      <c r="A129" s="10" t="s">
        <v>783</v>
      </c>
      <c r="B129" s="10" t="s">
        <v>784</v>
      </c>
      <c r="C129" s="11" t="s">
        <v>785</v>
      </c>
      <c r="D129" s="10" t="s">
        <v>786</v>
      </c>
      <c r="E129" s="10" t="s">
        <v>120</v>
      </c>
      <c r="F129" s="11" t="s">
        <v>787</v>
      </c>
      <c r="G129" s="10" t="s">
        <v>41</v>
      </c>
      <c r="H129" s="10" t="s">
        <v>42</v>
      </c>
      <c r="I129" s="10" t="n">
        <v>40</v>
      </c>
      <c r="J129" s="10" t="s">
        <v>46</v>
      </c>
      <c r="K129" s="11" t="s">
        <v>788</v>
      </c>
    </row>
    <row r="130" customFormat="false" ht="23.85" hidden="false" customHeight="false" outlineLevel="0" collapsed="false">
      <c r="A130" s="10" t="s">
        <v>789</v>
      </c>
      <c r="B130" s="10" t="s">
        <v>784</v>
      </c>
      <c r="C130" s="11" t="s">
        <v>785</v>
      </c>
      <c r="D130" s="10" t="s">
        <v>786</v>
      </c>
      <c r="E130" s="10" t="s">
        <v>120</v>
      </c>
      <c r="F130" s="11" t="s">
        <v>790</v>
      </c>
      <c r="G130" s="10" t="s">
        <v>41</v>
      </c>
      <c r="H130" s="10" t="s">
        <v>275</v>
      </c>
      <c r="I130" s="10" t="n">
        <v>40</v>
      </c>
      <c r="J130" s="10" t="s">
        <v>46</v>
      </c>
      <c r="K130" s="11" t="s">
        <v>791</v>
      </c>
    </row>
    <row r="131" customFormat="false" ht="15" hidden="false" customHeight="false" outlineLevel="0" collapsed="false">
      <c r="A131" s="10" t="s">
        <v>792</v>
      </c>
      <c r="B131" s="10" t="s">
        <v>784</v>
      </c>
      <c r="C131" s="11" t="s">
        <v>785</v>
      </c>
      <c r="D131" s="10" t="s">
        <v>786</v>
      </c>
      <c r="E131" s="10" t="s">
        <v>120</v>
      </c>
      <c r="F131" s="11" t="s">
        <v>793</v>
      </c>
      <c r="G131" s="10" t="s">
        <v>41</v>
      </c>
      <c r="H131" s="10" t="s">
        <v>42</v>
      </c>
      <c r="I131" s="10" t="n">
        <v>16</v>
      </c>
      <c r="J131" s="10" t="s">
        <v>46</v>
      </c>
      <c r="K131" s="11" t="s">
        <v>794</v>
      </c>
    </row>
    <row r="132" customFormat="false" ht="23.85" hidden="false" customHeight="false" outlineLevel="0" collapsed="false">
      <c r="A132" s="10" t="s">
        <v>795</v>
      </c>
      <c r="B132" s="10" t="s">
        <v>784</v>
      </c>
      <c r="C132" s="11" t="s">
        <v>785</v>
      </c>
      <c r="D132" s="10" t="s">
        <v>786</v>
      </c>
      <c r="E132" s="10" t="s">
        <v>120</v>
      </c>
      <c r="F132" s="11" t="s">
        <v>796</v>
      </c>
      <c r="G132" s="10" t="s">
        <v>41</v>
      </c>
      <c r="H132" s="10" t="s">
        <v>42</v>
      </c>
      <c r="I132" s="10" t="n">
        <v>16</v>
      </c>
      <c r="J132" s="10" t="s">
        <v>46</v>
      </c>
      <c r="K132" s="11" t="s">
        <v>797</v>
      </c>
    </row>
    <row r="133" customFormat="false" ht="23.85" hidden="false" customHeight="false" outlineLevel="0" collapsed="false">
      <c r="A133" s="10" t="s">
        <v>798</v>
      </c>
      <c r="B133" s="10" t="s">
        <v>784</v>
      </c>
      <c r="C133" s="11" t="s">
        <v>785</v>
      </c>
      <c r="D133" s="10" t="s">
        <v>786</v>
      </c>
      <c r="E133" s="10" t="s">
        <v>120</v>
      </c>
      <c r="F133" s="11" t="s">
        <v>799</v>
      </c>
      <c r="G133" s="10" t="s">
        <v>41</v>
      </c>
      <c r="H133" s="10" t="s">
        <v>42</v>
      </c>
      <c r="I133" s="10" t="n">
        <v>16</v>
      </c>
      <c r="J133" s="10" t="s">
        <v>46</v>
      </c>
      <c r="K133" s="11" t="s">
        <v>800</v>
      </c>
    </row>
    <row r="134" customFormat="false" ht="23.85" hidden="false" customHeight="false" outlineLevel="0" collapsed="false">
      <c r="A134" s="10" t="s">
        <v>801</v>
      </c>
      <c r="B134" s="10" t="s">
        <v>784</v>
      </c>
      <c r="C134" s="11" t="s">
        <v>785</v>
      </c>
      <c r="D134" s="10" t="s">
        <v>786</v>
      </c>
      <c r="E134" s="10" t="s">
        <v>120</v>
      </c>
      <c r="F134" s="11" t="s">
        <v>802</v>
      </c>
      <c r="G134" s="10" t="s">
        <v>41</v>
      </c>
      <c r="H134" s="10" t="s">
        <v>42</v>
      </c>
      <c r="I134" s="10" t="n">
        <v>40</v>
      </c>
      <c r="J134" s="10" t="s">
        <v>46</v>
      </c>
      <c r="K134" s="11" t="s">
        <v>803</v>
      </c>
    </row>
    <row r="135" customFormat="false" ht="23.85" hidden="false" customHeight="false" outlineLevel="0" collapsed="false">
      <c r="A135" s="10" t="s">
        <v>804</v>
      </c>
      <c r="B135" s="10" t="s">
        <v>784</v>
      </c>
      <c r="C135" s="11" t="s">
        <v>785</v>
      </c>
      <c r="D135" s="10" t="s">
        <v>786</v>
      </c>
      <c r="E135" s="10" t="s">
        <v>120</v>
      </c>
      <c r="F135" s="11" t="s">
        <v>805</v>
      </c>
      <c r="G135" s="10" t="s">
        <v>41</v>
      </c>
      <c r="H135" s="10" t="s">
        <v>42</v>
      </c>
      <c r="I135" s="10" t="n">
        <v>16</v>
      </c>
      <c r="J135" s="10" t="s">
        <v>86</v>
      </c>
      <c r="K135" s="11" t="s">
        <v>806</v>
      </c>
    </row>
  </sheetData>
  <autoFilter ref="A1:K1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3" min="3" style="0" width="26"/>
    <col collapsed="false" customWidth="true" hidden="false" outlineLevel="0" max="4" min="4" style="0" width="88"/>
  </cols>
  <sheetData>
    <row r="1" customFormat="false" ht="30" hidden="false" customHeight="true" outlineLevel="0" collapsed="false">
      <c r="A1" s="9" t="s">
        <v>22</v>
      </c>
      <c r="B1" s="9" t="s">
        <v>396</v>
      </c>
      <c r="C1" s="9" t="s">
        <v>25</v>
      </c>
      <c r="D1" s="9" t="s">
        <v>807</v>
      </c>
    </row>
    <row r="2" customFormat="false" ht="15" hidden="false" customHeight="false" outlineLevel="0" collapsed="false">
      <c r="A2" s="10" t="s">
        <v>808</v>
      </c>
      <c r="B2" s="11" t="s">
        <v>809</v>
      </c>
      <c r="C2" s="10" t="s">
        <v>186</v>
      </c>
      <c r="D2" s="11" t="s">
        <v>810</v>
      </c>
    </row>
    <row r="3" customFormat="false" ht="15" hidden="false" customHeight="false" outlineLevel="0" collapsed="false">
      <c r="A3" s="10" t="s">
        <v>811</v>
      </c>
      <c r="B3" s="11" t="s">
        <v>812</v>
      </c>
      <c r="C3" s="10" t="s">
        <v>186</v>
      </c>
      <c r="D3" s="11" t="s">
        <v>813</v>
      </c>
    </row>
    <row r="4" customFormat="false" ht="15" hidden="false" customHeight="false" outlineLevel="0" collapsed="false">
      <c r="A4" s="10" t="s">
        <v>814</v>
      </c>
      <c r="B4" s="11" t="s">
        <v>815</v>
      </c>
      <c r="C4" s="10" t="s">
        <v>101</v>
      </c>
      <c r="D4" s="11" t="s">
        <v>816</v>
      </c>
    </row>
    <row r="5" customFormat="false" ht="15" hidden="false" customHeight="false" outlineLevel="0" collapsed="false">
      <c r="A5" s="10" t="s">
        <v>817</v>
      </c>
      <c r="B5" s="11" t="s">
        <v>818</v>
      </c>
      <c r="C5" s="10" t="s">
        <v>101</v>
      </c>
      <c r="D5" s="11" t="s">
        <v>819</v>
      </c>
    </row>
    <row r="6" customFormat="false" ht="23.85" hidden="false" customHeight="false" outlineLevel="0" collapsed="false">
      <c r="A6" s="10" t="s">
        <v>820</v>
      </c>
      <c r="B6" s="11" t="s">
        <v>821</v>
      </c>
      <c r="C6" s="10" t="s">
        <v>101</v>
      </c>
      <c r="D6" s="11" t="s">
        <v>822</v>
      </c>
    </row>
    <row r="7" customFormat="false" ht="15" hidden="false" customHeight="false" outlineLevel="0" collapsed="false">
      <c r="A7" s="10" t="s">
        <v>823</v>
      </c>
      <c r="B7" s="11" t="s">
        <v>824</v>
      </c>
      <c r="C7" s="10" t="s">
        <v>181</v>
      </c>
      <c r="D7" s="11" t="s">
        <v>825</v>
      </c>
    </row>
    <row r="8" customFormat="false" ht="23.85" hidden="false" customHeight="false" outlineLevel="0" collapsed="false">
      <c r="A8" s="10" t="s">
        <v>826</v>
      </c>
      <c r="B8" s="11" t="s">
        <v>827</v>
      </c>
      <c r="C8" s="10" t="s">
        <v>170</v>
      </c>
      <c r="D8" s="11" t="s">
        <v>828</v>
      </c>
    </row>
    <row r="9" customFormat="false" ht="23.85" hidden="false" customHeight="false" outlineLevel="0" collapsed="false">
      <c r="A9" s="10" t="s">
        <v>829</v>
      </c>
      <c r="B9" s="11" t="s">
        <v>830</v>
      </c>
      <c r="C9" s="10" t="s">
        <v>170</v>
      </c>
      <c r="D9" s="11" t="s">
        <v>831</v>
      </c>
    </row>
    <row r="10" customFormat="false" ht="15" hidden="false" customHeight="false" outlineLevel="0" collapsed="false">
      <c r="A10" s="10" t="s">
        <v>832</v>
      </c>
      <c r="B10" s="11" t="s">
        <v>833</v>
      </c>
      <c r="C10" s="10" t="s">
        <v>81</v>
      </c>
      <c r="D10" s="11" t="s">
        <v>834</v>
      </c>
    </row>
    <row r="11" customFormat="false" ht="15" hidden="false" customHeight="false" outlineLevel="0" collapsed="false">
      <c r="A11" s="10" t="s">
        <v>835</v>
      </c>
      <c r="B11" s="11" t="s">
        <v>836</v>
      </c>
      <c r="C11" s="10" t="s">
        <v>254</v>
      </c>
      <c r="D11" s="11" t="s">
        <v>837</v>
      </c>
    </row>
    <row r="12" customFormat="false" ht="15" hidden="false" customHeight="false" outlineLevel="0" collapsed="false">
      <c r="A12" s="10" t="s">
        <v>838</v>
      </c>
      <c r="B12" s="11" t="s">
        <v>839</v>
      </c>
      <c r="C12" s="10" t="s">
        <v>469</v>
      </c>
      <c r="D12" s="11" t="s">
        <v>840</v>
      </c>
    </row>
    <row r="13" customFormat="false" ht="15" hidden="false" customHeight="false" outlineLevel="0" collapsed="false">
      <c r="A13" s="10" t="s">
        <v>841</v>
      </c>
      <c r="B13" s="11" t="s">
        <v>842</v>
      </c>
      <c r="C13" s="10" t="s">
        <v>726</v>
      </c>
      <c r="D13" s="11" t="s">
        <v>843</v>
      </c>
    </row>
  </sheetData>
  <autoFilter ref="A1:D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2026-08-21T14:41:25Z</dcterms:created>
  <dc:creator>openpyxl</dc:creator>
  <dc:description/>
  <dc:language>en-US</dc:language>
  <cp:lastModifiedBy/>
  <dcterms:modified xsi:type="dcterms:W3CDTF">2026-08-21T14:41:26Z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