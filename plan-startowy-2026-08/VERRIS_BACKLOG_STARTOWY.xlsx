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startu'!$A$1:$P$138</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2026-10-11 z audyt/dane/</t>
        </is>
      </c>
    </row>
    <row r="4">
      <c r="A4" s="3" t="inlineStr">
        <is>
          <t>Kluczowe liczby</t>
        </is>
      </c>
    </row>
    <row r="6">
      <c r="A6" s="4" t="inlineStr">
        <is>
          <t>Zadań w planie</t>
        </is>
      </c>
      <c r="B6" s="5">
        <f>COUNTA('Backlog do startu'!$A$2:$A$138)</f>
        <v/>
      </c>
    </row>
    <row r="7">
      <c r="A7" s="4" t="inlineStr">
        <is>
          <t>Godzin w planie</t>
        </is>
      </c>
      <c r="B7" s="5">
        <f>SUM('Backlog do startu'!$F$2:$F$138)</f>
        <v/>
      </c>
    </row>
    <row r="8">
      <c r="A8" s="4" t="inlineStr">
        <is>
          <t>Pojemność</t>
        </is>
      </c>
      <c r="B8" s="5" t="n">
        <v>1495</v>
      </c>
    </row>
    <row r="9">
      <c r="A9" s="4" t="inlineStr">
        <is>
          <t>Zapas</t>
        </is>
      </c>
      <c r="B9" s="5">
        <f>B7-B6</f>
        <v/>
      </c>
    </row>
    <row r="10">
      <c r="A10" s="6" t="inlineStr">
        <is>
          <t>Blokerów</t>
        </is>
      </c>
      <c r="B10" s="7">
        <f>COUNTIF('Backlog do startu'!$E$2:$E$138,"BLOKER STARTU")+COUNTIF('Backlog do startu'!$E$2:$E$138,"BLOKER BIZNESOWY")</f>
        <v/>
      </c>
    </row>
    <row r="11">
      <c r="A11" s="4" t="inlineStr">
        <is>
          <t>Zadań zrobionych</t>
        </is>
      </c>
      <c r="B11" s="5">
        <f>COUNTIF('Backlog do startu'!$P$2:$P$138,"zrobione")</f>
        <v/>
      </c>
    </row>
    <row r="12">
      <c r="A12" s="4" t="inlineStr">
        <is>
          <t>Godzin zrobionych</t>
        </is>
      </c>
      <c r="B12" s="5">
        <f>SUMIF('Backlog do startu'!$P$2:$P$138,"zrobione",'Backlog do startu'!$F$2:$F$138)</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3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t>
        </is>
      </c>
      <c r="B87" s="11" t="inlineStr">
        <is>
          <t>Fala 2 audytu paneli operatora (w becie wewnętrznej)</t>
        </is>
      </c>
      <c r="C87" s="10" t="inlineStr">
        <is>
          <t>poza audytem</t>
        </is>
      </c>
      <c r="D87" s="10" t="inlineStr">
        <is>
          <t>Praca spoza audytu</t>
        </is>
      </c>
      <c r="E87" s="10" t="inlineStr">
        <is>
          <t>WYSOKI</t>
        </is>
      </c>
      <c r="F87" s="10" t="n">
        <v>134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O87" s="11" t="inlineStr">
        <is>
          <t>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t>
        </is>
      </c>
      <c r="P87" s="10" t="inlineStr">
        <is>
          <t>do zrobienia</t>
        </is>
      </c>
    </row>
    <row r="88">
      <c r="A88" s="10" t="inlineStr">
        <is>
          <t>X-41</t>
        </is>
      </c>
      <c r="B88" s="11" t="inlineStr">
        <is>
          <t>Hardening egressu wisi w łańcuchu OUTPUT, a ruch kontenerów idzie przez FORWARD</t>
        </is>
      </c>
      <c r="C88" s="10" t="inlineStr">
        <is>
          <t>audyt</t>
        </is>
      </c>
      <c r="D88" s="10" t="inlineStr">
        <is>
          <t>X — Infrastruktura jakości</t>
        </is>
      </c>
      <c r="E88" s="10" t="inlineStr">
        <is>
          <t>WYSOKA</t>
        </is>
      </c>
      <c r="F88" s="10" t="n">
        <v>16</v>
      </c>
      <c r="G88" s="10" t="n">
        <v>15</v>
      </c>
      <c r="H88" s="10" t="inlineStr">
        <is>
          <t>Faza 3 — Wejście na rynek</t>
        </is>
      </c>
      <c r="I88" s="10" t="inlineStr">
        <is>
          <t>2026-10-05</t>
        </is>
      </c>
      <c r="J88" s="10" t="inlineStr">
        <is>
          <t>2026-10-09</t>
        </is>
      </c>
      <c r="K88" s="10" t="inlineStr">
        <is>
          <t>CZĘŚCIOWE</t>
        </is>
      </c>
      <c r="L88" s="11" t="inlineStr">
        <is>
          <t>obserwacja wpięta w DOCKER-USER, 1674 pakiety zliczone, 0 DROP/REJECT</t>
        </is>
      </c>
      <c r="M88" s="11" t="inlineStr">
        <is>
          <t>—</t>
        </is>
      </c>
      <c r="N88" s="11" t="inlineStr">
        <is>
          <t>Ograniczenie opisane w uwagach macierzy zniknęło; test potwierdza zachowanie także w scenariuszu awaryjnym.</t>
        </is>
      </c>
      <c r="O88"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8" s="10" t="inlineStr">
        <is>
          <t>do zrobienia</t>
        </is>
      </c>
    </row>
    <row r="89">
      <c r="A89" s="10" t="inlineStr">
        <is>
          <t>SEC-03</t>
        </is>
      </c>
      <c r="B89" s="11" t="inlineStr">
        <is>
          <t>Ruch poza TCP/80 i TCP/443 — DNS (UDP/53), SMTP — nie jest objęty ani obserwacją z X-41, ani trybem strict</t>
        </is>
      </c>
      <c r="C89" s="10" t="inlineStr">
        <is>
          <t>audyt</t>
        </is>
      </c>
      <c r="D89" s="10" t="inlineStr">
        <is>
          <t>G — SSL i bezpieczeństwo</t>
        </is>
      </c>
      <c r="E89" s="10" t="inlineStr">
        <is>
          <t>WYSOKA</t>
        </is>
      </c>
      <c r="F89" s="10" t="n">
        <v>16</v>
      </c>
      <c r="G89" s="10" t="n">
        <v>15</v>
      </c>
      <c r="H89" s="10" t="inlineStr">
        <is>
          <t>Faza 3 — Wejście na rynek</t>
        </is>
      </c>
      <c r="I89" s="10" t="inlineStr">
        <is>
          <t>2026-10-05</t>
        </is>
      </c>
      <c r="J89" s="10" t="inlineStr">
        <is>
          <t>2026-10-09</t>
        </is>
      </c>
      <c r="K89" s="10" t="inlineStr">
        <is>
          <t>DZIAŁA</t>
        </is>
      </c>
      <c r="L89"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9" s="10" t="inlineStr">
        <is>
          <t>do zrobienia</t>
        </is>
      </c>
    </row>
    <row r="90">
      <c r="A90" s="10" t="inlineStr">
        <is>
          <t>PB-22</t>
        </is>
      </c>
      <c r="B90" s="11" t="inlineStr">
        <is>
          <t>Badge na stronę v2 — interaktywne i użyteczne dla klienta</t>
        </is>
      </c>
      <c r="C90" s="10" t="inlineStr">
        <is>
          <t>poza audytem</t>
        </is>
      </c>
      <c r="D90" s="10" t="inlineStr">
        <is>
          <t>Praca spoza audytu</t>
        </is>
      </c>
      <c r="E90" s="10" t="inlineStr">
        <is>
          <t>ŚREDNI</t>
        </is>
      </c>
      <c r="F90" s="10" t="n">
        <v>20</v>
      </c>
      <c r="G90" s="10" t="n">
        <v>15</v>
      </c>
      <c r="H90" s="10" t="inlineStr">
        <is>
          <t>Faza 3 — Wejście na rynek</t>
        </is>
      </c>
      <c r="I90" s="10" t="inlineStr">
        <is>
          <t>2026-10-05</t>
        </is>
      </c>
      <c r="J90" s="10" t="inlineStr">
        <is>
          <t>2026-10-09</t>
        </is>
      </c>
      <c r="K90" s="10" t="inlineStr">
        <is>
          <t>—</t>
        </is>
      </c>
      <c r="L90" s="11" t="inlineStr">
        <is>
          <t>—</t>
        </is>
      </c>
      <c r="M90" s="11" t="inlineStr">
        <is>
          <t>—</t>
        </is>
      </c>
      <c r="N90" s="11" t="inlineStr">
        <is>
          <t>Badge widoczne na prod na domenie klienta; pieczęć znika przy niespełnionych warunkach; kliknięcia polecenia liczone; testy D2 zielone.</t>
        </is>
      </c>
      <c r="O90"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0" s="10" t="inlineStr">
        <is>
          <t>do zrobienia</t>
        </is>
      </c>
    </row>
    <row r="91">
      <c r="A91" s="10" t="inlineStr">
        <is>
          <t>PB-49</t>
        </is>
      </c>
      <c r="B91" s="11" t="inlineStr">
        <is>
          <t>Porządki panelu admina (12 patchy)</t>
        </is>
      </c>
      <c r="C91" s="10" t="inlineStr">
        <is>
          <t>poza audytem</t>
        </is>
      </c>
      <c r="D91" s="10" t="inlineStr">
        <is>
          <t>Praca spoza audytu</t>
        </is>
      </c>
      <c r="E91" s="10" t="inlineStr">
        <is>
          <t>WYSOKI</t>
        </is>
      </c>
      <c r="F91" s="10" t="n">
        <v>88</v>
      </c>
      <c r="G91" s="10" t="n">
        <v>15</v>
      </c>
      <c r="H91" s="10" t="inlineStr">
        <is>
          <t>Faza 3 — Wejście na rynek</t>
        </is>
      </c>
      <c r="I91" s="10" t="inlineStr">
        <is>
          <t>2026-10-05</t>
        </is>
      </c>
      <c r="J91" s="10" t="inlineStr">
        <is>
          <t>2026-10-09</t>
        </is>
      </c>
      <c r="K91" s="10" t="inlineStr">
        <is>
          <t>—</t>
        </is>
      </c>
      <c r="L91" s="11" t="inlineStr">
        <is>
          <t>—</t>
        </is>
      </c>
      <c r="M91" s="11" t="inlineStr">
        <is>
          <t>—</t>
        </is>
      </c>
      <c r="N91" s="11" t="inlineStr">
        <is>
          <t>12 patchy wdrożonych na produkcji; bramki (lint, typecheck, testy admina, obsługi, klienta i API) i integracja API zielone; przejście na produkcji przez VPN: karta węzła t1 z Działaniami, karta klienta, Cmd+K.</t>
        </is>
      </c>
      <c r="O91"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1" s="10" t="inlineStr">
        <is>
          <t>do zrobienia</t>
        </is>
      </c>
    </row>
    <row r="92">
      <c r="A92" s="10" t="inlineStr">
        <is>
          <t>PB-50</t>
        </is>
      </c>
      <c r="B92" s="11" t="inlineStr">
        <is>
          <t>Fala 1 audytu paneli operatora (1A + 1B)</t>
        </is>
      </c>
      <c r="C92" s="10" t="inlineStr">
        <is>
          <t>poza audytem</t>
        </is>
      </c>
      <c r="D92" s="10" t="inlineStr">
        <is>
          <t>Praca spoza audytu</t>
        </is>
      </c>
      <c r="E92" s="10" t="inlineStr">
        <is>
          <t>WYSOKI</t>
        </is>
      </c>
      <c r="F92" s="10" t="n">
        <v>39</v>
      </c>
      <c r="G92" s="10" t="n">
        <v>15</v>
      </c>
      <c r="H92" s="10" t="inlineStr">
        <is>
          <t>Faza 3 — Wejście na rynek</t>
        </is>
      </c>
      <c r="I92" s="10" t="inlineStr">
        <is>
          <t>2026-10-05</t>
        </is>
      </c>
      <c r="J92" s="10" t="inlineStr">
        <is>
          <t>2026-10-09</t>
        </is>
      </c>
      <c r="K92" s="10" t="inlineStr">
        <is>
          <t>—</t>
        </is>
      </c>
      <c r="L92" s="11" t="inlineStr">
        <is>
          <t>—</t>
        </is>
      </c>
      <c r="M92" s="11" t="inlineStr">
        <is>
          <t>—</t>
        </is>
      </c>
      <c r="N92" s="11" t="inlineStr">
        <is>
          <t>Blokery operatora B1 i B2 zamknięte testem; pozycje 3a–3d planu rozbudowy wdrożone (poz. 16 skorygowana); bramki i integracja zielone; przejście na produkcji przez VPN.</t>
        </is>
      </c>
      <c r="O92"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2" s="10" t="inlineStr">
        <is>
          <t>do zrobienia</t>
        </is>
      </c>
    </row>
    <row r="93">
      <c r="A93" s="10" t="inlineStr">
        <is>
          <t>SEC-05</t>
        </is>
      </c>
      <c r="B93" s="11" t="inlineStr">
        <is>
          <t>Log egressu jest próbką, nie zapisem</t>
        </is>
      </c>
      <c r="C93" s="10" t="inlineStr">
        <is>
          <t>audyt</t>
        </is>
      </c>
      <c r="D93" s="10" t="inlineStr">
        <is>
          <t>G — SSL i bezpieczeństwo</t>
        </is>
      </c>
      <c r="E93" s="10" t="inlineStr">
        <is>
          <t>WYSOKA</t>
        </is>
      </c>
      <c r="F93" s="10" t="n">
        <v>6</v>
      </c>
      <c r="G93" s="10" t="n">
        <v>16</v>
      </c>
      <c r="H93" s="10" t="inlineStr">
        <is>
          <t>Faza 3 — Wejście na rynek</t>
        </is>
      </c>
      <c r="I93" s="10" t="inlineStr">
        <is>
          <t>2026-10-12</t>
        </is>
      </c>
      <c r="J93" s="10" t="inlineStr">
        <is>
          <t>2026-10-16</t>
        </is>
      </c>
      <c r="K93" s="10" t="inlineStr">
        <is>
          <t>DZIAŁA</t>
        </is>
      </c>
      <c r="L93"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93" s="11" t="inlineStr">
        <is>
          <t>—</t>
        </is>
      </c>
      <c r="N93" s="11" t="inlineStr">
        <is>
          <t>Funkcja dostępna z panelu klienta bez wychodzenia do DirectAdmina; test uruchamiany w CI.</t>
        </is>
      </c>
      <c r="O93"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93" s="10" t="inlineStr">
        <is>
          <t>do zrobienia</t>
        </is>
      </c>
    </row>
    <row r="94">
      <c r="A94" s="10" t="inlineStr">
        <is>
          <t>SEC-04</t>
        </is>
      </c>
      <c r="B94" s="11" t="inlineStr">
        <is>
          <t>Host rozmawia z kontenerami przez OUTPUT — ruch wewnętrzny liczony jako egress</t>
        </is>
      </c>
      <c r="C94" s="10" t="inlineStr">
        <is>
          <t>audyt</t>
        </is>
      </c>
      <c r="D94" s="10" t="inlineStr">
        <is>
          <t>G — SSL i bezpieczeństwo</t>
        </is>
      </c>
      <c r="E94" s="10" t="inlineStr">
        <is>
          <t>WYSOKA</t>
        </is>
      </c>
      <c r="F94" s="10" t="n">
        <v>6</v>
      </c>
      <c r="G94" s="10" t="n">
        <v>16</v>
      </c>
      <c r="H94" s="10" t="inlineStr">
        <is>
          <t>Faza 3 — Wejście na rynek</t>
        </is>
      </c>
      <c r="I94" s="10" t="inlineStr">
        <is>
          <t>2026-10-12</t>
        </is>
      </c>
      <c r="J94" s="10" t="inlineStr">
        <is>
          <t>2026-10-16</t>
        </is>
      </c>
      <c r="K94" s="10" t="inlineStr">
        <is>
          <t>DZIAŁA</t>
        </is>
      </c>
      <c r="L94" s="11" t="inlineStr">
        <is>
          <t>security-control-plane-egress.sh — RETURN dla -o lo/docker0/br-+ w VERRIS_EGRESS_STRICT i br-+ w VERRIS_EGRESS_BOGON przed DROP; test apps/api/src/test/egress-strict-naprawde-blokuje.spec.ts</t>
        </is>
      </c>
      <c r="M94" s="11" t="inlineStr">
        <is>
          <t>—</t>
        </is>
      </c>
      <c r="N94" s="11" t="inlineStr">
        <is>
          <t>Funkcja dostępna z panelu klienta bez wychodzenia do DirectAdmina; test uruchamiany w CI.</t>
        </is>
      </c>
      <c r="O94"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94" s="10" t="inlineStr">
        <is>
          <t>do zrobienia</t>
        </is>
      </c>
    </row>
    <row r="95">
      <c r="A95" s="10" t="inlineStr">
        <is>
          <t>SEC-01</t>
        </is>
      </c>
      <c r="B95" s="11" t="inlineStr">
        <is>
          <t>Tryb `--strict` jest atrapą</t>
        </is>
      </c>
      <c r="C95" s="10" t="inlineStr">
        <is>
          <t>audyt</t>
        </is>
      </c>
      <c r="D95" s="10" t="inlineStr">
        <is>
          <t>G — SSL i bezpieczeństwo</t>
        </is>
      </c>
      <c r="E95" s="10" t="inlineStr">
        <is>
          <t>WYSOKA</t>
        </is>
      </c>
      <c r="F95" s="10" t="n">
        <v>16</v>
      </c>
      <c r="G95" s="10" t="n">
        <v>16</v>
      </c>
      <c r="H95" s="10" t="inlineStr">
        <is>
          <t>Faza 3 — Wejście na rynek</t>
        </is>
      </c>
      <c r="I95" s="10" t="inlineStr">
        <is>
          <t>2026-10-12</t>
        </is>
      </c>
      <c r="J95" s="10" t="inlineStr">
        <is>
          <t>2026-10-16</t>
        </is>
      </c>
      <c r="K95" s="10" t="inlineStr">
        <is>
          <t>DZIAŁA</t>
        </is>
      </c>
      <c r="L95"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95" s="11" t="inlineStr">
        <is>
          <t>—</t>
        </is>
      </c>
      <c r="N95" s="11" t="inlineStr">
        <is>
          <t>Funkcja dostępna z panelu klienta bez wychodzenia do DirectAdmina; test uruchamiany w CI.</t>
        </is>
      </c>
      <c r="O95"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95" s="10" t="inlineStr">
        <is>
          <t>do zrobienia</t>
        </is>
      </c>
    </row>
    <row r="96">
      <c r="A96" s="10" t="inlineStr">
        <is>
          <t>SEC-06</t>
        </is>
      </c>
      <c r="B96" s="11" t="inlineStr">
        <is>
          <t>Allowlista pokrywa to, o czym ktoś pomyślał, nie to, co host robi</t>
        </is>
      </c>
      <c r="C96" s="10" t="inlineStr">
        <is>
          <t>audyt</t>
        </is>
      </c>
      <c r="D96" s="10" t="inlineStr">
        <is>
          <t>G — SSL i bezpieczeństwo</t>
        </is>
      </c>
      <c r="E96" s="10" t="inlineStr">
        <is>
          <t>WYSOKA</t>
        </is>
      </c>
      <c r="F96" s="10" t="n">
        <v>16</v>
      </c>
      <c r="G96" s="10" t="n">
        <v>16</v>
      </c>
      <c r="H96" s="10" t="inlineStr">
        <is>
          <t>Faza 3 — Wejście na rynek</t>
        </is>
      </c>
      <c r="I96" s="10" t="inlineStr">
        <is>
          <t>2026-10-12</t>
        </is>
      </c>
      <c r="J96" s="10" t="inlineStr">
        <is>
          <t>2026-10-16</t>
        </is>
      </c>
      <c r="K96" s="10" t="inlineStr">
        <is>
          <t>DZIAŁA</t>
        </is>
      </c>
      <c r="L96" s="11" t="inlineStr">
        <is>
          <t>verris-egress-odswiez.timer (co 15 s) → security-control-plane-egress.sh --odswiez; Panel 06.10: timer active, „Odświeżenie: 12 nowych adresów”</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6" s="10" t="inlineStr">
        <is>
          <t>do zrobienia</t>
        </is>
      </c>
    </row>
    <row r="97">
      <c r="A97" s="10" t="inlineStr">
        <is>
          <t>SEC-02</t>
        </is>
      </c>
      <c r="B97" s="11" t="inlineStr">
        <is>
          <t>Stripe jest w allowliście wyłącznie po nazwie, a ipset powstaje z rozwiązania nazw</t>
        </is>
      </c>
      <c r="C97" s="10" t="inlineStr">
        <is>
          <t>audyt</t>
        </is>
      </c>
      <c r="D97" s="10" t="inlineStr">
        <is>
          <t>G — SSL i bezpieczeństwo</t>
        </is>
      </c>
      <c r="E97" s="10" t="inlineStr">
        <is>
          <t>ŚREDNIA</t>
        </is>
      </c>
      <c r="F97" s="10" t="n">
        <v>6</v>
      </c>
      <c r="G97" s="10" t="n">
        <v>16</v>
      </c>
      <c r="H97" s="10" t="inlineStr">
        <is>
          <t>Faza 3 — Wejście na rynek</t>
        </is>
      </c>
      <c r="I97" s="10" t="inlineStr">
        <is>
          <t>2026-10-12</t>
        </is>
      </c>
      <c r="J97" s="10" t="inlineStr">
        <is>
          <t>2026-10-16</t>
        </is>
      </c>
      <c r="K97" s="10" t="inlineStr">
        <is>
          <t>DZIAŁA</t>
        </is>
      </c>
      <c r="L97" s="11" t="inlineStr">
        <is>
          <t>pomiar --pomiar 2026-10-06 (host 14 d): zero połączeń hosta do Stripe; Stripe tylko z kontenera API (FORWARD)</t>
        </is>
      </c>
      <c r="M97" s="11" t="inlineStr">
        <is>
          <t>—</t>
        </is>
      </c>
      <c r="N97" s="11" t="inlineStr">
        <is>
          <t>Funkcja dostępna z panelu klienta bez wychodzenia do DirectAdmina; test uruchamiany w CI.</t>
        </is>
      </c>
      <c r="O97"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7" s="10" t="inlineStr">
        <is>
          <t>do zrobienia</t>
        </is>
      </c>
    </row>
    <row r="98">
      <c r="A98" s="10" t="inlineStr">
        <is>
          <t>NODE-02</t>
        </is>
      </c>
      <c r="B98" s="11" t="inlineStr">
        <is>
          <t>`main()` nie sprawdza kodów powrotu</t>
        </is>
      </c>
      <c r="C98" s="10" t="inlineStr">
        <is>
          <t>audyt</t>
        </is>
      </c>
      <c r="D98" s="10" t="inlineStr">
        <is>
          <t>Q — Przewaga</t>
        </is>
      </c>
      <c r="E98" s="10" t="inlineStr">
        <is>
          <t>WYSOKA</t>
        </is>
      </c>
      <c r="F98" s="10" t="n">
        <v>6</v>
      </c>
      <c r="G98" s="10" t="n">
        <v>16</v>
      </c>
      <c r="H98" s="10" t="inlineStr">
        <is>
          <t>Faza 3 — Wejście na rynek</t>
        </is>
      </c>
      <c r="I98" s="10" t="inlineStr">
        <is>
          <t>2026-10-12</t>
        </is>
      </c>
      <c r="J98" s="10" t="inlineStr">
        <is>
          <t>2026-10-16</t>
        </is>
      </c>
      <c r="K98" s="10" t="inlineStr">
        <is>
          <t>CZĘŚCIOWE</t>
        </is>
      </c>
      <c r="L98"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8" s="11" t="inlineStr">
        <is>
          <t>—</t>
        </is>
      </c>
      <c r="N98" s="11" t="inlineStr">
        <is>
          <t>Ograniczenie opisane w uwagach macierzy zniknęło; test potwierdza zachowanie także w scenariuszu awaryjnym.</t>
        </is>
      </c>
      <c r="O98"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8" s="10" t="inlineStr">
        <is>
          <t>do zrobienia</t>
        </is>
      </c>
    </row>
    <row r="99">
      <c r="A99" s="10" t="inlineStr">
        <is>
          <t>H-20</t>
        </is>
      </c>
      <c r="B99" s="11" t="inlineStr">
        <is>
          <t>Test odtworzeniowy z datą ostatniego wykonania (część)</t>
        </is>
      </c>
      <c r="C99" s="10" t="inlineStr">
        <is>
          <t>audyt</t>
        </is>
      </c>
      <c r="D99" s="10" t="inlineStr">
        <is>
          <t>H — Backup i odtwarzanie</t>
        </is>
      </c>
      <c r="E99" s="10" t="inlineStr">
        <is>
          <t>BLOKER STARTU</t>
        </is>
      </c>
      <c r="F99" s="10" t="n">
        <v>2</v>
      </c>
      <c r="G99" s="10" t="n">
        <v>16</v>
      </c>
      <c r="H99" s="10" t="inlineStr">
        <is>
          <t>Faza 3 — Wejście na rynek</t>
        </is>
      </c>
      <c r="I99" s="10" t="inlineStr">
        <is>
          <t>2026-10-12</t>
        </is>
      </c>
      <c r="J99" s="10" t="inlineStr">
        <is>
          <t>2026-10-16</t>
        </is>
      </c>
      <c r="K99" s="10" t="inlineStr">
        <is>
          <t>CZĘŚCIOWE</t>
        </is>
      </c>
      <c r="L99"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t>
        </is>
      </c>
      <c r="M99" s="11" t="inlineStr">
        <is>
          <t>PB-02 (drill wykonujemy na węźle #1)</t>
        </is>
      </c>
      <c r="N99" s="11" t="inlineStr">
        <is>
          <t>Ograniczenie opisane w uwagach macierzy zniknęło; test potwierdza zachowanie także w scenariuszu awaryjnym.</t>
        </is>
      </c>
      <c r="O99"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t>
        </is>
      </c>
      <c r="P99" s="10" t="inlineStr">
        <is>
          <t>do zrobienia</t>
        </is>
      </c>
    </row>
    <row r="100">
      <c r="A100" s="10" t="inlineStr">
        <is>
          <t>SEC-11</t>
        </is>
      </c>
      <c r="B100" s="11" t="inlineStr">
        <is>
          <t>CSP z nonce w panelach i na www — bez 'unsafe-inline' w script-src</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CZĘŚCIOWE</t>
        </is>
      </c>
      <c r="L100"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0" s="11" t="inlineStr">
        <is>
          <t>—</t>
        </is>
      </c>
      <c r="N100" s="11" t="inlineStr">
        <is>
          <t>Ograniczenie opisane w uwagach macierzy zniknęło; test potwierdza zachowanie także w scenariuszu awaryjnym.</t>
        </is>
      </c>
      <c r="O100"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t>
        </is>
      </c>
      <c r="P100" s="10" t="inlineStr">
        <is>
          <t>do zrobienia</t>
        </is>
      </c>
    </row>
    <row r="101">
      <c r="A101" s="10" t="inlineStr">
        <is>
          <t>PB-23</t>
        </is>
      </c>
      <c r="B101" s="11" t="inlineStr">
        <is>
          <t>Każdy widok osiągalny z menu (klient, admin, staff)</t>
        </is>
      </c>
      <c r="C101" s="10" t="inlineStr">
        <is>
          <t>poza audytem</t>
        </is>
      </c>
      <c r="D101" s="10" t="inlineStr">
        <is>
          <t>Praca spoza audytu</t>
        </is>
      </c>
      <c r="E101" s="10" t="inlineStr">
        <is>
          <t>ŚREDNI</t>
        </is>
      </c>
      <c r="F101" s="10" t="n">
        <v>10</v>
      </c>
      <c r="G101" s="10" t="n">
        <v>16</v>
      </c>
      <c r="H101" s="10" t="inlineStr">
        <is>
          <t>Faza 3 — Wejście na rynek</t>
        </is>
      </c>
      <c r="I101" s="10" t="inlineStr">
        <is>
          <t>2026-10-12</t>
        </is>
      </c>
      <c r="J101" s="10" t="inlineStr">
        <is>
          <t>2026-10-16</t>
        </is>
      </c>
      <c r="K101" s="10" t="inlineStr">
        <is>
          <t>—</t>
        </is>
      </c>
      <c r="L101" s="11" t="inlineStr">
        <is>
          <t>—</t>
        </is>
      </c>
      <c r="M101" s="11" t="inlineStr">
        <is>
          <t>—</t>
        </is>
      </c>
      <c r="N101" s="11" t="inlineStr">
        <is>
          <t>Lista tras vs menu dla trzech paneli bez luk; test-strażnik czerwony po dodaniu trasy bez wejścia w nawigacji.</t>
        </is>
      </c>
      <c r="O10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1" s="10" t="inlineStr">
        <is>
          <t>do zrobienia</t>
        </is>
      </c>
    </row>
    <row r="102">
      <c r="A102" s="10" t="inlineStr">
        <is>
          <t>PB-30</t>
        </is>
      </c>
      <c r="B102" s="11" t="inlineStr">
        <is>
          <t>Jeden plik wersji dla floty + test zgodności</t>
        </is>
      </c>
      <c r="C102" s="10" t="inlineStr">
        <is>
          <t>poza audytem</t>
        </is>
      </c>
      <c r="D102" s="10" t="inlineStr">
        <is>
          <t>Praca spoza audytu</t>
        </is>
      </c>
      <c r="E102" s="10" t="inlineStr">
        <is>
          <t>WYSOKI</t>
        </is>
      </c>
      <c r="F102" s="10" t="n">
        <v>12</v>
      </c>
      <c r="G102" s="10" t="n">
        <v>16</v>
      </c>
      <c r="H102" s="10" t="inlineStr">
        <is>
          <t>Faza 3 — Wejście na rynek</t>
        </is>
      </c>
      <c r="I102" s="10" t="inlineStr">
        <is>
          <t>2026-10-12</t>
        </is>
      </c>
      <c r="J102" s="10" t="inlineStr">
        <is>
          <t>2026-10-16</t>
        </is>
      </c>
      <c r="K102" s="10" t="inlineStr">
        <is>
          <t>—</t>
        </is>
      </c>
      <c r="L102" s="11" t="inlineStr">
        <is>
          <t>—</t>
        </is>
      </c>
      <c r="M102" s="11" t="inlineStr">
        <is>
          <t>—</t>
        </is>
      </c>
      <c r="N102" s="11" t="inlineStr">
        <is>
          <t>Dwa węzły z tego samego manifestu dają identyczny raport wersji; różnica widoczna w panelu.</t>
        </is>
      </c>
      <c r="O102"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2" s="10" t="inlineStr">
        <is>
          <t>do zrobienia</t>
        </is>
      </c>
    </row>
    <row r="103">
      <c r="A103" s="10" t="inlineStr">
        <is>
          <t>PB-31</t>
        </is>
      </c>
      <c r="B103" s="11" t="inlineStr">
        <is>
          <t>Pełna automatyzacja kreatora węzła</t>
        </is>
      </c>
      <c r="C103" s="10" t="inlineStr">
        <is>
          <t>poza audytem</t>
        </is>
      </c>
      <c r="D103" s="10" t="inlineStr">
        <is>
          <t>Praca spoza audytu</t>
        </is>
      </c>
      <c r="E103" s="10" t="inlineStr">
        <is>
          <t>WYSOKI</t>
        </is>
      </c>
      <c r="F103" s="10" t="n">
        <v>20</v>
      </c>
      <c r="G103" s="10" t="n">
        <v>16</v>
      </c>
      <c r="H103" s="10" t="inlineStr">
        <is>
          <t>Faza 3 — Wejście na rynek</t>
        </is>
      </c>
      <c r="I103" s="10" t="inlineStr">
        <is>
          <t>2026-10-12</t>
        </is>
      </c>
      <c r="J103" s="10" t="inlineStr">
        <is>
          <t>2026-10-16</t>
        </is>
      </c>
      <c r="K103" s="10" t="inlineStr">
        <is>
          <t>—</t>
        </is>
      </c>
      <c r="L103" s="11" t="inlineStr">
        <is>
          <t>—</t>
        </is>
      </c>
      <c r="M103" s="11" t="inlineStr">
        <is>
          <t>—</t>
        </is>
      </c>
      <c r="N103" s="11" t="inlineStr">
        <is>
          <t>Węzeł testowy od czystego AlmaLinux do zielonego raportu bez SSH ręcznie.</t>
        </is>
      </c>
      <c r="O103"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03" s="10" t="inlineStr">
        <is>
          <t>do zrobienia</t>
        </is>
      </c>
    </row>
    <row r="104">
      <c r="A104" s="10" t="inlineStr">
        <is>
          <t>PB-32</t>
        </is>
      </c>
      <c r="B104" s="11" t="inlineStr">
        <is>
          <t>Aktualizacje węzłów falami</t>
        </is>
      </c>
      <c r="C104" s="10" t="inlineStr">
        <is>
          <t>poza audytem</t>
        </is>
      </c>
      <c r="D104" s="10" t="inlineStr">
        <is>
          <t>Praca spoza audytu</t>
        </is>
      </c>
      <c r="E104" s="10" t="inlineStr">
        <is>
          <t>ŚREDNI</t>
        </is>
      </c>
      <c r="F104" s="10" t="n">
        <v>8</v>
      </c>
      <c r="G104" s="10" t="n">
        <v>16</v>
      </c>
      <c r="H104" s="10" t="inlineStr">
        <is>
          <t>Faza 3 — Wejście na rynek</t>
        </is>
      </c>
      <c r="I104" s="10" t="inlineStr">
        <is>
          <t>2026-10-12</t>
        </is>
      </c>
      <c r="J104" s="10" t="inlineStr">
        <is>
          <t>2026-10-16</t>
        </is>
      </c>
      <c r="K104" s="10" t="inlineStr">
        <is>
          <t>—</t>
        </is>
      </c>
      <c r="L104" s="11" t="inlineStr">
        <is>
          <t>—</t>
        </is>
      </c>
      <c r="M104" s="11" t="inlineStr">
        <is>
          <t>—</t>
        </is>
      </c>
      <c r="N104" s="11" t="inlineStr">
        <is>
          <t>Fala zatrzymuje się na pierwszym błędzie; status w panelu zgodny z logiem.</t>
        </is>
      </c>
      <c r="O104"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04" s="10" t="inlineStr">
        <is>
          <t>do zrobienia</t>
        </is>
      </c>
    </row>
    <row r="105">
      <c r="A105" s="10" t="inlineStr">
        <is>
          <t>PB-33</t>
        </is>
      </c>
      <c r="B105" s="11" t="inlineStr">
        <is>
          <t>Wersje stosu floty w panelu + wyrównanie falą</t>
        </is>
      </c>
      <c r="C105" s="10" t="inlineStr">
        <is>
          <t>poza audytem</t>
        </is>
      </c>
      <c r="D105" s="10" t="inlineStr">
        <is>
          <t>Praca spoza audytu</t>
        </is>
      </c>
      <c r="E105" s="10" t="inlineStr">
        <is>
          <t>WYSOKI</t>
        </is>
      </c>
      <c r="F105" s="10" t="n">
        <v>12</v>
      </c>
      <c r="G105" s="10" t="n">
        <v>16</v>
      </c>
      <c r="H105" s="10" t="inlineStr">
        <is>
          <t>Faza 3 — Wejście na rynek</t>
        </is>
      </c>
      <c r="I105" s="10" t="inlineStr">
        <is>
          <t>2026-10-12</t>
        </is>
      </c>
      <c r="J105" s="10" t="inlineStr">
        <is>
          <t>2026-10-16</t>
        </is>
      </c>
      <c r="K105" s="10" t="inlineStr">
        <is>
          <t>—</t>
        </is>
      </c>
      <c r="L105" s="11" t="inlineStr">
        <is>
          <t>—</t>
        </is>
      </c>
      <c r="M105" s="11" t="inlineStr">
        <is>
          <t>—</t>
        </is>
      </c>
      <c r="N105" s="11" t="inlineStr">
        <is>
          <t>Zmiana wersji w panelu → nowy węzeł instaluje ją, istniejące wyrównane falą; audyt zgodności zielony.</t>
        </is>
      </c>
      <c r="O105"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05" s="10" t="inlineStr">
        <is>
          <t>do zrobienia</t>
        </is>
      </c>
    </row>
    <row r="106">
      <c r="A106" s="10" t="inlineStr">
        <is>
          <t>PB-35</t>
        </is>
      </c>
      <c r="B106" s="11" t="inlineStr">
        <is>
          <t>Automatyczna fala aktualizacji węzłów co tydzień</t>
        </is>
      </c>
      <c r="C106" s="10" t="inlineStr">
        <is>
          <t>poza audytem</t>
        </is>
      </c>
      <c r="D106" s="10" t="inlineStr">
        <is>
          <t>Praca spoza audytu</t>
        </is>
      </c>
      <c r="E106" s="10" t="inlineStr">
        <is>
          <t>WYSOKI</t>
        </is>
      </c>
      <c r="F106" s="10" t="n">
        <v>3</v>
      </c>
      <c r="G106" s="10" t="n">
        <v>16</v>
      </c>
      <c r="H106" s="10" t="inlineStr">
        <is>
          <t>Faza 3 — Wejście na rynek</t>
        </is>
      </c>
      <c r="I106" s="10" t="inlineStr">
        <is>
          <t>2026-10-12</t>
        </is>
      </c>
      <c r="J106" s="10" t="inlineStr">
        <is>
          <t>2026-10-16</t>
        </is>
      </c>
      <c r="K106" s="10" t="inlineStr">
        <is>
          <t>—</t>
        </is>
      </c>
      <c r="L106" s="11" t="inlineStr">
        <is>
          <t>—</t>
        </is>
      </c>
      <c r="M106" s="11" t="inlineStr">
        <is>
          <t>—</t>
        </is>
      </c>
      <c r="N106" s="11" t="inlineStr">
        <is>
          <t>Fala startuje sama w oknie; zatrzymanie widoczne w powiadomieniach admina.</t>
        </is>
      </c>
      <c r="O106"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06" s="10" t="inlineStr">
        <is>
          <t>do zrobienia</t>
        </is>
      </c>
    </row>
    <row r="107">
      <c r="A107" s="10" t="inlineStr">
        <is>
          <t>PB-41</t>
        </is>
      </c>
      <c r="B107" s="11" t="inlineStr">
        <is>
          <t>Obsługa: „Zaloguj jako klient” dla pracownika z uprawnieniem</t>
        </is>
      </c>
      <c r="C107" s="10" t="inlineStr">
        <is>
          <t>poza audytem</t>
        </is>
      </c>
      <c r="D107" s="10" t="inlineStr">
        <is>
          <t>Praca spoza audytu</t>
        </is>
      </c>
      <c r="E107" s="10" t="inlineStr">
        <is>
          <t>WYSOKI</t>
        </is>
      </c>
      <c r="F107" s="10" t="n">
        <v>4</v>
      </c>
      <c r="G107" s="10" t="n">
        <v>16</v>
      </c>
      <c r="H107" s="10" t="inlineStr">
        <is>
          <t>Faza 3 — Wejście na rynek</t>
        </is>
      </c>
      <c r="I107" s="10" t="inlineStr">
        <is>
          <t>2026-10-12</t>
        </is>
      </c>
      <c r="J107" s="10" t="inlineStr">
        <is>
          <t>2026-10-16</t>
        </is>
      </c>
      <c r="K107" s="10" t="inlineStr">
        <is>
          <t>—</t>
        </is>
      </c>
      <c r="L107" s="11" t="inlineStr">
        <is>
          <t>—</t>
        </is>
      </c>
      <c r="M107" s="11" t="inlineStr">
        <is>
          <t>—</t>
        </is>
      </c>
      <c r="N107" s="11" t="inlineStr">
        <is>
          <t>Pracownik z uprawnieniem wchodzi na konto klienta z panelu staff, bez uprawnienia — odmowa z komunikatem; powód i czas w dzienniku obu stron; testy guardu i kontrolera.</t>
        </is>
      </c>
      <c r="O107"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07" s="10" t="inlineStr">
        <is>
          <t>do zrobienia</t>
        </is>
      </c>
    </row>
    <row r="108">
      <c r="A108" s="10" t="inlineStr">
        <is>
          <t>PB-42</t>
        </is>
      </c>
      <c r="B108" s="11" t="inlineStr">
        <is>
          <t>Obsługa: podgląd konta klienta (DNS, domeny, poczta, bazy, PHP, SSL, cron, logi, zasoby, kopie)</t>
        </is>
      </c>
      <c r="C108" s="10" t="inlineStr">
        <is>
          <t>poza audytem</t>
        </is>
      </c>
      <c r="D108" s="10" t="inlineStr">
        <is>
          <t>Praca spoza audytu</t>
        </is>
      </c>
      <c r="E108" s="10" t="inlineStr">
        <is>
          <t>WYSOKI</t>
        </is>
      </c>
      <c r="F108" s="10" t="n">
        <v>30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W panelu staff i admin karta usługi pokazuje wymienione sekcje z żywego węzła; odczyt wymaga uprawnienia i trafia do dziennika; testy kontrolera (uprawnienia, cudza usługa) i panelu; sprawdzone na t1 na koncie d3.</t>
        </is>
      </c>
      <c r="O108"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08" s="10" t="inlineStr">
        <is>
          <t>do zrobienia</t>
        </is>
      </c>
    </row>
    <row r="109">
      <c r="A109" s="10" t="inlineStr">
        <is>
          <t>PB-43</t>
        </is>
      </c>
      <c r="B109" s="11" t="inlineStr">
        <is>
          <t>Obsługa: zgłoszenie powiązane z usługą + diagnostyka z poziomu zgłoszenia</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Zgłoszenie zapisuje usługę (migracja bazy), panel klienta pozwala ją wybrać, staff widzi diagnostykę i kartę usługi przy rozmowie; testy na PostgreSQL.</t>
        </is>
      </c>
      <c r="O109"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09" s="10" t="inlineStr">
        <is>
          <t>do zrobienia</t>
        </is>
      </c>
    </row>
    <row r="110">
      <c r="A110" s="10" t="inlineStr">
        <is>
          <t>PB-54</t>
        </is>
      </c>
      <c r="B110" s="11" t="inlineStr">
        <is>
          <t>Odtworzenie z kopii na żywo przed betą (bazy platformy + konto na t1)</t>
        </is>
      </c>
      <c r="C110" s="10" t="inlineStr">
        <is>
          <t>poza audytem</t>
        </is>
      </c>
      <c r="D110" s="10" t="inlineStr">
        <is>
          <t>Praca spoza audytu</t>
        </is>
      </c>
      <c r="E110" s="10" t="inlineStr">
        <is>
          <t>KRYTYCZNY</t>
        </is>
      </c>
      <c r="F110" s="10" t="n">
        <v>4</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Wiersz RestoreDrill z wynikiem OK, datą i właścicielem nie starszy niż 30 dni w dniu startu bety (19.10); zapis odtworzenia konta na t1 z datą, czasem i wynikiem; H-20 → DZIAŁA (D4), flaga BLOKER zdjęta; termin kolejnej próby w kalendarzu.</t>
        </is>
      </c>
      <c r="O110"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t>
        </is>
      </c>
      <c r="P110" s="10" t="inlineStr">
        <is>
          <t>do zrobienia</t>
        </is>
      </c>
    </row>
    <row r="111">
      <c r="A111" s="10" t="inlineStr">
        <is>
          <t>PB-55</t>
        </is>
      </c>
      <c r="B111" s="11" t="inlineStr">
        <is>
          <t>Pula sprzedażowa t1 przed wznowieniem nowych kont (18.10)</t>
        </is>
      </c>
      <c r="C111" s="10" t="inlineStr">
        <is>
          <t>poza audytem</t>
        </is>
      </c>
      <c r="D111" s="10" t="inlineStr">
        <is>
          <t>Praca spoza audytu</t>
        </is>
      </c>
      <c r="E111" s="10" t="inlineStr">
        <is>
          <t>WYSOKI</t>
        </is>
      </c>
      <c r="F111" s="10" t="n">
        <v>2</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Decyzja zapisana; karta węzła t1 pokazuje zapas kont co najmniej równy liczbie testerów bety; próbny zakup hostingu z konta testowego przechodzi przez selektor przed 18.10.</t>
        </is>
      </c>
      <c r="O111"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t>
        </is>
      </c>
      <c r="P111" s="10" t="inlineStr">
        <is>
          <t>do zrobienia</t>
        </is>
      </c>
    </row>
    <row r="112">
      <c r="A112" s="10" t="inlineStr">
        <is>
          <t>P-15</t>
        </is>
      </c>
      <c r="B112" s="11" t="inlineStr">
        <is>
          <t>Podpisane DPA z subprocesorami (część)</t>
        </is>
      </c>
      <c r="C112" s="10" t="inlineStr">
        <is>
          <t>audyt</t>
        </is>
      </c>
      <c r="D112" s="10" t="inlineStr">
        <is>
          <t>P — Zgodność</t>
        </is>
      </c>
      <c r="E112" s="10" t="inlineStr">
        <is>
          <t>BLOKER STARTU</t>
        </is>
      </c>
      <c r="F112" s="10" t="n">
        <v>6</v>
      </c>
      <c r="G112" s="10" t="n">
        <v>17</v>
      </c>
      <c r="H112" s="10" t="inlineStr">
        <is>
          <t>Faza 3 — Wejście na rynek</t>
        </is>
      </c>
      <c r="I112" s="10" t="inlineStr">
        <is>
          <t>2026-11-23</t>
        </is>
      </c>
      <c r="J112" s="10" t="inlineStr">
        <is>
          <t>2026-11-27</t>
        </is>
      </c>
      <c r="K112" s="10" t="inlineStr">
        <is>
          <t>DZIAŁA</t>
        </is>
      </c>
      <c r="L112" s="11" t="inlineStr">
        <is>
          <t>docs/legal/dpa-subprocessors-tracking.md — tabela statusow po korekcie 2026-09-19. Stripe i AWS: DPA obowiazuje z mocy umowy glownej. Hetzner i Openprovider: akceptacja w panelu, jeszcze nie wykonana. Cloudflare: mechanizm do potwierdzenia.</t>
        </is>
      </c>
      <c r="M112" s="11" t="inlineStr">
        <is>
          <t>—</t>
        </is>
      </c>
      <c r="N112" s="11" t="inlineStr">
        <is>
          <t>Funkcja dostępna z panelu klienta bez wychodzenia do DirectAdmina; test uruchamiany w CI.</t>
        </is>
      </c>
      <c r="O11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2" s="10" t="inlineStr">
        <is>
          <t>do zrobienia</t>
        </is>
      </c>
    </row>
    <row r="113">
      <c r="A113" s="10" t="inlineStr">
        <is>
          <t>N-14</t>
        </is>
      </c>
      <c r="B113" s="11" t="inlineStr">
        <is>
          <t>Cordon wysyłki poczty (auto-blokada spamu)</t>
        </is>
      </c>
      <c r="C113" s="10" t="inlineStr">
        <is>
          <t>audyt</t>
        </is>
      </c>
      <c r="D113" s="10" t="inlineStr">
        <is>
          <t>N — Wsparcie i ops</t>
        </is>
      </c>
      <c r="E113" s="10" t="inlineStr">
        <is>
          <t>BLOKER STARTU</t>
        </is>
      </c>
      <c r="F113" s="10" t="n">
        <v>6</v>
      </c>
      <c r="G113" s="10" t="n">
        <v>17</v>
      </c>
      <c r="H113" s="10" t="inlineStr">
        <is>
          <t>Faza 3 — Wejście na rynek</t>
        </is>
      </c>
      <c r="I113" s="10" t="inlineStr">
        <is>
          <t>2026-11-23</t>
        </is>
      </c>
      <c r="J113" s="10" t="inlineStr">
        <is>
          <t>2026-11-27</t>
        </is>
      </c>
      <c r="K113" s="10" t="inlineStr">
        <is>
          <t>CZĘŚCIOWE</t>
        </is>
      </c>
      <c r="L113"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t>
        </is>
      </c>
      <c r="M113" s="11" t="inlineStr">
        <is>
          <t>—</t>
        </is>
      </c>
      <c r="N113" s="11" t="inlineStr">
        <is>
          <t>Ograniczenie opisane w uwagach macierzy zniknęło; test potwierdza zachowanie także w scenariuszu awaryjnym.</t>
        </is>
      </c>
      <c r="O113"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t>
        </is>
      </c>
      <c r="P113" s="10" t="inlineStr">
        <is>
          <t>do zrobienia</t>
        </is>
      </c>
    </row>
    <row r="114">
      <c r="A114" s="10" t="inlineStr">
        <is>
          <t>PB-03</t>
        </is>
      </c>
      <c r="B114" s="11" t="inlineStr">
        <is>
          <t>Finalizacja dokumentów prawnych 1.0.0</t>
        </is>
      </c>
      <c r="C114" s="10" t="inlineStr">
        <is>
          <t>poza audytem</t>
        </is>
      </c>
      <c r="D114" s="10" t="inlineStr">
        <is>
          <t>Praca spoza audytu</t>
        </is>
      </c>
      <c r="E114" s="10" t="inlineStr">
        <is>
          <t>BLOKER BIZNESOWY</t>
        </is>
      </c>
      <c r="F114" s="10" t="n">
        <v>16</v>
      </c>
      <c r="G114" s="10" t="n">
        <v>17</v>
      </c>
      <c r="H114" s="10" t="inlineStr">
        <is>
          <t>Faza 3 — Wejście na rynek</t>
        </is>
      </c>
      <c r="I114" s="10" t="inlineStr">
        <is>
          <t>2026-11-23</t>
        </is>
      </c>
      <c r="J114" s="10" t="inlineStr">
        <is>
          <t>2026-11-27</t>
        </is>
      </c>
      <c r="K114" s="10" t="inlineStr">
        <is>
          <t>—</t>
        </is>
      </c>
      <c r="L114" s="11" t="inlineStr">
        <is>
          <t>—</t>
        </is>
      </c>
      <c r="M114" s="11" t="inlineStr">
        <is>
          <t>—</t>
        </is>
      </c>
      <c r="N114" s="11" t="inlineStr">
        <is>
          <t>Wszystkie dokumenty w statusie opublikowanym z numerem wersji i datą. Panel /legal nie pokazuje ani jednego „Dokument w przygotowaniu”.</t>
        </is>
      </c>
      <c r="O114"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14" s="10" t="inlineStr">
        <is>
          <t>do zrobienia</t>
        </is>
      </c>
    </row>
    <row r="115">
      <c r="A115" s="10" t="inlineStr">
        <is>
          <t>PB-04</t>
        </is>
      </c>
      <c r="B115" s="11" t="inlineStr">
        <is>
          <t>Procedura obsługi nadużyć (abuse) — dokument</t>
        </is>
      </c>
      <c r="C115" s="10" t="inlineStr">
        <is>
          <t>poza audytem</t>
        </is>
      </c>
      <c r="D115" s="10" t="inlineStr">
        <is>
          <t>Praca spoza audytu</t>
        </is>
      </c>
      <c r="E115" s="10" t="inlineStr">
        <is>
          <t>WYSOKI</t>
        </is>
      </c>
      <c r="F115" s="10" t="n">
        <v>8</v>
      </c>
      <c r="G115" s="10" t="n">
        <v>17</v>
      </c>
      <c r="H115" s="10" t="inlineStr">
        <is>
          <t>Faza 3 — Wejście na rynek</t>
        </is>
      </c>
      <c r="I115" s="10" t="inlineStr">
        <is>
          <t>2026-11-23</t>
        </is>
      </c>
      <c r="J115" s="10" t="inlineStr">
        <is>
          <t>2026-11-27</t>
        </is>
      </c>
      <c r="K115" s="10" t="inlineStr">
        <is>
          <t>—</t>
        </is>
      </c>
      <c r="L115" s="11" t="inlineStr">
        <is>
          <t>—</t>
        </is>
      </c>
      <c r="M115" s="11" t="inlineStr">
        <is>
          <t>—</t>
        </is>
      </c>
      <c r="N115" s="11" t="inlineStr">
        <is>
          <t>Dokument w ops/docs z właścicielem i czasami reakcji. Test: zgłoszenie wysłane na abuse@ trafia do kogoś i ma odpowiedź w deklarowanym czasie.</t>
        </is>
      </c>
      <c r="O115"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15" s="10" t="inlineStr">
        <is>
          <t>do zrobienia</t>
        </is>
      </c>
    </row>
    <row r="116">
      <c r="A116" s="10" t="inlineStr">
        <is>
          <t>PB-52</t>
        </is>
      </c>
      <c r="B116" s="11" t="inlineStr">
        <is>
          <t>Blokada wysyłki konta i kolejka MTA (bloker B3, decyzja D4)</t>
        </is>
      </c>
      <c r="C116" s="10" t="inlineStr">
        <is>
          <t>poza audytem</t>
        </is>
      </c>
      <c r="D116" s="10" t="inlineStr">
        <is>
          <t>Praca spoza audytu</t>
        </is>
      </c>
      <c r="E116" s="10" t="inlineStr">
        <is>
          <t>KRYTYCZNY</t>
        </is>
      </c>
      <c r="F116" s="10" t="n">
        <v>24</v>
      </c>
      <c r="G116" s="10" t="n">
        <v>17</v>
      </c>
      <c r="H116" s="10" t="inlineStr">
        <is>
          <t>Faza 3 — Wejście na rynek</t>
        </is>
      </c>
      <c r="I116" s="10" t="inlineStr">
        <is>
          <t>2026-11-23</t>
        </is>
      </c>
      <c r="J116" s="10" t="inlineStr">
        <is>
          <t>2026-11-27</t>
        </is>
      </c>
      <c r="K116" s="10" t="inlineStr">
        <is>
          <t>—</t>
        </is>
      </c>
      <c r="L116" s="11" t="inlineStr">
        <is>
          <t>—</t>
        </is>
      </c>
      <c r="M116" s="11" t="inlineStr">
        <is>
          <t>—</t>
        </is>
      </c>
      <c r="N116" s="11" t="inlineStr">
        <is>
          <t>Test na t1: mail() z PHP zablokowanego konta jest odrzucany, po „Usuń wiadomości konta” kolejka węzła jest czysta, „Zwolnij” przywraca wysyłkę; wpisy w dzienniku; N-14 → DZIAŁA z D3, flaga BLOKER zdjęta.</t>
        </is>
      </c>
      <c r="O116"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t>
        </is>
      </c>
      <c r="P116" s="10" t="inlineStr">
        <is>
          <t>do zrobienia</t>
        </is>
      </c>
    </row>
    <row r="117">
      <c r="A117" s="10" t="inlineStr">
        <is>
          <t>N-16</t>
        </is>
      </c>
      <c r="B117" s="11" t="inlineStr">
        <is>
          <t>SLA z zapisanymi kredytami</t>
        </is>
      </c>
      <c r="C117" s="10" t="inlineStr">
        <is>
          <t>audyt</t>
        </is>
      </c>
      <c r="D117" s="10" t="inlineStr">
        <is>
          <t>N — Wsparcie i ops</t>
        </is>
      </c>
      <c r="E117" s="10" t="inlineStr">
        <is>
          <t>WYSOKA</t>
        </is>
      </c>
      <c r="F117" s="10" t="n">
        <v>6</v>
      </c>
      <c r="G117" s="10" t="n">
        <v>18</v>
      </c>
      <c r="H117" s="10" t="inlineStr">
        <is>
          <t>Faza 3 — Wejście na rynek</t>
        </is>
      </c>
      <c r="I117" s="10" t="inlineStr">
        <is>
          <t>2026-11-30</t>
        </is>
      </c>
      <c r="J117" s="10" t="inlineStr">
        <is>
          <t>2026-12-04</t>
        </is>
      </c>
      <c r="K117" s="10" t="inlineStr">
        <is>
          <t>DZIAŁA</t>
        </is>
      </c>
      <c r="L117"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17" s="11" t="inlineStr">
        <is>
          <t>PB-03 (kredyty SLA muszą być zgodne z opublikowanym regulaminem)</t>
        </is>
      </c>
      <c r="N117" s="11" t="inlineStr">
        <is>
          <t>Funkcja dostępna z panelu klienta bez wychodzenia do DirectAdmina; test uruchamiany w CI.</t>
        </is>
      </c>
      <c r="O117"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17" s="10" t="inlineStr">
        <is>
          <t>do zrobienia</t>
        </is>
      </c>
    </row>
    <row r="118">
      <c r="A118" s="10" t="inlineStr">
        <is>
          <t>A-11</t>
        </is>
      </c>
      <c r="B118" s="11" t="inlineStr">
        <is>
          <t>Wyszukiwarka wolnych domen</t>
        </is>
      </c>
      <c r="C118" s="10" t="inlineStr">
        <is>
          <t>audyt</t>
        </is>
      </c>
      <c r="D118" s="10" t="inlineStr">
        <is>
          <t>A — Domeny i konta</t>
        </is>
      </c>
      <c r="E118" s="10" t="inlineStr">
        <is>
          <t>WYSOKA</t>
        </is>
      </c>
      <c r="F118" s="10" t="n">
        <v>6</v>
      </c>
      <c r="G118" s="10" t="n">
        <v>18</v>
      </c>
      <c r="H118" s="10" t="inlineStr">
        <is>
          <t>Faza 3 — Wejście na rynek</t>
        </is>
      </c>
      <c r="I118" s="10" t="inlineStr">
        <is>
          <t>2026-11-30</t>
        </is>
      </c>
      <c r="J118" s="10" t="inlineStr">
        <is>
          <t>2026-12-04</t>
        </is>
      </c>
      <c r="K118" s="10" t="inlineStr">
        <is>
          <t>DZIAŁA</t>
        </is>
      </c>
      <c r="L118" s="11" t="inlineStr">
        <is>
          <t>domains.controller.ts:54</t>
        </is>
      </c>
      <c r="M118" s="11" t="inlineStr">
        <is>
          <t>—</t>
        </is>
      </c>
      <c r="N118" s="11" t="inlineStr">
        <is>
          <t>Funkcja dostępna z panelu klienta bez wychodzenia do DirectAdmina; test uruchamiany w CI.</t>
        </is>
      </c>
      <c r="O118"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18" s="10" t="inlineStr">
        <is>
          <t>do zrobienia</t>
        </is>
      </c>
    </row>
    <row r="119">
      <c r="A119" s="10" t="inlineStr">
        <is>
          <t>PB-07</t>
        </is>
      </c>
      <c r="B119" s="11" t="inlineStr">
        <is>
          <t>Treści i cennik na verris.pl</t>
        </is>
      </c>
      <c r="C119" s="10" t="inlineStr">
        <is>
          <t>poza audytem</t>
        </is>
      </c>
      <c r="D119" s="10" t="inlineStr">
        <is>
          <t>Praca spoza audytu</t>
        </is>
      </c>
      <c r="E119" s="10" t="inlineStr">
        <is>
          <t>WYSOKI</t>
        </is>
      </c>
      <c r="F119" s="10" t="n">
        <v>16</v>
      </c>
      <c r="G119" s="10" t="n">
        <v>18</v>
      </c>
      <c r="H119" s="10" t="inlineStr">
        <is>
          <t>Faza 3 — Wejście na rynek</t>
        </is>
      </c>
      <c r="I119" s="10" t="inlineStr">
        <is>
          <t>2026-11-30</t>
        </is>
      </c>
      <c r="J119" s="10" t="inlineStr">
        <is>
          <t>2026-12-04</t>
        </is>
      </c>
      <c r="K119" s="10" t="inlineStr">
        <is>
          <t>—</t>
        </is>
      </c>
      <c r="L119" s="11" t="inlineStr">
        <is>
          <t>—</t>
        </is>
      </c>
      <c r="M119" s="11" t="inlineStr">
        <is>
          <t>PB-01 (cennik zależy od unit economics)</t>
        </is>
      </c>
      <c r="N119" s="11" t="inlineStr">
        <is>
          <t>Cennik zgodny z wynikiem PB-01. Specyfikacja techniczna publiczna, jak u cyber_Folks — to jest element zaufania, którego rynek oczekuje.</t>
        </is>
      </c>
      <c r="O119"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19" s="10" t="inlineStr">
        <is>
          <t>do zrobienia</t>
        </is>
      </c>
    </row>
    <row r="120">
      <c r="A120" s="10" t="inlineStr">
        <is>
          <t>PB-11</t>
        </is>
      </c>
      <c r="B120" s="11" t="inlineStr">
        <is>
          <t>Bus factor: drugi kanał alertów i procedura zastępstwa</t>
        </is>
      </c>
      <c r="C120" s="10" t="inlineStr">
        <is>
          <t>poza audytem</t>
        </is>
      </c>
      <c r="D120" s="10" t="inlineStr">
        <is>
          <t>Praca spoza audytu</t>
        </is>
      </c>
      <c r="E120" s="10" t="inlineStr">
        <is>
          <t>WYSOKI</t>
        </is>
      </c>
      <c r="F120" s="10" t="n">
        <v>8</v>
      </c>
      <c r="G120" s="10" t="n">
        <v>18</v>
      </c>
      <c r="H120" s="10" t="inlineStr">
        <is>
          <t>Faza 3 — Wejście na rynek</t>
        </is>
      </c>
      <c r="I120" s="10" t="inlineStr">
        <is>
          <t>2026-11-30</t>
        </is>
      </c>
      <c r="J120" s="10" t="inlineStr">
        <is>
          <t>2026-12-04</t>
        </is>
      </c>
      <c r="K120" s="10" t="inlineStr">
        <is>
          <t>—</t>
        </is>
      </c>
      <c r="L120" s="11" t="inlineStr">
        <is>
          <t>—</t>
        </is>
      </c>
      <c r="M120" s="11" t="inlineStr">
        <is>
          <t>—</t>
        </is>
      </c>
      <c r="N120" s="11" t="inlineStr">
        <is>
          <t>Alert testowy dociera dwoma kanałami. Dokument zastępstwa zawiera dostęp awaryjny i listę rzeczy, które muszą się dziać codziennie.</t>
        </is>
      </c>
      <c r="O120"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0" s="10" t="inlineStr">
        <is>
          <t>do zrobienia</t>
        </is>
      </c>
    </row>
    <row r="121">
      <c r="A121" s="10" t="inlineStr">
        <is>
          <t>PB-21</t>
        </is>
      </c>
      <c r="B121" s="11" t="inlineStr">
        <is>
          <t>DNS platformy i poczty na serwerze testowym</t>
        </is>
      </c>
      <c r="C121" s="10" t="inlineStr">
        <is>
          <t>poza audytem</t>
        </is>
      </c>
      <c r="D121" s="10" t="inlineStr">
        <is>
          <t>Praca spoza audytu</t>
        </is>
      </c>
      <c r="E121" s="10" t="inlineStr">
        <is>
          <t>WYSOKI</t>
        </is>
      </c>
      <c r="F121" s="10" t="n">
        <v>6</v>
      </c>
      <c r="G121" s="10" t="n">
        <v>18</v>
      </c>
      <c r="H121" s="10" t="inlineStr">
        <is>
          <t>Faza 3 — Wejście na rynek</t>
        </is>
      </c>
      <c r="I121" s="10" t="inlineStr">
        <is>
          <t>2026-11-30</t>
        </is>
      </c>
      <c r="J121" s="10" t="inlineStr">
        <is>
          <t>2026-12-04</t>
        </is>
      </c>
      <c r="K121" s="10" t="inlineStr">
        <is>
          <t>—</t>
        </is>
      </c>
      <c r="L121" s="11" t="inlineStr">
        <is>
          <t>—</t>
        </is>
      </c>
      <c r="M121" s="11" t="inlineStr">
        <is>
          <t>—</t>
        </is>
      </c>
      <c r="N121"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1"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1" s="10" t="inlineStr">
        <is>
          <t>do zrobienia</t>
        </is>
      </c>
    </row>
    <row r="122">
      <c r="A122" s="10" t="inlineStr">
        <is>
          <t>PB-24</t>
        </is>
      </c>
      <c r="B122" s="11" t="inlineStr">
        <is>
          <t>KSC/NIS2: wpis do wykazu podmiotów kluczowych</t>
        </is>
      </c>
      <c r="C122" s="10" t="inlineStr">
        <is>
          <t>poza audytem</t>
        </is>
      </c>
      <c r="D122" s="10" t="inlineStr">
        <is>
          <t>Praca spoza audytu</t>
        </is>
      </c>
      <c r="E122" s="10" t="inlineStr">
        <is>
          <t>WYSOKI</t>
        </is>
      </c>
      <c r="F122" s="10" t="n">
        <v>3</v>
      </c>
      <c r="G122" s="10" t="n">
        <v>18</v>
      </c>
      <c r="H122" s="10" t="inlineStr">
        <is>
          <t>Faza 3 — Wejście na rynek</t>
        </is>
      </c>
      <c r="I122" s="10" t="inlineStr">
        <is>
          <t>2026-11-30</t>
        </is>
      </c>
      <c r="J122" s="10" t="inlineStr">
        <is>
          <t>2026-12-04</t>
        </is>
      </c>
      <c r="K122" s="10" t="inlineStr">
        <is>
          <t>—</t>
        </is>
      </c>
      <c r="L122" s="11" t="inlineStr">
        <is>
          <t>—</t>
        </is>
      </c>
      <c r="M122" s="11" t="inlineStr">
        <is>
          <t>—</t>
        </is>
      </c>
      <c r="N122" s="11" t="inlineStr">
        <is>
          <t>Wpis w wykazie przed upływem 6 miesięcy od pierwszej domeny/DNS dla klienta; termin zapisany w tym zadaniu z datą.</t>
        </is>
      </c>
      <c r="O122"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2" s="10" t="inlineStr">
        <is>
          <t>do zrobienia</t>
        </is>
      </c>
    </row>
    <row r="123">
      <c r="A123" s="10" t="inlineStr">
        <is>
          <t>PB-25</t>
        </is>
      </c>
      <c r="B123" s="11" t="inlineStr">
        <is>
          <t>White label na węźle — klient nie widzi DirectAdmina</t>
        </is>
      </c>
      <c r="C123" s="10" t="inlineStr">
        <is>
          <t>poza audytem</t>
        </is>
      </c>
      <c r="D123" s="10" t="inlineStr">
        <is>
          <t>Praca spoza audytu</t>
        </is>
      </c>
      <c r="E123" s="10" t="inlineStr">
        <is>
          <t>WYSOKI</t>
        </is>
      </c>
      <c r="F123" s="10" t="n">
        <v>8</v>
      </c>
      <c r="G123" s="10" t="n">
        <v>18</v>
      </c>
      <c r="H123" s="10" t="inlineStr">
        <is>
          <t>Faza 3 — Wejście na rynek</t>
        </is>
      </c>
      <c r="I123" s="10" t="inlineStr">
        <is>
          <t>2026-11-30</t>
        </is>
      </c>
      <c r="J123" s="10" t="inlineStr">
        <is>
          <t>2026-12-04</t>
        </is>
      </c>
      <c r="K123" s="10" t="inlineStr">
        <is>
          <t>—</t>
        </is>
      </c>
      <c r="L123" s="11" t="inlineStr">
        <is>
          <t>—</t>
        </is>
      </c>
      <c r="M123" s="11" t="inlineStr">
        <is>
          <t>—</t>
        </is>
      </c>
      <c r="N123" s="11" t="inlineStr">
        <is>
          <t>Na węźle #1: logowanie do panelu hostingowego, phpMyAdmin i webmaila z panelu klienta nie pokazuje nazwy ani portu DirectAdmina; nowa domena i konto zawieszone pokazują strony Verris; zrzuty w dowodzie.</t>
        </is>
      </c>
      <c r="O123"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23" s="10" t="inlineStr">
        <is>
          <t>do zrobienia</t>
        </is>
      </c>
    </row>
    <row r="124">
      <c r="A124" s="10" t="inlineStr">
        <is>
          <t>PB-06</t>
        </is>
      </c>
      <c r="B124" s="11" t="inlineStr">
        <is>
          <t>Landing /przenies-strone</t>
        </is>
      </c>
      <c r="C124" s="10" t="inlineStr">
        <is>
          <t>poza audytem</t>
        </is>
      </c>
      <c r="D124" s="10" t="inlineStr">
        <is>
          <t>Praca spoza audytu</t>
        </is>
      </c>
      <c r="E124" s="10" t="inlineStr">
        <is>
          <t>WYSOKI</t>
        </is>
      </c>
      <c r="F124" s="10" t="n">
        <v>16</v>
      </c>
      <c r="G124" s="10" t="n">
        <v>19</v>
      </c>
      <c r="H124" s="10" t="inlineStr">
        <is>
          <t>Faza 3 — Wejście na rynek</t>
        </is>
      </c>
      <c r="I124" s="10" t="inlineStr">
        <is>
          <t>2026-11-30</t>
        </is>
      </c>
      <c r="J124" s="10" t="inlineStr">
        <is>
          <t>2026-12-04</t>
        </is>
      </c>
      <c r="K124" s="10" t="inlineStr">
        <is>
          <t>—</t>
        </is>
      </c>
      <c r="L124" s="11" t="inlineStr">
        <is>
          <t>—</t>
        </is>
      </c>
      <c r="M124" s="11" t="inlineStr">
        <is>
          <t>PB-07 (landing korzysta z ustalonego cennika)</t>
        </is>
      </c>
      <c r="N124" s="11" t="inlineStr">
        <is>
          <t>Strona opublikowana, pomiar działa, formularz i CTA prowadzą do rejestracji. Żadne twierdzenie na stronie nie jest oznaczone w macierzy jako LUKA lub ATRAPA.</t>
        </is>
      </c>
      <c r="O124"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24" s="10" t="inlineStr">
        <is>
          <t>do zrobienia</t>
        </is>
      </c>
    </row>
    <row r="125">
      <c r="A125" s="10" t="inlineStr">
        <is>
          <t>PB-09</t>
        </is>
      </c>
      <c r="B125" s="11" t="inlineStr">
        <is>
          <t>Baza wiedzy — 20 artykułów startowych</t>
        </is>
      </c>
      <c r="C125" s="10" t="inlineStr">
        <is>
          <t>poza audytem</t>
        </is>
      </c>
      <c r="D125" s="10" t="inlineStr">
        <is>
          <t>Praca spoza audytu</t>
        </is>
      </c>
      <c r="E125" s="10" t="inlineStr">
        <is>
          <t>ŚREDNI</t>
        </is>
      </c>
      <c r="F125" s="10" t="n">
        <v>16</v>
      </c>
      <c r="G125" s="10" t="n">
        <v>19</v>
      </c>
      <c r="H125" s="10" t="inlineStr">
        <is>
          <t>Faza 3 — Wejście na rynek</t>
        </is>
      </c>
      <c r="I125" s="10" t="inlineStr">
        <is>
          <t>2026-11-30</t>
        </is>
      </c>
      <c r="J125" s="10" t="inlineStr">
        <is>
          <t>2026-12-04</t>
        </is>
      </c>
      <c r="K125" s="10" t="inlineStr">
        <is>
          <t>—</t>
        </is>
      </c>
      <c r="L125" s="11" t="inlineStr">
        <is>
          <t>—</t>
        </is>
      </c>
      <c r="M125" s="11" t="inlineStr">
        <is>
          <t>—</t>
        </is>
      </c>
      <c r="N125" s="11" t="inlineStr">
        <is>
          <t>20 artykułów opublikowanych i zaindeksowanych do asystenta AI. Każdy opisuje funkcję, która w macierzy ma status DZIAŁA.</t>
        </is>
      </c>
      <c r="O125"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25" s="10" t="inlineStr">
        <is>
          <t>do zrobienia</t>
        </is>
      </c>
    </row>
    <row r="126">
      <c r="A126" s="10" t="inlineStr">
        <is>
          <t>PB-19</t>
        </is>
      </c>
      <c r="B126" s="11" t="inlineStr">
        <is>
          <t>Widok strony: ruch, TTFB, błędy 5xx, technologia i logi z węzła</t>
        </is>
      </c>
      <c r="C126" s="10" t="inlineStr">
        <is>
          <t>poza audytem</t>
        </is>
      </c>
      <c r="D126" s="10" t="inlineStr">
        <is>
          <t>Praca spoza audytu</t>
        </is>
      </c>
      <c r="E126" s="10" t="inlineStr">
        <is>
          <t>ŚREDNI</t>
        </is>
      </c>
      <c r="F126" s="10" t="n">
        <v>24</v>
      </c>
      <c r="G126" s="10" t="n">
        <v>19</v>
      </c>
      <c r="H126" s="10" t="inlineStr">
        <is>
          <t>Faza 3 — Wejście na rynek</t>
        </is>
      </c>
      <c r="I126" s="10" t="inlineStr">
        <is>
          <t>2026-11-30</t>
        </is>
      </c>
      <c r="J126" s="10" t="inlineStr">
        <is>
          <t>2026-12-04</t>
        </is>
      </c>
      <c r="K126" s="10" t="inlineStr">
        <is>
          <t>—</t>
        </is>
      </c>
      <c r="L126" s="11" t="inlineStr">
        <is>
          <t>—</t>
        </is>
      </c>
      <c r="M126" s="11" t="inlineStr">
        <is>
          <t>—</t>
        </is>
      </c>
      <c r="N126" s="11" t="inlineStr">
        <is>
          <t>Na działającym węźle produkcyjnym: widok strony pokazuje ruch 7 dni, TTFB i 5xx z prawdziwych logów, wykrytą technologię i zakładkę „Logi”; brak danych = „—”, nie zero; testy parsera logów i detekcji technologii w CI; sprawdzone na D3 (serwer).</t>
        </is>
      </c>
      <c r="O126"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26" s="10" t="inlineStr">
        <is>
          <t>do zrobienia</t>
        </is>
      </c>
    </row>
    <row r="127">
      <c r="A127" s="10" t="inlineStr">
        <is>
          <t>PB-12</t>
        </is>
      </c>
      <c r="B127" s="11" t="inlineStr">
        <is>
          <t>Runbook startu i decyzja GO</t>
        </is>
      </c>
      <c r="C127" s="10" t="inlineStr">
        <is>
          <t>poza audytem</t>
        </is>
      </c>
      <c r="D127" s="10" t="inlineStr">
        <is>
          <t>Praca spoza audytu</t>
        </is>
      </c>
      <c r="E127" s="10" t="inlineStr">
        <is>
          <t>BLOKER BIZNESOWY</t>
        </is>
      </c>
      <c r="F127" s="10" t="n">
        <v>8</v>
      </c>
      <c r="G127" s="10" t="n">
        <v>20</v>
      </c>
      <c r="H127" s="10" t="inlineStr"/>
      <c r="I127" s="10" t="inlineStr">
        <is>
          <t>2027-01-04</t>
        </is>
      </c>
      <c r="J127" s="10" t="inlineStr">
        <is>
          <t>2027-01-08</t>
        </is>
      </c>
      <c r="K127" s="10" t="inlineStr">
        <is>
          <t>—</t>
        </is>
      </c>
      <c r="L127" s="11" t="inlineStr">
        <is>
          <t>—</t>
        </is>
      </c>
      <c r="M127" s="11" t="inlineStr">
        <is>
          <t>PB-05 (decyzja GO po przejściu ścieżki na produkcji)</t>
        </is>
      </c>
      <c r="N127" s="11" t="inlineStr">
        <is>
          <t>Każdy z 11 blokerów ma wpis: co zrobiono, gdzie jest dowód, kto potwierdził. Bez formuły „warunkowe GO”.</t>
        </is>
      </c>
      <c r="O127" s="11" t="inlineStr">
        <is>
          <t>Domknięcie: przegląd wszystkich blokerów z dowodem zamknięcia, decyzja GO/NO-GO zapisana z datą.</t>
        </is>
      </c>
      <c r="P127" s="10" t="inlineStr">
        <is>
          <t>do zrobienia</t>
        </is>
      </c>
    </row>
    <row r="128">
      <c r="A128" s="10" t="inlineStr">
        <is>
          <t>PB-10</t>
        </is>
      </c>
      <c r="B128" s="11" t="inlineStr">
        <is>
          <t>Kampania gads-search-hosting-202607 — uruchomienie</t>
        </is>
      </c>
      <c r="C128" s="10" t="inlineStr">
        <is>
          <t>poza audytem</t>
        </is>
      </c>
      <c r="D128" s="10" t="inlineStr">
        <is>
          <t>Praca spoza audytu</t>
        </is>
      </c>
      <c r="E128" s="10" t="inlineStr">
        <is>
          <t>ŚREDNI</t>
        </is>
      </c>
      <c r="F128" s="10" t="n">
        <v>8</v>
      </c>
      <c r="G128" s="10" t="n">
        <v>20</v>
      </c>
      <c r="H128" s="10" t="inlineStr"/>
      <c r="I128" s="10" t="inlineStr">
        <is>
          <t>2027-01-04</t>
        </is>
      </c>
      <c r="J128" s="10" t="inlineStr">
        <is>
          <t>2027-01-08</t>
        </is>
      </c>
      <c r="K128" s="10" t="inlineStr">
        <is>
          <t>—</t>
        </is>
      </c>
      <c r="L128" s="11" t="inlineStr">
        <is>
          <t>—</t>
        </is>
      </c>
      <c r="M128" s="11" t="inlineStr">
        <is>
          <t>PB-06 (kampania kieruje na landing)</t>
        </is>
      </c>
      <c r="N128" s="11" t="inlineStr">
        <is>
          <t>Kampania utworzona wstrzymana, konwersje podpięte, budżet i stawki ustawione. Start dopiero po PB-05.</t>
        </is>
      </c>
      <c r="O128" s="11" t="inlineStr">
        <is>
          <t>Konfiguracja kampanii wyszukiwarkowej, budżet 500–1000 zł/mies., oś przekazu: migracja bez przestoju.</t>
        </is>
      </c>
      <c r="P128" s="10" t="inlineStr">
        <is>
          <t>do zrobienia</t>
        </is>
      </c>
    </row>
    <row r="129">
      <c r="A129" s="10" t="inlineStr">
        <is>
          <t>Z-18</t>
        </is>
      </c>
      <c r="B129" s="11" t="inlineStr">
        <is>
          <t>Prawdziwa przyczyna błędu provisioningu nie ginie po drodze (część)</t>
        </is>
      </c>
      <c r="C129" s="10" t="inlineStr">
        <is>
          <t>audyt</t>
        </is>
      </c>
      <c r="D129" s="10" t="inlineStr">
        <is>
          <t>Z — Pass adwersaryjny</t>
        </is>
      </c>
      <c r="E129" s="10" t="inlineStr">
        <is>
          <t>BLOKER STARTU</t>
        </is>
      </c>
      <c r="F129" s="10" t="n">
        <v>2</v>
      </c>
      <c r="G129" s="10" t="n">
        <v>21</v>
      </c>
      <c r="H129" s="10" t="inlineStr"/>
      <c r="I129" s="10" t="inlineStr">
        <is>
          <t>2026-11-09</t>
        </is>
      </c>
      <c r="J129" s="10" t="inlineStr">
        <is>
          <t>2026-11-13</t>
        </is>
      </c>
      <c r="K129" s="10" t="inlineStr">
        <is>
          <t>DZIAŁA</t>
        </is>
      </c>
      <c r="L12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29" s="11" t="inlineStr">
        <is>
          <t>—</t>
        </is>
      </c>
      <c r="N129" s="11" t="inlineStr">
        <is>
          <t>Funkcja dostępna z panelu klienta bez wychodzenia do DirectAdmina; test uruchamiany w CI.</t>
        </is>
      </c>
      <c r="O129"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29" s="10" t="inlineStr">
        <is>
          <t>do zrobienia</t>
        </is>
      </c>
    </row>
    <row r="130">
      <c r="A130" s="10" t="inlineStr">
        <is>
          <t>J-01</t>
        </is>
      </c>
      <c r="B130" s="11" t="inlineStr">
        <is>
          <t>LiteSpeed / serwer o wysokiej wydajności</t>
        </is>
      </c>
      <c r="C130" s="10" t="inlineStr">
        <is>
          <t>audyt</t>
        </is>
      </c>
      <c r="D130" s="10" t="inlineStr">
        <is>
          <t>J — Wydajność i cache</t>
        </is>
      </c>
      <c r="E130" s="10" t="inlineStr">
        <is>
          <t>WYSOKA</t>
        </is>
      </c>
      <c r="F130" s="10" t="n">
        <v>6</v>
      </c>
      <c r="G130" s="10" t="n">
        <v>21</v>
      </c>
      <c r="H130" s="10" t="inlineStr"/>
      <c r="I130" s="10" t="inlineStr">
        <is>
          <t>2026-11-09</t>
        </is>
      </c>
      <c r="J130" s="10" t="inlineStr">
        <is>
          <t>2026-11-13</t>
        </is>
      </c>
      <c r="K130" s="10" t="inlineStr">
        <is>
          <t>DZIAŁA</t>
        </is>
      </c>
      <c r="L130" s="11" t="inlineStr">
        <is>
          <t>decyzja infrastrukturalna, poza kodem panelu; D3 t1 29.09 (panel klienta, d3.hvln.pl): LiteSpeed Enterprise (Server: LiteSpeed), CacheRoot z profilu [OK], strona główna WordPressa z x-litespeed-cache: hit</t>
        </is>
      </c>
      <c r="M130" s="11" t="inlineStr">
        <is>
          <t>—</t>
        </is>
      </c>
      <c r="N130" s="11" t="inlineStr">
        <is>
          <t>Funkcja dostępna z panelu klienta bez wychodzenia do DirectAdmina; test uruchamiany w CI.</t>
        </is>
      </c>
      <c r="O130"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0" s="10" t="inlineStr">
        <is>
          <t>do zrobienia</t>
        </is>
      </c>
    </row>
    <row r="131">
      <c r="A131" s="10" t="inlineStr">
        <is>
          <t>J-04</t>
        </is>
      </c>
      <c r="B131" s="11" t="inlineStr">
        <is>
          <t>HTTP/3</t>
        </is>
      </c>
      <c r="C131" s="10" t="inlineStr">
        <is>
          <t>audyt</t>
        </is>
      </c>
      <c r="D131" s="10" t="inlineStr">
        <is>
          <t>J — Wydajność i cache</t>
        </is>
      </c>
      <c r="E131" s="10" t="inlineStr">
        <is>
          <t>ŚREDNIA</t>
        </is>
      </c>
      <c r="F131" s="10" t="n">
        <v>6</v>
      </c>
      <c r="G131" s="10" t="n">
        <v>21</v>
      </c>
      <c r="H131" s="10" t="inlineStr"/>
      <c r="I131" s="10" t="inlineStr">
        <is>
          <t>2026-11-09</t>
        </is>
      </c>
      <c r="J131" s="10" t="inlineStr">
        <is>
          <t>2026-11-13</t>
        </is>
      </c>
      <c r="K131" s="10" t="inlineStr">
        <is>
          <t>DZIAŁA</t>
        </is>
      </c>
      <c r="L131"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1" s="11" t="inlineStr">
        <is>
          <t>—</t>
        </is>
      </c>
      <c r="N131" s="11" t="inlineStr">
        <is>
          <t>Funkcja dostępna z panelu klienta bez wychodzenia do DirectAdmina; test uruchamiany w CI.</t>
        </is>
      </c>
      <c r="O131"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1" s="10" t="inlineStr">
        <is>
          <t>do zrobienia</t>
        </is>
      </c>
    </row>
    <row r="132">
      <c r="A132" s="10" t="inlineStr">
        <is>
          <t>B-01</t>
        </is>
      </c>
      <c r="B132" s="11" t="inlineStr">
        <is>
          <t>Zmiana wersji PHP dla całego konta</t>
        </is>
      </c>
      <c r="C132" s="10" t="inlineStr">
        <is>
          <t>audyt</t>
        </is>
      </c>
      <c r="D132" s="10" t="inlineStr">
        <is>
          <t>B — Runtime WWW</t>
        </is>
      </c>
      <c r="E132" s="10" t="inlineStr">
        <is>
          <t>—</t>
        </is>
      </c>
      <c r="F132" s="10" t="n">
        <v>6</v>
      </c>
      <c r="G132" s="10" t="n">
        <v>21</v>
      </c>
      <c r="H132" s="10" t="inlineStr"/>
      <c r="I132" s="10" t="inlineStr">
        <is>
          <t>2026-11-09</t>
        </is>
      </c>
      <c r="J132" s="10" t="inlineStr">
        <is>
          <t>2026-11-13</t>
        </is>
      </c>
      <c r="K132" s="10" t="inlineStr">
        <is>
          <t>DZIAŁA</t>
        </is>
      </c>
      <c r="L132"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2" s="11" t="inlineStr">
        <is>
          <t>—</t>
        </is>
      </c>
      <c r="N132" s="11" t="inlineStr">
        <is>
          <t>Funkcja dostępna z panelu klienta bez wychodzenia do DirectAdmina; test uruchamiany w CI.</t>
        </is>
      </c>
      <c r="O132"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2" s="10" t="inlineStr">
        <is>
          <t>do zrobienia</t>
        </is>
      </c>
    </row>
    <row r="133">
      <c r="A133" s="10" t="inlineStr">
        <is>
          <t>PB-02</t>
        </is>
      </c>
      <c r="B133" s="11" t="inlineStr">
        <is>
          <t>Onboarding produkcyjnego węzła #1 (Hetzner AX102)</t>
        </is>
      </c>
      <c r="C133" s="10" t="inlineStr">
        <is>
          <t>poza audytem</t>
        </is>
      </c>
      <c r="D133" s="10" t="inlineStr">
        <is>
          <t>Praca spoza audytu</t>
        </is>
      </c>
      <c r="E133" s="10" t="inlineStr">
        <is>
          <t>WYSOKI</t>
        </is>
      </c>
      <c r="F133" s="10" t="n">
        <v>16</v>
      </c>
      <c r="G133" s="10" t="n">
        <v>21</v>
      </c>
      <c r="H133" s="10" t="inlineStr"/>
      <c r="I133" s="10" t="inlineStr">
        <is>
          <t>2026-11-09</t>
        </is>
      </c>
      <c r="J133" s="10" t="inlineStr">
        <is>
          <t>2026-11-13</t>
        </is>
      </c>
      <c r="K133" s="10" t="inlineStr">
        <is>
          <t>—</t>
        </is>
      </c>
      <c r="L133" s="11" t="inlineStr">
        <is>
          <t>—</t>
        </is>
      </c>
      <c r="M133" s="11" t="inlineStr">
        <is>
          <t>—</t>
        </is>
      </c>
      <c r="N133" s="11" t="inlineStr">
        <is>
          <t>Węzeł przechodzi wszystkie 14 checków live-readiness. /etc/verris-backup.conf istnieje, pierwszy backup off-site wykonany i zaraportowany do control-plane.</t>
        </is>
      </c>
      <c r="O133" s="11" t="inlineStr">
        <is>
          <t>Pełny przebieg node-onboard-live.sh na docelowym serwerze, z konfiguracją backupu off-site jako krokiem obowiązkowym.</t>
        </is>
      </c>
      <c r="P133" s="10" t="inlineStr">
        <is>
          <t>do zrobienia</t>
        </is>
      </c>
    </row>
    <row r="134">
      <c r="A134" s="10" t="inlineStr">
        <is>
          <t>PB-29</t>
        </is>
      </c>
      <c r="B134" s="11" t="inlineStr">
        <is>
          <t>Węzeł: blokery bezpieczeństwa i stabilności</t>
        </is>
      </c>
      <c r="C134" s="10" t="inlineStr">
        <is>
          <t>poza audytem</t>
        </is>
      </c>
      <c r="D134" s="10" t="inlineStr">
        <is>
          <t>Praca spoza audytu</t>
        </is>
      </c>
      <c r="E134" s="10" t="inlineStr">
        <is>
          <t>KRYTYCZNY</t>
        </is>
      </c>
      <c r="F134" s="10" t="n">
        <v>12</v>
      </c>
      <c r="G134" s="10" t="n">
        <v>21</v>
      </c>
      <c r="H134" s="10" t="inlineStr"/>
      <c r="I134" s="10" t="inlineStr">
        <is>
          <t>2026-11-09</t>
        </is>
      </c>
      <c r="J134" s="10" t="inlineStr">
        <is>
          <t>2026-11-13</t>
        </is>
      </c>
      <c r="K134" s="10" t="inlineStr">
        <is>
          <t>—</t>
        </is>
      </c>
      <c r="L134" s="11" t="inlineStr">
        <is>
          <t>—</t>
        </is>
      </c>
      <c r="M134" s="11" t="inlineStr">
        <is>
          <t>—</t>
        </is>
      </c>
      <c r="N134" s="11" t="inlineStr">
        <is>
          <t>Nowy węzeł nie dostaje kont przed zieloną weryfikacją; skrypty przechodzą test na węźle testowym (D3).</t>
        </is>
      </c>
      <c r="O134"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34" s="10" t="inlineStr">
        <is>
          <t>do zrobienia</t>
        </is>
      </c>
    </row>
    <row r="135">
      <c r="A135" s="10" t="inlineStr">
        <is>
          <t>PB-36</t>
        </is>
      </c>
      <c r="B135" s="11" t="inlineStr">
        <is>
          <t>Podpisane skrypty węzła i klucz SSH ograniczony do control-plane</t>
        </is>
      </c>
      <c r="C135" s="10" t="inlineStr">
        <is>
          <t>poza audytem</t>
        </is>
      </c>
      <c r="D135" s="10" t="inlineStr">
        <is>
          <t>Praca spoza audytu</t>
        </is>
      </c>
      <c r="E135" s="10" t="inlineStr">
        <is>
          <t>KRYTYCZNY</t>
        </is>
      </c>
      <c r="F135" s="10" t="n">
        <v>10</v>
      </c>
      <c r="G135" s="10" t="n">
        <v>21</v>
      </c>
      <c r="H135" s="10" t="inlineStr"/>
      <c r="I135" s="10" t="inlineStr">
        <is>
          <t>2026-11-09</t>
        </is>
      </c>
      <c r="J135" s="10" t="inlineStr">
        <is>
          <t>2026-11-13</t>
        </is>
      </c>
      <c r="K135" s="10" t="inlineStr">
        <is>
          <t>—</t>
        </is>
      </c>
      <c r="L135" s="11" t="inlineStr">
        <is>
          <t>—</t>
        </is>
      </c>
      <c r="M135" s="11" t="inlineStr">
        <is>
          <t>—</t>
        </is>
      </c>
      <c r="N135" s="11" t="inlineStr">
        <is>
          <t>Niepodpisany/zmieniony skrypt odrzucony przez węzeł; authorized_keys zawiera tylko aktualny klucz z ograniczeniem IP.</t>
        </is>
      </c>
      <c r="O135"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35" s="10" t="inlineStr">
        <is>
          <t>do zrobienia</t>
        </is>
      </c>
    </row>
    <row r="136">
      <c r="A136" s="10" t="inlineStr">
        <is>
          <t>PB-53</t>
        </is>
      </c>
      <c r="B136" s="11" t="inlineStr">
        <is>
          <t>Fala 3 paneli operatora (przed startem)</t>
        </is>
      </c>
      <c r="C136" s="10" t="inlineStr">
        <is>
          <t>poza audytem</t>
        </is>
      </c>
      <c r="D136" s="10" t="inlineStr">
        <is>
          <t>Praca spoza audytu</t>
        </is>
      </c>
      <c r="E136" s="10" t="inlineStr">
        <is>
          <t>WYSOKI</t>
        </is>
      </c>
      <c r="F136" s="10" t="n">
        <v>194</v>
      </c>
      <c r="G136" s="10" t="n">
        <v>21</v>
      </c>
      <c r="H136" s="10" t="inlineStr"/>
      <c r="I136" s="10" t="inlineStr">
        <is>
          <t>2026-11-09</t>
        </is>
      </c>
      <c r="J136" s="10" t="inlineStr">
        <is>
          <t>2026-11-13</t>
        </is>
      </c>
      <c r="K136" s="10" t="inlineStr">
        <is>
          <t>—</t>
        </is>
      </c>
      <c r="L136" s="11" t="inlineStr">
        <is>
          <t>—</t>
        </is>
      </c>
      <c r="M136" s="11" t="inlineStr">
        <is>
          <t>—</t>
        </is>
      </c>
      <c r="N136" s="11" t="inlineStr">
        <is>
          <t>F3.2 i F3.3 wdrożone przed 7.12, pozostałe obowiązkowe moduły przed 11.01 — z testami i dowodem D3 na t1 albo AX102; moduły przesunięte po starcie zapisane w planie z decyzją właściciela.</t>
        </is>
      </c>
      <c r="O136" s="11" t="inlineStr">
        <is>
          <t>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t>
        </is>
      </c>
      <c r="P136" s="10" t="inlineStr">
        <is>
          <t>do zrobienia</t>
        </is>
      </c>
    </row>
    <row r="137">
      <c r="A137" s="10" t="inlineStr">
        <is>
          <t>PB-26</t>
        </is>
      </c>
      <c r="B137" s="11" t="inlineStr">
        <is>
          <t>Otwarte testy (beta) z zaproszonymi użytkownikami</t>
        </is>
      </c>
      <c r="C137" s="10" t="inlineStr">
        <is>
          <t>poza audytem</t>
        </is>
      </c>
      <c r="D137" s="10" t="inlineStr">
        <is>
          <t>Praca spoza audytu</t>
        </is>
      </c>
      <c r="E137" s="10" t="inlineStr">
        <is>
          <t>WYSOKI</t>
        </is>
      </c>
      <c r="F137" s="10" t="n">
        <v>12</v>
      </c>
      <c r="G137" s="10" t="n">
        <v>22</v>
      </c>
      <c r="H137" s="10" t="inlineStr"/>
      <c r="I137" s="10" t="inlineStr">
        <is>
          <t>2026-12-07</t>
        </is>
      </c>
      <c r="J137" s="10" t="inlineStr">
        <is>
          <t>2026-12-11</t>
        </is>
      </c>
      <c r="K137" s="10" t="inlineStr">
        <is>
          <t>—</t>
        </is>
      </c>
      <c r="L137" s="11" t="inlineStr">
        <is>
          <t>—</t>
        </is>
      </c>
      <c r="M137" s="11" t="inlineStr">
        <is>
          <t>—</t>
        </is>
      </c>
      <c r="N137" s="11" t="inlineStr">
        <is>
          <t>Minimum 7 dni od pierwszej aktywnej usługi; zero otwartych błędów krytycznych (dane, pieniądze, dostęp); ≥ 80% testerów z działającą stroną bez pomocy wsparcia; poprawki „przed GO” zamknięte. Dopiero potem PB-12.</t>
        </is>
      </c>
      <c r="O137"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37" s="10" t="inlineStr">
        <is>
          <t>do zrobienia</t>
        </is>
      </c>
    </row>
    <row r="138">
      <c r="A138" s="10" t="inlineStr">
        <is>
          <t>PB-05</t>
        </is>
      </c>
      <c r="B138" s="11" t="inlineStr">
        <is>
          <t>Test end-to-end „pierwszy klient”</t>
        </is>
      </c>
      <c r="C138" s="10" t="inlineStr">
        <is>
          <t>poza audytem</t>
        </is>
      </c>
      <c r="D138" s="10" t="inlineStr">
        <is>
          <t>Praca spoza audytu</t>
        </is>
      </c>
      <c r="E138" s="10" t="inlineStr">
        <is>
          <t>BLOKER BIZNESOWY</t>
        </is>
      </c>
      <c r="F138" s="10" t="n">
        <v>16</v>
      </c>
      <c r="G138" s="10" t="n">
        <v>22</v>
      </c>
      <c r="H138" s="10" t="inlineStr"/>
      <c r="I138" s="10" t="inlineStr">
        <is>
          <t>2026-12-07</t>
        </is>
      </c>
      <c r="J138" s="10" t="inlineStr">
        <is>
          <t>2026-12-11</t>
        </is>
      </c>
      <c r="K138" s="10" t="inlineStr">
        <is>
          <t>—</t>
        </is>
      </c>
      <c r="L138" s="11" t="inlineStr">
        <is>
          <t>—</t>
        </is>
      </c>
      <c r="M138" s="11" t="inlineStr">
        <is>
          <t>wszystkie blokery zamknięte (sprint 8)</t>
        </is>
      </c>
      <c r="N138" s="11" t="inlineStr">
        <is>
          <t>Zapisany przebieg z timestampami dla każdego kroku — to jest dowód poziomu D3, jedyny w całym projekcie. Każdy nieudany krok wraca do backlogu jako bloker.</t>
        </is>
      </c>
      <c r="O138" s="11" t="inlineStr">
        <is>
          <t>Przejście całej ścieżki na produkcji jako realny klient: rejestracja, zakup, płatność, provisioning, migracja strony, wystawienie faktury, KSeF, backup, odtworzenie.</t>
        </is>
      </c>
      <c r="P138" s="10" t="inlineStr">
        <is>
          <t>do zrobienia</t>
        </is>
      </c>
    </row>
  </sheetData>
  <autoFilter ref="A1:P138"/>
  <conditionalFormatting sqref="E2:E13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3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startu'!$G$2:$G$138,A2)</f>
        <v/>
      </c>
      <c r="G2" s="10">
        <f>SUMIF('Backlog do startu'!$G$2:$G$138,A2,'Backlog do startu'!$F$2:$F$138)</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startu'!$G$2:$G$138,A3)</f>
        <v/>
      </c>
      <c r="G3" s="10">
        <f>SUMIF('Backlog do startu'!$G$2:$G$138,A3,'Backlog do startu'!$F$2:$F$138)</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startu'!$G$2:$G$138,A4)</f>
        <v/>
      </c>
      <c r="G4" s="10">
        <f>SUMIF('Backlog do startu'!$G$2:$G$138,A4,'Backlog do startu'!$F$2:$F$138)</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startu'!$G$2:$G$138,A5)</f>
        <v/>
      </c>
      <c r="G5" s="10">
        <f>SUMIF('Backlog do startu'!$G$2:$G$138,A5,'Backlog do startu'!$F$2:$F$138)</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startu'!$G$2:$G$138,A6)</f>
        <v/>
      </c>
      <c r="G6" s="10">
        <f>SUMIF('Backlog do startu'!$G$2:$G$138,A6,'Backlog do startu'!$F$2:$F$138)</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startu'!$G$2:$G$138,A7)</f>
        <v/>
      </c>
      <c r="G7" s="10">
        <f>SUMIF('Backlog do startu'!$G$2:$G$138,A7,'Backlog do startu'!$F$2:$F$138)</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startu'!$G$2:$G$138,A8)</f>
        <v/>
      </c>
      <c r="G8" s="10">
        <f>SUMIF('Backlog do startu'!$G$2:$G$138,A8,'Backlog do startu'!$F$2:$F$138)</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startu'!$G$2:$G$138,A9)</f>
        <v/>
      </c>
      <c r="G9" s="10">
        <f>SUMIF('Backlog do startu'!$G$2:$G$138,A9,'Backlog do startu'!$F$2:$F$138)</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startu'!$G$2:$G$138,A10)</f>
        <v/>
      </c>
      <c r="G10" s="10">
        <f>SUMIF('Backlog do startu'!$G$2:$G$138,A10,'Backlog do startu'!$F$2:$F$138)</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startu'!$G$2:$G$138,A11)</f>
        <v/>
      </c>
      <c r="G11" s="10">
        <f>SUMIF('Backlog do startu'!$G$2:$G$138,A11,'Backlog do startu'!$F$2:$F$138)</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startu'!$G$2:$G$138,A12)</f>
        <v/>
      </c>
      <c r="G12" s="10">
        <f>SUMIF('Backlog do startu'!$G$2:$G$138,A12,'Backlog do startu'!$F$2:$F$138)</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startu'!$G$2:$G$138,A13)</f>
        <v/>
      </c>
      <c r="G13" s="10">
        <f>SUMIF('Backlog do startu'!$G$2:$G$138,A13,'Backlog do startu'!$F$2:$F$138)</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startu'!$G$2:$G$138,A14)</f>
        <v/>
      </c>
      <c r="G14" s="10">
        <f>SUMIF('Backlog do startu'!$G$2:$G$138,A14,'Backlog do startu'!$F$2:$F$138)</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startu'!$G$2:$G$138,A15)</f>
        <v/>
      </c>
      <c r="G15" s="10">
        <f>SUMIF('Backlog do startu'!$G$2:$G$138,A15,'Backlog do startu'!$F$2:$F$138)</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startu'!$G$2:$G$138,A16)</f>
        <v/>
      </c>
      <c r="G16" s="10">
        <f>SUMIF('Backlog do startu'!$G$2:$G$138,A16,'Backlog do startu'!$F$2:$F$138)</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startu'!$G$2:$G$138,A17)</f>
        <v/>
      </c>
      <c r="G17" s="10">
        <f>SUMIF('Backlog do startu'!$G$2:$G$138,A17,'Backlog do startu'!$F$2:$F$138)</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startu'!$G$2:$G$138,A18)</f>
        <v/>
      </c>
      <c r="G18" s="10">
        <f>SUMIF('Backlog do startu'!$G$2:$G$138,A18,'Backlog do startu'!$F$2:$F$138)</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startu'!$G$2:$G$138,A19)</f>
        <v/>
      </c>
      <c r="G19" s="10">
        <f>SUMIF('Backlog do startu'!$G$2:$G$138,A19,'Backlog do startu'!$F$2:$F$138)</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startu'!$G$2:$G$138,A20)</f>
        <v/>
      </c>
      <c r="G20" s="10">
        <f>SUMIF('Backlog do startu'!$G$2:$G$138,A20,'Backlog do startu'!$F$2:$F$138)</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startu'!$G$2:$G$138,A21)</f>
        <v/>
      </c>
      <c r="G21" s="10">
        <f>SUMIF('Backlog do startu'!$G$2:$G$138,A21,'Backlog do startu'!$F$2:$F$138)</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startu'!$G$2:$G$138,A22)</f>
        <v/>
      </c>
      <c r="G22" s="10">
        <f>SUMIF('Backlog do startu'!$G$2:$G$138,A22,'Backlog do startu'!$F$2:$F$138)</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startu'!$G$2:$G$138,A23)</f>
        <v/>
      </c>
      <c r="G23" s="10">
        <f>SUMIF('Backlog do startu'!$G$2:$G$138,A23,'Backlog do startu'!$F$2:$F$138)</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startu'!$G$2:$G$138,A24)</f>
        <v/>
      </c>
      <c r="G24" s="10">
        <f>SUMIF('Backlog do startu'!$G$2:$G$138,A24,'Backlog do startu'!$F$2:$F$138)</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2026-10-11T08:16:11Z</dcterms:created>
  <dcterms:modified xmlns:dcterms="http://purl.org/dc/terms/" xmlns:xsi="http://www.w3.org/2001/XMLSchema-instance" xsi:type="dcterms:W3CDTF">2026-10-11T08:16:11Z</dcterms:modified>
</cp:coreProperties>
</file>