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Backlog do startu" sheetId="2" state="visible" r:id="rId2"/>
    <sheet xmlns:r="http://schemas.openxmlformats.org/officeDocument/2006/relationships" name="Sprinty" sheetId="3" state="visible" r:id="rId3"/>
    <sheet xmlns:r="http://schemas.openxmlformats.org/officeDocument/2006/relationships" name="Po starcie" sheetId="4" state="visible" r:id="rId4"/>
    <sheet xmlns:r="http://schemas.openxmlformats.org/officeDocument/2006/relationships" name="Poza zakresem" sheetId="5" state="visible" r:id="rId5"/>
  </sheets>
  <definedNames>
    <definedName name="_xlnm._FilterDatabase" localSheetId="1" hidden="1">'Backlog do startu'!$A$1:$P$101</definedName>
    <definedName name="_xlnm._FilterDatabase" localSheetId="2" hidden="1">'Sprinty'!$A$1:$J$23</definedName>
    <definedName name="_xlnm._FilterDatabase" localSheetId="3" hidden="1">'Po starcie'!$A$1:$K$153</definedName>
    <definedName name="_xlnm._FilterDatabase" localSheetId="4" hidden="1">'Poza zakresem'!$A$1:$D$13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9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C6B0C"/>
        <sz val="10"/>
      </font>
      <fill>
        <patternFill patternType="solid">
          <fgColor rgb="00D6EF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0" customWidth="1" min="1" max="1"/>
    <col width="78" customWidth="1" min="2" max="2"/>
  </cols>
  <sheetData>
    <row r="1">
      <c r="A1" s="1" t="inlineStr">
        <is>
          <t>Verris — backlog do startu</t>
        </is>
      </c>
    </row>
    <row r="2">
      <c r="A2" s="2" t="inlineStr">
        <is>
          <t>22 sprintów · 30 h netto na sprint · wygenerowane 2026-09-22 z audyt/dane/</t>
        </is>
      </c>
    </row>
    <row r="4">
      <c r="A4" s="3" t="inlineStr">
        <is>
          <t>Kluczowe liczby</t>
        </is>
      </c>
    </row>
    <row r="6">
      <c r="A6" s="4" t="inlineStr">
        <is>
          <t>Zadań w planie</t>
        </is>
      </c>
      <c r="B6" s="5">
        <f>COUNTA('Backlog do startu'!$A$2:$A$101)</f>
        <v/>
      </c>
    </row>
    <row r="7">
      <c r="A7" s="4" t="inlineStr">
        <is>
          <t>Godzin w planie</t>
        </is>
      </c>
      <c r="B7" s="5">
        <f>SUM('Backlog do startu'!$F$2:$F$101)</f>
        <v/>
      </c>
    </row>
    <row r="8">
      <c r="A8" s="4" t="inlineStr">
        <is>
          <t>Pojemność</t>
        </is>
      </c>
      <c r="B8" s="5" t="n">
        <v>660</v>
      </c>
    </row>
    <row r="9">
      <c r="A9" s="4" t="inlineStr">
        <is>
          <t>Zapas</t>
        </is>
      </c>
      <c r="B9" s="5">
        <f>B7-B6</f>
        <v/>
      </c>
    </row>
    <row r="10">
      <c r="A10" s="6" t="inlineStr">
        <is>
          <t>Blokerów</t>
        </is>
      </c>
      <c r="B10" s="7">
        <f>COUNTIF('Backlog do startu'!$E$2:$E$101,"BLOKER STARTU")+COUNTIF('Backlog do startu'!$E$2:$E$101,"BLOKER BIZNESOWY")</f>
        <v/>
      </c>
    </row>
    <row r="11">
      <c r="A11" s="4" t="inlineStr">
        <is>
          <t>Zadań zrobionych</t>
        </is>
      </c>
      <c r="B11" s="5">
        <f>COUNTIF('Backlog do startu'!$P$2:$P$101,"zrobione")</f>
        <v/>
      </c>
    </row>
    <row r="12">
      <c r="A12" s="4" t="inlineStr">
        <is>
          <t>Godzin zrobionych</t>
        </is>
      </c>
      <c r="B12" s="5">
        <f>SUMIF('Backlog do startu'!$P$2:$P$101,"zrobione",'Backlog do startu'!$F$2:$F$101)</f>
        <v/>
      </c>
    </row>
    <row r="13">
      <c r="A13" s="4" t="inlineStr">
        <is>
          <t>Postęp</t>
        </is>
      </c>
      <c r="B13" s="8">
        <f>IFERROR(B12/B6,0)</f>
        <v/>
      </c>
    </row>
    <row r="15">
      <c r="A15" s="3" t="inlineStr">
        <is>
          <t>Praca poza planem sprintów</t>
        </is>
      </c>
    </row>
    <row r="16">
      <c r="A16" s="4" t="inlineStr">
        <is>
          <t>Pozycji w roadmapie po starcie</t>
        </is>
      </c>
      <c r="B16" s="5" t="n">
        <v>152</v>
      </c>
    </row>
    <row r="17">
      <c r="A17" s="4" t="inlineStr">
        <is>
          <t>Godzin</t>
        </is>
      </c>
      <c r="B17" s="5" t="n">
        <v>2426</v>
      </c>
    </row>
    <row r="18">
      <c r="A18" s="4" t="inlineStr">
        <is>
          <t>Sprintów po tyle godzin</t>
        </is>
      </c>
      <c r="B18" s="5" t="n">
        <v>80.90000000000001</v>
      </c>
    </row>
    <row r="19">
      <c r="A19" s="4" t="inlineStr">
        <is>
          <t>Pozycji poza zakresem</t>
        </is>
      </c>
      <c r="B19" s="5" t="n">
        <v>12</v>
      </c>
    </row>
    <row r="21">
      <c r="A21" s="3" t="inlineStr">
        <is>
          <t>Jak używać tego pliku</t>
        </is>
      </c>
    </row>
    <row r="22">
      <c r="A22" s="4" t="inlineStr">
        <is>
          <t>• Edytuje się WYŁĄCZNIE kolumnę Status w arkuszu „Backlog do startu”: do zrobienia / w toku / zrobione.</t>
        </is>
      </c>
    </row>
    <row r="23">
      <c r="A23" s="4" t="inlineStr">
        <is>
          <t>• Liczby powyżej i obciążenie sprintów przeliczają się same.</t>
        </is>
      </c>
    </row>
    <row r="24">
      <c r="A24" s="4" t="inlineStr">
        <is>
          <t>• „Zrobione” = spełniona definicja ukończenia z kolumny N, nie „kod napisany”.</t>
        </is>
      </c>
    </row>
    <row r="25">
      <c r="A25" s="4" t="inlineStr">
        <is>
          <t>• Nic poniżej D2 (test w CI) nie jest zrobione. Pieniądze, dane i dostęp → D3. Backupy i DR → D4.</t>
        </is>
      </c>
    </row>
    <row r="26">
      <c r="A26" s="4" t="inlineStr">
        <is>
          <t>• Reszta pliku jest generowana z audyt/dane/ — zmiany rób tam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26" customWidth="1" min="4" max="4"/>
    <col width="17" customWidth="1" min="5" max="5"/>
    <col width="5" customWidth="1" min="6" max="6"/>
    <col width="7" customWidth="1" min="7" max="7"/>
    <col width="42" customWidth="1" min="8" max="8"/>
    <col width="11" customWidth="1" min="9" max="9"/>
    <col width="11" customWidth="1" min="10" max="10"/>
    <col width="17" customWidth="1" min="11" max="11"/>
    <col width="44" customWidth="1" min="12" max="12"/>
    <col width="40" customWidth="1" min="13" max="13"/>
    <col width="60" customWidth="1" min="14" max="14"/>
    <col width="60" customWidth="1" min="15" max="15"/>
    <col width="14" customWidth="1" min="16" max="16"/>
  </cols>
  <sheetData>
    <row r="1" ht="30" customHeight="1">
      <c r="A1" s="9" t="inlineStr">
        <is>
          <t>ID</t>
        </is>
      </c>
      <c r="B1" s="9" t="inlineStr">
        <is>
          <t>Zadanie</t>
        </is>
      </c>
      <c r="C1" s="9" t="inlineStr">
        <is>
          <t>Typ</t>
        </is>
      </c>
      <c r="D1" s="9" t="inlineStr">
        <is>
          <t>Kategoria</t>
        </is>
      </c>
      <c r="E1" s="9" t="inlineStr">
        <is>
          <t>Priorytet</t>
        </is>
      </c>
      <c r="F1" s="9" t="inlineStr">
        <is>
          <t>h</t>
        </is>
      </c>
      <c r="G1" s="9" t="inlineStr">
        <is>
          <t>Sprint</t>
        </is>
      </c>
      <c r="H1" s="9" t="inlineStr">
        <is>
          <t>Faza</t>
        </is>
      </c>
      <c r="I1" s="9" t="inlineStr">
        <is>
          <t>Od</t>
        </is>
      </c>
      <c r="J1" s="9" t="inlineStr">
        <is>
          <t>Do</t>
        </is>
      </c>
      <c r="K1" s="9" t="inlineStr">
        <is>
          <t>Stan w kodzie</t>
        </is>
      </c>
      <c r="L1" s="9" t="inlineStr">
        <is>
          <t>Dowód (plik:linia)</t>
        </is>
      </c>
      <c r="M1" s="9" t="inlineStr">
        <is>
          <t>Zależy od</t>
        </is>
      </c>
      <c r="N1" s="9" t="inlineStr">
        <is>
          <t>Definicja ukończenia</t>
        </is>
      </c>
      <c r="O1" s="9" t="inlineStr">
        <is>
          <t>Kontekst</t>
        </is>
      </c>
      <c r="P1" s="9" t="inlineStr">
        <is>
          <t>Status</t>
        </is>
      </c>
    </row>
    <row r="2">
      <c r="A2" s="10" t="inlineStr">
        <is>
          <t>X-01</t>
        </is>
      </c>
      <c r="B2" s="11" t="inlineStr">
        <is>
          <t>CI uruchamiające testy</t>
        </is>
      </c>
      <c r="C2" s="10" t="inlineStr">
        <is>
          <t>audyt</t>
        </is>
      </c>
      <c r="D2" s="10" t="inlineStr">
        <is>
          <t>X — Infrastruktura jakości</t>
        </is>
      </c>
      <c r="E2" s="10" t="inlineStr">
        <is>
          <t>—</t>
        </is>
      </c>
      <c r="F2" s="10" t="n">
        <v>6</v>
      </c>
      <c r="G2" s="10" t="n">
        <v>1</v>
      </c>
      <c r="H2" s="10" t="inlineStr">
        <is>
          <t>Faza 0 — Zatrzymać krwawienie</t>
        </is>
      </c>
      <c r="I2" s="10" t="inlineStr">
        <is>
          <t>2026-08-31</t>
        </is>
      </c>
      <c r="J2" s="10" t="inlineStr">
        <is>
          <t>2026-09-04</t>
        </is>
      </c>
      <c r="K2" s="10" t="inlineStr">
        <is>
          <t>DZIAŁA</t>
        </is>
      </c>
      <c r="L2" s="11" t="inlineStr">
        <is>
          <t>.github/workflows/ci.yml — typecheck, testy API, build, smoke migracji Prisma, gitleaks, pnpm audit, Trivy, dependabot</t>
        </is>
      </c>
      <c r="M2" s="11" t="inlineStr">
        <is>
          <t>—</t>
        </is>
      </c>
      <c r="N2" s="11" t="inlineStr">
        <is>
          <t>Funkcja dostępna z panelu klienta bez wychodzenia do DirectAdmina; test uruchamiany w CI.</t>
        </is>
      </c>
      <c r="O2" s="11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  <c r="P2" s="10" t="inlineStr">
        <is>
          <t>do zrobienia</t>
        </is>
      </c>
    </row>
    <row r="3">
      <c r="A3" s="10" t="inlineStr">
        <is>
          <t>X-02</t>
        </is>
      </c>
      <c r="B3" s="11" t="inlineStr">
        <is>
          <t>Status wymagany do merge</t>
        </is>
      </c>
      <c r="C3" s="10" t="inlineStr">
        <is>
          <t>audyt</t>
        </is>
      </c>
      <c r="D3" s="10" t="inlineStr">
        <is>
          <t>X — Infrastruktura jakości</t>
        </is>
      </c>
      <c r="E3" s="10" t="inlineStr">
        <is>
          <t>—</t>
        </is>
      </c>
      <c r="F3" s="10" t="n">
        <v>6</v>
      </c>
      <c r="G3" s="10" t="n">
        <v>1</v>
      </c>
      <c r="H3" s="10" t="inlineStr">
        <is>
          <t>Faza 0 — Zatrzymać krwawienie</t>
        </is>
      </c>
      <c r="I3" s="10" t="inlineStr">
        <is>
          <t>2026-08-31</t>
        </is>
      </c>
      <c r="J3" s="10" t="inlineStr">
        <is>
          <t>2026-09-04</t>
        </is>
      </c>
      <c r="K3" s="10" t="inlineStr">
        <is>
          <t>DZIAŁA</t>
        </is>
      </c>
      <c r="L3" s="11" t="inlineStr">
        <is>
          <t>ruleset „gałęzie wdrożeniowe — wymagaj zielonego CI" (id 21161479), Active, zakres: gałąź domyślna + live-release-readiness; wymagane 4 checki z ci.yml</t>
        </is>
      </c>
      <c r="M3" s="11" t="inlineStr">
        <is>
          <t>—</t>
        </is>
      </c>
      <c r="N3" s="11" t="inlineStr">
        <is>
          <t>Funkcja dostępna z panelu klienta bez wychodzenia do DirectAdmina; test uruchamiany w CI.</t>
        </is>
      </c>
      <c r="O3" s="11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docs/archiwum/zadania/X-02-status-wymagany-do-merge.md. Poziom dowodu D4.</t>
        </is>
      </c>
      <c r="P3" s="10" t="inlineStr">
        <is>
          <t>do zrobienia</t>
        </is>
      </c>
    </row>
    <row r="4">
      <c r="A4" s="10" t="inlineStr">
        <is>
          <t>X-03</t>
        </is>
      </c>
      <c r="B4" s="11" t="inlineStr">
        <is>
          <t>Testy uruchamiane przed wdrożeniem</t>
        </is>
      </c>
      <c r="C4" s="10" t="inlineStr">
        <is>
          <t>audyt</t>
        </is>
      </c>
      <c r="D4" s="10" t="inlineStr">
        <is>
          <t>X — Infrastruktura jakości</t>
        </is>
      </c>
      <c r="E4" s="10" t="inlineStr">
        <is>
          <t>WYSOKA</t>
        </is>
      </c>
      <c r="F4" s="10" t="n">
        <v>6</v>
      </c>
      <c r="G4" s="10" t="n">
        <v>1</v>
      </c>
      <c r="H4" s="10" t="inlineStr">
        <is>
          <t>Faza 0 — Zatrzymać krwawienie</t>
        </is>
      </c>
      <c r="I4" s="10" t="inlineStr">
        <is>
          <t>2026-08-31</t>
        </is>
      </c>
      <c r="J4" s="10" t="inlineStr">
        <is>
          <t>2026-09-04</t>
        </is>
      </c>
      <c r="K4" s="10" t="inlineStr">
        <is>
          <t>DZIAŁA</t>
        </is>
      </c>
      <c r="L4" s="11" t="inlineStr">
        <is>
          <t>.github/workflows/deploy.yml — job test-gate (typecheck + pnpm --filter api test), build-push ma needs: test-gate; ops/scripts/lib/bramka-recznego-wdrozenia.sh — poza Actions odmowa (kod 2) bez WDROZENIE_RECZNE_POWOD (min. 15 znakow), wpis jednoliniowy w /var/log/verris/wdrozenia-reczne.log + syslog verris-wdrozenie; prod-deploy-ghcr.sh / prod-deploy-release.sh / prod-deploy-rolling.sh wolaja bramke przed pierwszym git/docker; deploy.yml eksportuje VERRIS_WDROZENIE_Z_ACTIONS=1 + GITHUB_RUN_ID; test: apps/api/src/test/wdrozenie-reczne-jawne.spec.ts (zachowanie biblioteki + kolejnosc w skryptach)</t>
        </is>
      </c>
      <c r="M4" s="11" t="inlineStr">
        <is>
          <t>—</t>
        </is>
      </c>
      <c r="N4" s="11" t="inlineStr">
        <is>
          <t>Funkcja dostępna z panelu klienta bez wychodzenia do DirectAdmina; test uruchamiany w CI.</t>
        </is>
      </c>
      <c r="O4" s="11" t="inlineStr">
        <is>
          <t>Ścieżka automatyczna (push → build → deploy) od 2026-08-21 nie przepuszcza czerwonych testów. Ścieżka ręczna ops/scripts/prod-deploy-ghcr.sh nadal nie uruchamia żadnych testów — dlatego CZĘŚCIOWE, nie DZIAŁA. | 2026-09-22: sciezka reczna nie jest juz ukryta — jest jawna decyzja z powodem i sladem. Swiadomie NIE blokujemy jej calkiem: to droga awaryjna (rollback, lezacy GitHub). Reczne ustawienie flagi Actions jest mozliwe, ale jest swiadomym klamstwem w poleceniu, nie przeoczeniem. Przy okazji X-13: domyslna galaz w release/rolling zmieniona z porzuconej live-release-readiness na main. D2 2026-09-22: wdrozenie-reczne-jawne.spec.ts zielony lokalnie i w CI #182. Dokumentacja: docs/archiwum/zadania/X-03-testy-uruchamiane-przed-wdrozeniem.md (sekcja 2026-09-22)</t>
        </is>
      </c>
      <c r="P4" s="10" t="inlineStr">
        <is>
          <t>do zrobienia</t>
        </is>
      </c>
    </row>
    <row r="5">
      <c r="A5" s="10" t="inlineStr">
        <is>
          <t>Z-02</t>
        </is>
      </c>
      <c r="B5" s="11" t="inlineStr">
        <is>
          <t>Blokada zamówienia usługi bez opłaty przez klienta</t>
        </is>
      </c>
      <c r="C5" s="10" t="inlineStr">
        <is>
          <t>audyt</t>
        </is>
      </c>
      <c r="D5" s="10" t="inlineStr">
        <is>
          <t>M — Rozliczenia</t>
        </is>
      </c>
      <c r="E5" s="10" t="inlineStr">
        <is>
          <t>—</t>
        </is>
      </c>
      <c r="F5" s="10" t="n">
        <v>6</v>
      </c>
      <c r="G5" s="10" t="n">
        <v>1</v>
      </c>
      <c r="H5" s="10" t="inlineStr">
        <is>
          <t>Faza 0 — Zatrzymać krwawienie</t>
        </is>
      </c>
      <c r="I5" s="10" t="inlineStr">
        <is>
          <t>2026-08-31</t>
        </is>
      </c>
      <c r="J5" s="10" t="inlineStr">
        <is>
          <t>2026-09-04</t>
        </is>
      </c>
      <c r="K5" s="10" t="inlineStr">
        <is>
          <t>DZIAŁA</t>
        </is>
      </c>
      <c r="L5" s="11" t="inlineStr">
        <is>
          <t>dto/subscription.dto.ts — @IsIn(CLIENT_PAYMENT_SOURCES); subscriptions.service.ts — ForbiddenException dla MANUAL bez allowManual; test subscriptions.create-guard.spec.ts</t>
        </is>
      </c>
      <c r="M5" s="11" t="inlineStr">
        <is>
          <t>—</t>
        </is>
      </c>
      <c r="N5" s="11" t="inlineStr">
        <is>
          <t>Funkcja dostępna z panelu klienta bez wychodzenia do DirectAdmina; test uruchamiany w CI.</t>
        </is>
      </c>
      <c r="O5" s="11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docs/archiwum/zadania/Z-02-blokada-zamowienia-uslugi-bez-oplaty.md</t>
        </is>
      </c>
      <c r="P5" s="10" t="inlineStr">
        <is>
          <t>do zrobienia</t>
        </is>
      </c>
    </row>
    <row r="6">
      <c r="A6" s="10" t="inlineStr">
        <is>
          <t>X-11</t>
        </is>
      </c>
      <c r="B6" s="11" t="inlineStr">
        <is>
          <t>Testy API w osobnym jobie CI, nie za typecheckiem</t>
        </is>
      </c>
      <c r="C6" s="10" t="inlineStr">
        <is>
          <t>audyt</t>
        </is>
      </c>
      <c r="D6" s="10" t="inlineStr">
        <is>
          <t>X — Infrastruktura jakości</t>
        </is>
      </c>
      <c r="E6" s="10" t="inlineStr">
        <is>
          <t>—</t>
        </is>
      </c>
      <c r="F6" s="10" t="n">
        <v>6</v>
      </c>
      <c r="G6" s="10" t="n">
        <v>1</v>
      </c>
      <c r="H6" s="10" t="inlineStr">
        <is>
          <t>Faza 0 — Zatrzymać krwawienie</t>
        </is>
      </c>
      <c r="I6" s="10" t="inlineStr">
        <is>
          <t>2026-08-31</t>
        </is>
      </c>
      <c r="J6" s="10" t="inlineStr">
        <is>
          <t>2026-09-04</t>
        </is>
      </c>
      <c r="K6" s="10" t="inlineStr">
        <is>
          <t>DZIAŁA</t>
        </is>
      </c>
      <c r="L6" s="11" t="inlineStr">
        <is>
          <t>.github/workflows/ci.yml — osobny job api-tests o nazwie „API unit tests"</t>
        </is>
      </c>
      <c r="M6" s="11" t="inlineStr">
        <is>
          <t>—</t>
        </is>
      </c>
      <c r="N6" s="11" t="inlineStr">
        <is>
          <t>Funkcja dostępna z panelu klienta bez wychodzenia do DirectAdmina; test uruchamiany w CI.</t>
        </is>
      </c>
      <c r="O6" s="11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docs/archiwum/zadania/X-11-testy-api-w-osobnym-jobie.md | KOREKTA 2026-08-22: podział jobów zabrał testom budowanie bibliotek, które wcześniej działo się przy okazji przez pnpm typecheck (Turbo, dependsOn ^build). Job „API unit tests” był przez to CZERWONY od tego commita aż do X-17, mimo że zgłosiłem pozycję jako zamkniętą na podstawie zielonych testów lokalnych. Sam przebieg CI sprawdziłem dopiero przy #56. Wniosek zapisany w X-17: pozycja dotycząca CI nie może być zamknięta bez obejrzenia przebiegu, którego dotyczy.</t>
        </is>
      </c>
      <c r="P6" s="10" t="inlineStr">
        <is>
          <t>do zrobienia</t>
        </is>
      </c>
    </row>
    <row r="7">
      <c r="A7" s="10" t="inlineStr">
        <is>
          <t>X-12</t>
        </is>
      </c>
      <c r="B7" s="11" t="inlineStr">
        <is>
          <t>Skrypty węzła serwowane przez API obecne w obrazie produkcyjnym</t>
        </is>
      </c>
      <c r="C7" s="10" t="inlineStr">
        <is>
          <t>audyt</t>
        </is>
      </c>
      <c r="D7" s="10" t="inlineStr">
        <is>
          <t>X — Infrastruktura jakości</t>
        </is>
      </c>
      <c r="E7" s="10" t="inlineStr">
        <is>
          <t>—</t>
        </is>
      </c>
      <c r="F7" s="10" t="n">
        <v>6</v>
      </c>
      <c r="G7" s="10" t="n">
        <v>1</v>
      </c>
      <c r="H7" s="10" t="inlineStr">
        <is>
          <t>Faza 0 — Zatrzymać krwawienie</t>
        </is>
      </c>
      <c r="I7" s="10" t="inlineStr">
        <is>
          <t>2026-08-31</t>
        </is>
      </c>
      <c r="J7" s="10" t="inlineStr">
        <is>
          <t>2026-09-04</t>
        </is>
      </c>
      <c r="K7" s="10" t="inlineStr">
        <is>
          <t>DZIAŁA</t>
        </is>
      </c>
      <c r="L7" s="11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M7" s="11" t="inlineStr">
        <is>
          <t>—</t>
        </is>
      </c>
      <c r="N7" s="11" t="inlineStr">
        <is>
          <t>Funkcja dostępna z panelu klienta bez wychodzenia do DirectAdmina; test uruchamiany w CI.</t>
        </is>
      </c>
      <c r="O7" s="11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  <c r="P7" s="10" t="inlineStr">
        <is>
          <t>do zrobienia</t>
        </is>
      </c>
    </row>
    <row r="8">
      <c r="A8" s="10" t="inlineStr">
        <is>
          <t>X-13</t>
        </is>
      </c>
      <c r="B8" s="11" t="inlineStr">
        <is>
          <t>Jedna gałąź wdrożeniowa — main</t>
        </is>
      </c>
      <c r="C8" s="10" t="inlineStr">
        <is>
          <t>audyt</t>
        </is>
      </c>
      <c r="D8" s="10" t="inlineStr">
        <is>
          <t>X — Infrastruktura jakości</t>
        </is>
      </c>
      <c r="E8" s="10" t="inlineStr">
        <is>
          <t>—</t>
        </is>
      </c>
      <c r="F8" s="10" t="n">
        <v>6</v>
      </c>
      <c r="G8" s="10" t="n">
        <v>1</v>
      </c>
      <c r="H8" s="10" t="inlineStr">
        <is>
          <t>Faza 0 — Zatrzymać krwawienie</t>
        </is>
      </c>
      <c r="I8" s="10" t="inlineStr">
        <is>
          <t>2026-08-31</t>
        </is>
      </c>
      <c r="J8" s="10" t="inlineStr">
        <is>
          <t>2026-09-04</t>
        </is>
      </c>
      <c r="K8" s="10" t="inlineStr">
        <is>
          <t>DZIAŁA</t>
        </is>
      </c>
      <c r="L8" s="11" t="inlineStr">
        <is>
          <t>.github/workflows/deploy.yml — on.push.branches: [main]</t>
        </is>
      </c>
      <c r="M8" s="11" t="inlineStr">
        <is>
          <t>—</t>
        </is>
      </c>
      <c r="N8" s="11" t="inlineStr">
        <is>
          <t>Funkcja dostępna z panelu klienta bez wychodzenia do DirectAdmina; test uruchamiany w CI.</t>
        </is>
      </c>
      <c r="O8" s="11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  <c r="P8" s="10" t="inlineStr">
        <is>
          <t>do zrobienia</t>
        </is>
      </c>
    </row>
    <row r="9">
      <c r="A9" s="10" t="inlineStr">
        <is>
          <t>X-14</t>
        </is>
      </c>
      <c r="B9" s="11" t="inlineStr">
        <is>
          <t>CI sprawdza DANE po migracji, nie tylko czy migracja się wykonała</t>
        </is>
      </c>
      <c r="C9" s="10" t="inlineStr">
        <is>
          <t>audyt</t>
        </is>
      </c>
      <c r="D9" s="10" t="inlineStr">
        <is>
          <t>X — Infrastruktura jakości</t>
        </is>
      </c>
      <c r="E9" s="10" t="inlineStr">
        <is>
          <t>—</t>
        </is>
      </c>
      <c r="F9" s="10" t="n">
        <v>6</v>
      </c>
      <c r="G9" s="10" t="n">
        <v>1</v>
      </c>
      <c r="H9" s="10" t="inlineStr">
        <is>
          <t>Faza 0 — Zatrzymać krwawienie</t>
        </is>
      </c>
      <c r="I9" s="10" t="inlineStr">
        <is>
          <t>2026-08-31</t>
        </is>
      </c>
      <c r="J9" s="10" t="inlineStr">
        <is>
          <t>2026-09-04</t>
        </is>
      </c>
      <c r="K9" s="10" t="inlineStr">
        <is>
          <t>DZIAŁA</t>
        </is>
      </c>
      <c r="L9" s="11" t="inlineStr">
        <is>
          <t>.github/workflows/ci.yml — job migrations: kroki „Seed reference data” i „Verify migrated data (Z-12, Z-13, Z-16)”; ops/sql/sprawdz-baze-po-migracji.sql — 5 bloków asercji kończących się RAISE EXCEPTION</t>
        </is>
      </c>
      <c r="M9" s="11" t="inlineStr">
        <is>
          <t>—</t>
        </is>
      </c>
      <c r="N9" s="11" t="inlineStr">
        <is>
          <t>Funkcja dostępna z panelu klienta bez wychodzenia do DirectAdmina; test uruchamiany w CI.</t>
        </is>
      </c>
      <c r="O9" s="11" t="inlineStr">
        <is>
          <t>Zamknięte 2026-08-22. Job migrations sprawdzał wyłącznie, czy migracje dają się zastosować i czy schemat nie ma dryfu. Nie sprawdzał, czy DANE, które migracje wstawiają, tam są i mają właściwe wartości — a Z-12 i Z-13 to migracje danych, których poprawność testy jednostkowe potwierdzały wyłącznie przez czytanie SQL-a jako TEKSTU. | Teraz CI odpytuje bazę: czy plan verris-hosting istnieje z ceną 45,00 brutto i limitami 200/8192/51200, czy publiczny pakiet hostingowy jest dokładnie jeden, czy prototypy są wycofane ale nie zdezaktywowane, czy kolumny overcommit mają NEUTRALNĄ domyślną 1, czy księga pojemności zgadza się z sumą limitów kont żywych. | Sprawdzone na prawdziwym Postgresie 16 ze wszystkimi 100 migracjami: komplet przechodzi, a podmiana ceny na 49,00 i podniesienie domyślnej nadsubskrypcji do 4 wywalają job z kodem 3. | ODKRYTE PRZY TESTOWANIU: na bazie z samych migracji plany prototypowe w ogóle nie istnieją (tworzy je seed), więc asercja o ich wycofaniu przechodziła TRYWIALNIE — w logu CI wygląda to identycznie jak prawdziwe „wszystko w porządku”. Stąd krok seeda przed asercjami plus jawny warunek: zero znalezionych prototypów to błąd, nie sukces. Przy okazji CI po raz pierwszy weryfikuje, że seed w ogóle wykonuje się na świeżej bazie. | Dokumentacja: docs/archiwum/zadania/X-14-asercje-danych-po-migracji.md</t>
        </is>
      </c>
      <c r="P9" s="10" t="inlineStr">
        <is>
          <t>do zrobienia</t>
        </is>
      </c>
    </row>
    <row r="10">
      <c r="A10" s="10" t="inlineStr">
        <is>
          <t>X-15</t>
        </is>
      </c>
      <c r="B10" s="11" t="inlineStr">
        <is>
          <t>Niezmiennik księgi pojemności sprawdzany liczbowo, nie tekstowo</t>
        </is>
      </c>
      <c r="C10" s="10" t="inlineStr">
        <is>
          <t>audyt</t>
        </is>
      </c>
      <c r="D10" s="10" t="inlineStr">
        <is>
          <t>X — Infrastruktura jakości</t>
        </is>
      </c>
      <c r="E10" s="10" t="inlineStr">
        <is>
          <t>—</t>
        </is>
      </c>
      <c r="F10" s="10" t="n">
        <v>6</v>
      </c>
      <c r="G10" s="10" t="n">
        <v>1</v>
      </c>
      <c r="H10" s="10" t="inlineStr">
        <is>
          <t>Faza 0 — Zatrzymać krwawienie</t>
        </is>
      </c>
      <c r="I10" s="10" t="inlineStr">
        <is>
          <t>2026-08-31</t>
        </is>
      </c>
      <c r="J10" s="10" t="inlineStr">
        <is>
          <t>2026-09-04</t>
        </is>
      </c>
      <c r="K10" s="10" t="inlineStr">
        <is>
          <t>DZIAŁA</t>
        </is>
      </c>
      <c r="L10" s="11" t="inlineStr">
        <is>
          <t>apps/api/src/subscriptions/ksiega-niezmiennik.spec.ts — 15 testów: losowe ciągi operacji (założenie konta, skalowanie w górę i w dół, zmiana planu, usunięcie) z porównaniem księgi z prawdą po KAŻDYM kroku; node-capacity.ts — deltaKsiegi/limityEfektywne/ksiegaUpdateData jako jedyna arytmetyka księgi w projekcie</t>
        </is>
      </c>
      <c r="M10" s="11" t="inlineStr">
        <is>
          <t>—</t>
        </is>
      </c>
      <c r="N10" s="11" t="inlineStr">
        <is>
          <t>Funkcja dostępna z panelu klienta bez wychodzenia do DirectAdmina; test uruchamiany w CI.</t>
        </is>
      </c>
      <c r="O10" s="11" t="inlineStr">
        <is>
          <t>Zamknięte 2026-08-22. Strażniki z Z-16 były statyczne — czytały tekst źródłowy. Złapią usunięcie linii (i złapały, gdy arytmetyka poszła do wspólnych funkcji), ale nie złapią błędu w ZNAKU delty ani pomylonych argumentów: deltaKsiegi(po, przed) zamiast deltaKsiegi(przed, po) przechodzi każdy test tekstowy i rozjeżdża księgę przy pierwszej operacji. | Test sprawdza jedyną rzecz, która musi być prawdziwa: allocated* równa się sumie limitów efektywnych kont żywych po dowolnym ciągu operacji. Deterministyczny generator, sześć ziaren, sprawdzenie po każdym kroku — żeby dwa błędy nie zniosły się nawzajem. | Uczciwość testu polega na tym, że symulator używa DOKŁADNIE tych samych funkcji co produkcja; gdyby liczył po swojemu, sprawdzałby siebie. Warunkiem było wyciągnięcie arytmetyki z czterech serwisów do node-capacity.ts — przy okazji piąty rozjazd nie ma już gdzie powstać. | Zweryfikowane: odwrócenie znaku w JEDNYM zasobie czerwieni 10 z 15 testów niezmiennika. Test statyczny tego nie widzi. | Czego to nie sprawdza: czy serwisy wołają te funkcje w odpowiednim momencie i z odpowiednimi argumentami — to jest rola X-04. Tu weryfikowana jest arytmetyka, tam okablowanie.</t>
        </is>
      </c>
      <c r="P10" s="10" t="inlineStr">
        <is>
          <t>do zrobienia</t>
        </is>
      </c>
    </row>
    <row r="11">
      <c r="A11" s="10" t="inlineStr">
        <is>
          <t>X-17</t>
        </is>
      </c>
      <c r="B11" s="11" t="inlineStr">
        <is>
          <t>Joby CI budują zależności workspace'u zanim uruchomią testy</t>
        </is>
      </c>
      <c r="C11" s="10" t="inlineStr">
        <is>
          <t>audyt</t>
        </is>
      </c>
      <c r="D11" s="10" t="inlineStr">
        <is>
          <t>X — Infrastruktura jakości</t>
        </is>
      </c>
      <c r="E11" s="10" t="inlineStr">
        <is>
          <t>—</t>
        </is>
      </c>
      <c r="F11" s="10" t="n">
        <v>6</v>
      </c>
      <c r="G11" s="10" t="n">
        <v>1</v>
      </c>
      <c r="H11" s="10" t="inlineStr">
        <is>
          <t>Faza 0 — Zatrzymać krwawienie</t>
        </is>
      </c>
      <c r="I11" s="10" t="inlineStr">
        <is>
          <t>2026-08-31</t>
        </is>
      </c>
      <c r="J11" s="10" t="inlineStr">
        <is>
          <t>2026-09-04</t>
        </is>
      </c>
      <c r="K11" s="10" t="inlineStr">
        <is>
          <t>DZIAŁA</t>
        </is>
      </c>
      <c r="L11" s="11" t="inlineStr">
        <is>
          <t>.github/workflows/ci.yml — krok „Build workspace libraries” w jobie api-tests, „Generate Prisma client” w jobie migrations; turbo.json — zadanie test dostaje dependsOn ^build; apps/api/src/test/ci-joby.spec.ts — 6 testów strażnika</t>
        </is>
      </c>
      <c r="M11" s="11" t="inlineStr">
        <is>
          <t>—</t>
        </is>
      </c>
      <c r="N11" s="11" t="inlineStr">
        <is>
          <t>Funkcja dostępna z panelu klienta bez wychodzenia do DirectAdmina; test uruchamiany w CI.</t>
        </is>
      </c>
      <c r="O11" s="11" t="inlineStr">
        <is>
          <t>Zamknięte 2026-08-22 po przejrzeniu przebiegu CI #56. To jest MÓJ błąd i dokładnie ten wzorzec, który X-11 miał naprawiać. | @verris/database ma main: dist/index.js. Bez zbudowanego dist/ jest nie rozwiąże modułu i 32 z 48 zestawów NIE STARTUJĄ — nie failują, tylko się nie uruchamiają. W logu wygląda to jak awaria testów, a jest awarią konfiguracji. | Przed X-11 testy biegły wewnątrz joba static-checks, którego krok pnpm typecheck idzie przez Turbo, a typecheck ma dependsOn ^build. Biblioteki budowały się PRZY OKAZJI — nikt tego nie zaprojektował, więc nikt nie zauważył, gdy zniknęło. X-11 wydzieliło testy do własnego joba, który nie budował niczego; pnpm --filter api test omija Turbo, a zadanie test nie miało dependsOn. | Job był czerwony przez trzy wdrożenia (CI #54, #55, #56) przy 415 zielonych testach na maszynie, gdzie dist/ leżało zbudowane z dawnych uruchomień. Zgłosiłem X-11 jako zamknięte, nie sprawdziwszy przebiegu CI — „zielono lokalnie” potraktowałem jako dowód, a to jest dokładnie ten skrót, przed którym skala dowodowa tego audytu ma chronić. | Drugi błąd, świeższy: krok „Seed reference data” dodany do joba migrations w commicie d381a64 wołał seed importujący @verris/database, a ten job nigdy nie generował klienta. Job przeszedł z zielonego na czerwony. | Poprawka na trzech poziomach: jawne kroki w obu jobach, dependsOn ^build w turbo.json (żeby pnpm test był poprawny też lokalnie i w każdym przyszłym jobie) oraz strażnik, który przemiata ci.yml i zapala się, gdy job uruchamia testy bez zbudowania bibliotek. | Strażnik w pierwszej wersji dał FAŁSZYWY ALARM — wzorzec \bjest\b trafiał w polskie słowo „jest” w moich własnych komentarzach. Zawężony do faktycznych wywołań komend, komentarze odfiltrowane przed dopasowaniem. Narzędzie, którego jedynym zadaniem jest nie kłamać, samo skłamało za pierwszym razem. | Dokumentacja: docs/archiwum/zadania/X-17-joby-ci-buduja-zaleznosci.md | D2 OSIĄGNIĘTE 2026-08-22: przebieg CI #57 zielony w komplecie — sześć jobów, w tym „API integration tests" z Postgresem 16.</t>
        </is>
      </c>
      <c r="P11" s="10" t="inlineStr">
        <is>
          <t>do zrobienia</t>
        </is>
      </c>
    </row>
    <row r="12">
      <c r="A12" s="10" t="inlineStr">
        <is>
          <t>PB-01</t>
        </is>
      </c>
      <c r="B12" s="11" t="inlineStr">
        <is>
          <t>Unit economics węzła vs cena 45 zł/mies. brutto (399 zł/rok)</t>
        </is>
      </c>
      <c r="C12" s="10" t="inlineStr">
        <is>
          <t>poza audytem</t>
        </is>
      </c>
      <c r="D12" s="10" t="inlineStr">
        <is>
          <t>Praca spoza audytu</t>
        </is>
      </c>
      <c r="E12" s="10" t="inlineStr">
        <is>
          <t>BLOKER BIZNESOWY</t>
        </is>
      </c>
      <c r="F12" s="10" t="n">
        <v>8</v>
      </c>
      <c r="G12" s="10" t="n">
        <v>1</v>
      </c>
      <c r="H12" s="10" t="inlineStr">
        <is>
          <t>Faza 0 — Zatrzymać krwawienie</t>
        </is>
      </c>
      <c r="I12" s="10" t="inlineStr">
        <is>
          <t>2026-08-31</t>
        </is>
      </c>
      <c r="J12" s="10" t="inlineStr">
        <is>
          <t>2026-09-04</t>
        </is>
      </c>
      <c r="K12" s="10" t="inlineStr">
        <is>
          <t>—</t>
        </is>
      </c>
      <c r="L12" s="11" t="inlineStr">
        <is>
          <t>—</t>
        </is>
      </c>
      <c r="M12" s="11" t="inlineStr">
        <is>
          <t>—</t>
        </is>
      </c>
      <c r="N12" s="11" t="inlineStr">
        <is>
          <t>Arkusz z kosztem miesięcznym węzła, liczbą kont na węzeł, marżą jednostkową i progiem rentowności. Decyzja: cena zostaje albo się zmienia — zapisana w repo.</t>
        </is>
      </c>
      <c r="O12" s="11" t="inlineStr">
        <is>
          <t>Policzyć pełny koszt węzła: serwer + CloudLinux + LiteSpeed + DirectAdmin + Imunify + backup S3 + amortyzacja wsparcia. Wyliczyć próg rentowności w kontach na węzeł i marżę przy 45 zł brutto (36,59 zł netto).</t>
        </is>
      </c>
      <c r="P12" s="10" t="inlineStr">
        <is>
          <t>do zrobienia</t>
        </is>
      </c>
    </row>
    <row r="13">
      <c r="A13" s="10" t="inlineStr">
        <is>
          <t>Z-04</t>
        </is>
      </c>
      <c r="B13" s="11" t="inlineStr">
        <is>
          <t>Guard uprawnień subkont — domyślna odmowa</t>
        </is>
      </c>
      <c r="C13" s="10" t="inlineStr">
        <is>
          <t>audyt</t>
        </is>
      </c>
      <c r="D13" s="10" t="inlineStr">
        <is>
          <t>O — Multi-user i reseller</t>
        </is>
      </c>
      <c r="E13" s="10" t="inlineStr">
        <is>
          <t>—</t>
        </is>
      </c>
      <c r="F13" s="10" t="n">
        <v>6</v>
      </c>
      <c r="G13" s="10" t="n">
        <v>2</v>
      </c>
      <c r="H13" s="10" t="inlineStr">
        <is>
          <t>Faza 0 — Zatrzymać krwawienie</t>
        </is>
      </c>
      <c r="I13" s="10" t="inlineStr">
        <is>
          <t>2026-09-07</t>
        </is>
      </c>
      <c r="J13" s="10" t="inlineStr">
        <is>
          <t>2026-09-11</t>
        </is>
      </c>
      <c r="K13" s="10" t="inlineStr">
        <is>
          <t>DZIAŁA</t>
        </is>
      </c>
      <c r="L13" s="11" t="inlineStr">
        <is>
          <t>customer-permissions.guard.ts — typ WymogTrasy, REGULY_TRAS, domyślne 'ODMOWA'; customer-permissions-coverage.spec.ts — 55 tras zamkniętych, lista jawna</t>
        </is>
      </c>
      <c r="M13" s="11" t="inlineStr">
        <is>
          <t>—</t>
        </is>
      </c>
      <c r="N13" s="11" t="inlineStr">
        <is>
          <t>Funkcja dostępna z panelu klienta bez wychodzenia do DirectAdmina; test uruchamiany w CI.</t>
        </is>
      </c>
      <c r="O13" s="11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docs/archiwum/zadania/Z-04-guard-uprawnien-subkont.md</t>
        </is>
      </c>
      <c r="P13" s="10" t="inlineStr">
        <is>
          <t>do zrobienia</t>
        </is>
      </c>
    </row>
    <row r="14">
      <c r="A14" s="10" t="inlineStr">
        <is>
          <t>Z-03</t>
        </is>
      </c>
      <c r="B14" s="11" t="inlineStr">
        <is>
          <t>Walidacja danych migracji przed użyciem w poleceniu powłoki</t>
        </is>
      </c>
      <c r="C14" s="10" t="inlineStr">
        <is>
          <t>audyt</t>
        </is>
      </c>
      <c r="D14" s="10" t="inlineStr">
        <is>
          <t>G — SSL i bezpieczeństwo</t>
        </is>
      </c>
      <c r="E14" s="10" t="inlineStr">
        <is>
          <t>—</t>
        </is>
      </c>
      <c r="F14" s="10" t="n">
        <v>16</v>
      </c>
      <c r="G14" s="10" t="n">
        <v>2</v>
      </c>
      <c r="H14" s="10" t="inlineStr">
        <is>
          <t>Faza 0 — Zatrzymać krwawienie</t>
        </is>
      </c>
      <c r="I14" s="10" t="inlineStr">
        <is>
          <t>2026-09-07</t>
        </is>
      </c>
      <c r="J14" s="10" t="inlineStr">
        <is>
          <t>2026-09-11</t>
        </is>
      </c>
      <c r="K14" s="10" t="inlineStr">
        <is>
          <t>DZIAŁA</t>
        </is>
      </c>
      <c r="L14" s="11" t="inlineStr">
        <is>
          <t>dto/migration.dto.ts — MIGRACJA_WZORCE + @Matches na 17 polach; ops/scripts/lib/migration-input-guard.sh — vg_require; node-migration-worker.sh — fail-closed source + zero eval</t>
        </is>
      </c>
      <c r="M14" s="11" t="inlineStr">
        <is>
          <t>—</t>
        </is>
      </c>
      <c r="N14" s="11" t="inlineStr">
        <is>
          <t>Funkcja dostępna z panelu klienta bez wychodzenia do DirectAdmina; test uruchamiany w CI.</t>
        </is>
      </c>
      <c r="O14" s="11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docs/archiwum/zadania/Z-03-walidacja-danych-migracji.md</t>
        </is>
      </c>
      <c r="P14" s="10" t="inlineStr">
        <is>
          <t>do zrobienia</t>
        </is>
      </c>
    </row>
    <row r="15">
      <c r="A15" s="10" t="inlineStr">
        <is>
          <t>Z-06</t>
        </is>
      </c>
      <c r="B15" s="11" t="inlineStr">
        <is>
          <t>Klucz idempotencji obciążenia za dodatek</t>
        </is>
      </c>
      <c r="C15" s="10" t="inlineStr">
        <is>
          <t>audyt</t>
        </is>
      </c>
      <c r="D15" s="10" t="inlineStr">
        <is>
          <t>M — Rozliczenia</t>
        </is>
      </c>
      <c r="E15" s="10" t="inlineStr">
        <is>
          <t>—</t>
        </is>
      </c>
      <c r="F15" s="10" t="n">
        <v>6</v>
      </c>
      <c r="G15" s="10" t="n">
        <v>2</v>
      </c>
      <c r="H15" s="10" t="inlineStr">
        <is>
          <t>Faza 0 — Zatrzymać krwawienie</t>
        </is>
      </c>
      <c r="I15" s="10" t="inlineStr">
        <is>
          <t>2026-09-07</t>
        </is>
      </c>
      <c r="J15" s="10" t="inlineStr">
        <is>
          <t>2026-09-11</t>
        </is>
      </c>
      <c r="K15" s="10" t="inlineStr">
        <is>
          <t>DZIAŁA</t>
        </is>
      </c>
      <c r="L15" s="11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M15" s="11" t="inlineStr">
        <is>
          <t>—</t>
        </is>
      </c>
      <c r="N15" s="11" t="inlineStr">
        <is>
          <t>Funkcja dostępna z panelu klienta bez wychodzenia do DirectAdmina; test uruchamiany w CI.</t>
        </is>
      </c>
      <c r="O15" s="11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docs/archiwum/zadania/Z-06-klucz-idempotencji-dodatku.md</t>
        </is>
      </c>
      <c r="P15" s="10" t="inlineStr">
        <is>
          <t>do zrobienia</t>
        </is>
      </c>
    </row>
    <row r="16">
      <c r="A16" s="10" t="inlineStr">
        <is>
          <t>X-18</t>
        </is>
      </c>
      <c r="B16" s="11" t="inlineStr">
        <is>
          <t>Zależności podniesione do najnowszych bezpiecznych wersji</t>
        </is>
      </c>
      <c r="C16" s="10" t="inlineStr">
        <is>
          <t>audyt</t>
        </is>
      </c>
      <c r="D16" s="10" t="inlineStr">
        <is>
          <t>X — Infrastruktura jakości</t>
        </is>
      </c>
      <c r="E16" s="10" t="inlineStr">
        <is>
          <t>—</t>
        </is>
      </c>
      <c r="F16" s="10" t="n">
        <v>16</v>
      </c>
      <c r="G16" s="10" t="n">
        <v>2</v>
      </c>
      <c r="H16" s="10" t="inlineStr">
        <is>
          <t>Faza 0 — Zatrzymać krwawienie</t>
        </is>
      </c>
      <c r="I16" s="10" t="inlineStr">
        <is>
          <t>2026-09-07</t>
        </is>
      </c>
      <c r="J16" s="10" t="inlineStr">
        <is>
          <t>2026-09-11</t>
        </is>
      </c>
      <c r="K16" s="10" t="inlineStr">
        <is>
          <t>DZIAŁA</t>
        </is>
      </c>
      <c r="L16" s="11" t="inlineStr">
        <is>
          <t>package.json — 16 pnpm.overrides na zależności przechodnie; apps/www next 15.4.4 → 16.3.2; wszystkie panele next 16.3.2; NestJS 11.2.1; React 19.2.8; Payload 3.88.0; recharts 3; @types/node 26; ioredis 6; bullmq 6; graphql 17; sharp 0.35.3; libs/typescript-config/nestjs.json target ES2022 + lib ES2023</t>
        </is>
      </c>
      <c r="M16" s="11" t="inlineStr">
        <is>
          <t>—</t>
        </is>
      </c>
      <c r="N16" s="11" t="inlineStr">
        <is>
          <t>Funkcja dostępna z panelu klienta bez wychodzenia do DirectAdmina; test uruchamiany w CI.</t>
        </is>
      </c>
      <c r="O16" s="11" t="inlineStr">
        <is>
          <t>Zamknięte 2026-08-22. Podatności: 142 → 2 (krytyczne 2 → 0, wysokie 61 → 1, średnie 69 → 0). | NAJWAŻNIEJSZE: apps/www stało na next 15.4.4 z krytycznym RCE w protokole React flight (łatka od 15.4.8) i wysokim DoS przez Server Components (od 15.4.9). To jest PUBLICZNA strona verris.pl. Panele były na 16.2.7 i ich to nie dotyczyło. Podniesione do 16.3.2 — Payload 3.88 deklaruje wsparcie dla &gt;=16.2.6, więc to ścieżka sankcjonowana przez dostawcę, nie obejście. Build www przechodzi. | Zależności PRZECHODNIE, których nie da się podnieść przez rodzica, domknięte przez pnpm.overrides. Przy pierwszym podejściu użyłem zakresów bez górnej granicy ("&gt;=1.1.18") — pnpm podstawił NAJWYŻSZĄ pasującą wersję, dla brace-expansion@1 było to 5.0.9 o innym kształcie eksportu, co wywaliło minimatch@3 komunikatem „expand is not a function". Każdy override jest teraz ograniczony do linii majora. | CZEGO NIE PODNIOSŁEM I DLACZEGO — trzy rzeczy, w których ekosystem nie nadąża: (1) Prisma 6.19.3 → 7.x to NIE jest podniesienie wersji, tylko zmiana architektury warstwy danych: `url` znika ze schematu na rzecz prisma.config.ts, a PrismaClient wymaga driver adaptera; dotyka każdego wywołania bazy, seeda, CI i wdrożenia produkcyjnego. Osobna pozycja: X-20. (2) TypeScript 5.9.3 → 7.0.2 — ts-jest ma peer &gt;=4.3 &lt;7, typescript-eslint &gt;=4.8.4 &lt;6.1.0; podniesienie wyłączyłoby jednocześnie testy i linter. Dodany override pinujący, bo TS 7 wchodził do drzewa jako zależność przechodnia mimo "^5" wszędzie. (3) ESLint 9.39.5 → 10.9.0 — eslint-plugin-react 7.37.5 wywala się w runtime („contextOrFilename.getFilename is not a function"), a to on stoi za konfiguracją Next. | Zostały 2 podatności: deepmerge-ts (wysoka, tylko przez Prismę 6 — znika z X-20) i jedna niska. | Wymuszone zmiany w kodzie: recharts 3 usunęło prop activeIndex z &lt;Pie&gt; (podświetlenie przepisane na przezroczystość &lt;Cell&gt;); @types/node 26 zawęziło typ chunka w zdarzeniu 'data' i zmieniło response.json() z any na unknown; bullmq 6 usunęło 'paused' z JobType; Array.prototype.at wymusiło lib ES2023. | Weryfikacja: lint 7/7, typecheck 8/8, 421 testów jednostkowych, 15 integracyjnych, build www — wszystko na prawdziwym Postgresie w kontenerze. Dokumentacja: docs/archiwum/zadania/X-18-podniesienie-zaleznosci.md | KOREKTA 2026-08-22 (X-21): graphql cofnięty z ^17.0.2 do ^16.14.2 — jedynym konsumentem jest Payload 3.88, który deklaruje peera ^16.8.1, a nasz kod nie importuje graphql ani razu. Podniosłem major pod biblioteką, która go nie wspiera, bo wersja była wyższa — na PUBLICZNEJ stronie. Build www przechodzi na 16, ostrzeżenie o peerze znikło. | Domknięty body-parser override'em ^2.3.0: podatności 2 → 1 (została deepmerge-ts, wysoka, tylko przez Prismę 6 — znika z X-20). | engines.node podniesione z "&gt;=22" do "&gt;=22.12" — patrz X-21.</t>
        </is>
      </c>
      <c r="P16" s="10" t="inlineStr">
        <is>
          <t>do zrobienia</t>
        </is>
      </c>
    </row>
    <row r="17">
      <c r="A17" s="10" t="inlineStr">
        <is>
          <t>X-21</t>
        </is>
      </c>
      <c r="B17" s="11" t="inlineStr">
        <is>
          <t>Deklaracje typów opisują tę wersję biblioteki, która jest zainstalowana</t>
        </is>
      </c>
      <c r="C17" s="10" t="inlineStr">
        <is>
          <t>audyt</t>
        </is>
      </c>
      <c r="D17" s="10" t="inlineStr">
        <is>
          <t>X — Infrastruktura jakości</t>
        </is>
      </c>
      <c r="E17" s="10" t="inlineStr">
        <is>
          <t>—</t>
        </is>
      </c>
      <c r="F17" s="10" t="n">
        <v>6</v>
      </c>
      <c r="G17" s="10" t="n">
        <v>2</v>
      </c>
      <c r="H17" s="10" t="inlineStr">
        <is>
          <t>Faza 0 — Zatrzymać krwawienie</t>
        </is>
      </c>
      <c r="I17" s="10" t="inlineStr">
        <is>
          <t>2026-09-07</t>
        </is>
      </c>
      <c r="J17" s="10" t="inlineStr">
        <is>
          <t>2026-09-11</t>
        </is>
      </c>
      <c r="K17" s="10" t="inlineStr">
        <is>
          <t>DZIAŁA</t>
        </is>
      </c>
      <c r="L17" s="11" t="inlineStr">
        <is>
          <t>apps/api/package.json — @types/archiver ^8.0.0 przy archiver ^8.0.0; apps/api/src/test/typy-zgodne-z-runtime.spec.ts — 12 testów; package.json — engines.node "&gt;=22.12"</t>
        </is>
      </c>
      <c r="M17" s="11" t="inlineStr">
        <is>
          <t>—</t>
        </is>
      </c>
      <c r="N17" s="11" t="inlineStr">
        <is>
          <t>Funkcja dostępna z panelu klienta bez wychodzenia do DirectAdmina; test uruchamiany w CI.</t>
        </is>
      </c>
      <c r="O17" s="11" t="inlineStr">
        <is>
          <t>Zamknięte 2026-08-22. BŁĄD PRODUKCYJNY znaleziony przy X-18, siedzący w kodzie PRZED podniesieniem. apps/api/package.json deklarował jednocześnie archiver ^8.0.0 i @types/archiver ^7.0.0. Archiver 8 usunął fabrykę create() na rzecz klas per format — kod wołał archiver.create('zip'/'tar'), typecheck był ZIELONY, bo typy z linii 7 tę funkcję opisywały, a w runtime jej nie było. Sprawdzone realnie: Object.keys(require('archiver')) = ['Archiver','JsonArchive','TarArchive','ZipArchive'], create === undefined. | CO TO PSUŁO: (1) data-export.service.ts → buildZipToFile — eksport danych osobowych (RODO art. 20, prawo do przenoszenia) wywalał się przy KAŻDYM żądaniu; (2) default-hosting-page.assets.ts → buildDefaultHostingPageBundle — budowa paczki domyślnej strony wywalała się przy KAŻDYM provisioningu konta. Nie „czasem" — zawsze, od momentu podniesienia archivera. | DLACZEGO NIKT TEGO NIE ZOBACZYŁ: typecheck czytał typy opisujące nieistniejącą wersję, żaden test nie dotykał tych dwóch funkcji, lint nie ma reguły na „ta metoda nie istnieje w runtime". Typecheck jest bramką wdrożenia — jeżeli typy opisują inną wersję niż zainstalowana, bramka przepuszcza kod, który się nie uruchomi, i robi to cicho, na zielono. | DRUGIE DNO: archiver 8 jest czystym ESM-em ("type": "module", brak wejścia CJS), a API kompiluje się do CommonJS-a. Node obsługuje require(esm) bez flagi dopiero od 22.12, a engines.node stał na "&gt;=22". Obrazy używają taga node:22 (dziś 22.22), więc realnie nic się nie paliło, ale deklaracja pozwalała na konfigurację, która by się paliła — ERR_REQUIRE_ESM w tych samych dwóch ścieżkach. Podniesione do "&gt;=22.12". | STRAŻNIK NA CAŁĄ KLASĘ, nie na sam archiver: żadne @types/X w monorepo nie może opisywać innego majora niż zainstalowany X. Test runtime'u wywołuje osobny proces Node'a (execFileSync), bo transformacja jesta nie ładuje zależności ESM i sprawdzałaby ładowarkę jesta zamiast produkcji. | Czerwieni się na starym kodzie: cofnięcie wszystkich trzech rzeczy daje 3 czerwone z 12, każdy z wykonalnym komunikatem. | Strażnik po raz TRZECI w tym projekcie trafił sam w siebie — szukana fraza padała w treści jego własnego komunikatu błędu (ta sama pułapka co polskie „jest" w X-17). Pominięty __filename + osobny test na spreparowanym wejściu. | PRZY OKAZJI: body-parser (niska, DoS przy cichym wyłączeniu limitu rozmiaru) domknięty override'em ^2.3.0 — podatności 2 → 1; graphql cofnięty z ^17.0.2 do ^16.14.2, bo jedynym konsumentem jest Payload 3.88 deklarujący peera ^16.8.1, a nasz kod nie importuje graphql ani razu — to korekta mojego własnego błędu z X-18: podniosłem wersję, bo była wyższa, nie sprawdzając, kto z niej korzysta. | Weryfikacja: 433 testy jednostkowe, 15 integracyjnych, lint 7/7, typecheck 8/8, build www. Dokumentacja: docs/archiwum/zadania/X-21-typy-klamaly-o-runtime.md</t>
        </is>
      </c>
      <c r="P17" s="10" t="inlineStr">
        <is>
          <t>do zrobienia</t>
        </is>
      </c>
    </row>
    <row r="18">
      <c r="A18" s="10" t="inlineStr">
        <is>
          <t>X-23</t>
        </is>
      </c>
      <c r="B18" s="11" t="inlineStr">
        <is>
          <t>Bramka podatności zatrzymuje wdrożenie, a nie tylko dopisuje adnotację</t>
        </is>
      </c>
      <c r="C18" s="10" t="inlineStr">
        <is>
          <t>audyt</t>
        </is>
      </c>
      <c r="D18" s="10" t="inlineStr">
        <is>
          <t>X — Infrastruktura jakości</t>
        </is>
      </c>
      <c r="E18" s="10" t="inlineStr">
        <is>
          <t>WYSOKA</t>
        </is>
      </c>
      <c r="F18" s="10" t="n">
        <v>6</v>
      </c>
      <c r="G18" s="10" t="n">
        <v>2</v>
      </c>
      <c r="H18" s="10" t="inlineStr">
        <is>
          <t>Faza 0 — Zatrzymać krwawienie</t>
        </is>
      </c>
      <c r="I18" s="10" t="inlineStr">
        <is>
          <t>2026-09-07</t>
        </is>
      </c>
      <c r="J18" s="10" t="inlineStr">
        <is>
          <t>2026-09-11</t>
        </is>
      </c>
      <c r="K18" s="10" t="inlineStr">
        <is>
          <t>DZIAŁA</t>
        </is>
      </c>
      <c r="L18" s="11" t="inlineStr">
        <is>
          <t>.github/workflows/ci.yml:388 — jedyne wywolanie ops/ci/audyt-bramka.cjs, w jobie security-scans (ci.yml:349). .github/workflows/deploy.yml — job test-gate robi typecheck, lint i testy, NIE wola bramki podatnosci (zero trafien na audyt-bramka/trivy/gitleaks/audit). Ruleset 21161479 "galezie wdrozeniowe — wymagaj zielonego CI": wymagane checki to Static checks, Build, Prisma migrate deploy, API unit tests, API integration tests — security-scans NIE JEST na liscie. Obserwacja 2026-09-19: PR #37 ma czerwone "Security scans" i jednoczesnie badge "Able to merge".</t>
        </is>
      </c>
      <c r="M18" s="11" t="inlineStr">
        <is>
          <t>—</t>
        </is>
      </c>
      <c r="N18" s="11" t="inlineStr">
        <is>
          <t>Funkcja dostępna z panelu klienta bez wychodzenia do DirectAdmina; test uruchamiany w CI.</t>
        </is>
      </c>
      <c r="O18" s="11" t="inlineStr">
        <is>
          <t>Zamknięte w kodzie 2026-08-22, D1 do czasu obejrzenia przebiegu CI. Znalezione przy oglądaniu przebiegu CI #58, który zakończył się statusem Success — a w adnotacjach miał „Security scans: Process completed with exit code 1". Krok `pnpm audit --prod --audit-level high` wychodził z kodem 1 i nie zatrzymywał niczego, bo miał continue-on-error: true. | Powód był prawdziwy: w drzewie siedzi jedna wysoka podatność (deepmerge-ts przez Prismę 6, GHSA-ggr8-5vv4-36mx), której nie da się domknąć bez migracji na Prismę 7 — czyli X-20, świadomie odłożone. Bez continue-on-error każdy przebieg byłby czerwony. SKUTEK: nowa KRYTYCZNA podatność też by nie zatrzymała wdrożenia; job świeciłby na zielono z adnotacją, która przez kilkanaście przebiegów znaczyła „to ta znana". | Ta sama klasa błędu co X-17 — bramka, która nie bramkuje. Wzorzec wart nazwania, bo wraca: kiedy alarm dzwoni na coś, czego nie da się dziś naprawić, odruchem jest wyłączenie alarmu — i to działa, do pierwszej rzeczy, którą dałoby się naprawić, gdyby ktoś o niej usłyszał. | ROZWIĄZANIE: lista świadomych zgód z terminem ważności. Czerwone gdy: (a) nowa high/critical spoza listy, (b) zgoda po terminie, (c) zgoda na podatność, której już nie ma. Punkt (c) jest najłatwiejszy do uznania za przesadę i najważniejszy w dłuższym horyzoncie — lista wyjątków, z której nic nigdy nie znika, po pół roku przestaje cokolwiek znaczyć. Termin dalszy niż 90 dni odrzucany: „zgoda do 2030" to usunięcie bramki pod inną nazwą. Zgoda wymaga powodu min. 80 znaków i wskazania istniejącej pozycji macierzy. | STAN: 1 zgoda (deepmerge-ts, termin 2026-11-15 — mniej więcej wtedy X-20 i tak musi zostać rozstrzygnięte; jeśli nie zostanie, CI o tym przypomni, zatrzymując wdrożenie). | CZEGO TO NIE ROBI: gitleaks nadal ma continue-on-error (fałszywe trafienia na przykładowych konfiguracjach w ops/, wyciszanie to osobna robota z .gitleaksignore — zaostrzenie dziś skończyłoby się ponownym wyłączeniem alarmu); pnpm audit --prod pomija zależności deweloperskie; Trivy zostaje raportujący, bo dubluje zakres pnpm audit. | Strażnik po raz CZWARTY trafił we własny komentarz (fraza --audit-level w wyjaśnieniu, dlaczego tego kroku już nie ma) — po „jest" z X-17 i archiver.create z X-21. Reguła do zapamiętania: strażnik czytający treść pliku patrzy na kod, nie na prozę; komentarze wypadają przed dopasowaniem domyślnie, nie po pierwszym fałszywym alarmie. | Czerwieni się na starym kodzie: przywrócenie kroku z continue-on-error daje 2 czerwone z 15, a przywrócenie continue-on-error na kroku Lint — kolejne 2. | DRUGIE ZNALEZISKO w tym samym pliku: krok Lint miał continue-on-error z komentarzem „lint jest miękki, bramką jest typecheck". Komentarz był kiedyś prawdziwy — dziś pnpm lint wychodzi z zerem we wszystkich siedmiu pakietach (0 błędów, 270 ostrzeżeń — dług z X-19), więc miękkość nie chroniła już przed niczym poza NOWYM błędem lintera. Zdjęta; ostrzeżenia nadal przechodzą. Do tego biała lista MIEKKIE_DOZWOLONE: dołożenie miękkiego kroku ma być widoczną decyzją, a nie linijką dopisaną, bo się świeciło na czerwono. | Pierwsza wersja strażnika miękkich kroków używała jednego wyrażenia regularnego przez cały plik i przeciekała na następny krok — meldowała „Install pnpm jest miękki", choć miękki był krok obok. Przepisane na rozkład po wcięciu myślnika: strażnik, który wskazuje nie ten element, kosztuje tyle samo co brak strażnika. Dokumentacja: docs/archiwum/zadania/X-23-bramka-podatnosci.md | TRZECIE ZNALEZISKO — wyciszenia Dependabota. PR-y #15 (Prisma 7) i #16 (TypeScript 7) wracałyby co tydzień, bo świadomie zostajemy na 6.x i 5.x. Naturalnym ruchem jest reguła ignore w .github/dependabot.yml — i naturalnym skutkiem, że po pół roku nikt nie pamięta, dlaczego tam jest ani czy powód nadal obowiązuje. Każde wyciszenie ma więc obowiązkowo dwa komentarze: „# pozycja: X-nn" (kto odpowiada) i „# przegląd: RRRR-MM-DD" (do kiedy). apps/api/src/test/dependabot-wyciszenia.spec.ts — 6 testów — czerwieni CI, gdy termin minie, gdy brakuje któregoś komentarza albo gdy wskazana pozycja nie istnieje w macierzy. Parser czyta komentarze, bo parser YAML-a ich nie widzi, a to w nich siedzi odpowiedzialność. | Termin 2026-11-15 jest TEN SAM co zgoda na deepmerge-ts w liście bramki — jeden termin do pilnowania zamiast trzech, wszystkie prowadzą do X-20. | PR-y Dependabota: #15 i #16 zamknie sam Dependabot jako objęte ignore; pozostałych 11 (#4–#14, #17, #18) zamknie się samo po scaleniu feat/sprint-2 do main, bo Dependabot zamyka własne PR-y, gdy gałąź bazowa dogoni wersję. Żadnego nie zamykam ręcznie. | Weryfikacja: 457 testów jednostkowych, 15 integracyjnych, lint 7/7 (0 błędów), typecheck 8/8. | D2 OSIĄGNIĘTE 2026-08-22: przebieg CI #59 zielony w komplecie, sześć jobów, ZERO adnotacji błędu — krok „Bramka podatności" przeszedł bez continue-on-error, a adnotacja „Process completed with exit code 1", która towarzyszyła każdemu wcześniejszemu przebiegowi, zniknęła. | KOREKTA 2026-09-19: DZIALA -&gt; CZESCIOWE. Pozycja twierdzila, ze bramka "zatrzymuje wdrozenie, a nie tylko dopisuje adnotacje". Bramka jest zbudowana dobrze i dziala — ale nie jest podlaczona do niczego, co moze cokolwiek zatrzymac. Trzy niezalezne drogi obok niej: (1) deploy.yml w ogole jej nie wola, a wdrozenie wyzwala push na main, nie zielony ci.yml; (2) security-scans nie jest checkiem wymaganym w rulesecie, wiec merge przechodzi mimo czerwieni; (3) repository admin ma bypass na wszystko, co i tak bylo zapisane przy X-02. To ta sama rodzina co X-42, tylko o poziom wyzej: tam bramka wdrozenia byla SLABSZA od ci.yml i dolozylismy lint. Nikt wtedy nie sprawdzil, czy brakuje jeszcze czegos — brakowalo bramki podatnosci. Naprawa: X-50. | 2026-09-22 ZAMKNIETE przez X-50 (D2): bramka podatnosci wolana w test-gate deploy.yml oraz 'Security scans' w wymaganych checkach rulesetu. Obie sciezki z korekty 2026-09-19 zamkniete; trzecia (bypass admina) zostaje swiadomie i jest opisana w X-50.</t>
        </is>
      </c>
      <c r="P18" s="10" t="inlineStr">
        <is>
          <t>do zrobienia</t>
        </is>
      </c>
    </row>
    <row r="19">
      <c r="A19" s="10" t="inlineStr">
        <is>
          <t>X-24</t>
        </is>
      </c>
      <c r="B19" s="11" t="inlineStr">
        <is>
          <t>Panel admina woła ścieżki, które API naprawdę wystawia</t>
        </is>
      </c>
      <c r="C19" s="10" t="inlineStr">
        <is>
          <t>audyt</t>
        </is>
      </c>
      <c r="D19" s="10" t="inlineStr">
        <is>
          <t>X — Infrastruktura jakości</t>
        </is>
      </c>
      <c r="E19" s="10" t="inlineStr">
        <is>
          <t>—</t>
        </is>
      </c>
      <c r="F19" s="10" t="n">
        <v>6</v>
      </c>
      <c r="G19" s="10" t="n">
        <v>2</v>
      </c>
      <c r="H19" s="10" t="inlineStr">
        <is>
          <t>Faza 0 — Zatrzymać krwawienie</t>
        </is>
      </c>
      <c r="I19" s="10" t="inlineStr">
        <is>
          <t>2026-09-07</t>
        </is>
      </c>
      <c r="J19" s="10" t="inlineStr">
        <is>
          <t>2026-09-11</t>
        </is>
      </c>
      <c r="K19" s="10" t="inlineStr">
        <is>
          <t>DZIAŁA</t>
        </is>
      </c>
      <c r="L19" s="11" t="inlineStr">
        <is>
          <t>apps/api/src/test/sciezki-panelu.spec.ts — 5 testów; porównuje wywołania adminApi() z panelu z trasami zadeklarowanymi w kontrolerach API</t>
        </is>
      </c>
      <c r="M19" s="11" t="inlineStr">
        <is>
          <t>—</t>
        </is>
      </c>
      <c r="N19" s="11" t="inlineStr">
        <is>
          <t>Funkcja dostępna z panelu klienta bez wychodzenia do DirectAdmina; test uruchamiany w CI.</t>
        </is>
      </c>
      <c r="O19" s="11" t="inlineStr">
        <is>
          <t>Odkryte przy M-06. Formularz faktury ręcznej z Z-01 wołał /admin/billing/invoices/reczna, a kontroler wystawia /admin/invoices/reczna. Kod się kompilował, testy jednostkowe przechodziły, panel się budował — 404 wyszłoby dopiero pod palcem operatora. | To ta sama rodzina co „bliźniacze miejsca", rozciągnięta na dwa pakiety: ścieżka zapisana dwa razy, w panelu i w kontrolerze, a nic ich nie łączy. Kompilator nie pomoże, bo po obu stronach to zwykły napis. | Strażnik wyciąga wywołania adminApi() z panelu i trasy z kontrolerów, porównuje kształt ścieżki i metodę HTTP. Segmenty dynamiczne (${id} w panelu, :id w kontrolerze) pasują do wszystkiego. | STRAŻNIK ZACZĄŁ OD JEDENASTU FAŁSZYWYCH ALARMÓW: (1) czytał 220 znaków po wywołaniu szukając `method:` i łapał metodę z NASTĘPNEGO wywołania — zwykły GET raportowany jako POST; (2) zamieniał wstawkę ${qs} na gwiazdkę w miejscu, produkując segment „webhooki*", który nie pasował do niczego; (3) grupował warianty ścieżki po wartości pochodnej zamiast po oryginale, więc wariant pełny zawsze zostawał sam i zawsze wyglądał na niepokryty. Jedenaście fałszywych alarmów przy dwóch prawdziwych znaleziskach. Strażnik, który tonie we własnym szumie, zostanie wyciszony — doprowadzenie do zera fałszywych alarmów było warunkiem działania, nie dopieszczaniem. | PIĄTE wystąpienie tej rodziny: „jest" (X-17), archiver.create (X-21), --audit-level (X-23), endsWith('billing.service.ts') (Z-05), teraz ścieżki panelu. | Czerwieni się na starym kodzie: przywrócenie błędnej ścieżki daje 1 czerwony z 5. | CZEGO NIE ROBI: nie sprawdza kształtu ciała żądania ani odpowiedzi — tylko ścieżkę i metodę; nie obejmuje panelu klienta ani panelu staff (te wołają inne bazowe adresy).</t>
        </is>
      </c>
      <c r="P19" s="10" t="inlineStr">
        <is>
          <t>do zrobienia</t>
        </is>
      </c>
    </row>
    <row r="20">
      <c r="A20" s="10" t="inlineStr">
        <is>
          <t>X-25</t>
        </is>
      </c>
      <c r="B20" s="11" t="inlineStr">
        <is>
          <t>Asercje po migracji biegną także na produkcji, z rollbackiem przy naruszeniu</t>
        </is>
      </c>
      <c r="C20" s="10" t="inlineStr">
        <is>
          <t>audyt</t>
        </is>
      </c>
      <c r="D20" s="10" t="inlineStr">
        <is>
          <t>X — Infrastruktura jakości</t>
        </is>
      </c>
      <c r="E20" s="10" t="inlineStr">
        <is>
          <t>—</t>
        </is>
      </c>
      <c r="F20" s="10" t="n">
        <v>6</v>
      </c>
      <c r="G20" s="10" t="n">
        <v>2</v>
      </c>
      <c r="H20" s="10" t="inlineStr">
        <is>
          <t>Faza 0 — Zatrzymać krwawienie</t>
        </is>
      </c>
      <c r="I20" s="10" t="inlineStr">
        <is>
          <t>2026-09-07</t>
        </is>
      </c>
      <c r="J20" s="10" t="inlineStr">
        <is>
          <t>2026-09-11</t>
        </is>
      </c>
      <c r="K20" s="10" t="inlineStr">
        <is>
          <t>DZIAŁA</t>
        </is>
      </c>
      <c r="L20" s="11" t="inlineStr">
        <is>
          <t>ops/sql/po-migracji-niezmienniki.sql — CI I PRODUKCJA, 14 RAISE EXCEPTION (Z-01, Z-05, Z-12, Z-13, Z-16, M-06); ops/sql/po-migracji-katalog.sql — tylko CI, wartości z oferty; ops/sql/po-migracji-historia.sql — raport, ZERO RAISE EXCEPTION w kodzie; ops/scripts/prod-deploy-ghcr.sh:79-133 — krok 3.5 (bramka + rollback) i 3.6 (raport); .github/workflows/ci.yml — cztery kroki po seedzie; ops/scripts/asercje-czerwienia-sie.sh — 10 naruszeń, każde na właściwej asercji; apps/api/src/test/asercje-po-migracji.spec.ts (36). Usunięte: ops/sql/sprawdz-baze-po-migracji.sql</t>
        </is>
      </c>
      <c r="M20" s="11" t="inlineStr">
        <is>
          <t>—</t>
        </is>
      </c>
      <c r="N20" s="11" t="inlineStr">
        <is>
          <t>Funkcja dostępna z panelu klienta bez wychodzenia do DirectAdmina; test uruchamiany w CI.</t>
        </is>
      </c>
      <c r="O20" s="11" t="inlineStr">
        <is>
          <t>Stan 2026-08-22: ZAMKNIĘTE. Sześć zamkniętych blokerów zostawiło plik asercji o stanie bazy po migracjach. Plik był porządny i biegł w JEDNYM miejscu: w CI, na świeżej bazie testowej — czyli dokładnie tam, gdzie nie ma prawdziwych danych. Produkcja po `prisma migrate deploy` nie była sprawdzana NICZYM; `migrate deploy` kończy się zerem, gdy pliki SQL się wykonały, i nie mówi nic o tym, czy baza jest po nich w stanie, w którym kod policzy dobrze. | DLACZEGO NIE DAŁO SIĘ PO PROSTU DOPISAĆ TEGO PLIKU DO DEPLOYU: część twierdzeń wywaliłaby wdrożenie bez powodu. Asercja „są plany prototypowe" dotyczy rzeczy, które tworzy SEED, a seed na produkcji nie biegnie. Gorsza była druga: pilnowała, żeby verris-hosting kosztował dokładnie 45,00 — a cenę WOLNO zmienić z panelu (plans.service.ts, updatePlan). Pierwsza legalna podwyżka zamieniłaby każde kolejne wdrożenie w rollback, a wtedy ktoś słusznie wyłączyłby całe sprawdzanie. Tego nie zauważyłem od razu — zobaczyłem dopiero, gdy własny strażnik zapalił się na isPublic i zamiast go poluzować sprawdziłem, czy cena jest edytowalna. Była. | TRZY PLIKI, TRZY RÓŻNE ŻYCIA: niezmienniki (CI i produkcja, blokują) — twierdzenia, których nie unieważni żadna legalna zmiana biznesowa; katalog (TYLKO CI) — dzisiejsza decyzja handlowa, w CI zmienia się w jednym commicie razem z PLAN_PRODUKCYJNY i treścią strony; historia (CI i produkcja, tylko raport) — dane sprzed migracji, których migracja nie naprawia i nie miała naprawiać; wycofanie wdrożenia z tego powodu byłoby karą za przeszłość, nie ochroną przed błędem. | Z Z-13 do niezmienników przeszły dwa twierdzenia, których panel nie może naruszyć: istnienie wiersza o slugu verris-hosting (slug stoi na sztywno w plan-produkcyjny.ts) oraz reguła cennika, którą API wymusza przy zapisie (ceny dodatnie, rok &gt;= 6x miesiąc) — API pilnuje jej przy zapisie, baza nie pilnuje wcale, a migracja danych zapisuje Z POMINIĘCIEM API. | JEDNA REGUŁA, JEDNO MIEJSCE: blok M-06 sprawdzał sumy korekty, które obejmuje już Z-01 (korekta to wiersz w Invoice) — druga kopia nigdy by nie wystartowała, a przy zmianie zasad ktoś poprawiłby jedną z dwóch. Usunięta. | DWIE CICHE PUŁAPKI W SAMYM WYWOŁANIU: `psql -U "${POSTGRES_USER:?}"` — przy pustej zmiennej psql połączyłby się z bazą o nazwie użytkownika i asercje przeszłyby na PUSTEJ, NIEWŁAŚCIWEJ bazie; `sh -c` zamiast `sh -lc` — skrypt profilu czytający stdin zjadłby SQL i psql dostałby pusty plik. | ASERCJA, KTÓRA SIĘ NIE CZERWIENI, NIE JEST BRAMKĄ: ops/scripts/asercje-czerwienia-sie.sh psuje po jednym niezmienniku naraz w transakcji z ROLLBACK-iem i sprawdza DWIE rzeczy — kod wyjścia różny od zera ORAZ że powodem jest TA asercja. Drugi warunek nie jest ozdobą: w pierwszym przebiegu trzy przypadki M-06 świeciły na czerwono, a naprawdę odbijał je CHECK w bazie, zanim asercja zdążyła cokolwiek zobaczyć (ta sama lekcja co Z-01 i H-20). | Czerwieni się na starym kodzie: jeden plik + brak asercji w deployu → 11 z 36; `|| true` zamiast bramki → 1; RAISE EXCEPTION w pliku historii → 1; katalog wpuszczony na produkcję → 1. | CZEGO NIE ROBI: nie cofa schematu (rollback wraca do poprzedniego obrazu, migracje zostają); nie sprawdza katalogu na produkcji — cena może się tam rozjechać z PLAN_PRODUKCYJNY i deploy tego nie zauważy (to bliżej monitoringu niż bramki); asercje-czerwienia-sie.sh NIE WOLNO uruchamiać na produkcji, bo zdejmuje ograniczenia CHECK wewnątrz transakcji. | D3 powstanie przy pierwszym deployu na main, w logu wdrożenia, z datą. Dokumentacja: docs/archiwum/zadania/X-25-asercje-po-migracji.md</t>
        </is>
      </c>
      <c r="P20" s="10" t="inlineStr">
        <is>
          <t>do zrobienia</t>
        </is>
      </c>
    </row>
    <row r="21">
      <c r="A21" s="10" t="inlineStr">
        <is>
          <t>X-26</t>
        </is>
      </c>
      <c r="B21" s="11" t="inlineStr">
        <is>
          <t>Skrypty powłoki mają bit wykonywalności — także po świeżym git clone</t>
        </is>
      </c>
      <c r="C21" s="10" t="inlineStr">
        <is>
          <t>audyt</t>
        </is>
      </c>
      <c r="D21" s="10" t="inlineStr">
        <is>
          <t>X — Infrastruktura jakości</t>
        </is>
      </c>
      <c r="E21" s="10" t="inlineStr">
        <is>
          <t>—</t>
        </is>
      </c>
      <c r="F21" s="10" t="n">
        <v>6</v>
      </c>
      <c r="G21" s="10" t="n">
        <v>2</v>
      </c>
      <c r="H21" s="10" t="inlineStr">
        <is>
          <t>Faza 0 — Zatrzymać krwawienie</t>
        </is>
      </c>
      <c r="I21" s="10" t="inlineStr">
        <is>
          <t>2026-09-07</t>
        </is>
      </c>
      <c r="J21" s="10" t="inlineStr">
        <is>
          <t>2026-09-11</t>
        </is>
      </c>
      <c r="K21" s="10" t="inlineStr">
        <is>
          <t>DZIAŁA</t>
        </is>
      </c>
      <c r="L21" s="11" t="inlineStr">
        <is>
          <t>apps/api/src/test/skrypty-wykonywalne.spec.ts (3) — żaden .sh w repozytorium bez bitu wykonywalności; 82 skrypty przestawione na tryb 100755 (16 z nich miało 100644, w tym restore-drill-isolated.sh z bramki startu i pięć uruchamianych na węzłach produkcyjnych); docs/ops/RESTORE_TEST.md — usunięte obejście `chmod +x` sprzed uruchomienia</t>
        </is>
      </c>
      <c r="M21" s="11" t="inlineStr">
        <is>
          <t>—</t>
        </is>
      </c>
      <c r="N21" s="11" t="inlineStr">
        <is>
          <t>Funkcja dostępna z panelu klienta bez wychodzenia do DirectAdmina; test uruchamiany w CI.</t>
        </is>
      </c>
      <c r="O21" s="11" t="inlineStr">
        <is>
          <t>Odkryte przy X-25, dzień po zamknięciu mechanizmu H-20. Runbook, dokumentacja zadania i MAIL PRZYPOMINAJĄCY do administratora mówią jednym głosem: `cd /opt/verris &amp;&amp; ./ops/scripts/restore-drill-isolated.sh --owner "…"` — a plik miał w gicie tryb 100644. Na świeżym `git clone` to polecenie kończy się „Permission denied". Czyli procedura, którą właśnie zamieniliśmy w bramkę startu sprzedaży, nie dawała się wykonać w sposób, w jaki sama każe siebie wykonywać. | Szesnaście skryptów miało ten sam problem, w tym pięć uruchamianych na węzłach produkcyjnych (node-app-install, node-db-upgrade, node-offsite-backup, node-php-apply, node-wp-install). | ŚLAD PO TYM BŁĘDZIE LEŻAŁ W REPOZYTORIUM OD DAWNA: docs/ops/RESTORE_TEST.md kazał wpisać `chmod +x` PRZED uruchomieniem, a Dockerfile.api robi `chmod +x` na entrypoincie. Obejścia działały, więc nikt nie naprawił przyczyny — a każde z nich było zapisanym w repozytorium dowodem, że przyczyna istnieje. To jest ten sam kształt co „bramka, która raportuje zamiast bramkować": objaw obsłużony, przyczyna zostaje. | REGUŁA JEST BEZWYJĄTKOWA i to jest jej najważniejsza cecha. Lista „te skrypty wolno mieć nieuruchamialne, bo woła je bash" musiałaby być utrzymywana obok prawdziwych wywołań, czyli byłaby kolejnym wystąpieniem bliźniaczych miejsc (Z-12, Z-16, M-06, X-24). Skrypt wykonywalny działa pod `bash x.sh` tak samo dobrze, więc reguła bez wyjątków nic nie kosztuje. | Strażnik czyta TRYB Z DYSKU, nie z indeksu gita: liczy się to, co dostaje maszyna po `git clone`, a actions/checkout wypisuje pliki dokładnie z trybami z indeksu. Czytanie dysku działa też tam, gdzie kopia robocza nie jest repozytorium, i nie wymaga drugiej ścieżki kodu na wypadek braku gita. | Ma też kontrolę „strażnik w ogóle coś widzi" (ponad 50 skryptów, w tym ten z bramki startu) — bez niej cała reszta przechodziłaby trywialnie na pustej liście, gdyby `find` przestał trafiać. | Czerwieni się na starym kodzie: 1 z 3 testów, z wypisaną listą wszystkich szesnastu plików. | CZEGO NIE ROBI: nie sprawdza shebangów ani tego, czy skrypt w ogóle da się uruchomić — tylko bit wykonywalności.</t>
        </is>
      </c>
      <c r="P21" s="10" t="inlineStr">
        <is>
          <t>do zrobienia</t>
        </is>
      </c>
    </row>
    <row r="22">
      <c r="A22" s="10" t="inlineStr">
        <is>
          <t>X-27</t>
        </is>
      </c>
      <c r="B22" s="11" t="inlineStr">
        <is>
          <t>Obraz, który trafia na serwer, buduje się przed scaleniem</t>
        </is>
      </c>
      <c r="C22" s="10" t="inlineStr">
        <is>
          <t>audyt</t>
        </is>
      </c>
      <c r="D22" s="10" t="inlineStr">
        <is>
          <t>X — Infrastruktura jakości</t>
        </is>
      </c>
      <c r="E22" s="10" t="inlineStr">
        <is>
          <t>—</t>
        </is>
      </c>
      <c r="F22" s="10" t="n">
        <v>6</v>
      </c>
      <c r="G22" s="10" t="n">
        <v>2</v>
      </c>
      <c r="H22" s="10" t="inlineStr">
        <is>
          <t>Faza 0 — Zatrzymać krwawienie</t>
        </is>
      </c>
      <c r="I22" s="10" t="inlineStr">
        <is>
          <t>2026-09-07</t>
        </is>
      </c>
      <c r="J22" s="10" t="inlineStr">
        <is>
          <t>2026-09-11</t>
        </is>
      </c>
      <c r="K22" s="10" t="inlineStr">
        <is>
          <t>DZIAŁA</t>
        </is>
      </c>
      <c r="L22" s="11" t="inlineStr">
        <is>
          <t>Dockerfile.api / Dockerfile.panel — ponowna instalacja PO `COPY libs libs`; package.json — pnpm.overrides @prisma/client 6.19.3 (drzewo znów ma jedną wersję); .github/workflows/ci.yml — job `Obraz API (build bez push)`; apps/api/src/test/obrazy-dockera.spec.ts (14). Przyczyna deployu #63: „Could not resolve @prisma/client"</t>
        </is>
      </c>
      <c r="M22" s="11" t="inlineStr">
        <is>
          <t>—</t>
        </is>
      </c>
      <c r="N22" s="11" t="inlineStr">
        <is>
          <t>Funkcja dostępna z panelu klienta bez wychodzenia do DirectAdmina; test uruchamiany w CI.</t>
        </is>
      </c>
      <c r="O22" s="11" t="inlineStr">
        <is>
          <t>Zamknięte 2026-08-22, wykryte przez wdrożenie #63 — pierwsze po scaleniu sprintu 2. Wysypał się build obrazu verris-api, czyli krok PRZED dotknięciem serwera: produkcja została nietknięta, migracje nie poszły. | DWIE PRZYCZYNY, NIE JEDNA. (1) `COPY libs libs` w etapie budowania kładzie katalogi pakietów na te, które zostawił etap `deps`, i pakiet traci WŁASNE node_modules. Dopóki każda zależność lądowała w node_modules katalogu głównego (linker hoisted), nie było tego widać — założenie trzymało się PRZYPADKIEM. (2) Przestało być prawdą przy X-18: apps/www podniosło Payloada, jego adapter postgresowy ciągnie drizzle-orm, a to ma @prisma/client jako peer OPCJONALNY; pnpm dociąga takie peery samo (autoInstallPeers), więc w drzewie stanęły DWIE wersje — 7.9.1 na górze i nasza 6.19.3 w libs/database. Po COPY zostawała tylko ta z góry, a `prisma generate` z CLI 6.19.3 nie umie pracować z klientem 7.x. | Poprawki są dwie, bo błędy są dwa: pnpm.overrides sprowadza drzewo do jednej wersji klienta (to naprawia TEN przypadek i chroni też obraz runtime, który kopiuje node_modules katalogu głównego), a ponowna instalacja w obrazach znosi założenie o hoistowaniu (to chroni przed następnym pakietem w dwóch wersjach). Dockerfile.panel dostał tę samą poprawkę mimo że jeszcze nie wybuchł — naprawiona jedna kopia i zostawiona druga to wzorzec, który dał Z-12, Z-16 i X-24. | NAJWAŻNIEJSZE ZNALEZISKO STRUKTURALNE: obraz, który JAKO JEDYNY trafia na serwer, powstawał wyłącznie w workflow wdrożeniowym — czyli PO scaleniu do main. Bramka scalenia sprawdzała lint, typy, 605 testów, migracje i asercje bazy, i nie sprawdzała tej jednej rzeczy. `pnpm build` w repozytorium przechodzi, bo tam node_modules są kompletne; rozjeżdżało się wyłącznie w układzie plików wewnątrz obrazu. Dlatego CI dostało job budujący Dockerfile.api bez pushowania. | DWA RAZY UWIERZYŁEM W WYNIK, KTÓRY NICZEGO NIE DOWODZIŁ: raz pnpm nie przeliczył lockfile'a i override wyglądał na nieskuteczny; raz uproszczone repozytorium testowe nie zawierało package.json apps/www, czyli pakietu ciągnącego 7.9.1 — więc wynik wyglądał dobrze z niewłaściwego powodu. Rozstrzygnięte dopiero na pełnym drzewie zależności. Ta sama rodzina co Z-01 i H-20. | Czerwieni się na starym kodzie: 7 z 14. | CZEGO NIE ROBI: CI nie buduje obrazów paneli (własny Dockerfile, ~2,5 min każdy, bez Prismy) — jeżeli kiedyś wywali się panel, job dostanie drugą pozycję w macierzy, a nie listę wyjątków. Dokumentacja: docs/archiwum/zadania/X-27-obraz-api-w-ci.md</t>
        </is>
      </c>
      <c r="P22" s="10" t="inlineStr">
        <is>
          <t>do zrobienia</t>
        </is>
      </c>
    </row>
    <row r="23">
      <c r="A23" s="10" t="inlineStr">
        <is>
          <t>H-24</t>
        </is>
      </c>
      <c r="B23" s="11" t="inlineStr">
        <is>
          <t>Nazwa obiektu kopii i drill odtworzeniowy mają po jednym miejscu</t>
        </is>
      </c>
      <c r="C23" s="10" t="inlineStr">
        <is>
          <t>audyt</t>
        </is>
      </c>
      <c r="D23" s="10" t="inlineStr">
        <is>
          <t>H — Backup i odtwarzanie</t>
        </is>
      </c>
      <c r="E23" s="10" t="inlineStr">
        <is>
          <t>—</t>
        </is>
      </c>
      <c r="F23" s="10" t="n">
        <v>6</v>
      </c>
      <c r="G23" s="10" t="n">
        <v>2</v>
      </c>
      <c r="H23" s="10" t="inlineStr">
        <is>
          <t>Faza 0 — Zatrzymać krwawienie</t>
        </is>
      </c>
      <c r="I23" s="10" t="inlineStr">
        <is>
          <t>2026-09-07</t>
        </is>
      </c>
      <c r="J23" s="10" t="inlineStr">
        <is>
          <t>2026-09-11</t>
        </is>
      </c>
      <c r="K23" s="10" t="inlineStr">
        <is>
          <t>DZIAŁA</t>
        </is>
      </c>
      <c r="L23" s="11" t="inlineStr">
        <is>
          <t>ops/lib/backup-crypto.sh — backup_crypto_latest_object(), jedno źródło nazwy obiektu; ops/scripts/restore-drill-isolated.sh — nazwa z biblioteki + weryfikacja SHA-256 + deszyfrowanie age; ops/scripts/prod-health-snapshot.sh, ops/restore-postgres.sh — nazwa z biblioteki; apps/api/src/storage/object-storage.service.ts — stała OBIEKT_KOPII_LATEST; USUNIĘTY ops/backup-verify.sh (druga kopia drilla); apps/api/src/test/nazwa-obiektu-kopii.spec.ts (12)</t>
        </is>
      </c>
      <c r="M23" s="11" t="inlineStr">
        <is>
          <t>—</t>
        </is>
      </c>
      <c r="N23" s="11" t="inlineStr">
        <is>
          <t>Funkcja dostępna z panelu klienta bez wychodzenia do DirectAdmina; test uruchamiany w CI.</t>
        </is>
      </c>
      <c r="O23" s="11" t="inlineStr">
        <is>
          <t>Odkryte 2026-08-22 przy pierwszym prawdziwym uruchomieniu drilla z H-20. | DWA SKRYPTY DO JEDNEGO ZADANIA. ops/backup-verify.sh robił wszystko POPRAWNIE: właściwa nazwa obiektu (latest.sql.gz.age), weryfikacja SHA-256, deszyfrowanie age, odtworzenie do osobnej bazy, sanity-check. I nie wołał go NIKT — żaden cron, runbook ani dokument; jedyne wystąpienia nazwy tego pliku w repozytorium to jego własny nagłówek. Obok stał ops/scripts/restore-drill-isolated.sh: zła nazwa obiektu, bez sumy kontrolnej, bez deszyfrowania, za to wpięty w runbook, w mail przypominający i w gotowość do startu. Utwardzanie H-20 poszło w tę drugą kopię — dołożyłem progi na pięciu tabelach, tabelę RestoreDrill, właściciela, pomiar czasu i bramkę, przykręcając to wszystko do skryptu, który nie mógł zadziałać. To moja pomyłka i to na pozycji, której całym sensem było sprawdzenie, czy naprawdę potrafimy odtworzyć bazę. Rodzina „bliźniaczych miejsc": Z-12, Z-16, M-06, X-24, teraz tu — tym razem najdroższa, bo dotyczyła DR. | NAZWA OBIEKTU W CZTERECH MIEJSCACH: drill, prod-health-snapshot.sh, restore-postgres.sh i metryka Prometheusa. Trzy z czterech miały „latest.sql.gz", a backup wysyła „latest.sql.gz.age", bo szyfrowanie jest w produkcji obowiązkowe. | PRECYZYJNIE O SKUTKU, bo łatwo tu przesadzić: w sierpniu metryka pokazywała zero ZGODNIE Z PRAWDĄ — kopii nie było w ogóle, więc zła nazwa nie ukryła TAMTEJ awarii. Ukryłaby NASTĘPNĄ: po naprawie kopii metryka nadal czytałaby nieistniejący obiekt, alert VerrisPostgresBackupStale krzyczałby bez końca przy działających kopiach, a wtedy ktoś by go wyciszył. Alarm, który kłamie, kończy tak samo jak alarm, którego nie ma. | ROZWIĄZANIE: nazwa wyprowadzana z backup_crypto_latest_object(), obok backup_crypto_enabled — żeby odpowiedź na „czy .age" brała się z tego samego miejsca co decyzja o szyfrowaniu. TypeScript nie zaimportuje funkcji basha, więc stała OBIEKT_KOPII_LATEST jest wiązana z biblioteką testem czytającym oba pliki (ta sama technika co X-24 i Z-03). | Drill dostał to, czego mu brakowało: weryfikację sumy kontrolnej pobranego obiektu (bez niej dowodziłby, że da się odtworzyć TO, CO POBRAŁ, a nie to, co zapisała kopia) i deszyfrowanie przed gunzipem. | Czerwieni się na starym kodzie: 4 z 12. | CZEGO NIE ROBI: nie odpowiada, dlaczego krytyczny alert nie dotarł do nikogo przez miesiąc — to konfiguracja Alertmanagera, poza kodem repozytorium. Dokumentacja: docs/archiwum/zadania/H-24-jedna-nazwa-jeden-drill.md</t>
        </is>
      </c>
      <c r="P23" s="10" t="inlineStr">
        <is>
          <t>do zrobienia</t>
        </is>
      </c>
    </row>
    <row r="24">
      <c r="A24" s="10" t="inlineStr">
        <is>
          <t>X-28</t>
        </is>
      </c>
      <c r="B24" s="11" t="inlineStr">
        <is>
          <t>Reguła alertowa ma odbiorcę, a nie tylko próg</t>
        </is>
      </c>
      <c r="C24" s="10" t="inlineStr">
        <is>
          <t>audyt</t>
        </is>
      </c>
      <c r="D24" s="10" t="inlineStr">
        <is>
          <t>X — Infrastruktura jakości</t>
        </is>
      </c>
      <c r="E24" s="10" t="inlineStr">
        <is>
          <t>—</t>
        </is>
      </c>
      <c r="F24" s="10" t="n">
        <v>6</v>
      </c>
      <c r="G24" s="10" t="n">
        <v>2</v>
      </c>
      <c r="H24" s="10" t="inlineStr">
        <is>
          <t>Faza 0 — Zatrzymać krwawienie</t>
        </is>
      </c>
      <c r="I24" s="10" t="inlineStr">
        <is>
          <t>2026-09-07</t>
        </is>
      </c>
      <c r="J24" s="10" t="inlineStr">
        <is>
          <t>2026-09-11</t>
        </is>
      </c>
      <c r="K24" s="10" t="inlineStr">
        <is>
          <t>DZIAŁA</t>
        </is>
      </c>
      <c r="L24" s="11" t="inlineStr">
        <is>
          <t>ops/observability/grafana/provisioning/alerting/rules.yaml — 13 reguł, 2 grupy, provisionowane z repo; ops/observability/prometheus.yml — bez rule_files, z opisem dlaczego; ops/observability/grafana/provisioning/datasources/datasources.yml — uid: Prometheus; docker-compose.prod.yml — bez montowania usuniętego alerts.yml; ops/observability/grafana/migracja-regul-do-grafany.py — zapis, jak powstał wynik; apps/api/src/test/routing-alertow.spec.ts (31); docs/ops/GRAFANA_ALERTING.md</t>
        </is>
      </c>
      <c r="M24" s="11" t="inlineStr">
        <is>
          <t>—</t>
        </is>
      </c>
      <c r="N24" s="11" t="inlineStr">
        <is>
          <t>Funkcja dostępna z panelu klienta bez wychodzenia do DirectAdmina; test uruchamiany w CI.</t>
        </is>
      </c>
      <c r="O24" s="11" t="inlineStr">
        <is>
          <t>Zamknięte 2026-08-22. Wykryte przy zamykaniu H-23: kopia bazy nie wykonała się ani razu przez ponad miesiąc, a reguła VerrisPostgresBackupStale z severity: critical i progiem 25 h zapaliła się POPRAWNIE — tylko nie miała dokąd. | DWIE POŁOWY JEDNEGO MECHANIZMU, ŻADNA NIE DZIAŁA BEZ DRUGIEJ. Prometheus miał trzynaście reguł (pięć krytycznych) ładowanych przez rule_files i NIE MIAŁ sekcji `alerting:`; w całym repozytorium nie było usługi alertmanager. Grafana miała punkt kontaktowy (dominik@hvln.pl), politykę powiadomień i działający SMTP — i ZERO reguł. | DOKUMENT BYŁ CZĘŚCIĄ PROBLEMU: docs/ops/GRAFANA_ALERTING.md kazał „ręcznie odzwierciedlić progi z pliku YAML". Instrukcja ręcznego przepisania trzynastu progów przez człowieka to opis długu, nie procedura; nikt tego nie zrobił i nie było jak zauważyć, że nie zrobił. | RODZINA: ta sama co X-14, X-23, H-19, H-20, X-27 — kontrola, która melduje zamiast zatrzymywać — tylko o krok dalej. Tam mechanizm istniał i niczego nie bramkował; tu alarm istnieje, działa i nie ma odbiorcy. Sygnał bez odbiorcy jest gorszy od braku sygnału, bo wygląda jak zabezpieczenie. | PRZENIESIONE, NIE SKOPIOWANE. Reguły stoją teraz po stronie Grafany, alerts.yml usunięty, rule_files wycięte, montowanie wyjęte z compose. Skopiowanie dałoby SZÓSTE wystąpienie „bliźniaczych miejsc" (Z-12, Z-16, M-06, X-24, H-24): dwa egzemplarze jednej reguły, jeden poprawiony przy zmianie progu, drugi zapomniany. | UID ŹRÓDŁA DANYCH wpisany wprost — bez niego Grafana nadaje go losowo, a odwołanie do nieistniejącego źródła nie rzuca błędem: panel jest pusty, reguła nie ma czego policzyć. Ten sam cichy tryb awarii co reszta pozycji. | JEDNA REGUŁA INNA OD POZOSTAŁYCH: VerrisPostgresBackupStale ma noDataState: Alerting, reszta OK. Dla dwunastu reguł brak serii poprawnie znaczy „warunek niespełniony"; dla kopii bazy „metryka zniknęła" i „kopia jest świeża" wyglądałyby identycznie — a to jest dokładnie ten przypadek, który kosztował miesiąc. `for: 30m` chroni przed alarmem przy restarcie API. | PRZEPISYWANIE SKRYPTOWE, nie ręczne: trzynaście progów przepisanych palcami to trzynaście okazji na literówkę, której nikt nie sprawdzi. | Czerwieni się na starym kodzie: 26 z 31. Pięć asercji przechodziło i przed poprawką (punkt kontaktowy, polityka) — bo ta połowa naprawdę była w porządku; strażnik, który czerwieni się cały, zwykle sprawdza własną tezę zamiast kodu. | CZEGO NIE DOWODZI: że mail DOCHODZI. To dowód D3 — wymaga zapalonego alertu na produkcji i listu w skrzynce, z datą. Otwarty punkt w docs/ops/GRAFANA_ALERTING.md §3; najtaniej sprawdzić na VerrisSecurityWatchStale (zatrzymać timer na 20 minut). Uznanie pozycji za domkniętą na podstawie samego provisioningu byłoby rozumowaniem zakazanym w tym projekcie. | CZEGO NIE OBEJMUJE: eskalacji i dyżurów (jeden odbiorca, jeden adres — przy jednoosobowym zespole to właściwa wielkość), Slacka (wyłączony do czasu kanału), wyciszeń. Dokumentacja: docs/archiwum/zadania/X-28-alert-bez-adresata.md | DOWÓD D3 DOSTARCZALNOŚCI — 2026-08-23, dostarczony przez awarię, nie przez test. Przy X-30 reguły z execErrState: Alerting zapaliły się na błędzie ewaluacji i DZIESIĘĆ maili dotarło na dominik@hvln.pl z tematami [FIRING:1] &lt;alertname&gt; &lt;severity&gt; (Verris). Droga Grafana → SMTP → Postfix na panelu → mail.hvln.pl → skrzynka jest potwierdzona na całej długości. | TEN PRZYPADEK POTWIERDZIŁ TRZY RZECZY, KTÓRYCH PLANOWANY TEST JEDNEGO ALERTU BY NIE POTWIERDZIŁ: (1) droga do skrzynki działa; (2) migracja nie pogubiła nazw ani wag — tematy pokazały critical przy VerrisRuntimeErrorsHigh, VerrisOpenMajorIncident, VerrisSecurityWatchFindings i VerrisProvisioningQueueFailed oraz warning przy pozostałych, dokładnie jak w usuniętym alerts.yml; (3) progi `for:` przetrwały migrację — zapaliło się DZIESIĘĆ z trzynastu, a nie zapaliły się dokładnie te trzy z najdłuższym for: VerrisPostgresBackupStale (30 m), VerrisStatusWebhookFailed (30 m) i VerrisSecurityWatchStale (20 m), bo od restartu nie minęło tyle czasu. Skrypt migracyjny mógł te wartości po cichu przekręcić i żaden test w CI by tego nie zobaczył — zobaczyła to skrzynka.</t>
        </is>
      </c>
      <c r="P24" s="10" t="inlineStr">
        <is>
          <t>do zrobienia</t>
        </is>
      </c>
    </row>
    <row r="25">
      <c r="A25" s="10" t="inlineStr">
        <is>
          <t>X-29</t>
        </is>
      </c>
      <c r="B25" s="11" t="inlineStr">
        <is>
          <t>Wdrożenie dowozi konfigurację obserwowalności na serwer</t>
        </is>
      </c>
      <c r="C25" s="10" t="inlineStr">
        <is>
          <t>audyt</t>
        </is>
      </c>
      <c r="D25" s="10" t="inlineStr">
        <is>
          <t>X — Infrastruktura jakości</t>
        </is>
      </c>
      <c r="E25" s="10" t="inlineStr">
        <is>
          <t>—</t>
        </is>
      </c>
      <c r="F25" s="10" t="n">
        <v>6</v>
      </c>
      <c r="G25" s="10" t="n">
        <v>2</v>
      </c>
      <c r="H25" s="10" t="inlineStr">
        <is>
          <t>Faza 0 — Zatrzymać krwawienie</t>
        </is>
      </c>
      <c r="I25" s="10" t="inlineStr">
        <is>
          <t>2026-09-07</t>
        </is>
      </c>
      <c r="J25" s="10" t="inlineStr">
        <is>
          <t>2026-09-11</t>
        </is>
      </c>
      <c r="K25" s="10" t="inlineStr">
        <is>
          <t>DZIAŁA</t>
        </is>
      </c>
      <c r="L25" s="11" t="inlineStr">
        <is>
          <t>ops/scripts/prod-deploy-ghcr.sh — krok 4.5: OBS_SERVICES, promtool check config przed restartem, compose up -d + compose restart, sprawdzenie /api/health i /-/healthy po restarcie, exit 1 gdy nie wrócą; apps/api/src/test/wdrozenie-obserwowalnosci.spec.ts (8)</t>
        </is>
      </c>
      <c r="M25" s="11" t="inlineStr">
        <is>
          <t>—</t>
        </is>
      </c>
      <c r="N25" s="11" t="inlineStr">
        <is>
          <t>Funkcja dostępna z panelu klienta bez wychodzenia do DirectAdmina; test uruchamiany w CI.</t>
        </is>
      </c>
      <c r="O25" s="11" t="inlineStr">
        <is>
          <t>Zamknięte 2026-08-23. Wykryte przy X-28, pytaniem kontrolnym: co się właściwie stanie po wdrożeniu poprawki, która przenosi reguły alertowe do Grafany? Odpowiedź: NIC. | MECHANIZM: prod-deploy-ghcr.sh robi na serwerze checkout repozytorium do wdrażanego SHA, więc nowe pliki lądują na dysku — po czym restartuje wyłącznie APP_SERVICES="api client-panel staff-panel admin-panel status-page www". Prometheusa i Grafany na tej liście nie ma, a oba czytają konfigurację TYLKO przy starcie kontenera i oba mają ją podmontowaną z repozytorium. | ZASIĘG SZERSZY NIŻ ALERTY: tą samą drogą nie docierało na produkcję wszystko pod ops/observability/ — cele scrapowania i retencja w prometheus.yml, źródła danych, dwadzieścia kilka dashboardów Grafany, punkty kontaktowe i polityki. Każda zmiana w tych plikach od ostatniego RĘCZNEGO restartu Grafany istniała wyłącznie w repozytorium. | RODZINA: ten sam kształt co X-28 (alarm bez odbiorcy), X-14 i X-23 (kontrola, która melduje zamiast zatrzymywać) i H-20 (procedura bez dowodu wykonania) — COŚ WYGLĄDA NA ZROBIONE, BO ISTNIEJE. Zielone CI, zielony deploy, plik na dysku, pozycja zamknięta — i zero zmiany w działającym systemie. Różnica: tu zawodziło ostatnie ogniwo, nie budowa ani test, tylko DOSTARCZENIE. | POPRAWKA: krok 4.5, dwa polecenia zamiast jednego. `up -d` odtwarza kontener, gdy zmieniła się DEFINICJA usługi (X-28 usunęło montowanie alerts.yml); `restart` wymusza ponowne wczytanie, gdy zmieniła się tylko TREŚĆ podmontowanego pliku — tego compose nie widzi. | BEZWARUNKOWO, nie „gdy się zmieniło": porównanie z poprzednim SHA wymagałoby obu wersji w repozytorium na serwerze, a fetch jest tam płytki (--depth 1); nieudane porównanie skończyłoby się cichym „brak zmian → nie restartuj", czyli dokładnie tym błędem, który ta pozycja naprawia. Kilkanaście sekund przerwy w metrykach kontra miesiąc bez kopii bazy. | SPRAWDZENIE PRZED: promtool check config przez `compose run --rm --no-deps --entrypoint promtool`, a nie `exec` — świeży kontener z tą samą definicją, więc sprawdzenie działa także wtedy, gdy Prometheus akurat leży; przy `exec` padałoby w jedynym momencie, w którym naprawdę zależy nam na restarcie. Restart na zepsutej konfiguracji zdejmuje monitoring, a zauważyć to miał właśnie monitoring. | SPRAWDZENIE PO: „wydałem polecenie restartu" to nie to samo co „wróciły" — /api/health Grafany i /-/healthy Prometheusa (pytany Z KONTENERA Grafany, bo obraz Prometheusa nie ma czym wykonać zapytania HTTP), 20 prób co 3 s, potem exit 1. | KOLEJNOŚĆ W DWIE STRONY: krok jest PO bramce zdrowia i PO zapisaniu .last-good-image-tag, żeby awaria monitoringu nie wywróciła sprawnego wdrożenia; kończy się exit 1, a nie ostrzeżeniem, żeby wdrożenie nie uchodziło za skończone, zanim monitoring dostanie nową konfigurację. | Czerwieni się na starym kodzie: 6 z 8. Dwie przechodziły i przedtem — w tym ta o APP_SERVICES, bo Prometheusa i Grafany naprawdę tam nie było (tyle że nie było ich też nigdzie indziej). | CZEGO NIE DOWODZI: że po najbliższym wdrożeniu Grafana MA reguły — to obserwacja na produkcji (D3): Alerting → Alert rules powinno pokazać trzynaście reguł w folderze Verris. | Deploy #66 (scalenie X-28) poszedł jeszcze STARYM skryptem, więc pliki wjechały na serwer, a monitoring został z poprzednią konfiguracją; naprawia się to samo przy pierwszym wdrożeniu z tą zmianą. Dokumentacja: docs/archiwum/zadania/X-29-obserwowalnosc-nie-docierala-na-produkcje.md</t>
        </is>
      </c>
      <c r="P25" s="10" t="inlineStr">
        <is>
          <t>do zrobienia</t>
        </is>
      </c>
    </row>
    <row r="26">
      <c r="A26" s="10" t="inlineStr">
        <is>
          <t>H-20</t>
        </is>
      </c>
      <c r="B26" s="11" t="inlineStr">
        <is>
          <t>Test odtworzeniowy z datą ostatniego wykonania</t>
        </is>
      </c>
      <c r="C26" s="10" t="inlineStr">
        <is>
          <t>audyt</t>
        </is>
      </c>
      <c r="D26" s="10" t="inlineStr">
        <is>
          <t>H — Backup i odtwarzanie</t>
        </is>
      </c>
      <c r="E26" s="10" t="inlineStr">
        <is>
          <t>—</t>
        </is>
      </c>
      <c r="F26" s="10" t="n">
        <v>16</v>
      </c>
      <c r="G26" s="10" t="n">
        <v>2</v>
      </c>
      <c r="H26" s="10" t="inlineStr">
        <is>
          <t>Faza 0 — Zatrzymać krwawienie</t>
        </is>
      </c>
      <c r="I26" s="10" t="inlineStr">
        <is>
          <t>2026-09-07</t>
        </is>
      </c>
      <c r="J26" s="10" t="inlineStr">
        <is>
          <t>2026-09-11</t>
        </is>
      </c>
      <c r="K26" s="10" t="inlineStr">
        <is>
          <t>DZIAŁA</t>
        </is>
      </c>
      <c r="L26" s="11" t="inlineStr">
        <is>
          <t>DOWÓD D4 — wiersz w bazie PRODUKCYJNEJ, odczytany 2026-08-23: finishedAt=2026-08-22 23:19:45, result=OK, owner=Dominik Kowalski, durationSec=9, objectName=latest.sql.gz.age. W tabeli stoi też wiersz poprzedni: 2026-08-22 19:57:36 / FAILED / durationSec=1 / objectName=latest.sql.gz — próba sprzed H-24, która szła po nieistniejący obiekt. | MECHANIZM (D2): admin-readiness/proba-odtworzenia.ts — ocenProby/brakujaceWiersze/MINIMALNE_WIERSZE; live-readiness.service.ts — pozycja restore_drill z blocking: true; proba-odtworzenia.scheduler.ts — przypomnienie codziennie 08:30, tylko gdy jest co robić; ops/scripts/restore-drill-isolated.sh — progi wierszy na 5 tabelach, suma kontrolna, deszyfrowanie age, zapis śladu; migracja 20260823000000_proba_odtworzenia (tabela RestoreDrill + 2 CHECK); ops/docs/OFFSITE_RESTORE_RUNBOOK.md — procedura z właścicielem i cyklem 30 dni; proba-odtworzenia.spec.ts (20) + test/integration/proba-odtworzenia.int-spec.ts (8)</t>
        </is>
      </c>
      <c r="M26" s="11" t="inlineStr">
        <is>
          <t>PB-02 (drill wykonujemy na węźle #1)</t>
        </is>
      </c>
      <c r="N26" s="11" t="inlineStr">
        <is>
          <t>Funkcja dostępna z panelu klienta bez wychodzenia do DirectAdmina; test uruchamiany w CI.</t>
        </is>
      </c>
      <c r="O26" s="11" t="inlineStr">
        <is>
          <t>ZAMKNIĘTE 2026-08-23. Pierwsze w historii projektu odtworzenie bazy z kopii — i pierwszy dowód, że warstwa DR w ogóle działa. Przebieg: MinIO stat latest.sql.gz.age (4,3 MiB, 2026-08-22 21:24:12), suma kontrolna zgodna, deszyfrowanie kluczem operacyjnym, odtworzenie do izolowanej bazy verris_restore_drill w 9 sekund, progi wierszy na pięciu tabelach: Invoice 0 (min 0), Plan 5 (min 1), Account 3 (min 0), User 10 (min 1), Subscription 7 (min 0), baza drillowa skasowana, produkcyjna verris_db nietknięta. | DZIEWIĘĆ SEKUND TO REALNE RTO — dolne oszacowanie, bo drill biegnie na tym samym hoście. To jest liczba, którą trzeba znać PRZED awarią, nie w jej trakcie. | DWA WIERSZE W TABELI, NIE JEDEN — i to jest część dowodu. Pierwsza próba (19:57, FAILED, 1 s, latest.sql.gz) padła, bo skrypt pytał o obiekt, którego produkcja NIGDY nie tworzy; naprawione w H-24, druga próba (23:19, OK, 9 s, latest.sql.gz.age) przeszła. Mechanizm zapisał własną porażkę zamiast ją przemilczeć — dokładnie po to powstał wymóg, żeby ślad powstawał RÓWNIEŻ przy niepowodzeniu. Ocena patrzy na OSTATNIĄ próbę, nie na ostatnią udaną: gdyby patrzyła tylko na udane, wczorajsza awaria odtwarzania byłaby niewidoczna. | DOWÓD ODCZYTANY Z BAZY, NIE Z KOMUNIKATU SKRYPTU. Skrypt drukuje „ślad próby zapisany" — to jest zdanie o zamiarze, nie o wyniku. Cała ta pozycja i cała awaria kopii z H-23 wzięły się z ufania takim zdaniom. | DOWÓD SIĘ STARZEJE: termin ważności 30 dni (MAKS_WIEK_PROBY_DNI), czyli do 2026-09-21, potem gotowość do startu znów zwraca go: false. Przypomnienie idzie mailem 7 dni przed terminem. Odtworzenie sprzed schematu, którego już nie ma, nie dowodzi niczego o dzisiejszej kopii. | ZROBIONE POZA KOLEJNOŚCIĄ — pozycja planowana na sprint 9 (po postawieniu węzła produkcyjnego w sprincie 8), wykonana w sprincie 2, bo H-23 wymusiło odtworzenie kopii tu i teraz. | CZEGO NIE ROBI: nie odtwarza konta hostingowego (pliki, poczta, bazy klienta — osobna ścieżka w runbooku); nie mierzy RTO na maszynie zastępczej; nie sprawdza poprawności danych ponad to, że tabele nie są puste; nie uruchamia się sam — przypomina, nie wykonuje. Dokumentacja: docs/archiwum/zadania/H-20-proba-odtworzenia.md | FLAGA BLOKERA ZDJETA 2026-09-19: pozycja ma stan DZIALA i werdykt PARYTET od 2026-08-23, z dowodem D4 (wiersz w bazie produkcyjnej, finishedAt=2026-08-22 23:19:45, durationSec=9). Flaga BLOKER STARTU zostala po zamknieciu i generator liczyl przez nia piec blokerow zamiast czterech. Licznik, ktory podaje zla liczbe, jest tym samym rodzajem usterki co bramka z X-33 — uczy nie ufac wlasnemu odczytowi.</t>
        </is>
      </c>
      <c r="P26" s="10" t="inlineStr">
        <is>
          <t>do zrobienia</t>
        </is>
      </c>
    </row>
    <row r="27">
      <c r="A27" s="10" t="inlineStr">
        <is>
          <t>X-30</t>
        </is>
      </c>
      <c r="B27" s="11" t="inlineStr">
        <is>
          <t>Reguły alertowe nie tylko są wczytane, ale się liczą</t>
        </is>
      </c>
      <c r="C27" s="10" t="inlineStr">
        <is>
          <t>audyt</t>
        </is>
      </c>
      <c r="D27" s="10" t="inlineStr">
        <is>
          <t>X — Infrastruktura jakości</t>
        </is>
      </c>
      <c r="E27" s="10" t="inlineStr">
        <is>
          <t>—</t>
        </is>
      </c>
      <c r="F27" s="10" t="n">
        <v>6</v>
      </c>
      <c r="G27" s="10" t="n">
        <v>2</v>
      </c>
      <c r="H27" s="10" t="inlineStr">
        <is>
          <t>Faza 0 — Zatrzymać krwawienie</t>
        </is>
      </c>
      <c r="I27" s="10" t="inlineStr">
        <is>
          <t>2026-09-07</t>
        </is>
      </c>
      <c r="J27" s="10" t="inlineStr">
        <is>
          <t>2026-09-11</t>
        </is>
      </c>
      <c r="K27" s="10" t="inlineStr">
        <is>
          <t>DZIAŁA</t>
        </is>
      </c>
      <c r="L27" s="11" t="inlineStr">
        <is>
          <t>ops/observability/grafana/provisioning/datasources/datasources.yml — deleteDatasources przed deklaracją, uid: Prometheus; ops/scripts/prod-deploy-ghcr.sh — krok 4.6: grafana_alerting_rule_group_rules &gt; 0 oraz podwójny odczyt grafana_alerting_rule_evaluation_failures_total w odstępie 75 s, exit 1 przy przyroście; apps/api/src/test/reguly-alertowe-licza-sie.spec.ts (11). DOWÓD D3: wdrożenie #68 zielone przez krok 4.6; log Grafany po restarcie 11:01:46 bez „Failed to build rule evaluator" (wszystkie wystąpienia 10:58–11:01:39, czyli sprzed restartu); „inserting datasource from configuration" name=Prometheus uid=Prometheus.</t>
        </is>
      </c>
      <c r="M27" s="11" t="inlineStr">
        <is>
          <t>—</t>
        </is>
      </c>
      <c r="N27" s="11" t="inlineStr">
        <is>
          <t>Funkcja dostępna z panelu klienta bez wychodzenia do DirectAdmina; test uruchamiany w CI.</t>
        </is>
      </c>
      <c r="O27" s="11" t="inlineStr">
        <is>
          <t>ZAMKNIĘTE 2026-08-23. | CO SIĘ STAŁO: wdrożenie #67 przeszło na zielono, krok X-29 zrobił swoje (promtool przyjął konfigurację, oba kontenery wstały, oba odpowiedziały na health-check), Grafana zalogowała „starting to provision alerting" i „finished", trzynaście reguł stanęło w jej bazie — i wszystkie trzynaście waliło się co trzydzieści sekund: „Failed to build rule evaluator / failed to build query 'A': data source not found". Łącznie z VerrisPostgresBackupStale, czyli tą jedyną, dla której to wszystko było robione. | PRZYCZYNA: reguły odwołują się do źródła danych po uid. X-28 dopisało uid: Prometheus do datasources.yml i to NIE WYSTARCZYŁO — Grafana przy provisioningu aktualizuje istniejące źródło po NAZWIE i zostawia mu uid nadany przy pierwszym utworzeniu, czyli losowy. Dashboardy tego nie zauważyły, bo mają starą, nazwową ścieżkę zgodności; reguły alertowe takiej nie mają. | MÓJ BŁĄD, NAZWANY WPROST: strażnik X-28 sprawdzał, że datasourceUid użyty w regułach WYSTĘPUJE w datasources.yml. Występował. Plik był spójny z plikiem — i to nie dowodziło niczego o działającym systemie, bo pytanie nie brzmiało „czy napis się zgadza", tylko „czy Grafana rozwiąże to odwołanie". Test zgodności plików nie widzi semantyki upsertu Grafany. Ta sama pułapka co Z-01, H-20 i dwa razy przy diagnozie @prisma/client: test przechodzi, system nie działa. Napisałem o niej w komentarzu do X-28 i wpadłem w nią godzinę później. | POPRAWKA 1 — źródło danych jest ODTWARZANE, nie aktualizowane: deleteDatasources wykonuje się PRZED wstawieniem, więc źródło powstaje od nowa z uid-em z repozytorium. Rekord jest w całości zadeklarowany w pliku, więc nie ma czego stracić. Przy okazji naprawia dashboardy: przestają zależeć od ścieżki zgodności. | POPRAWKA 2 — krok 4.6 pyta DZIAŁAJĄCĄ Grafanę: grafana_alerting_rule_group_rules musi być &gt; 0 (pusty provisioning wygląda identycznie jak zdrowa Grafana), a grafana_alerting_rule_evaluation_failures_total odczytywany DWA RAZY w odstępie 75 s — liczy się PRZYROST, nie wartość, bo pojedyncze niepowodzenie tuż po restarcie jest normalne, a odstęp musi być dłuższy niż cykl najkrótszej grupy (30 s), inaczej zero błędów znaczy tylko „nic się jeszcze nie policzyło". | CZEGO SIĘ NIE DA ZROBIĆ INACZEJ: naturalny odruch to „alarm o niedziałających alarmach", czyli reguła na increase(...failures_total). NIE ZADZIAŁA w tym przypadku — meta-reguła jest regułą Grafany i liczy się z tego samego źródła danych; gdy źródło jest zepsute, ona też milczy. Łapie pojedynczą regułę z błędnym wyrażeniem, nie łapie złamanego źródła. Ten przypadek łapie WYŁĄCZNIE bramka we wdrożeniu, bo pyta z zewnątrz. Nie dokładam meta-reguły, bo dałaby poczucie pokrycia, którego nie ma. | Czerwieni się na starym kodzie: 7 z 11. routing-alertow.spec.ts zostaje bez zmian — sprawdzanie zgodności plików jest POTRZEBNE, okazało się tylko NIEWYSTARCZAJĄCE. | JAK ZAMKNĄĆ: zielony deploy + brak „Failed to build rule evaluator" w logu Grafany. Dokumentacja: docs/archiwum/zadania/X-30-reguly-wczytane-ale-nieliczace-sie.md | ZAMKNIĘTE 2026-08-23 — DOWÓD D3 Z LOGU PRODUKCYJNEJ GRAFANY. Wdrożenie #68 (2788011) przeszło przez nowy krok 4.6 i trwało 9m54s, czyli o te 75 sekund dłużej — krok przechodzi tylko wtedy, gdy Grafana ma reguły I licznik nieudanych ewaluacji nie urósł. W logu: 11:01:46 „deleted datasource based on configuration" name=Prometheus, zaraz po tym „inserting datasource from configuration" name=Prometheus uid=Prometheus. Wszystkie wpisy „Failed to build rule evaluator" mają znacznik 10:58–11:01:39, czyli SPRZED restartu; po 11:01:46 nie ma ANI JEDNEGO. Wpisy „Detected stale state entry ... reason=Error" o 11:02–11:03 to Grafana sprzątająca stare wpisy w stanie Alerting-z-powodu-błędu, stąd wiadomości [RESOLVED]. | POTWIERDZENIE UBOCZNE, MOCNIEJSZE OD SAMEGO LOGU: reguła VerrisProvisioningQueueFailed NIE ucichła po naprawie — wysyła alarm co minutę od 11:12, a ma for: 10m przy restarcie 11:01:46, więc pierwsze zapalenie o 11:12 zgadza się co do sekundy. To znaczy, że warunek verris_provisioning_queue_depth{state="failed"} &gt; 0 jest PRAWDZIWIE spełniony: alerting zaczął działać i w ciągu dziesięciu minut znalazł na produkcji coś realnego. Reguła, która zapala się z właściwego powodu, dowodzi więcej niż cisza. Osobna pozycja.</t>
        </is>
      </c>
      <c r="P27" s="10" t="inlineStr">
        <is>
          <t>do zrobienia</t>
        </is>
      </c>
    </row>
    <row r="28">
      <c r="A28" s="10" t="inlineStr">
        <is>
          <t>X-31</t>
        </is>
      </c>
      <c r="B28" s="11" t="inlineStr">
        <is>
          <t>Kanał alertów daje znak życia (dead man's switch)</t>
        </is>
      </c>
      <c r="C28" s="10" t="inlineStr">
        <is>
          <t>audyt</t>
        </is>
      </c>
      <c r="D28" s="10" t="inlineStr">
        <is>
          <t>X — Infrastruktura jakości</t>
        </is>
      </c>
      <c r="E28" s="10" t="inlineStr">
        <is>
          <t>—</t>
        </is>
      </c>
      <c r="F28" s="10" t="n">
        <v>6</v>
      </c>
      <c r="G28" s="10" t="n">
        <v>2</v>
      </c>
      <c r="H28" s="10" t="inlineStr">
        <is>
          <t>Faza 0 — Zatrzymać krwawienie</t>
        </is>
      </c>
      <c r="I28" s="10" t="inlineStr">
        <is>
          <t>2026-09-07</t>
        </is>
      </c>
      <c r="J28" s="10" t="inlineStr">
        <is>
          <t>2026-09-11</t>
        </is>
      </c>
      <c r="K28" s="10" t="inlineStr">
        <is>
          <t>DZIAŁA</t>
        </is>
      </c>
      <c r="L28" s="11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M28" s="11" t="inlineStr">
        <is>
          <t>—</t>
        </is>
      </c>
      <c r="N28" s="11" t="inlineStr">
        <is>
          <t>Funkcja dostępna z panelu klienta bez wychodzenia do DirectAdmina; test uruchamiany w CI.</t>
        </is>
      </c>
      <c r="O28" s="11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docs/archiwum/zadania/X-31-znak-zycia-kanalu-alertow.md | 2026-09-22 D3: wlasciciel potwierdza, ze mail [FIRING:1] VerrisKanalAlertowZyje przychodzi codziennie. Kanal alertow dziala koniec-do-konca.</t>
        </is>
      </c>
      <c r="P28" s="10" t="inlineStr">
        <is>
          <t>do zrobienia</t>
        </is>
      </c>
    </row>
    <row r="29">
      <c r="A29" s="10" t="inlineStr">
        <is>
          <t>X-32</t>
        </is>
      </c>
      <c r="B29" s="11" t="inlineStr">
        <is>
          <t>Martwy job da się odrzucić z panelu, ze śladem w audycie</t>
        </is>
      </c>
      <c r="C29" s="10" t="inlineStr">
        <is>
          <t>audyt</t>
        </is>
      </c>
      <c r="D29" s="10" t="inlineStr">
        <is>
          <t>X — Infrastruktura jakości</t>
        </is>
      </c>
      <c r="E29" s="10" t="inlineStr">
        <is>
          <t>—</t>
        </is>
      </c>
      <c r="F29" s="10" t="n">
        <v>6</v>
      </c>
      <c r="G29" s="10" t="n">
        <v>2</v>
      </c>
      <c r="H29" s="10" t="inlineStr">
        <is>
          <t>Faza 0 — Zatrzymać krwawienie</t>
        </is>
      </c>
      <c r="I29" s="10" t="inlineStr">
        <is>
          <t>2026-09-07</t>
        </is>
      </c>
      <c r="J29" s="10" t="inlineStr">
        <is>
          <t>2026-09-11</t>
        </is>
      </c>
      <c r="K29" s="10" t="inlineStr">
        <is>
          <t>DZIAŁA</t>
        </is>
      </c>
      <c r="L29" s="11" t="inlineStr">
        <is>
          <t>apps/api/src/common/audit/audit.actions.ts — PROVISIONING_JOB_DISCARDED_BY_ADMIN; provisioning-queue.service.ts — odrzucJob (getState() === failed, ślad przed job.remove(), audyt z subskrypcją, typem, liczbą prób, failedReason i powodem); provisioning-queue.admin.controller.ts — POST :id/odrzuc za @StaffPerm('PROVISIONING_MANAGE'); apps/admin-panel/.../provisioning-queue/ — actions.ts, odrzuc-button.tsx (dwa kliknięcia, powód ≥5 znaków, zdanie o nietkniętej subskrypcji), page.tsx; apps/api/src/test/odrzucenie-martwego-joba.spec.ts (13). BRAK: pierwszego odrzucenia na produkcji — dowód D3 jeszcze nie powstał.</t>
        </is>
      </c>
      <c r="M29" s="11" t="inlineStr">
        <is>
          <t>—</t>
        </is>
      </c>
      <c r="N29" s="11" t="inlineStr">
        <is>
          <t>Funkcja dostępna z panelu klienta bez wychodzenia do DirectAdmina; test uruchamiany w CI.</t>
        </is>
      </c>
      <c r="O29" s="11" t="inlineStr">
        <is>
          <t>Stan 2026-08-23: ZROBIONE W KODZIE (D2), D3 przy pierwszym odrzuceniu na produkcji — a to da się zrobić od razu po wdrożeniu, w odróżnieniu od Z-18, który czeka na węzeł. Decyzja właściciela produktu: dorobić akcję w panelu zamiast jednorazowego czyszczenia Redisa. | JAK TO WYSZŁO: X-30 naprawiło alerting, VerrisProvisioningQueueFailed zapalił się z prawdziwego powodu i wskazał cztery martwe joby (to z nich wyszło Z-18). Naturalny następny ruch — usunąć je — okazał się NIEWYKONALNY: panel ma przy nich wyłącznie „Retry", a kontroler administracyjny dokładnie dwa endpointy, listowanie i ponowienie. Retry nic nie daje, bo węzła nie ma: job padnie ponownie, podbije licznik prób i dołoży wpisy do audytu — cztery martwe joby zamieniają się w cztery martwe joby z dłuższą historią. Zostawało grzebanie w Redisie ręcznie, czyli zmiana stanu produkcyjnego dotyczącego subskrypcji klientów BEZ ŚLADU W AUDYCIE. | TO NIE JEST USTERKA TYCH CZTERECH JOBÓW, tylko luka w warstwie operatorskiej, która ujawni się ponownie przy pierwszym prawdziwym niepowodzeniu provisioningu — z tą różnicą, że wtedy po drugiej stronie będzie klient. | ROZWIĄZANIE: POST /admin/provisioning-queue/:id/odrzuc + przycisk „Odrzuć" obok Retry. TRZY REGUŁY: (1) TYLKO STAN failed — usunięcie joba aktywnego albo czekającego osierociłoby provisioning w trakcie, konto na węźle mogłoby powstać, a system przestałby o nim wiedzieć; ograniczenie siedzi w usłudze, nie w kontrolerze, bo to reguła o kolejce, nie o HTTP; (2) POWÓD WYMAGANY, tak samo jak przy retry — operacja bez powodu to operacja, której za pół roku nikt nie wyjaśni; (3) NAJPIERW ODCZYT, POTEM USUNIĘCIE — ślad zbierany PRZED job.remove(), bo po usunięciu nie ma już czego odczytać; zapisujemy subskrypcję, joba, typ, liczbę prób, ostatni błąd i powód. Po Z-18 ten ostatni błąd niesie PRAWDZIWĄ przyczynę, więc wpis ma realną wartość dowodową — jeszcze wczoraj zapisałby zdanie o brakującym pakiecie DirectAdmina, którego nigdy nie brakowało. | OSOBNA AKCJA AUDYTU (PROVISIONING_JOB_DISCARDED_BY_ADMIN), nie wariant retry: w raportach odrzucenie i ponowienie to dwie różne decyzje i nie wolno im się zlewać. | DWA KLIKNIĘCIA, NIE JEDNO: retry można cofnąć następnym retry, odrzucenia nie da się cofnąć wcale. Potwierdzenie jest po to, żeby ta różnica była wyczuwalna w palcach. | ZDANIE PRZY PRZYCISKU: „Usuwa wpis z kolejki bez możliwości cofnięcia. Subskrypcja zostaje nietknięta." Operator ma prawo założyć, że „odrzuć" anuluje zamówienie — nie anuluje. Musi to być napisane tam, gdzie się klika, a nie w dokumentacji, której nikt nie otworzy w trakcie incydentu. | Czerwieni się na starym kodzie: 11 z 13. | DWIE UWAGI O SAMYCH TESTACH: odczyty plików panelu są LENIWE, bo odczyt na poziomie describe wywalał cały plik testowy, zanim cokolwiek się policzyło — a wtedy nie wiadomo, ILE asercji się czerwieni, tylko że „nie skompilowało się"; asercja o warunku row.failedReason nie mierzy odległości w znakach, tylko relację między warunkiem a przyciskiem, bo wersja licząca znaki zepsuła się od dopisania komentarza i kusiło, żeby poszerzyć okno zamiast poprawić asercję — to byłoby naprawianie testu zamiast kodu. | CZEGO NIE OBEJMUJE: losu czterech subskrypcji, które dostały zwrot i status PENDING_PAYMENT (odrzucenie joba ich nie dotyka — osobne sprzątanie po stronie bazy); odrzucania hurtem — świadomie, bo przycisk „odrzuć wszystkie" jest wygodny dokładnie do momentu, w którym ktoś kliknie go na kolejce z prawdziwym zamówieniem. | JAK ZAMKNĄĆ: odrzucić jeden z czterech martwych jobów, obejrzeć wpis PROVISIONING_JOB_DISCARDED_BY_ADMIN w audycie i sprawdzić, że verris_provisioning_queue_depth{state="failed"} spadło o jeden. Dokumentacja: docs/archiwum/zadania/X-32-odrzucenie-martwego-joba.md | 2026-09-22 D3: wlasciciel odrzucil martwy job przyciskiem 'Odrzuc' w panelu admina na produkcji (potwierdzenie wlasciciela; wpis PROVISIONING_JOB_DISCARDED_BY_ADMIN w audycie).</t>
        </is>
      </c>
      <c r="P29" s="10" t="inlineStr">
        <is>
          <t>do zrobienia</t>
        </is>
      </c>
    </row>
    <row r="30">
      <c r="A30" s="10" t="inlineStr">
        <is>
          <t>X-33</t>
        </is>
      </c>
      <c r="B30" s="11" t="inlineStr">
        <is>
          <t>Bramka alertów odróżnia „nie ma" od „jeszcze nie ma"</t>
        </is>
      </c>
      <c r="C30" s="10" t="inlineStr">
        <is>
          <t>audyt</t>
        </is>
      </c>
      <c r="D30" s="10" t="inlineStr">
        <is>
          <t>X — Infrastruktura jakości</t>
        </is>
      </c>
      <c r="E30" s="10" t="inlineStr">
        <is>
          <t>—</t>
        </is>
      </c>
      <c r="F30" s="10" t="n">
        <v>6</v>
      </c>
      <c r="G30" s="10" t="n">
        <v>2</v>
      </c>
      <c r="H30" s="10" t="inlineStr">
        <is>
          <t>Faza 0 — Zatrzymać krwawienie</t>
        </is>
      </c>
      <c r="I30" s="10" t="inlineStr">
        <is>
          <t>2026-09-07</t>
        </is>
      </c>
      <c r="J30" s="10" t="inlineStr">
        <is>
          <t>2026-09-11</t>
        </is>
      </c>
      <c r="K30" s="10" t="inlineStr">
        <is>
          <t>DZIAŁA</t>
        </is>
      </c>
      <c r="L30" s="11" t="inlineStr">
        <is>
          <t>ops/scripts/lib/bramka-regul-alertowych.sh — czekaj_na_reguly (do 20 prób co 3 s, warunek: aktywne == oczekiwane i paused == 0), policz_reguly_w_pliku (liczba odniesienia z rules.yaml), regul_w_stanie, metryka_istnieje (rozróżnienie braku linii od linii z zerem); ops/scripts/prod-deploy-ghcr.sh — krok 4.6a; apps/api/src/test/bramka-regul-nie-myli-braku-z-oczekiwaniem.spec.ts (9 asercji, uruchamia prawdziwą funkcję bashową z atrapą Grafany); apps/api/src/test/reguly-alertowe-licza-sie.spec.ts — kodZBibliotekami(). D3: wdrożenie #73 (2026-08-24) — „OK: 14/14 reguł aktywnych (próba 4)" (dowód z #71 unieważniony przez X-34). ops/scripts/lib/bramka-regul-alertowych.sh — okno_bramki_sekundy (jedno źródło okna, 180 s).</t>
        </is>
      </c>
      <c r="M30" s="11" t="inlineStr">
        <is>
          <t>—</t>
        </is>
      </c>
      <c r="N30" s="11" t="inlineStr">
        <is>
          <t>Funkcja dostępna z panelu klienta bez wychodzenia do DirectAdmina; test uruchamiany w CI.</t>
        </is>
      </c>
      <c r="O30" s="11" t="inlineStr">
        <is>
          <t>Stan 2026-08-23: ZROBIONE W KODZIE (D2), D3 przy pierwszym ZIELONYM wdrożeniu. | CO SIĘ STAŁO: wdrożenie #70 (b64db02, scalenie X-32) padło na bramce X-30 z komunikatem „Grafana nie ma ANI JEDNEJ reguły alertowej", podczas gdy Grafana miała w tej samej chwili CZTERNAŚCIE aktywnych reguł (grafana_alerting_rule_group_rules{state="active"}=14, paused=0). Oś czasu z logu: 15:43:09 restart, 15:43:15 /api/health OK, 15:43:16 odczyt metryki → zero → FAIL. Siedem sekund od restartu. | DLACZEGO ZERO NIE ZNACZYŁO ZERA: w Grafanie 10.4.2 grafana_alerting_rule_group_rules to GaugeVec z etykietami org i state, ustawiany w processTick() — na pierwszym takcie schedulera alertów (domyślnie 10 s), nie przy starcie procesu. Do tego momentu metryka NIE MA W /metrics ANI JEDNEJ LINII; suma z pustki przez awk daje zero i wygląda identycznie jak katastrofa. /api/health odpowiada dużo wcześniej. Wdrożenia #68 i #69 wygrały ten wyścig, #70 przegrało — o werdykcie bramki decydowała szybkość startu, nie stan systemu. | DLACZEGO TO POWAŻNIEJSZE NIŻ JEDEN CZERWONY DEPLOY: bramka, która potrafi zapalić się na zdrowym systemie, uczy człowieka klikać „re-run" — od tej chwili nie chroni już niczego, a nadal figuruje w audycie jako dowód D2. | NOWY TYP W KOLEKCJI: „kontrola, która nie odróżnia NIE MA od JESZCZE NIE MA". Mieliśmy bramki meldujące zamiast bramkować (X-14, X-23, H-19, H-20, X-27, X-28), testy niczego niedowodzące (Z-01, H-20, M-06, X-28) i poprawną kontrolę, której się kłamie (Z-18). Pytanie do każdej przyszłej bramki: CZY BRAK DANYCH I ZŁA WARTOŚĆ DAJĄ W NIEJ TEN SAM WYNIK? Jeśli tak — bramka mierzy czas, a nie stan. | ROZWIĄZANIE: logika w osobnym pliku ops/scripts/lib/bramka-regul-alertowych.sh, wczytywanym przez skrypt wdrożeniowy. czekaj_na_reguly odpytuje Grafanę do 20 razy co 3 s i przechodzi dopiero, gdy liczba reguł aktywnych zgadza się z oczekiwaną i żadna nie wisi w stanie paused. TO NIE JEST POLUZOWANIE: stara wersja przepuszczała 9 reguł z 14 (bo 9 &gt; 0) i odrzucała 14 z 14 (bo mierzyła za wcześnie) — nowa robi odwrotnie w obu przypadkach. | TRZY RÓŻNE NIEPOWODZENIA, TRZY RÓŻNE KOMUNIKATY: brak metryki → „scheduler nie wystartował" (naprawiaj Grafanę); za mało reguł → „prowizjonowanie CZĘŚCIOWE: 9 z 14" (naprawiaj rules.yaml); reguły paused → „wczytane, ale NIE LICZĄ SIĘ". Bramka mówiąca jedno zdanie na trzy awarie każe diagnozować od zera — ta sama lekcja co Z-18. | LICZBA ODNIESIENIA Z PLIKU: policz_reguly_w_pliku liczy wpisy „- uid:" w rules.yaml w chwili wdrożenia. Wpisanie „14" do skryptu byłoby SZÓSTYM BLIŹNIACZYM MIEJSCEM (Z-12, Z-16, M-06, X-24, H-24). | CZEGO ŚWIADOMIE NIE ZROBILIŚMY: nie skróciliśmy taktu schedulera Grafany — zmiana ustawienia produkcyjnego po to, żeby zadowolić bramkę, odwraca zależność. | STRAŻNIK WYGLĄDA INACZEJ NIŻ POPRZEDNIE i to jest jego sedno: ani jednej asercji typu „w skrypcie występuje słowo sleep". Test URUCHAMIA PRAWDZIWĄ FUNKCJĘ BASHOWĄ i podstawia jej atrapę Grafany zachowującą się dokładnie tak, jak Grafana o 15:43:16 (trzy odpowiedzi bez metryki, potem czternaście reguł). Właśnie po to logika trafiła do osobnego pliku — dopóki siedziała w skrypcie, jedyną możliwą asercją było czytanie tekstu skryptu, czyli błąd X-28. | Czerwieni się na starym kodzie: 9 z 9 — ale ta liczba jest mało pouczająca, bo na starym stanie repozytorium biblioteki nie ma wcale i wszystko wysypuje się na braku pliku. Zmierzone drugi raz, ze STARĄ SEMANTYKĄ podstawioną pod ten sam interfejs (jeden odczyt, warunek „&gt; 0"): 7 z 9. To uczciwsza liczba — oddziela zmianę zachowania od zniknięcia pliku. | CO ZŁAPALI STRAŻNICY, KTÓRZY JUŻ BYLI (oba miały rację): (1) skrypty-wykonywalne.spec.ts — nowa biblioteka nie miała bitu wykonywalności; kusiło dopisać wyjątek „to plik wczytywany", ale komentarz tego strażnika mówi wprost, że reguła jest bezwyjątkowa właśnie dlatego, że lista wyjątków byłaby kolejnym bliźniaczym miejscem — chmod +x, strażnik bez zmian; poluzowanie go byłoby JEDENASTYM wystąpieniem rodziny „strażnik dopasowuje własną prozę"; (2) reguly-alertowe-licza-sie.spec.ts (strażnik X-30) — sprawdzał treść prod-deploy-ghcr.sh, a logika przeniosła się do biblioteki; samo usunięcie asercji sprawiłoby, że X-30 pilnuje mniej niż wcześniej nie mówiąc o tym ani słowem, więc strażnik czyta teraz skrypt RAZEM Z BIBLIOTEKAMI, które sam wczytuje, a asercja o pustym provisioningu została WZMOCNIONA z „więcej niż zero" do „komplet reguł". | STAN PRODUKCJI PO #70: exit 1 w tym miejscu kończy skrypt PRZED sekcją rollbacku, więc nic się nie cofnęło — na produkcji stoi b64db02, /healthz przeszedł, .last-good-image-tag zapisany, przycisk „Odrzuć" z X-32 jest live, czternaście reguł się liczy. Wdrożenie było UDANE; nieudana była bramka. | JAK ZAMKNĄĆ: pierwsze zielone wdrożenie z linią „[deploy] OK: 14/14 reguł aktywnych (próba N)" w logu. Jeżeli N &gt; 1, mamy w logu bezpośredni dowód, że wyścig był prawdziwy. | DOWÓD D3 — WDROŻENIE #71 (2026-08-24, zielone, wszystkie 8 zadań): „09:30:43 czekam na scheduler alertów (oczekuję 14 reguł); 09:31:37 OK: 14/14 reguł aktywnych (PRÓBA 17); 09:32:52 reguły liczą się bez błędów (0 → 0)". PRÓBA SIEDEMNASTA, nie pierwsza: metryka pojawiła się 54 SEKUNDY po restarcie, nie siedem i nie dziesięć. To nie jest dowód „bramka przeszła", tylko dowód, że w tym samym miejscu poprzednia wersja padłaby PO RAZ DRUGI na zdrowym systemie. Wdrożenie trwało 3 m 58 s zamiast ~3 m — cała różnica to te 54 sekundy czekania. | TEN SAM LOG WYKRYŁ BŁĄD W MOJEJ WŁASNEJ LICZBIE: zakładałem takt schedulera ~10 s i ustawiłem okno na 60 s (20 prób); zużyliśmy 17, czyli zapas wynosił TRZY PRÓBY — dziewięć sekund. Przy odrobinę wolniejszym starcie Grafany kolejne wdrożenie padłoby dokładnie tak jak #70 i z dokładnie tego samego nie-powodu. Mechanizm był dobry, liczba dobrana na wyczucie, a wyczucie o 80% za optymistyczne. OKNO PODNIESIONE DO 180 s (60 prób co 3 s) — decyzja właściciela produktu: trzykrotny zapas, nie dwukrotny, bo 54 s to JEDNA OBSERWACJA, nie rozkład. Dłuższe okno NIE SPOWALNIA zdrowego wdrożenia ani o sekundę: pętla kończy się w chwili, w której reguły się zgadzają; płacimy wyłącznie przy prawdziwej awarii prowizjonowania — błąd po trzech minutach zamiast po jednej. Dobry kurs wymiany: fałszywy alarm uczy klikać „re-run", a dwie minuty dłuższego czekania na prawdziwą awarię nie uczą niczego. | I OD RAZU BLIŹNIACZE MIEJSCE, KTÓREGO OMAL NIE ZROBIŁEM: pierwsza wersja poprawki wpisywała 180 do komunikatu w skrypcie, a 60 prób do biblioteki — log mówiłby „do 180 s" niezależnie od tego, ile bramka naprawdę czeka, i okłamałby pierwszą osobę czytającą go w trakcie awarii. Okno podaje teraz okno_bramki_sekundy i tylko ona. Dwie dodatkowe asercje (razem 11), obie czerwone na kodzie sprzed #71. | DOWÓD D3 COFNIĘTY 2026-08-24: wdrożenie #71 przeszło PRZYPADKIEM, nie dlatego, że bramka działała. „Próba 17" nie była czasem startu Grafany, tylko czasem, przez który kłamał odczyt (X-34: SIGPIPE + pipefail; metryka zdążyła się pojawić, zanim odpowiedź /metrics przekroczyła 64 KB). Uzasadnienie okna 180 s oparte na tych 54 sekundach było fałszywe. D3 wróci przy zielonym wdrożeniu z biblioteką po X-34. | D3 PRZYWRÓCONE 2026-08-24 na wdrożeniu #73 („próba 4", 10 s) — tym razem na ZROZUMIANYM mechanizmie, po naprawie X-34. Bramka przeszła dlatego, że działa, a nie dlatego, że miała szczęście. Dokumentacja: docs/archiwum/zadania/X-33-bramka-mierzyla-szybkosc-startu.md</t>
        </is>
      </c>
      <c r="P30" s="10" t="inlineStr">
        <is>
          <t>do zrobienia</t>
        </is>
      </c>
    </row>
    <row r="31">
      <c r="A31" s="10" t="inlineStr">
        <is>
          <t>X-34</t>
        </is>
      </c>
      <c r="B31" s="11" t="inlineStr">
        <is>
          <t>Bramka alertów czyta metryki bez potoku (SIGPIPE + pipefail)</t>
        </is>
      </c>
      <c r="C31" s="10" t="inlineStr">
        <is>
          <t>audyt</t>
        </is>
      </c>
      <c r="D31" s="10" t="inlineStr">
        <is>
          <t>X — Infrastruktura jakości</t>
        </is>
      </c>
      <c r="E31" s="10" t="inlineStr">
        <is>
          <t>—</t>
        </is>
      </c>
      <c r="F31" s="10" t="n">
        <v>6</v>
      </c>
      <c r="G31" s="10" t="n">
        <v>2</v>
      </c>
      <c r="H31" s="10" t="inlineStr">
        <is>
          <t>Faza 0 — Zatrzymać krwawienie</t>
        </is>
      </c>
      <c r="I31" s="10" t="inlineStr">
        <is>
          <t>2026-09-07</t>
        </is>
      </c>
      <c r="J31" s="10" t="inlineStr">
        <is>
          <t>2026-09-11</t>
        </is>
      </c>
      <c r="K31" s="10" t="inlineStr">
        <is>
          <t>DZIAŁA</t>
        </is>
      </c>
      <c r="L31" s="11" t="inlineStr">
        <is>
          <t>ops/scripts/lib/bramka-regul-alertowych.sh — metryka_istnieje bez potoku (dopasowanie wzorcem w powłoce), regul_w_stanie przez &lt;&lt;&lt; zamiast |; apps/api/src/test/bramka-regul-nie-myli-braku-z-oczekiwaniem.spec.ts (13 asercji, atrapa &gt; 64 KB, harness z set -Eeuo pipefail). D3: wdrożenie #73 (2026-08-24) — „OK: 14/14 reguł aktywnych (próba 4)", 10 sekund.</t>
        </is>
      </c>
      <c r="M31" s="11" t="inlineStr">
        <is>
          <t>—</t>
        </is>
      </c>
      <c r="N31" s="11" t="inlineStr">
        <is>
          <t>Funkcja dostępna z panelu klienta bez wychodzenia do DirectAdmina; test uruchamiany w CI.</t>
        </is>
      </c>
      <c r="O31" s="11" t="inlineStr">
        <is>
          <t>Stan 2026-08-24: ZROBIONE W KODZIE (D2), D3 przy pierwszym zielonym wdrożeniu. | CO SIĘ STAŁO: wdrożenie #72 padło z komunikatem „Grafana nie opublikowała metryki grafana_alerting_rule_group_rules w ciągu 60 prób co 3s. Scheduler alertów nie wystartował" — 193 sekundy bez ani jednej linii. Log SAMEJ GRAFANY z tej samej minuty mówi coś przeciwnego: 09:53:15.845 ngalert.scheduler „Starting scheduler" tickInterval=10s; 09:53:15.845 ngalert.state.manager „State cache has been initialized" states=14; 09:53:31.549 pierwsze alerty. Scheduler wystartował CZTERY SEKUNDY po restarcie. GRAFANA BYŁA ZDROWA — KŁAMAŁ MÓJ ODCZYT. | PRZYCZYNA, jedna linijka: printf '%s\n' "$metryki" | grep -q '^grafana_alerting_rule_group_rules{' przy set -Eeuo pipefail. grep -q kończy się NATYCHMIAST po dopasowaniu, printf wciąż pisze resztę; gdy odpowiedź nie mieści się w buforze potoku, printf dostaje SIGPIPE (141), a pipefail przepisuje ten status na cały potok — sprawdzenie zwraca BŁĄD DOKŁADNIE WTEDY, GDY METRYKA JEST. Zmierzone, deterministyczne, próg na buforze potoku: 16 KB → znaleziono, 32 KB → znaleziono, 63 KB → znaleziono, 64 KB → BRAK, 80 KB → BRAK, 128 KB → BRAK. | TO WYJAŚNIA WSZYSTKO, CZEGO NIE UMIAŁEM WYJAŚNIĆ: /metrics Grafany ROŚNIE w miarę rejestrowania kolektorów, więc wyścig toczył się nie między bramką a schedulerem, tylko między POJAWIENIEM SIĘ METRYKI a PRZEKROCZENIEM 64 KB. #71: metryka zdążyła, gdy odpowiedź była jeszcze &lt; 64 KB → odczyt udał się na 17. próbie, a ja odczytałem to jako „scheduler potrzebuje 54 sekund". #72: odpowiedź przekroczyła 64 KB pierwsza → 60 odczytów z rzędu skłamało, a ja odczytałem to jako „scheduler nie wystartował". OBIE INTERPRETACJE BYŁY FAŁSZYWE, a na podstawie pierwszej zdążyłem podnieść okno i napisać uzasadnienie, które brzmiało solidnie. Ten sam mechanizm prawdopodobnie stoi za #70. | DLACZEGO STARA BRAMKA TEGO NIE MIAŁA: czytała przez „| awk", a AWK CZYTA WEJŚCIE DO KOŃCA — nie zamyka potoku wcześniej, więc SIGPIPE nie powstaje. Wdrożenia #68 i #69 działały nie ze szczęścia, tylko dlatego, że nie miały tej usterki. TEN BŁĄD WPROWADZIŁEM JA, RAZEM Z grep -q. | ROZWIĄZANIE: w bibliotece NIE MA JUŻ ANI JEDNEGO POTOKU — obecność metryki dopasowuje sama powłoka wzorcem na zmiennej (case), a awk dostaje wejście przez &lt;&lt;&lt; (here-string to przekierowanie, nie potok, więc pipefail nie ma czego zepsuć). | OKNO ZOSTAJE 180 s, ALE Z INNEGO POWODU: stare uzasadnienie („zmierzone 54 s × 3") było nieprawdziwe i zostało w komentarzu przekreślone, żeby nikt go nie odtworzył. Prawdziwy pomiar z logu Grafany: scheduler startuje ~4 s po restarcie. 60 s by wystarczyło; 180 s zostaje, bo CZEKANIE JEST DARMOWE (pętla kończy się w chwili zgodności), a nie dlatego, że tyle zmierzono. Ta liczba NIE MA maskować usterki odczytu — gdyby bramka znów czekała minutami, odpowiedzią jest diagnoza, nie 300 s. | DLACZEGO STRAŻNIK Z X-33 TEGO NIE ZŁAPAŁ — NAJWAŻNIEJSZA CZĘŚĆ: test był ZIELONY, a kod kłamał 60 razy z rzędu. Nie dlatego, że sprawdzał złą rzecz — dlatego, że JEGO ŚRODOWISKO RÓŻNIŁO SIĘ OD PRODUKCYJNEGO W DWÓCH WYMIARACH, KTÓRE DECYDOWAŁY O WYNIKU: (1) atrapa ważyła 200 bajtów, a prawdziwe /metrics setki kilobajtów — przy 200 bajtach printf zdąży zapisać wszystko do bufora, zanim grep się zamknie, więc SIGPIPE nigdy nie powstanie; (2) harness ustawiał set -u, a produkcja set -Eeuo pipefail — BEZ PIPEFAIL TA USTERKA NIE ISTNIEJE. Testowałem inną powłokę niż ta, która to uruchamia. To NOWA ODMIANA rodziny „test, który niczego nie dowodzi" (Z-01, H-20, M-06, X-28): nie fałszywa asercja, tylko FAŁSZYWE ŚRODOWISKO. Asercje były dobre, kłamały dane wejściowe. PYTANIE DO KAŻDEGO PRZYSZŁEGO HARNESSU: czym moja atrapa różni się od produkcji i czy któraś z tych różnic może decydować o wyniku? Rozmiar wejścia i flagi powłoki to nie szczegóły techniczne, tylko warunki, w których kod działa albo nie. | STRAŻNIK (13 asercji, było 11): atrapa waży ponad 64 KB i test to ASERTUJE, żeby nikt jej nie „uprościł"; harness ustawia dokładnie te flagi co skrypt wdrożeniowy; osobna asercja, że odpowiedź większa niż bufor potoku nie zamienia się w „brak metryki"; asercja o treści biblioteki (żadnego | grep, żadnego printf |) stojąca OBOK zachowaniowej, nie zamiast niej — tamta łapie usterkę, ta pilnuje, żeby nie wróciła tą samą drogą. | Czerwieni się na kodzie sprzed X-34: 7 z 13. | JAK ZAMKNĄĆ: zielone wdrożenie z tą biblioteką, z NISKIM numerem próby (kilkanaście sekund, nie pięćdziesiąt cztery). Dwucyfrowy numer oznaczałby, że nadal czegoś nie rozumiem. | DOWÓD D3 — WDROŻENIE #73 (2026-08-24, zielone, 3 m 08 s): „10:45:36 restart obserwowalności; 10:45:43 czekam na scheduler alertów (oczekuję 14 reguł, do 180 s); 10:45:53 OK: 14/14 reguł aktywnych (PRÓBA 4); 10:47:08 reguły liczą się bez błędów (0 → 0)". PRÓBA 4 — DZIESIĘĆ SEKUND. Przed wdrożeniem zapisałem FALSYFIKOWALNĄ PRZEPOWIEDNIĘ: jeśli diagnoza jest trafna, numer próby będzie NISKI, a dwucyfrowy oznaczałby, że nadal czegoś nie rozumiem. Wyszła czwarta próba i zgadza się co do rzędu wielkości z logiem samej Grafany (scheduler ~4 s po restarcie, takt 10 s) — czyli z jedynym pomiarem w całej tej historii, który nie pochodził z zepsutego odczytu. Porównanie czasów: #71 — 3 m 58 s (54 s czekania na własne kłamstwo), #72 — 4 m 54 s zakończone błędem, #73 — 3 m 08 s. Dokumentacja: docs/archiwum/zadania/X-34-bramka-klamala-o-wlasnym-odczycie.md</t>
        </is>
      </c>
      <c r="P31" s="10" t="inlineStr">
        <is>
          <t>do zrobienia</t>
        </is>
      </c>
    </row>
    <row r="32">
      <c r="A32" s="10" t="inlineStr">
        <is>
          <t>Z-12</t>
        </is>
      </c>
      <c r="B32" s="11" t="inlineStr">
        <is>
          <t>Placement kont nadsubskrybuje zasoby węzła zamiast rezerwować pełne limity planu</t>
        </is>
      </c>
      <c r="C32" s="10" t="inlineStr">
        <is>
          <t>audyt</t>
        </is>
      </c>
      <c r="D32" s="10" t="inlineStr">
        <is>
          <t>K — Statystyki, logi, limity</t>
        </is>
      </c>
      <c r="E32" s="10" t="inlineStr">
        <is>
          <t>—</t>
        </is>
      </c>
      <c r="F32" s="10" t="n">
        <v>16</v>
      </c>
      <c r="G32" s="10" t="n">
        <v>3</v>
      </c>
      <c r="H32" s="10" t="inlineStr">
        <is>
          <t>Faza 0 — Zatrzymać krwawienie</t>
        </is>
      </c>
      <c r="I32" s="10" t="inlineStr">
        <is>
          <t>2026-09-14</t>
        </is>
      </c>
      <c r="J32" s="10" t="inlineStr">
        <is>
          <t>2026-09-18</t>
        </is>
      </c>
      <c r="K32" s="10" t="inlineStr">
        <is>
          <t>DZIAŁA</t>
        </is>
      </c>
      <c r="L32" s="11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M32" s="11" t="inlineStr">
        <is>
          <t>—</t>
        </is>
      </c>
      <c r="N32" s="11" t="inlineStr">
        <is>
          <t>Funkcja dostępna z panelu klienta bez wychodzenia do DirectAdmina; test uruchamiany w CI.</t>
        </is>
      </c>
      <c r="O32" s="11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docs/archiwum/zadania/Z-12-nadsubskrypcja-pojemnosci-wezla.md</t>
        </is>
      </c>
      <c r="P32" s="10" t="inlineStr">
        <is>
          <t>do zrobienia</t>
        </is>
      </c>
    </row>
    <row r="33">
      <c r="A33" s="10" t="inlineStr">
        <is>
          <t>Z-13</t>
        </is>
      </c>
      <c r="B33" s="11" t="inlineStr">
        <is>
          <t>Pakiet sprzedawany na stronie istnieje jako plan w bazie</t>
        </is>
      </c>
      <c r="C33" s="10" t="inlineStr">
        <is>
          <t>audyt</t>
        </is>
      </c>
      <c r="D33" s="10" t="inlineStr">
        <is>
          <t>M — Rozliczenia</t>
        </is>
      </c>
      <c r="E33" s="10" t="inlineStr">
        <is>
          <t>—</t>
        </is>
      </c>
      <c r="F33" s="10" t="n">
        <v>6</v>
      </c>
      <c r="G33" s="10" t="n">
        <v>3</v>
      </c>
      <c r="H33" s="10" t="inlineStr">
        <is>
          <t>Faza 0 — Zatrzymać krwawienie</t>
        </is>
      </c>
      <c r="I33" s="10" t="inlineStr">
        <is>
          <t>2026-09-14</t>
        </is>
      </c>
      <c r="J33" s="10" t="inlineStr">
        <is>
          <t>2026-09-18</t>
        </is>
      </c>
      <c r="K33" s="10" t="inlineStr">
        <is>
          <t>DZIAŁA</t>
        </is>
      </c>
      <c r="L33" s="11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M33" s="11" t="inlineStr">
        <is>
          <t>—</t>
        </is>
      </c>
      <c r="N33" s="11" t="inlineStr">
        <is>
          <t>Funkcja dostępna z panelu klienta bez wychodzenia do DirectAdmina; test uruchamiany w CI.</t>
        </is>
      </c>
      <c r="O33" s="11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docs/archiwum/zadania/Z-13-plan-produkcyjny-w-bazie.md</t>
        </is>
      </c>
      <c r="P33" s="10" t="inlineStr">
        <is>
          <t>do zrobienia</t>
        </is>
      </c>
    </row>
    <row r="34">
      <c r="A34" s="10" t="inlineStr">
        <is>
          <t>Z-16</t>
        </is>
      </c>
      <c r="B34" s="11" t="inlineStr">
        <is>
          <t>Autoskalowanie pyta węzeł o pojemność i dowozi sufit obiecany w ofercie</t>
        </is>
      </c>
      <c r="C34" s="10" t="inlineStr">
        <is>
          <t>audyt</t>
        </is>
      </c>
      <c r="D34" s="10" t="inlineStr">
        <is>
          <t>J — Wydajność i cache</t>
        </is>
      </c>
      <c r="E34" s="10" t="inlineStr">
        <is>
          <t>—</t>
        </is>
      </c>
      <c r="F34" s="10" t="n">
        <v>16</v>
      </c>
      <c r="G34" s="10" t="n">
        <v>3</v>
      </c>
      <c r="H34" s="10" t="inlineStr">
        <is>
          <t>Faza 0 — Zatrzymać krwawienie</t>
        </is>
      </c>
      <c r="I34" s="10" t="inlineStr">
        <is>
          <t>2026-09-14</t>
        </is>
      </c>
      <c r="J34" s="10" t="inlineStr">
        <is>
          <t>2026-09-18</t>
        </is>
      </c>
      <c r="K34" s="10" t="inlineStr">
        <is>
          <t>DZIAŁA</t>
        </is>
      </c>
      <c r="L34" s="11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M34" s="11" t="inlineStr">
        <is>
          <t>—</t>
        </is>
      </c>
      <c r="N34" s="11" t="inlineStr">
        <is>
          <t>Funkcja dostępna z panelu klienta bez wychodzenia do DirectAdmina; test uruchamiany w CI.</t>
        </is>
      </c>
      <c r="O34" s="11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docs/archiwum/zadania/Z-16-autoskalowanie-pyta-wezel.md</t>
        </is>
      </c>
      <c r="P34" s="10" t="inlineStr">
        <is>
          <t>do zrobienia</t>
        </is>
      </c>
    </row>
    <row r="35">
      <c r="A35" s="10" t="inlineStr">
        <is>
          <t>PB-14</t>
        </is>
      </c>
      <c r="B35" s="11" t="inlineStr">
        <is>
          <t>Wybór dostawcy i lokalizacji węzła produkcyjnego #1</t>
        </is>
      </c>
      <c r="C35" s="10" t="inlineStr">
        <is>
          <t>poza audytem</t>
        </is>
      </c>
      <c r="D35" s="10" t="inlineStr">
        <is>
          <t>Praca spoza audytu</t>
        </is>
      </c>
      <c r="E35" s="10" t="inlineStr">
        <is>
          <t>WYSOKI</t>
        </is>
      </c>
      <c r="F35" s="10" t="n">
        <v>6</v>
      </c>
      <c r="G35" s="10" t="n">
        <v>3</v>
      </c>
      <c r="H35" s="10" t="inlineStr">
        <is>
          <t>Faza 0 — Zatrzymać krwawienie</t>
        </is>
      </c>
      <c r="I35" s="10" t="inlineStr">
        <is>
          <t>2026-09-14</t>
        </is>
      </c>
      <c r="J35" s="10" t="inlineStr">
        <is>
          <t>2026-09-18</t>
        </is>
      </c>
      <c r="K35" s="10" t="inlineStr">
        <is>
          <t>—</t>
        </is>
      </c>
      <c r="L35" s="11" t="inlineStr">
        <is>
          <t>—</t>
        </is>
      </c>
      <c r="M35" s="11" t="inlineStr">
        <is>
          <t>—</t>
        </is>
      </c>
      <c r="N35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35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35" s="10" t="inlineStr">
        <is>
          <t>do zrobienia</t>
        </is>
      </c>
    </row>
    <row r="36">
      <c r="A36" s="10" t="inlineStr">
        <is>
          <t>DEV-01</t>
        </is>
      </c>
      <c r="B36" s="11" t="inlineStr">
        <is>
          <t>Baza deweloperska jest nieosiągalna, a `docker-compose.yml` opisuje stan, którego nie ma</t>
        </is>
      </c>
      <c r="C36" s="10" t="inlineStr">
        <is>
          <t>audyt</t>
        </is>
      </c>
      <c r="D36" s="10" t="inlineStr">
        <is>
          <t>X — Infrastruktura jakości</t>
        </is>
      </c>
      <c r="E36" s="10" t="inlineStr">
        <is>
          <t>WYSOKA</t>
        </is>
      </c>
      <c r="F36" s="10" t="n">
        <v>6</v>
      </c>
      <c r="G36" s="10" t="n">
        <v>4</v>
      </c>
      <c r="H36" s="10" t="inlineStr">
        <is>
          <t>Faza 1 — Rozliczenia i dowód odtworzenia</t>
        </is>
      </c>
      <c r="I36" s="10" t="inlineStr">
        <is>
          <t>2026-09-21</t>
        </is>
      </c>
      <c r="J36" s="10" t="inlineStr">
        <is>
          <t>2026-09-25</t>
        </is>
      </c>
      <c r="K36" s="10" t="inlineStr">
        <is>
          <t>BRAK</t>
        </is>
      </c>
      <c r="L36" s="11" t="inlineStr">
        <is>
          <t>D3 (maszyna deweloperska): `FATAL: role "verris" does not exist` oraz `role "postgres" does not exist` przy połączeniu po gnieździe wewnątrz kontenera; `docker inspect` potwierdza `POSTGRES_USER=verris` w konfiguracji</t>
        </is>
      </c>
      <c r="M36" s="11" t="inlineStr">
        <is>
          <t>—</t>
        </is>
      </c>
      <c r="N36" s="11" t="inlineStr">
        <is>
          <t>Funkcja dostępna z panelu klienta bez wychodzenia do DirectAdmina; test uruchamiany w CI.</t>
        </is>
      </c>
      <c r="O36" s="11" t="inlineStr">
        <is>
          <t>Przepisane do macierzy 2026-08-28 w ramach X-49 — pozycja powstala 2026-08-28 i do tego dnia istniala WYLACZNIE w dashboardzie, poza zasiegiem straznikow repozytorium. Obszar: środowisko lokalne. Krytycznosc i naklad zostaly puste SWIADOMIE: dashboard ich nie niosl, a wpisanie ich teraz byloby zgadywaniem. Do uzupelnienia przy najblizszym przegladzie tej pozycji. | TRESC ZE ZRODLA: Baza deweloperska jest nieosiągalna, a `docker-compose.yml` opisuje stan, którego nie ma. Wolumen `ekohost_postgres_data` zainicjowano z innym `POSTGRES_USER` niż dzisiejszy `verris`. Wejściówka obrazu Postgresa uruchamia `initdb` tylko przy PUSTYM katalogu danych — przy każdym kolejnym starcie `POSTGRES_USER` i `POSTGRES_PASSWORD` są ignorowane w całości. Kontener wstaje zielony, `pg_isready` odpowiada, a logowanie odbija: ani rola `postgres`, ani `verris` nie istnieje. Ktoś klonujący repozytorium dziś dostanie działający `docker compose up`, po którym nic się nie połączy. | WYCENA 2026-09-19: krytycznosc i naklad uzupelnione przy wznowieniu. Pozycje przepisane 2026-08-28 w ramach X-49 zostaly bez wyceny, przez co nie liczyly sie do budzetu godzin i nie stały w zadnym sprincie. Podstawa wyceny: Odzyskanie nazwy roli w trybie single-user, bez kasowania wolumenu (decyzja 2026-08-28). Blokuje bramke lokalna, czyli JEDYNA realna bramke przed main.</t>
        </is>
      </c>
      <c r="P36" s="10" t="inlineStr">
        <is>
          <t>do zrobienia</t>
        </is>
      </c>
    </row>
    <row r="37">
      <c r="A37" s="10" t="inlineStr">
        <is>
          <t>DEP-01</t>
        </is>
      </c>
      <c r="B37" s="11" t="inlineStr">
        <is>
          <t>Osiem otwartych pull requestów Dependabota, żaden niescalony</t>
        </is>
      </c>
      <c r="C37" s="10" t="inlineStr">
        <is>
          <t>audyt</t>
        </is>
      </c>
      <c r="D37" s="10" t="inlineStr">
        <is>
          <t>X — Infrastruktura jakości</t>
        </is>
      </c>
      <c r="E37" s="10" t="inlineStr">
        <is>
          <t>WYSOKA</t>
        </is>
      </c>
      <c r="F37" s="10" t="n">
        <v>6</v>
      </c>
      <c r="G37" s="10" t="n">
        <v>4</v>
      </c>
      <c r="H37" s="10" t="inlineStr">
        <is>
          <t>Faza 1 — Rozliczenia i dowód odtworzenia</t>
        </is>
      </c>
      <c r="I37" s="10" t="inlineStr">
        <is>
          <t>2026-09-21</t>
        </is>
      </c>
      <c r="J37" s="10" t="inlineStr">
        <is>
          <t>2026-09-25</t>
        </is>
      </c>
      <c r="K37" s="10" t="inlineStr">
        <is>
          <t>BRAK</t>
        </is>
      </c>
      <c r="L37" s="11" t="inlineStr">
        <is>
          <t>GitHub: 8 otwartych PR-ów, przebiegi CI #147–#150 od `dependabot[bot]`, 2026-08-28</t>
        </is>
      </c>
      <c r="M37" s="11" t="inlineStr">
        <is>
          <t>—</t>
        </is>
      </c>
      <c r="N37" s="11" t="inlineStr">
        <is>
          <t>Funkcja dostępna z panelu klienta bez wychodzenia do DirectAdmina; test uruchamiany w CI.</t>
        </is>
      </c>
      <c r="O37" s="11" t="inlineStr">
        <is>
          <t>Przepisane do macierzy 2026-08-28 w ramach X-49 — pozycja powstala 2026-08-28 i do tego dnia istniala WYLACZNIE w dashboardzie, poza zasiegiem straznikow repozytorium. Obszar: zależności / bezpieczeństwo. Krytycznosc i naklad zostaly puste SWIADOMIE: dashboard ich nie niosl, a wpisanie ich teraz byloby zgadywaniem. Do uzupelnienia przy najblizszym przegladzie tej pozycji. | TRESC ZE ZRODLA: Osiem otwartych pull requestów Dependabota, żaden niescalony. Kolejka CI zapchana przebiegami #147–#150 (numeracja `ci.yml` przeskoczyła z #127 na #136 właśnie przez nie). Sam zator jest kosmetyczny — problemem jest to, że job `Security scans` skanuje CVE w zależnościach, a poprawki tych zależności leżą niescalone. Skan wykrywa i nikt nie działa — ta sama rodzina co SEC-01 i NODE-02. | WYCENA 2026-09-19: krytycznosc i naklad uzupelnione przy wznowieniu. Pozycje przepisane 2026-08-28 w ramach X-49 zostaly bez wyceny, przez co nie liczyly sie do budzetu godzin i nie stały w zadnym sprincie. Podstawa wyceny: Przeglad i scalenie kolejki PR-ow Dependabota jednym wsadem z pelna bramka. Security scans wykrywa CVE, a poprawki leza niescalone.</t>
        </is>
      </c>
      <c r="P37" s="10" t="inlineStr">
        <is>
          <t>do zrobienia</t>
        </is>
      </c>
    </row>
    <row r="38">
      <c r="A38" s="10" t="inlineStr">
        <is>
          <t>ENV-01</t>
        </is>
      </c>
      <c r="B38" s="11" t="inlineStr">
        <is>
          <t>Bramka lokalna biegnie na Node 20, CI na Node 22</t>
        </is>
      </c>
      <c r="C38" s="10" t="inlineStr">
        <is>
          <t>audyt</t>
        </is>
      </c>
      <c r="D38" s="10" t="inlineStr">
        <is>
          <t>X — Infrastruktura jakości</t>
        </is>
      </c>
      <c r="E38" s="10" t="inlineStr">
        <is>
          <t>ŚREDNIA</t>
        </is>
      </c>
      <c r="F38" s="10" t="n">
        <v>6</v>
      </c>
      <c r="G38" s="10" t="n">
        <v>4</v>
      </c>
      <c r="H38" s="10" t="inlineStr">
        <is>
          <t>Faza 1 — Rozliczenia i dowód odtworzenia</t>
        </is>
      </c>
      <c r="I38" s="10" t="inlineStr">
        <is>
          <t>2026-09-21</t>
        </is>
      </c>
      <c r="J38" s="10" t="inlineStr">
        <is>
          <t>2026-09-25</t>
        </is>
      </c>
      <c r="K38" s="10" t="inlineStr">
        <is>
          <t>DZIAŁA</t>
        </is>
      </c>
      <c r="L38" s="11" t="inlineStr">
        <is>
          <t>D3: ostrzeżenie `pnpm` przy każdym `pnpm test` wobec `node-version: 22` w `ci.yml`. Zamknięte częściowo 2026-08-28: `.nvmrc` = 22, strażnik `wersja-node.spec.ts` (4 testy) wyprowadza wymagany major z `engines.node` i sprawdza `.nvmrc`, wszystkie 7 kroków `node-version:` w `ci.yml`+`deploy.yml` oraz oba `ARG NODE_VERSION` w Dockerfile’ach. Bramka lokalna potwierdzona na v22.23.2 (841 testów jednostkowych, 78 integracyjnych). Świadomie odłożone: `engine-strict=true` w `.npmrc` — włączone wcześniej zablokowałoby Twój `pnpm install` bez Twojej zgody.</t>
        </is>
      </c>
      <c r="M38" s="11" t="inlineStr">
        <is>
          <t>—</t>
        </is>
      </c>
      <c r="N38" s="11" t="inlineStr">
        <is>
          <t>Funkcja dostępna z panelu klienta bez wychodzenia do DirectAdmina; test uruchamiany w CI.</t>
        </is>
      </c>
      <c r="O38" s="11" t="inlineStr">
        <is>
          <t>Przepisane do macierzy 2026-08-28 w ramach X-49 — pozycja powstala 2026-08-28 i do tego dnia istniala WYLACZNIE w dashboardzie, poza zasiegiem straznikow repozytorium. Obszar: bramki / środowisko. Krytycznosc i naklad zostaly puste SWIADOMIE: dashboard ich nie niosl, a wpisanie ich teraz byloby zgadywaniem. Do uzupelnienia przy najblizszym przegladzie tej pozycji. | TRESC ZE ZRODLA: Bramka lokalna biegnie na Node 20, CI na Node 22. `pnpm` ostrzega o tym przy każdym uruchomieniu (`Unsupported engine: wanted &gt;=22.12, current v20.19.2`), a `ci.yml` ma `node-version: 22`. Samo w sobie kosmetyczne — przestaje takie być po decyzji z 28.08, która ustala, że jedyną realną bramką przed `main` jest bramka uruchamiana lokalnie (push admina omija wszystkie wymagane checki). „Zielone u mnie” jest wtedy słabszym dowodem, niż wygląda, i to dokładnie w miejscu, na którym oparliśmy proces. | WYCENA 2026-09-19: krytycznosc i naklad uzupelnione przy wznowieniu. Pozycje przepisane 2026-08-28 w ramach X-49 zostaly bez wyceny, przez co nie liczyly sie do budzetu godzin i nie stały w zadnym sprincie. Podstawa wyceny: Zostaje engine-strict=true w .npmrc, swiadomie odlozone 2026-08-28. Reszta pozycji zamknieta strazniekiem wersja-node.spec.ts. | 2026-09-22 ZAMKNIETE (D2): engine-strict=true w .npmrc od 2026-09-19 (zgoda wlasciciela), pelna bramka lokalna 2026-09-22 zielona na Node 22 z engine-strict (lint, typecheck 8/8, 878 testow jednostkowych) — to byl ostatni brakujacy element.</t>
        </is>
      </c>
      <c r="P38" s="10" t="inlineStr">
        <is>
          <t>do zrobienia</t>
        </is>
      </c>
    </row>
    <row r="39">
      <c r="A39" s="10" t="inlineStr">
        <is>
          <t>X-50</t>
        </is>
      </c>
      <c r="B39" s="11" t="inlineStr">
        <is>
          <t>Bramka podatnosci zatrzymuje cokolwiek — jest wymagana do merge i wolana przez wdrozenie</t>
        </is>
      </c>
      <c r="C39" s="10" t="inlineStr">
        <is>
          <t>audyt</t>
        </is>
      </c>
      <c r="D39" s="10" t="inlineStr">
        <is>
          <t>X — Infrastruktura jakości</t>
        </is>
      </c>
      <c r="E39" s="10" t="inlineStr">
        <is>
          <t>WYSOKA</t>
        </is>
      </c>
      <c r="F39" s="10" t="n">
        <v>6</v>
      </c>
      <c r="G39" s="10" t="n">
        <v>4</v>
      </c>
      <c r="H39" s="10" t="inlineStr">
        <is>
          <t>Faza 1 — Rozliczenia i dowód odtworzenia</t>
        </is>
      </c>
      <c r="I39" s="10" t="inlineStr">
        <is>
          <t>2026-09-21</t>
        </is>
      </c>
      <c r="J39" s="10" t="inlineStr">
        <is>
          <t>2026-09-25</t>
        </is>
      </c>
      <c r="K39" s="10" t="inlineStr">
        <is>
          <t>DZIAŁA</t>
        </is>
      </c>
      <c r="L39" s="11" t="inlineStr">
        <is>
          <t>D2 2026-09-19: .github/workflows/deploy.yml — krok "Bramka podatnosci" w jobie test-gate; ruleset 21161479 — "Security scans (gitleaks + audit + trivy)" dopisane do checkow wymaganych (szesc checkow, potwierdzenie "Ruleset updated"); apps/api/src/test/bramki-nie-rozjezdzaja-sie.spec.ts — wzorzec katalogowy BRAMKOWY_SKRYPT plus asercja imienna, przechodzi w bramce lokalnej.</t>
        </is>
      </c>
      <c r="M39" s="11" t="inlineStr">
        <is>
          <t>—</t>
        </is>
      </c>
      <c r="N39" s="11" t="inlineStr">
        <is>
          <t>Funkcja dostępna z panelu klienta bez wychodzenia do DirectAdmina; test uruchamiany w CI.</t>
        </is>
      </c>
      <c r="O39" s="11" t="inlineStr">
        <is>
          <t>Odkryte 2026-09-19 przy SEC-07. Koryguje X-23, ktore stalo jako DZIALA z obietnica "bramka zatrzymuje wdrozenie". | CO TRZEBA ZROBIC: dopisac security-scans do wymaganych checkow w rulesecie ORAZ wolac bramke podatnosci w test-gate deploy.yml. Jedno bez drugiego nie wystarczy: wdrozenie wyzwala push na main niezaleznie od ci.yml, a admin i tak omija ruleset. Ruleset zyje poza repozytorium (ryzyko zapisane w SPRINT-01), wiec zmiana wymaga wpisu w docs/zadania — inaczej nie odtworzy sie z kodu. | PYTANIE DO KAZDEJ PRZYSZLEJ BRAMKI, analogiczne do tego z X-34: co dokladnie ta bramka zatrzymuje i po jakiej sciezce to sprawdzilem? Bramka, ktora sie czerwieni i niczego nie blokuje, jest gorsza niz jej brak, bo zamyka pytanie. | STAN 2026-09-19: polowa zrobiona. Dolozony krok w deploy.yml zamyka droge "push na main omija ci.yml". Zostaje dopisanie security-scans do wymaganych checkow w rulesecie — wymaga kliknięcia w ustawieniach GitHuba, wiec czeka na decyzje wlasciciela. | PRZY OKAZJI, WAZNIEJSZE NIZ SAMA NAPRAWA: straznik bramki-nie-rozjezdzaja-sie.spec.ts BYL ZIELONY, kiedy deploy.yml nie wolal bramki podatnosci. Nie sprawdzal zlej rzeczy — jego definicja "polecenia bramkowego" byla lista trzech komend istniejacych w dniu jego powstania (pnpm lint/typecheck/test), a bramka podatnosci uruchamia sie jako node ops/ci/audyt-bramka.cjs i byla dla tego wyrazenia niewidzialna. To NOWA ODMIANA rodziny "test, ktory niczego nie dowodzi": po falszywej asercji (Z-01, H-20) i falszywym srodowisku (X-34) — ZA WASKA DEFINICJA KLASY. Wzorzec zamieniony na katalogowy (ops/ci/*.cjs|mjs|js), wiec nowa bramka trafia pod straznika sama. PYTANIE DO KAZDEGO PRZYSZLEGO STRAZNIKA KLASY: czy moj wzorzec obejmuje kontrole, ktore dopiero powstana, czy tylko te, ktore widzialem przy pisaniu? | ZAMKNIETE 2026-09-19, obie polowy. Zostaje zapisane wprost, bo to nie jest teoretyczne: ruleset NIE chroni przed wlascicielem repozytorium. Push z 2026-09-19 przeszedl z komunikatem "Bypassed rule violations — 5 of 5 required status checks are expected", czyli bez ani jednego uruchomionego checka. Dopisanie security-scans do wymaganych zamyka droge przez merge i przez wdrozenie, ale nie zamyka pusha admina. Jedyna bramka, ktora zatrzyma wlasciciela, to bramka uruchamiana lokalnie przed pushem — i to sie nie zmienilo.</t>
        </is>
      </c>
      <c r="P39" s="10" t="inlineStr">
        <is>
          <t>do zrobienia</t>
        </is>
      </c>
    </row>
    <row r="40">
      <c r="A40" s="10" t="inlineStr">
        <is>
          <t>X-51</t>
        </is>
      </c>
      <c r="B40" s="11" t="inlineStr">
        <is>
          <t>Etykiety z dependabot.yml istnieja w repozytorium</t>
        </is>
      </c>
      <c r="C40" s="10" t="inlineStr">
        <is>
          <t>audyt</t>
        </is>
      </c>
      <c r="D40" s="10" t="inlineStr">
        <is>
          <t>X — Infrastruktura jakości</t>
        </is>
      </c>
      <c r="E40" s="10" t="inlineStr">
        <is>
          <t>NISKA</t>
        </is>
      </c>
      <c r="F40" s="10" t="n">
        <v>6</v>
      </c>
      <c r="G40" s="10" t="n">
        <v>4</v>
      </c>
      <c r="H40" s="10" t="inlineStr">
        <is>
          <t>Faza 1 — Rozliczenia i dowód odtworzenia</t>
        </is>
      </c>
      <c r="I40" s="10" t="inlineStr">
        <is>
          <t>2026-09-21</t>
        </is>
      </c>
      <c r="J40" s="10" t="inlineStr">
        <is>
          <t>2026-09-25</t>
        </is>
      </c>
      <c r="K40" s="10" t="inlineStr">
        <is>
          <t>DZIAŁA</t>
        </is>
      </c>
      <c r="L40" s="11" t="inlineStr">
        <is>
          <t>D2 2026-09-19: utworzone etykiety dependencies, security, docker, ci — 9 -&gt; 13 etykiet w repozytorium; pokrywaja wszystkie trzy sekcje labels: w .github/dependabot.yml.</t>
        </is>
      </c>
      <c r="M40" s="11" t="inlineStr">
        <is>
          <t>—</t>
        </is>
      </c>
      <c r="N40" s="11" t="inlineStr">
        <is>
          <t>Funkcja dostępna z panelu klienta bez wychodzenia do DirectAdmina; test uruchamiany w CI.</t>
        </is>
      </c>
      <c r="O40" s="11" t="inlineStr">
        <is>
          <t>Odkryte 2026-09-19. Dwa drobne rozjazdy tego samego rodzaju: repozytorium mowi jedno, konfiguracja po stronie GitHuba drugie. | Etykiety: zadna z szesciu etykiet z dependabot.yml nie istnieje w repo, wiec PR-y Dependabota przychodza bez etykiet, a kazdy PR niesie komunikat o bledzie konfiguracji. Filtr "po etykiecie security" nie zwroci nic — co jest gorsze niz brak filtra, bo pusty wynik wyglada jak brak problemow. | Ruleset: celuje w galaz, ktorej rola zostala zniesiona przez X-13. Sama w sobie nieszkodliwa, ale to dokladnie ten typ zapisu, ktory pozniej czyta sie jako intencje. | Oba naprawia sie w minuty; sa tu dlatego, ze konfiguracja poza repozytorium nie ma zadnego straznika i wychodzi wylacznie przypadkiem. | ZAMKNIETE 2026-09-19 — ale W WEZSZYM ZAKRESIE niz opisano przy zgloszeniu, i to jest korekta mojego wlasnego znaleziska. Pierwotnie pozycja obejmowala TEZ ruleset celujacy w live-release-readiness. Sprawdzenie przed zmiana pokazalo, ze ta galaz NADAL ISTNIEJE w repozytorium. Zdjecie jej z rulesetu byloby zdjeciem ochrony (restrict deletions, block force pushes) z zywej galezi — czyli ruchem w zla strone, zrobionym dlatego, ze wczesniej zapisalem to jako usterke. Rozjazd jest realny, ale dotyczy NAZWY i INTENCJI ("galezie wdrozeniowe" w liczbie mnogiej wobec X-13 "jedna galaz wdrozeniowa"), a nie samej ochrony. Wlasciwym porzadkiem jest usuniecie martwych galezi, nie zdejmowanie z nich ochrony — osobna, mniejsza sprawa. Wniosek metodyczny: zapisane znalezisko nie jest powodem, zeby wykonac zapisana czynnosc, jesli sprawdzenie w chwili wykonania mowi co innego.</t>
        </is>
      </c>
      <c r="P40" s="10" t="inlineStr">
        <is>
          <t>do zrobienia</t>
        </is>
      </c>
    </row>
    <row r="41">
      <c r="A41" s="10" t="inlineStr">
        <is>
          <t>SEC-07</t>
        </is>
      </c>
      <c r="B41" s="11" t="inlineStr">
        <is>
          <t>Trzy podatnosci HIGH w multerze — zdalny DoS bez uwierzytelnienia na sciezce uploadu</t>
        </is>
      </c>
      <c r="C41" s="10" t="inlineStr">
        <is>
          <t>audyt</t>
        </is>
      </c>
      <c r="D41" s="10" t="inlineStr">
        <is>
          <t>G — SSL i bezpieczeństwo</t>
        </is>
      </c>
      <c r="E41" s="10" t="inlineStr">
        <is>
          <t>WYSOKA</t>
        </is>
      </c>
      <c r="F41" s="10" t="n">
        <v>16</v>
      </c>
      <c r="G41" s="10" t="n">
        <v>4</v>
      </c>
      <c r="H41" s="10" t="inlineStr">
        <is>
          <t>Faza 1 — Rozliczenia i dowód odtworzenia</t>
        </is>
      </c>
      <c r="I41" s="10" t="inlineStr">
        <is>
          <t>2026-09-21</t>
        </is>
      </c>
      <c r="J41" s="10" t="inlineStr">
        <is>
          <t>2026-09-25</t>
        </is>
      </c>
      <c r="K41" s="10" t="inlineStr">
        <is>
          <t>DZIAŁA</t>
        </is>
      </c>
      <c r="L41" s="11" t="inlineStr">
        <is>
          <t>D2 2026-09-19: bramka lokalna zielona — 850 testow jednostkowych w 81 pakietach, w tym multer-limity.spec.ts (7 asercji) i bramki-nie-rozjezdzaja-sie.spec.ts; lint 0 bledow, typecheck 12/12. pnpm-lock.yaml:6670 — multer@2.4.0 jako JEDYNA kopia. node ops/ci/audyt-bramka.cjs: multer znikl z listy blokujacych. apps/api/src/common/upload/multer-limity.ts — fieldArrayIndexLimit=10 w obu interceptorach.</t>
        </is>
      </c>
      <c r="M41" s="11" t="inlineStr">
        <is>
          <t>—</t>
        </is>
      </c>
      <c r="N41" s="11" t="inlineStr">
        <is>
          <t>Funkcja dostępna z panelu klienta bez wychodzenia do DirectAdmina; test uruchamiany w CI.</t>
        </is>
      </c>
      <c r="O41" s="11" t="inlineStr">
        <is>
          <t>Odkryte 2026-09-19 przy przegladzie kolejki Dependabota (DEP-01). CVSS 7.5, wektor sieciowy, BEZ uwierzytelnienia i bez interakcji uzytkownika: jedno zadanie multipart/form-data konczy proces Node. API obsluguje uploady zalacznikow do zgloszen, wiec sciezka jest wystawiona. | DLACZEGO PR #37 TEGO NIE NAPRAWIA, CHOC WYGLADA, JAKBY NAPRAWIAL: PR podnosi multer 2.2.0 -&gt; 2.3.0, czyli dokladnie do wersji zalatanej. Ale @nestjs/platform-express@11.2.1 deklaruje "multer": "2.2.0" — PIN DOKLADNY, bez karety. Po merge w drzewie stana DWIE kopie: 2.3.0 dla apps/api i 2.2.0 pod platform-express. Multipart parsuje FileInterceptor, ktory pochodzi z platform-express, czyli z kopii PODATNEJ. Bezposrednia zaleznosc wygladalaby na zalatana, a dziura zostalaby tam, gdzie leci ruch. | DRUGA POLOWA, LATWA DO PRZEOCZENIA: GHSA-535w-7cp7-47q4 wymaga NIE TYLKO wersji 2.3.0, ale i skonfigurowania limits.fieldArrayIndexLimit ("Users should upgrade to 2.3.0 AND configure limits.fieldArrayIndexLimit"). Sama wersja nie wystarcza — potrzebna zmiana w kodzie, w opcjach interceptora. Podbicie wersji i uznanie sprawy za zamknieta byloby tu wlasnie tym, przed czym ostrzega cala rodzina "wyglada na zrobione". | DROGI NAPRAWY: (a) pnpm.overrides na multer ^2.3.0 w korzeniu — wymusza jedna kopie mimo pinu Nesta, dziala od reki, rusza lockfile; (b) docelowo @nestjs/platform-express &gt;= 12.0.2 (12.0.2 pinuje 2.3.0, 12.0.3 pinuje 2.4.0) — ale to major Nesta, osobna praca; (c) zgoda w podatnosci-dopuszczone.json — ODRZUCONE: zdalny DoS bez uwierzytelnienia na produkcie hostingowym nie jest czyms, na co sie godzimy z terminem. | Do wykonania razem: override, konfiguracja fieldArrayIndexLimit, test, ktory czerwieni sie na starym kodzie, i dopiero potem merge PR #37. | STAN 2026-09-19: NAPRAWIONE W KODZIE (D1), POZYCJA OTWARTA. Dokumentacja: docs/archiwum/zadania/SEC-07-multer-jedno-zadanie-klado-proces.md. Naprawa przez pnpm.overrides, nie przez bump w apps/api — bump nie rusza kopii pinowanej przez platform-express. DO ZAMKNIECIA POTRZEBNY ZIELONY JOB "Security scans", nie numer wersji w package.json: dokladnie taki dowod dawal PR #37, ktory niczego nie naprawial. Zmiany powstaly w powloce bez pnpm i Dockera, wiec zaden z siedmiu straznikow nie zostal uruchomiony — jedyna weryfikacja to typecheck. | ZAMKNIETE 2026-09-19. Liczba testow jednostkowych 841 -&gt; 850, czyli dokladnie tyle, ile dolozyly nowe asercje (7+2) — potwierdzenie, ze straznik faktycznie sie wykonal, a nie tylko lezy w repozytorium (lekcja z X-40).</t>
        </is>
      </c>
      <c r="P41" s="10" t="inlineStr">
        <is>
          <t>do zrobienia</t>
        </is>
      </c>
    </row>
    <row r="42">
      <c r="A42" s="10" t="inlineStr">
        <is>
          <t>SEC-08</t>
        </is>
      </c>
      <c r="B42" s="11" t="inlineStr">
        <is>
          <t>Dwa niezauwierzytelnione RCE w Next.js lezaly w drzewie 22 dni</t>
        </is>
      </c>
      <c r="C42" s="10" t="inlineStr">
        <is>
          <t>audyt</t>
        </is>
      </c>
      <c r="D42" s="10" t="inlineStr">
        <is>
          <t>G — SSL i bezpieczeństwo</t>
        </is>
      </c>
      <c r="E42" s="10" t="inlineStr">
        <is>
          <t>WYSOKA</t>
        </is>
      </c>
      <c r="F42" s="10" t="n">
        <v>6</v>
      </c>
      <c r="G42" s="10" t="n">
        <v>4</v>
      </c>
      <c r="H42" s="10" t="inlineStr">
        <is>
          <t>Faza 1 — Rozliczenia i dowód odtworzenia</t>
        </is>
      </c>
      <c r="I42" s="10" t="inlineStr">
        <is>
          <t>2026-09-21</t>
        </is>
      </c>
      <c r="J42" s="10" t="inlineStr">
        <is>
          <t>2026-09-25</t>
        </is>
      </c>
      <c r="K42" s="10" t="inlineStr">
        <is>
          <t>DZIAŁA</t>
        </is>
      </c>
      <c r="L42" s="11" t="inlineStr">
        <is>
          <t>Przed: node ops/ci/audyt-bramka.cjs 2026-09-19 — "Podatnosci blokujace (high/critical): 11", w tym CRITICAL next GHSA-p293-qw3h-jr36 i GHSA-2xp9-vwfh-vxw4, oba podatne &gt;=16.0.0 &lt;16.3.3, w drzewie 16.3.2. Po: ta sama bramka — "Podatnosci blokujace: 1", jedyna pozostala to deepmerge-ts ze zgoda do 2026-11-15 (X-20), komunikat "Bramka podatnosci: zielone". | D2 2026-09-19 na maszynie deweloperskiej, po podniesieniu: lint 0 bledow (7 pakietow, CACHE MISS — realne wykonanie, nie odtworzenie logow), typecheck 8/8 cache miss, 850 testow w 81 pakietach, bramka podatnosci zielona. Cache miss jest tu istotny: potwierdza, ze kontrole przeszly przez Next 16.3.4, a nie odtworzyly wyniku sprzed podniesienia — dokladnie ten rozjazd opisuje ENV-02.</t>
        </is>
      </c>
      <c r="M42" s="11" t="inlineStr">
        <is>
          <t>—</t>
        </is>
      </c>
      <c r="N42" s="11" t="inlineStr">
        <is>
          <t>Funkcja dostępna z panelu klienta bez wychodzenia do DirectAdmina; test uruchamiany w CI.</t>
        </is>
      </c>
      <c r="O42" s="11" t="inlineStr">
        <is>
          <t>Odkryte 2026-09-19 przy zamykaniu SEC-07 — bramke uruchomiono na zywym drzewie po raz pierwszy od 2026-08-28. | CO LEZALO: dwa CRITICAL w Next.js, oba ZDALNE WYKONANIE KODU BEZ UWIERZYTELNIENIA (GHSA-2xp9-vwfh-vxw4 przez Image Optimization API przy plikach AVIF; GHSA-p293-qw3h-jr36 na serwerach hostowanych na Windows — u nas Linux, wiec drugie nie dotyczy nas w praktyce, ale pierwsze tak i dotyczy WSZYSTKICH pieciu paneli). Do tego osiem HIGH: browserslist x2, fast-uri x4, js-yaml x3, sharp x1. | DLACZEGO TO NIE JEST "ZALEGLOSC W AKTUALIZACJACH": wszystkie te advisory opublikowano PO 2026-08-28, czyli w trakcie przerwy. Drzewo nie zgnilo — swiat sie przesunal, a nikt nie zapytal. Bramka istniala, dzialala i nie byla uruchamiana, bo nie byla podpieta do niczego (X-50). Trzy tygodnie ciszy wygladaly dokladnie tak samo jak trzy tygodnie bezpieczenstwa. | NAPRAWA: next i eslint-config-next 16.3.2 -&gt; 16.3.4 w pieciu pakietach (16.3.3 to minimum, 16.3.4 to wersja z PR #37 Dependabota), sharp ^0.35.3 -&gt; ^0.35.4, oraz cztery nadpisania na zaleznosci przechodnie: browserslist ^4.28.7, fast-uri ^3.1.4 -&gt; ^3.1.6, js-yaml@4 ^4.3.1 -&gt; ^4.3.2, js-yaml@3 ^3.15.2 (nowe). | WNIOSEK NA STALE: przerwa w pracy nie jest przerwa w ekspozycji. Pierwsza rzecza po kazdej dluzszej przerwie jest uruchomienie bramki podatnosci, przed czytaniem czegokolwiek innego — w tym sprincie zrobilismy to dopiero po dwoch dniach pracy nad czym innym. | ZWERYFIKOWANE 2026-09-19: pelna bramka lokalna zielona po podniesieniu, bez ani jednej poprawki w kodzie paneli. Podniesienie Next w obrebie 16.3.x okazalo sie bezkosztowe — co bylo najbardziej prawdopodobnym, ale nie pewnym wynikiem, i dlatego bramka byla warunkiem, a nie formalnoscia. | SKUTEK DLA DEP-01: PR #37 Dependabota jest teraz w czesci nieaktualny — next, sharp i multer sa juz podniesione w main, wiec PR albo zostanie przebazowany, albo zamkniety przez samego Dependabota. Zostaja w nim pozostale pozycje z grupy minor-and-patch, ktore nie dotyczyly bezpieczenstwa.</t>
        </is>
      </c>
      <c r="P42" s="10" t="inlineStr">
        <is>
          <t>do zrobienia</t>
        </is>
      </c>
    </row>
    <row r="43">
      <c r="A43" s="10" t="inlineStr">
        <is>
          <t>PB-13</t>
        </is>
      </c>
      <c r="B43" s="11" t="inlineStr">
        <is>
          <t>Decyzja: własny KSeF czy integracja z programem księgowym</t>
        </is>
      </c>
      <c r="C43" s="10" t="inlineStr">
        <is>
          <t>poza audytem</t>
        </is>
      </c>
      <c r="D43" s="10" t="inlineStr">
        <is>
          <t>Praca spoza audytu</t>
        </is>
      </c>
      <c r="E43" s="10" t="inlineStr">
        <is>
          <t>BLOKER BIZNESOWY</t>
        </is>
      </c>
      <c r="F43" s="10" t="n">
        <v>6</v>
      </c>
      <c r="G43" s="10" t="n">
        <v>4</v>
      </c>
      <c r="H43" s="10" t="inlineStr">
        <is>
          <t>Faza 1 — Rozliczenia i dowód odtworzenia</t>
        </is>
      </c>
      <c r="I43" s="10" t="inlineStr">
        <is>
          <t>2026-09-21</t>
        </is>
      </c>
      <c r="J43" s="10" t="inlineStr">
        <is>
          <t>2026-09-25</t>
        </is>
      </c>
      <c r="K43" s="10" t="inlineStr">
        <is>
          <t>—</t>
        </is>
      </c>
      <c r="L43" s="11" t="inlineStr">
        <is>
          <t>—</t>
        </is>
      </c>
      <c r="M43" s="11" t="inlineStr">
        <is>
          <t>—</t>
        </is>
      </c>
      <c r="N43" s="11" t="inlineStr">
        <is>
          <t>Decyzja zapisana w repo z uzasadnieniem i datą. Jeśli wybrana integracja — sprint 18 zmienia zakres z dokończenia modułu na wdrożenie eksportu do programu księgowego. Decyzja musi zapaść przed sprintem 18, inaczej blokuje start.</t>
        </is>
      </c>
      <c r="O43" s="11" t="inlineStr">
        <is>
          <t>Porównać dwie ścieżki: dokończenie własnego modułu KSeF (tryb offline, walidacja XSD, UPO) kontra przekazanie fakturowania do programu księgowego z gotową integracją KSeF. Kryteria: koszt, czas, ryzyko zgodności, kto odpowiada za błąd wysyłki, co się dzieje przy awarii MF.</t>
        </is>
      </c>
      <c r="P43" s="10" t="inlineStr">
        <is>
          <t>do zrobienia</t>
        </is>
      </c>
    </row>
    <row r="44">
      <c r="A44" s="10" t="inlineStr">
        <is>
          <t>FAK-01</t>
        </is>
      </c>
      <c r="B44" s="11" t="inlineStr">
        <is>
          <t>Panel nie wystawia faktury VAT rownolegle z programem ksiegowym</t>
        </is>
      </c>
      <c r="C44" s="10" t="inlineStr">
        <is>
          <t>audyt</t>
        </is>
      </c>
      <c r="D44" s="10" t="inlineStr">
        <is>
          <t>M — Rozliczenia</t>
        </is>
      </c>
      <c r="E44" s="10" t="inlineStr">
        <is>
          <t>—</t>
        </is>
      </c>
      <c r="F44" s="10" t="n">
        <v>16</v>
      </c>
      <c r="G44" s="10" t="n">
        <v>5</v>
      </c>
      <c r="H44" s="10" t="inlineStr">
        <is>
          <t>Faza 1 — Rozliczenia i dowód odtworzenia</t>
        </is>
      </c>
      <c r="I44" s="10" t="inlineStr">
        <is>
          <t>2026-09-28</t>
        </is>
      </c>
      <c r="J44" s="10" t="inlineStr">
        <is>
          <t>2026-10-02</t>
        </is>
      </c>
      <c r="K44" s="10" t="inlineStr">
        <is>
          <t>DZIAŁA</t>
        </is>
      </c>
      <c r="L44" s="11" t="inlineStr">
        <is>
          <t>billing/tryb-fakturowania.ts — przelacznik faktury.tryb (fail-safe: wszystko poza dokladnym 'panel' = zewnetrzny), serie VDR/VDK, straznik KSeF; billing/faktura-za-portfel.ts — nadajNumerDokumentu jedynym wejsciem dla 5 miejsc (portfel, zbiorcza, reczna, Stripe, korekta; korekta idzie za rodzajem dokumentu pierwotnego); migracja 20260922120000_faktury_tryb_zewnetrzny — rodzajPrawny + 3 CHECK (seria zgodna z rodzajem, numer zewnetrzny tylko przy dokumencie rozliczeniowym); ksef.service.ts qualifies/tick — dokument rozliczeniowy nigdy do KSeF; platform-settings.service.ts — ksef.enabled efektywnie 0 w trybie zewnetrznym, wlaczenie odrzucane; PDF i mail: 'Dokument rozliczeniowy' + adnotacja 'nie jest faktura VAT'; panel klienta: etykieta + numer faktury zewnetrznej; API admina GET /admin/invoices/czeka-na-fakture, POST /admin/invoices/:id/faktura-zewnetrzna (raz, audyt, unikalnosc); po-migracji-niezmienniki.sql FAK-01 + asercje-czerwienia-sie.sh; testy: tryb-fakturowania.spec.ts, faktura-portfel.int-spec.ts (FAK-01).</t>
        </is>
      </c>
      <c r="M44" s="11" t="inlineStr">
        <is>
          <t>PB-13 (kierunek fakturowania — zamkniete 2026-09-22)</t>
        </is>
      </c>
      <c r="N44" s="11" t="inlineStr">
        <is>
          <t>Funkcja dostępna z panelu klienta bez wychodzenia do DirectAdmina; test uruchamiany w CI.</t>
        </is>
      </c>
      <c r="O44" s="11" t="inlineStr">
        <is>
          <t>Powstalo 2026-09-22 z decyzji wlasciciela: faktury VAT wystawiane recznie w programie ksiegowym, potem integracja po API (ADR-2026-09-22). | PROBLEM: panel juz dzis wystawia faktury z wlasna numeracja w tej samej transakcji co obciazenie (Z-01) i korekty (M-06). Przy recznym wystawianiu w programie ksiegowym jedna platnosc dostaje DWIE faktury w DWOCH seriach. Wylaczony KSeF chroni przed wyslaniem drugiej do MF, nie przed jej wystawieniem i doreczeniem klientowi. | ROZWIAZANIE (wariant C z ADR): przelacznik faktury.tryb = panel | zewnetrzny, domyslnie zewnetrzny. W trybie zewnetrznym ten sam rekord co dzis, bez numeru z serii panelu, status CZEKA_NA_FAKTURE_ZEWNETRZNA; klient widzi "dokument rozliczeniowy"; operator wpisuje numer faktury z programu; straznik blokuje kombinacje tryb zewnetrzny + ksef.enabled. To jest szew pod pozniejsza integracje po API — nic nie budujemy na wyrzucenie. | BLOKER, bo dopiero po nim M-16 i M-17 moga przestac blokowac start. | 2026-09-22 KOD: wariant C zaimplementowany (bez osobnego statusu — 'czeka na fakture' wynika z danych: rodzaj DOKUMENT_ROZLICZENIOWY i brak externalInvoiceNumber). Ekran admina: /invoices/czeka-na-fakture (kolejka + dopisanie numeru). D2 2026-09-22: lokalnie lint + typecheck + 878 testow jednostkowych zielone; CI #182 (a006c8e) zielone w calosci — migracja na swiezej bazie bez dryfu, niezmienniki FAK-01, asercje czerwienia sie (2 nowe przypadki FAK-01), testy integracyjne (5 nowych FAK-01). Bloker zdjety. Dokumentacja: docs/archiwum/zadania/FAK-01-faktury-w-programie-ksiegowym.md</t>
        </is>
      </c>
      <c r="P44" s="10" t="inlineStr">
        <is>
          <t>do zrobienia</t>
        </is>
      </c>
    </row>
    <row r="45">
      <c r="A45" s="10" t="inlineStr">
        <is>
          <t>X-03</t>
        </is>
      </c>
      <c r="B45" s="11" t="inlineStr">
        <is>
          <t>Testy uruchamiane przed wdrożeniem</t>
        </is>
      </c>
      <c r="C45" s="10" t="inlineStr">
        <is>
          <t>audyt</t>
        </is>
      </c>
      <c r="D45" s="10" t="inlineStr">
        <is>
          <t>X — Infrastruktura jakości</t>
        </is>
      </c>
      <c r="E45" s="10" t="inlineStr">
        <is>
          <t>WYSOKA</t>
        </is>
      </c>
      <c r="F45" s="10" t="n">
        <v>6</v>
      </c>
      <c r="G45" s="10" t="n">
        <v>5</v>
      </c>
      <c r="H45" s="10" t="inlineStr">
        <is>
          <t>Faza 1 — Rozliczenia i dowód odtworzenia</t>
        </is>
      </c>
      <c r="I45" s="10" t="inlineStr">
        <is>
          <t>2026-09-28</t>
        </is>
      </c>
      <c r="J45" s="10" t="inlineStr">
        <is>
          <t>2026-10-02</t>
        </is>
      </c>
      <c r="K45" s="10" t="inlineStr">
        <is>
          <t>DZIAŁA</t>
        </is>
      </c>
      <c r="L45" s="11" t="inlineStr">
        <is>
          <t>.github/workflows/deploy.yml — job test-gate (typecheck + pnpm --filter api test), build-push ma needs: test-gate; ops/scripts/lib/bramka-recznego-wdrozenia.sh — poza Actions odmowa (kod 2) bez WDROZENIE_RECZNE_POWOD (min. 15 znakow), wpis jednoliniowy w /var/log/verris/wdrozenia-reczne.log + syslog verris-wdrozenie; prod-deploy-ghcr.sh / prod-deploy-release.sh / prod-deploy-rolling.sh wolaja bramke przed pierwszym git/docker; deploy.yml eksportuje VERRIS_WDROZENIE_Z_ACTIONS=1 + GITHUB_RUN_ID; test: apps/api/src/test/wdrozenie-reczne-jawne.spec.ts (zachowanie biblioteki + kolejnosc w skryptach)</t>
        </is>
      </c>
      <c r="M45" s="11" t="inlineStr">
        <is>
          <t>—</t>
        </is>
      </c>
      <c r="N45" s="11" t="inlineStr">
        <is>
          <t>Funkcja dostępna z panelu klienta bez wychodzenia do DirectAdmina; test uruchamiany w CI.</t>
        </is>
      </c>
      <c r="O45" s="11" t="inlineStr">
        <is>
          <t>Ścieżka automatyczna (push → build → deploy) od 2026-08-21 nie przepuszcza czerwonych testów. Ścieżka ręczna ops/scripts/prod-deploy-ghcr.sh nadal nie uruchamia żadnych testów — dlatego CZĘŚCIOWE, nie DZIAŁA. | 2026-09-22: sciezka reczna nie jest juz ukryta — jest jawna decyzja z powodem i sladem. Swiadomie NIE blokujemy jej calkiem: to droga awaryjna (rollback, lezacy GitHub). Reczne ustawienie flagi Actions jest mozliwe, ale jest swiadomym klamstwem w poleceniu, nie przeoczeniem. Przy okazji X-13: domyslna galaz w release/rolling zmieniona z porzuconej live-release-readiness na main. D2 2026-09-22: wdrozenie-reczne-jawne.spec.ts zielony lokalnie i w CI #182. Dokumentacja: docs/archiwum/zadania/X-03-testy-uruchamiane-przed-wdrozeniem.md (sekcja 2026-09-22)</t>
        </is>
      </c>
      <c r="P45" s="10" t="inlineStr">
        <is>
          <t>do zrobienia</t>
        </is>
      </c>
    </row>
    <row r="46">
      <c r="A46" s="10" t="inlineStr">
        <is>
          <t>PB-14</t>
        </is>
      </c>
      <c r="B46" s="11" t="inlineStr">
        <is>
          <t>Wybór dostawcy i lokalizacji węzła produkcyjnego #1</t>
        </is>
      </c>
      <c r="C46" s="10" t="inlineStr">
        <is>
          <t>poza audytem</t>
        </is>
      </c>
      <c r="D46" s="10" t="inlineStr">
        <is>
          <t>Praca spoza audytu</t>
        </is>
      </c>
      <c r="E46" s="10" t="inlineStr">
        <is>
          <t>WYSOKI</t>
        </is>
      </c>
      <c r="F46" s="10" t="n">
        <v>6</v>
      </c>
      <c r="G46" s="10" t="n">
        <v>5</v>
      </c>
      <c r="H46" s="10" t="inlineStr">
        <is>
          <t>Faza 1 — Rozliczenia i dowód odtworzenia</t>
        </is>
      </c>
      <c r="I46" s="10" t="inlineStr">
        <is>
          <t>2026-09-28</t>
        </is>
      </c>
      <c r="J46" s="10" t="inlineStr">
        <is>
          <t>2026-10-02</t>
        </is>
      </c>
      <c r="K46" s="10" t="inlineStr">
        <is>
          <t>—</t>
        </is>
      </c>
      <c r="L46" s="11" t="inlineStr">
        <is>
          <t>—</t>
        </is>
      </c>
      <c r="M46" s="11" t="inlineStr">
        <is>
          <t>—</t>
        </is>
      </c>
      <c r="N46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46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46" s="10" t="inlineStr">
        <is>
          <t>do zrobienia</t>
        </is>
      </c>
    </row>
    <row r="47">
      <c r="A47" s="10" t="inlineStr">
        <is>
          <t>F-01</t>
        </is>
      </c>
      <c r="B47" s="11" t="inlineStr">
        <is>
          <t>Edytor rekordów DNS (A/CNAME/MX/TXT)</t>
        </is>
      </c>
      <c r="C47" s="10" t="inlineStr">
        <is>
          <t>audyt</t>
        </is>
      </c>
      <c r="D47" s="10" t="inlineStr">
        <is>
          <t>F — DNS</t>
        </is>
      </c>
      <c r="E47" s="10" t="inlineStr">
        <is>
          <t>WYSOKA</t>
        </is>
      </c>
      <c r="F47" s="10" t="n">
        <v>6</v>
      </c>
      <c r="G47" s="10" t="n">
        <v>6</v>
      </c>
      <c r="H47" s="10" t="inlineStr">
        <is>
          <t>Faza 1 — Rozliczenia i dowód odtworzenia</t>
        </is>
      </c>
      <c r="I47" s="10" t="inlineStr">
        <is>
          <t>2026-10-05</t>
        </is>
      </c>
      <c r="J47" s="10" t="inlineStr">
        <is>
          <t>2026-10-09</t>
        </is>
      </c>
      <c r="K47" s="10" t="inlineStr">
        <is>
          <t>CZĘŚCIOWE</t>
        </is>
      </c>
      <c r="L47" s="11" t="inlineStr">
        <is>
          <t>2026-09-22 D1: components/hosting/DnsZoneSection.tsx — edytor strefy w zakladce Domeny huba uslugi (wybor domeny, DnsManager z onChanged); dns-manager.tsx typy A/AAAA/CNAME/MX/TXT/SRV/NS/CAA; API subscriptions/dto/hosting-dns.dto.ts (whitelista typow, wzorzec nazwy, zakaz znakow sterujacych, TTL 60-86400) + assertDomainOnSubscription przy odczycie/dodaniu/usunieciu; test hosting-dns-dto.spec.ts</t>
        </is>
      </c>
      <c r="M47" s="11" t="inlineStr">
        <is>
          <t>—</t>
        </is>
      </c>
      <c r="N47" s="11" t="inlineStr">
        <is>
          <t>Ograniczenie opisane w uwagach macierzy zniknęło; test potwierdza zachowanie także w scenariuszu awaryjnym.</t>
        </is>
      </c>
      <c r="O47" s="11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 | 2026-09-22 KOREKTA OPISU: trasa hosting-sso-url ISTNIEJE w API (services.controller.ts, SPRINT-1c) — opis z audytu byl nieaktualny. KOD: komponent DnsManager byl gotowy i nigdzie nie wyrenderowany; podpiety w zakladce Domeny. Przy okazji zamknieta luka na granicy zaufania: body rekordu bylo nietypowane (dowolny typ, znak nowej linii w wartosci = drugi rekord w strefie), a domena z zapytania nie byla sprawdzana wobec konta. OTWARTE do D3 (sprint 18, wezel): format usuwania rekordu w CMD_API_DNS_CONTROL nie jest potwierdzony na zywym DA (komentarz ponytail w directadmin.service.ts) — edycja robi create-then-delete, wiec nieudane usuniecie daloby duplikat. | 2026-09-23: usuwanie rekordu wymaga potwierdzenia; preset „SPF (poczta Verris)” poprawiony na v=spf1 a mx ~all.</t>
        </is>
      </c>
      <c r="P47" s="10" t="inlineStr">
        <is>
          <t>do zrobienia</t>
        </is>
      </c>
    </row>
    <row r="48">
      <c r="A48" s="10" t="inlineStr">
        <is>
          <t>F-02</t>
        </is>
      </c>
      <c r="B48" s="11" t="inlineStr">
        <is>
          <t>Rekordy SRV / CAA</t>
        </is>
      </c>
      <c r="C48" s="10" t="inlineStr">
        <is>
          <t>audyt</t>
        </is>
      </c>
      <c r="D48" s="10" t="inlineStr">
        <is>
          <t>F — DNS</t>
        </is>
      </c>
      <c r="E48" s="10" t="inlineStr">
        <is>
          <t>WYSOKA</t>
        </is>
      </c>
      <c r="F48" s="10" t="n">
        <v>6</v>
      </c>
      <c r="G48" s="10" t="n">
        <v>6</v>
      </c>
      <c r="H48" s="10" t="inlineStr">
        <is>
          <t>Faza 1 — Rozliczenia i dowód odtworzenia</t>
        </is>
      </c>
      <c r="I48" s="10" t="inlineStr">
        <is>
          <t>2026-10-05</t>
        </is>
      </c>
      <c r="J48" s="10" t="inlineStr">
        <is>
          <t>2026-10-09</t>
        </is>
      </c>
      <c r="K48" s="10" t="inlineStr">
        <is>
          <t>CZĘŚCIOWE</t>
        </is>
      </c>
      <c r="L48" s="11" t="inlineStr">
        <is>
          <t>2026-09-22 D1: components/hosting/DnsZoneSection.tsx — edytor strefy w zakladce Domeny huba uslugi (wybor domeny, DnsManager z onChanged); dns-manager.tsx typy A/AAAA/CNAME/MX/TXT/SRV/NS/CAA; API subscriptions/dto/hosting-dns.dto.ts (whitelista typow, wzorzec nazwy, zakaz znakow sterujacych, TTL 60-86400) + assertDomainOnSubscription przy odczycie/dodaniu/usunieciu; test hosting-dns-dto.spec.ts</t>
        </is>
      </c>
      <c r="M48" s="11" t="inlineStr">
        <is>
          <t>F-01 (ten sam edytor)</t>
        </is>
      </c>
      <c r="N48" s="11" t="inlineStr">
        <is>
          <t>Ograniczenie opisane w uwagach macierzy zniknęło; test potwierdza zachowanie także w scenariuszu awaryjnym.</t>
        </is>
      </c>
      <c r="O48" s="11" t="inlineStr">
        <is>
          <t xml:space="preserve"> | 2026-09-22 KOREKTA OPISU: trasa hosting-sso-url ISTNIEJE w API (services.controller.ts, SPRINT-1c) — opis z audytu byl nieaktualny. KOD: komponent DnsManager byl gotowy i nigdzie nie wyrenderowany; podpiety w zakladce Domeny. Przy okazji zamknieta luka na granicy zaufania: body rekordu bylo nietypowane (dowolny typ, znak nowej linii w wartosci = drugi rekord w strefie), a domena z zapytania nie byla sprawdzana wobec konta. OTWARTE do D3 (sprint 18, wezel): format usuwania rekordu w CMD_API_DNS_CONTROL nie jest potwierdzony na zywym DA (komentarz ponytail w directadmin.service.ts) — edycja robi create-then-delete, wiec nieudane usuniecie daloby duplikat. | 2026-09-23: usuwanie rekordu wymaga potwierdzenia; preset „SPF (poczta Verris)” poprawiony na v=spf1 a mx ~all.</t>
        </is>
      </c>
      <c r="P48" s="10" t="inlineStr">
        <is>
          <t>do zrobienia</t>
        </is>
      </c>
    </row>
    <row r="49">
      <c r="A49" s="10" t="inlineStr">
        <is>
          <t>PB-15</t>
        </is>
      </c>
      <c r="B49" s="11" t="inlineStr">
        <is>
          <t>Fundament nowego designu panelu</t>
        </is>
      </c>
      <c r="C49" s="10" t="inlineStr">
        <is>
          <t>poza audytem</t>
        </is>
      </c>
      <c r="D49" s="10" t="inlineStr">
        <is>
          <t>Praca spoza audytu</t>
        </is>
      </c>
      <c r="E49" s="10" t="inlineStr">
        <is>
          <t>WYSOKI</t>
        </is>
      </c>
      <c r="F49" s="10" t="n">
        <v>30</v>
      </c>
      <c r="G49" s="10" t="n">
        <v>6</v>
      </c>
      <c r="H49" s="10" t="inlineStr">
        <is>
          <t>Faza 1 — Rozliczenia i dowód odtworzenia</t>
        </is>
      </c>
      <c r="I49" s="10" t="inlineStr">
        <is>
          <t>2026-10-05</t>
        </is>
      </c>
      <c r="J49" s="10" t="inlineStr">
        <is>
          <t>2026-10-09</t>
        </is>
      </c>
      <c r="K49" s="10" t="inlineStr">
        <is>
          <t>—</t>
        </is>
      </c>
      <c r="L49" s="11" t="inlineStr">
        <is>
          <t>—</t>
        </is>
      </c>
      <c r="M49" s="11" t="inlineStr">
        <is>
          <t>—</t>
        </is>
      </c>
      <c r="N49" s="11" t="inlineStr">
        <is>
          <t>Ekran-wzorzec zaakceptowany przez właściciela; tokeny i komponenty w @verris/ui lub components/panel; ciemny i jasny motyw; kontrast WCAG AA; brak regresji w testach.</t>
        </is>
      </c>
      <c r="O49" s="11" t="inlineStr">
        <is>
          <t>Własny system wizualny zamiast domyślnego Tailwinda: tokeny (kolor marki, neutralne, stany), typografia z charakterem (nie Inter), skala odstępów i promieni, ~10 komponentów bazowych (przycisk, pole, tabela o zmiennej gęstości, karta metryki z wykresem, pasek stanu, dymek asystenta, pusty stan, pasek akcji, nawigacja, modal z podglądem skutku). Jeden ekran-wzorzec: strona usługi w panelu klienta. Kierunek i inspiracje: docs/VERRIS.md.</t>
        </is>
      </c>
      <c r="P49" s="10" t="inlineStr">
        <is>
          <t>do zrobienia</t>
        </is>
      </c>
    </row>
    <row r="50">
      <c r="A50" s="10" t="inlineStr">
        <is>
          <t>PB-16</t>
        </is>
      </c>
      <c r="B50" s="11" t="inlineStr">
        <is>
          <t>Ekrany panelu klienta w nowym designie + tryb Prosty/Pełny + wyszukiwarka „/”</t>
        </is>
      </c>
      <c r="C50" s="10" t="inlineStr">
        <is>
          <t>poza audytem</t>
        </is>
      </c>
      <c r="D50" s="10" t="inlineStr">
        <is>
          <t>Praca spoza audytu</t>
        </is>
      </c>
      <c r="E50" s="10" t="inlineStr">
        <is>
          <t>WYSOKI</t>
        </is>
      </c>
      <c r="F50" s="10" t="n">
        <v>40</v>
      </c>
      <c r="G50" s="10" t="n">
        <v>7</v>
      </c>
      <c r="H50" s="10" t="inlineStr">
        <is>
          <t>Faza 1 — Rozliczenia i dowód odtworzenia</t>
        </is>
      </c>
      <c r="I50" s="10" t="inlineStr">
        <is>
          <t>2026-10-12</t>
        </is>
      </c>
      <c r="J50" s="10" t="inlineStr">
        <is>
          <t>2026-10-16</t>
        </is>
      </c>
      <c r="K50" s="10" t="inlineStr">
        <is>
          <t>—</t>
        </is>
      </c>
      <c r="L50" s="11" t="inlineStr">
        <is>
          <t>—</t>
        </is>
      </c>
      <c r="M50" s="11" t="inlineStr">
        <is>
          <t>—</t>
        </is>
      </c>
      <c r="N50" s="11" t="inlineStr">
        <is>
          <t>Wszystkie trasy panelu klienta na nowych komponentach; tryb zapamiętany per użytkownik; „/” działa na każdym ekranie; zrzuty mobile/desktop sprawdzone.</t>
        </is>
      </c>
      <c r="O50" s="11" t="inlineStr">
        <is>
          <t>Przeniesienie wszystkich ekranów panelu klienta na komponenty z PB-15. Tryb Prosty (laik) / Pełny (pro) jako gęstość informacji tego samego panelu. Globalne wyszukiwanie pod „/” (usługi, domeny, ustawienia, baza wiedzy). Puste stany jako instrukcje.</t>
        </is>
      </c>
      <c r="P50" s="10" t="inlineStr">
        <is>
          <t>do zrobienia</t>
        </is>
      </c>
    </row>
    <row r="51">
      <c r="A51" s="10" t="inlineStr">
        <is>
          <t>E-15</t>
        </is>
      </c>
      <c r="B51" s="11" t="inlineStr">
        <is>
          <t>Rekordy SPF — kreator</t>
        </is>
      </c>
      <c r="C51" s="10" t="inlineStr">
        <is>
          <t>audyt</t>
        </is>
      </c>
      <c r="D51" s="10" t="inlineStr">
        <is>
          <t>E — Poczta</t>
        </is>
      </c>
      <c r="E51" s="10" t="inlineStr">
        <is>
          <t>WYSOKA</t>
        </is>
      </c>
      <c r="F51" s="10" t="n">
        <v>6</v>
      </c>
      <c r="G51" s="10" t="n">
        <v>8</v>
      </c>
      <c r="H51" s="10" t="inlineStr">
        <is>
          <t>Faza 1 — Rozliczenia i dowód odtworzenia</t>
        </is>
      </c>
      <c r="I51" s="10" t="inlineStr">
        <is>
          <t>2026-10-19</t>
        </is>
      </c>
      <c r="J51" s="10" t="inlineStr">
        <is>
          <t>2026-10-23</t>
        </is>
      </c>
      <c r="K51" s="10" t="inlineStr">
        <is>
          <t>CZĘŚCIOWE</t>
        </is>
      </c>
      <c r="L51" s="11" t="inlineStr">
        <is>
          <t>2026-09-23 D1: deliverability/mail-auth.ts (buildMailAuthChecks) + deliverability.service.ts (strefa DA + delegacja NS); UI app/dashboard/email/deliverability-panel.tsx podpięty w MailTab (zakładka Poczta); test mail-auth.spec.ts</t>
        </is>
      </c>
      <c r="M51" s="11" t="inlineStr">
        <is>
          <t>—</t>
        </is>
      </c>
      <c r="N51" s="11" t="inlineStr">
        <is>
          <t>Ograniczenie opisane w uwagach macierzy zniknęło; test potwierdza zachowanie także w scenariuszu awaryjnym.</t>
        </is>
      </c>
      <c r="O51" s="11" t="inlineStr">
        <is>
          <t>deliverability-panel.tsx:26 to komponent osierocony — nikt go nie importuje | KOD: kreator pokazuje stan z publicznego DNS i gotowy rekord — „Dodaj/Zamień rekord w DNS” gdy domena na NS Verris, inaczej do skopiowania u dostawcy DNS. Zalecany SPF to `v=spf1 a mx ip4:&lt;IP węzła&gt; ~all`. ZNALEZISKO: dotychczasowa podpowiedź include:_spf.verris.pl odwołuje się do nieistniejącego rekordu (NXDOMAIN) → SPF permerror; usunięta z podpowiedzi, presetu DNS i artykułów KB, a kreator wykrywa ją u klientów. OTWARTE do D3 (węzeł): zapis rekordu przez CMD_API_DNS_CONTROL.</t>
        </is>
      </c>
      <c r="P51" s="10" t="inlineStr">
        <is>
          <t>do zrobienia</t>
        </is>
      </c>
    </row>
    <row r="52">
      <c r="A52" s="10" t="inlineStr">
        <is>
          <t>E-16</t>
        </is>
      </c>
      <c r="B52" s="11" t="inlineStr">
        <is>
          <t>Rekordy DKIM — konfiguracja</t>
        </is>
      </c>
      <c r="C52" s="10" t="inlineStr">
        <is>
          <t>audyt</t>
        </is>
      </c>
      <c r="D52" s="10" t="inlineStr">
        <is>
          <t>E — Poczta</t>
        </is>
      </c>
      <c r="E52" s="10" t="inlineStr">
        <is>
          <t>WYSOKA</t>
        </is>
      </c>
      <c r="F52" s="10" t="n">
        <v>6</v>
      </c>
      <c r="G52" s="10" t="n">
        <v>8</v>
      </c>
      <c r="H52" s="10" t="inlineStr">
        <is>
          <t>Faza 1 — Rozliczenia i dowód odtworzenia</t>
        </is>
      </c>
      <c r="I52" s="10" t="inlineStr">
        <is>
          <t>2026-10-19</t>
        </is>
      </c>
      <c r="J52" s="10" t="inlineStr">
        <is>
          <t>2026-10-23</t>
        </is>
      </c>
      <c r="K52" s="10" t="inlineStr">
        <is>
          <t>CZĘŚCIOWE</t>
        </is>
      </c>
      <c r="L52" s="11" t="inlineStr">
        <is>
          <t>2026-09-23 D1: mail-auth.ts dkimCheck — selektory w publicznym DNS, a gdy brak: klucz &lt;sel&gt;._domainkey ze strefy DA do skopiowania u zewnętrznego DNS; test mail-auth.spec.ts</t>
        </is>
      </c>
      <c r="M52" s="11" t="inlineStr">
        <is>
          <t>E-15 (ten sam panel dostarczalności)</t>
        </is>
      </c>
      <c r="N52" s="11" t="inlineStr">
        <is>
          <t>Ograniczenie opisane w uwagach macierzy zniknęło; test potwierdza zachowanie także w scenariuszu awaryjnym.</t>
        </is>
      </c>
      <c r="O52" s="11" t="inlineStr">
        <is>
          <t>j.w. | KOD: DKIM odczytywany ze strefy DA (DA dopisuje klucz sam przy włączonym DKIM). Brak klucza = link do zgłoszenia. OTWARTE: włączanie DKIM z panelu (komenda DA niepotwierdzona bez węzła) — D3 w sprincie 18.</t>
        </is>
      </c>
      <c r="P52" s="10" t="inlineStr">
        <is>
          <t>do zrobienia</t>
        </is>
      </c>
    </row>
    <row r="53">
      <c r="A53" s="10" t="inlineStr">
        <is>
          <t>E-17</t>
        </is>
      </c>
      <c r="B53" s="11" t="inlineStr">
        <is>
          <t>Rekord DMARC — konfiguracja</t>
        </is>
      </c>
      <c r="C53" s="10" t="inlineStr">
        <is>
          <t>audyt</t>
        </is>
      </c>
      <c r="D53" s="10" t="inlineStr">
        <is>
          <t>E — Poczta</t>
        </is>
      </c>
      <c r="E53" s="10" t="inlineStr">
        <is>
          <t>WYSOKA</t>
        </is>
      </c>
      <c r="F53" s="10" t="n">
        <v>6</v>
      </c>
      <c r="G53" s="10" t="n">
        <v>8</v>
      </c>
      <c r="H53" s="10" t="inlineStr">
        <is>
          <t>Faza 1 — Rozliczenia i dowód odtworzenia</t>
        </is>
      </c>
      <c r="I53" s="10" t="inlineStr">
        <is>
          <t>2026-10-19</t>
        </is>
      </c>
      <c r="J53" s="10" t="inlineStr">
        <is>
          <t>2026-10-23</t>
        </is>
      </c>
      <c r="K53" s="10" t="inlineStr">
        <is>
          <t>CZĘŚCIOWE</t>
        </is>
      </c>
      <c r="L53" s="11" t="inlineStr">
        <is>
          <t>2026-09-23 D1: mail-auth.ts dmarcCheck (brak / p=none / kilka rekordów) + lib/dmarc.ts tuneDmarc (polityka + adres raportów) w deliverability-panel.tsx; testy mail-auth.spec.ts, dmarc.spec.ts</t>
        </is>
      </c>
      <c r="M53" s="11" t="inlineStr">
        <is>
          <t>E-15</t>
        </is>
      </c>
      <c r="N53" s="11" t="inlineStr">
        <is>
          <t>Ograniczenie opisane w uwagach macierzy zniknęło; test potwierdza zachowanie także w scenariuszu awaryjnym.</t>
        </is>
      </c>
      <c r="O53" s="11" t="inlineStr">
        <is>
          <t>j.w. | KOD: kreator DMARC — wybór polityki i opcjonalny adres raportów, zachowuje pozostałe tagi. Sugestia bez rua na verris.pl (raporty do obcej domeny wymagają rekordu autoryzacji). OTWARTE do D3: zapis do strefy DA.</t>
        </is>
      </c>
      <c r="P53" s="10" t="inlineStr">
        <is>
          <t>do zrobienia</t>
        </is>
      </c>
    </row>
    <row r="54">
      <c r="A54" s="10" t="inlineStr">
        <is>
          <t>E-05</t>
        </is>
      </c>
      <c r="B54" s="11" t="inlineStr">
        <is>
          <t>Zmiana quoty ISTNIEJĄCEJ skrzynki</t>
        </is>
      </c>
      <c r="C54" s="10" t="inlineStr">
        <is>
          <t>audyt</t>
        </is>
      </c>
      <c r="D54" s="10" t="inlineStr">
        <is>
          <t>E — Poczta</t>
        </is>
      </c>
      <c r="E54" s="10" t="inlineStr">
        <is>
          <t>WYSOKA</t>
        </is>
      </c>
      <c r="F54" s="10" t="n">
        <v>6</v>
      </c>
      <c r="G54" s="10" t="n">
        <v>8</v>
      </c>
      <c r="H54" s="10" t="inlineStr">
        <is>
          <t>Faza 1 — Rozliczenia i dowód odtworzenia</t>
        </is>
      </c>
      <c r="I54" s="10" t="inlineStr">
        <is>
          <t>2026-10-19</t>
        </is>
      </c>
      <c r="J54" s="10" t="inlineStr">
        <is>
          <t>2026-10-23</t>
        </is>
      </c>
      <c r="K54" s="10" t="inlineStr">
        <is>
          <t>CZĘŚCIOWE</t>
        </is>
      </c>
      <c r="L54" s="11" t="inlineStr">
        <is>
          <t>2026-09-23 D1: POST /services/:id/hosting-email/quota (ZmienRozmiarSkrzynkiDto 10–102400 MB) → directadmin.service changeHostingEmailQuota (CMD_API_POP action=modify bez passwd) + audyt HOSTING_EMAIL_QUOTA_CHANGED; UI MailTab — klik w rozmiar skrzynki</t>
        </is>
      </c>
      <c r="M54" s="11" t="inlineStr">
        <is>
          <t>—</t>
        </is>
      </c>
      <c r="N54" s="11" t="inlineStr">
        <is>
          <t>Ograniczenie opisane w uwagach macierzy zniknęło; test potwierdza zachowanie także w scenariuszu awaryjnym.</t>
        </is>
      </c>
      <c r="O54" s="11" t="inlineStr">
        <is>
          <t>brak jakiejkolwiek ścieżki edycji — klient musi usunąć i odtworzyć skrzynkę | KOD: zmiana rozmiaru bez usuwania skrzynki. Przy okazji body tworzenia skrzynki i zmiany hasła dostały klasy DTO (wcześniej interfejs = zero walidacji na granicy zaufania). OTWARTE do D3: czy DA przy modify bez passwd zostawia hasło (komentarz ponytail).</t>
        </is>
      </c>
      <c r="P54" s="10" t="inlineStr">
        <is>
          <t>do zrobienia</t>
        </is>
      </c>
    </row>
    <row r="55">
      <c r="A55" s="10" t="inlineStr">
        <is>
          <t>M-26</t>
        </is>
      </c>
      <c r="B55" s="11" t="inlineStr">
        <is>
          <t>Usunięcie zapisanej karty przez klienta</t>
        </is>
      </c>
      <c r="C55" s="10" t="inlineStr">
        <is>
          <t>audyt</t>
        </is>
      </c>
      <c r="D55" s="10" t="inlineStr">
        <is>
          <t>M — Rozliczenia</t>
        </is>
      </c>
      <c r="E55" s="10" t="inlineStr">
        <is>
          <t>WYSOKA</t>
        </is>
      </c>
      <c r="F55" s="10" t="n">
        <v>6</v>
      </c>
      <c r="G55" s="10" t="n">
        <v>8</v>
      </c>
      <c r="H55" s="10" t="inlineStr">
        <is>
          <t>Faza 1 — Rozliczenia i dowód odtworzenia</t>
        </is>
      </c>
      <c r="I55" s="10" t="inlineStr">
        <is>
          <t>2026-10-19</t>
        </is>
      </c>
      <c r="J55" s="10" t="inlineStr">
        <is>
          <t>2026-10-23</t>
        </is>
      </c>
      <c r="K55" s="10" t="inlineStr">
        <is>
          <t>CZĘŚCIOWE</t>
        </is>
      </c>
      <c r="L55" s="11" t="inlineStr">
        <is>
          <t>2026-09-23 D1: DELETE /billing/payment-methods/:id (ParseUUIDPipe) → billing.service deleteMyPaymentMethod: Stripe detach, usunięcie wiersza, zerowanie karty domyślnej i auto-doładowania, audyt PAYMENT_METHOD_REMOVED; UI billing-extras-forms „Zapisane karty”; test usun-karte.spec.ts</t>
        </is>
      </c>
      <c r="M55" s="11" t="inlineStr">
        <is>
          <t>—</t>
        </is>
      </c>
      <c r="N55" s="11" t="inlineStr">
        <is>
          <t>Ograniczenie opisane w uwagach macierzy zniknęło; test potwierdza zachowanie także w scenariuszu awaryjnym.</t>
        </is>
      </c>
      <c r="O55" s="11" t="inlineStr">
        <is>
          <t>wymóg konsumencki | KOD gotowy i przetestowany na atrapach. UWAGA: nic w API nie zapisuje dziś wierszy PaymentMethod (brak create/upsert) — lista kart jest zawsze pusta, więc usuwanie da się sprawdzić dopiero, gdy zapis kart zostanie podpięty (webhook Stripe po płatności kartą).</t>
        </is>
      </c>
      <c r="P55" s="10" t="inlineStr">
        <is>
          <t>do zrobienia</t>
        </is>
      </c>
    </row>
    <row r="56">
      <c r="A56" s="10" t="inlineStr">
        <is>
          <t>PB-17</t>
        </is>
      </c>
      <c r="B56" s="11" t="inlineStr">
        <is>
          <t>Asystent v1: dymki, naprawy jednym kliknięciem, czat z danymi konta</t>
        </is>
      </c>
      <c r="C56" s="10" t="inlineStr">
        <is>
          <t>poza audytem</t>
        </is>
      </c>
      <c r="D56" s="10" t="inlineStr">
        <is>
          <t>Praca spoza audytu</t>
        </is>
      </c>
      <c r="E56" s="10" t="inlineStr">
        <is>
          <t>WYSOKI</t>
        </is>
      </c>
      <c r="F56" s="10" t="n">
        <v>30</v>
      </c>
      <c r="G56" s="10" t="n">
        <v>9</v>
      </c>
      <c r="H56" s="10" t="inlineStr">
        <is>
          <t>Faza 2 — Odzyskanie funkcji-widm i luki pierwszego tygodnia</t>
        </is>
      </c>
      <c r="I56" s="10" t="inlineStr">
        <is>
          <t>2026-10-26</t>
        </is>
      </c>
      <c r="J56" s="10" t="inlineStr">
        <is>
          <t>2026-10-30</t>
        </is>
      </c>
      <c r="K56" s="10" t="inlineStr">
        <is>
          <t>—</t>
        </is>
      </c>
      <c r="L56" s="11" t="inlineStr">
        <is>
          <t>—</t>
        </is>
      </c>
      <c r="M56" s="11" t="inlineStr">
        <is>
          <t>—</t>
        </is>
      </c>
      <c r="N56" s="11" t="inlineStr">
        <is>
          <t>Co najmniej 5 reguł dymków z testami; każda naprawa ma cofnięcie i wpis audytu; czat odpowiada z kontekstem usługi; brak akcji destrukcyjnych w v1.</t>
        </is>
      </c>
      <c r="O56" s="11" t="inlineStr">
        <is>
          <t>Dymki kontekstowe na regułach (bez kosztu AI): dysk, domena nie wskazuje na nas, SPF/DKIM, SSL wygasa, backup nieświeży — najwyżej jeden na ekran, „nie pokazuj więcej”. Naprawy jednym kliknięciem tylko dla akcji odwracalnych, z kartą podglądu skutku i „Cofnij”. Obecny czat (HostingAssistant, RAG) dostaje odczyt danych konta. Każda akcja w audycie. Diagnoza i naprawy po naszej stronie za darmo.</t>
        </is>
      </c>
      <c r="P56" s="10" t="inlineStr">
        <is>
          <t>do zrobienia</t>
        </is>
      </c>
    </row>
    <row r="57">
      <c r="A57" s="10" t="inlineStr">
        <is>
          <t>PB-18</t>
        </is>
      </c>
      <c r="B57" s="11" t="inlineStr">
        <is>
          <t>Tickety v2: podgląd klienta, szablony ze zmiennymi, szkice odpowiedzi</t>
        </is>
      </c>
      <c r="C57" s="10" t="inlineStr">
        <is>
          <t>poza audytem</t>
        </is>
      </c>
      <c r="D57" s="10" t="inlineStr">
        <is>
          <t>Praca spoza audytu</t>
        </is>
      </c>
      <c r="E57" s="10" t="inlineStr">
        <is>
          <t>WYSOKI</t>
        </is>
      </c>
      <c r="F57" s="10" t="n">
        <v>24</v>
      </c>
      <c r="G57" s="10" t="n">
        <v>10</v>
      </c>
      <c r="H57" s="10" t="inlineStr">
        <is>
          <t>Faza 2 — Odzyskanie funkcji-widm i luki pierwszego tygodnia</t>
        </is>
      </c>
      <c r="I57" s="10" t="inlineStr">
        <is>
          <t>2026-11-02</t>
        </is>
      </c>
      <c r="J57" s="10" t="inlineStr">
        <is>
          <t>2026-11-06</t>
        </is>
      </c>
      <c r="K57" s="10" t="inlineStr">
        <is>
          <t>—</t>
        </is>
      </c>
      <c r="L57" s="11" t="inlineStr">
        <is>
          <t>—</t>
        </is>
      </c>
      <c r="M57" s="11" t="inlineStr">
        <is>
          <t>—</t>
        </is>
      </c>
      <c r="N57" s="11" t="inlineStr">
        <is>
          <t>Podgląd klienta bez przechodzenia między ekranami; szablony podstawiają zmienne z testem; szkic odpowiedzi dla 6 kategorii (DNS, SSL, poczta, płatność, migracja, awaria).</t>
        </is>
      </c>
      <c r="O57" s="11" t="inlineStr">
        <is>
          <t>Panel staff: boczny podgląd klienta w tickecie (usługi, saldo, faktury/dokumenty, zdarzenia, historia zgłoszeń, health score); szablony odpowiedzi ze zmiennymi (imię, domena, usługa, termin) i kategoriami — rozbudowa canned responses; klasyfikacja zgłoszenia i szkic odpowiedzi z bazy wiedzy i danych konta (do akceptacji, bez auto-wysyłki w v2); akcje z ticketu z audytem; licznik SLA.</t>
        </is>
      </c>
      <c r="P57" s="10" t="inlineStr">
        <is>
          <t>do zrobienia</t>
        </is>
      </c>
    </row>
    <row r="58">
      <c r="A58" s="10" t="inlineStr">
        <is>
          <t>A-25</t>
        </is>
      </c>
      <c r="B58" s="11" t="inlineStr">
        <is>
          <t>Ręczne zawieszenie usługi przez operatora</t>
        </is>
      </c>
      <c r="C58" s="10" t="inlineStr">
        <is>
          <t>audyt</t>
        </is>
      </c>
      <c r="D58" s="10" t="inlineStr">
        <is>
          <t>A — Domeny i konta</t>
        </is>
      </c>
      <c r="E58" s="10" t="inlineStr">
        <is>
          <t>WYSOKA</t>
        </is>
      </c>
      <c r="F58" s="10" t="n">
        <v>6</v>
      </c>
      <c r="G58" s="10" t="n">
        <v>11</v>
      </c>
      <c r="H58" s="10" t="inlineStr">
        <is>
          <t>Faza 2 — Odzyskanie funkcji-widm i luki pierwszego tygodnia</t>
        </is>
      </c>
      <c r="I58" s="10" t="inlineStr">
        <is>
          <t>2026-11-09</t>
        </is>
      </c>
      <c r="J58" s="10" t="inlineStr">
        <is>
          <t>2026-11-13</t>
        </is>
      </c>
      <c r="K58" s="10" t="inlineStr">
        <is>
          <t>ENDPOINT BEZ UI</t>
        </is>
      </c>
      <c r="L58" s="11" t="inlineStr">
        <is>
          <t>subscriptions.admin.controller.ts:192</t>
        </is>
      </c>
      <c r="M58" s="11" t="inlineStr">
        <is>
          <t>—</t>
        </is>
      </c>
      <c r="N58" s="11" t="inlineStr">
        <is>
          <t>Panel wywołuje istniejący endpoint; akcja zostawia wpis w logu audytu. Test potwierdza, że guard nadal blokuje nieuprawnionych.</t>
        </is>
      </c>
      <c r="O58" s="11" t="inlineStr">
        <is>
          <t>Skorygowane: endpoint działa i jest osiągalny (curl + DirectAdmin), auto-suspend za brak płatności działa. Brakuje UI, nie możliwości zatrzymania szkody.</t>
        </is>
      </c>
      <c r="P58" s="10" t="inlineStr">
        <is>
          <t>do zrobienia</t>
        </is>
      </c>
    </row>
    <row r="59">
      <c r="A59" s="10" t="inlineStr">
        <is>
          <t>A-26</t>
        </is>
      </c>
      <c r="B59" s="11" t="inlineStr">
        <is>
          <t>Ręczne odwieszenie usługi przez operatora</t>
        </is>
      </c>
      <c r="C59" s="10" t="inlineStr">
        <is>
          <t>audyt</t>
        </is>
      </c>
      <c r="D59" s="10" t="inlineStr">
        <is>
          <t>A — Domeny i konta</t>
        </is>
      </c>
      <c r="E59" s="10" t="inlineStr">
        <is>
          <t>WYSOKA</t>
        </is>
      </c>
      <c r="F59" s="10" t="n">
        <v>6</v>
      </c>
      <c r="G59" s="10" t="n">
        <v>11</v>
      </c>
      <c r="H59" s="10" t="inlineStr">
        <is>
          <t>Faza 2 — Odzyskanie funkcji-widm i luki pierwszego tygodnia</t>
        </is>
      </c>
      <c r="I59" s="10" t="inlineStr">
        <is>
          <t>2026-11-09</t>
        </is>
      </c>
      <c r="J59" s="10" t="inlineStr">
        <is>
          <t>2026-11-13</t>
        </is>
      </c>
      <c r="K59" s="10" t="inlineStr">
        <is>
          <t>ENDPOINT BEZ UI</t>
        </is>
      </c>
      <c r="L59" s="11" t="inlineStr">
        <is>
          <t>subscriptions.admin.controller.ts:210</t>
        </is>
      </c>
      <c r="M59" s="11" t="inlineStr">
        <is>
          <t>A-25 (ten sam widok)</t>
        </is>
      </c>
      <c r="N59" s="11" t="inlineStr">
        <is>
          <t>Panel wywołuje istniejący endpoint; akcja zostawia wpis w logu audytu. Test potwierdza, że guard nadal blokuje nieuprawnionych.</t>
        </is>
      </c>
      <c r="O59" s="11" t="inlineStr">
        <is>
          <t>Skorygowane: jak A-25, endpoint subscriptions.admin.controller.ts:210 działa z chargeRenewal.</t>
        </is>
      </c>
      <c r="P59" s="10" t="inlineStr">
        <is>
          <t>do zrobienia</t>
        </is>
      </c>
    </row>
    <row r="60">
      <c r="A60" s="10" t="inlineStr">
        <is>
          <t>N-07</t>
        </is>
      </c>
      <c r="B60" s="11" t="inlineStr">
        <is>
          <t>Ręczne tworzenie incydentu na status page</t>
        </is>
      </c>
      <c r="C60" s="10" t="inlineStr">
        <is>
          <t>audyt</t>
        </is>
      </c>
      <c r="D60" s="10" t="inlineStr">
        <is>
          <t>N — Wsparcie i ops</t>
        </is>
      </c>
      <c r="E60" s="10" t="inlineStr">
        <is>
          <t>WYSOKA</t>
        </is>
      </c>
      <c r="F60" s="10" t="n">
        <v>6</v>
      </c>
      <c r="G60" s="10" t="n">
        <v>11</v>
      </c>
      <c r="H60" s="10" t="inlineStr">
        <is>
          <t>Faza 2 — Odzyskanie funkcji-widm i luki pierwszego tygodnia</t>
        </is>
      </c>
      <c r="I60" s="10" t="inlineStr">
        <is>
          <t>2026-11-09</t>
        </is>
      </c>
      <c r="J60" s="10" t="inlineStr">
        <is>
          <t>2026-11-13</t>
        </is>
      </c>
      <c r="K60" s="10" t="inlineStr">
        <is>
          <t>ENDPOINT BEZ UI</t>
        </is>
      </c>
      <c r="L60" s="11" t="inlineStr">
        <is>
          <t>product-ops.admin.controller.ts:371; brak UI tworzenia</t>
        </is>
      </c>
      <c r="M60" s="11" t="inlineStr">
        <is>
          <t>—</t>
        </is>
      </c>
      <c r="N60" s="11" t="inlineStr">
        <is>
          <t>Panel wywołuje istniejący endpoint; akcja zostawia wpis w logu audytu. Test potwierdza, że guard nadal blokuje nieuprawnionych.</t>
        </is>
      </c>
      <c r="O60" s="11" t="inlineStr">
        <is>
          <t>w kryzysie nie ma jak zakomunikować awarii</t>
        </is>
      </c>
      <c r="P60" s="10" t="inlineStr">
        <is>
          <t>do zrobienia</t>
        </is>
      </c>
    </row>
    <row r="61">
      <c r="A61" s="10" t="inlineStr">
        <is>
          <t>N-14</t>
        </is>
      </c>
      <c r="B61" s="11" t="inlineStr">
        <is>
          <t>Cordon wysyłki poczty (auto-blokada spamu)</t>
        </is>
      </c>
      <c r="C61" s="10" t="inlineStr">
        <is>
          <t>audyt</t>
        </is>
      </c>
      <c r="D61" s="10" t="inlineStr">
        <is>
          <t>N — Wsparcie i ops</t>
        </is>
      </c>
      <c r="E61" s="10" t="inlineStr">
        <is>
          <t>WYSOKA</t>
        </is>
      </c>
      <c r="F61" s="10" t="n">
        <v>6</v>
      </c>
      <c r="G61" s="10" t="n">
        <v>11</v>
      </c>
      <c r="H61" s="10" t="inlineStr">
        <is>
          <t>Faza 2 — Odzyskanie funkcji-widm i luki pierwszego tygodnia</t>
        </is>
      </c>
      <c r="I61" s="10" t="inlineStr">
        <is>
          <t>2026-11-09</t>
        </is>
      </c>
      <c r="J61" s="10" t="inlineStr">
        <is>
          <t>2026-11-13</t>
        </is>
      </c>
      <c r="K61" s="10" t="inlineStr">
        <is>
          <t>ENDPOINT BEZ UI</t>
        </is>
      </c>
      <c r="L61" s="11" t="inlineStr">
        <is>
          <t>outbound-cordon.admin.controller.ts:20,25,32; zero „cordon” w admin-panel</t>
        </is>
      </c>
      <c r="M61" s="11" t="inlineStr">
        <is>
          <t>—</t>
        </is>
      </c>
      <c r="N61" s="11" t="inlineStr">
        <is>
          <t>Panel wywołuje istniejący endpoint; akcja zostawia wpis w logu audytu. Test potwierdza, że guard nadal blokuje nieuprawnionych.</t>
        </is>
      </c>
      <c r="O61" s="11" t="inlineStr">
        <is>
          <t>mechanizm działa, operator nie może go zobaczyć ani zdjąć</t>
        </is>
      </c>
      <c r="P61" s="10" t="inlineStr">
        <is>
          <t>do zrobienia</t>
        </is>
      </c>
    </row>
    <row r="62">
      <c r="A62" s="10" t="inlineStr">
        <is>
          <t>H-22</t>
        </is>
      </c>
      <c r="B62" s="11" t="inlineStr">
        <is>
          <t>Panel odtwarzania w widocznym miejscu</t>
        </is>
      </c>
      <c r="C62" s="10" t="inlineStr">
        <is>
          <t>audyt</t>
        </is>
      </c>
      <c r="D62" s="10" t="inlineStr">
        <is>
          <t>H — Backup i odtwarzanie</t>
        </is>
      </c>
      <c r="E62" s="10" t="inlineStr">
        <is>
          <t>WYSOKA</t>
        </is>
      </c>
      <c r="F62" s="10" t="n">
        <v>6</v>
      </c>
      <c r="G62" s="10" t="n">
        <v>11</v>
      </c>
      <c r="H62" s="10" t="inlineStr">
        <is>
          <t>Faza 2 — Odzyskanie funkcji-widm i luki pierwszego tygodnia</t>
        </is>
      </c>
      <c r="I62" s="10" t="inlineStr">
        <is>
          <t>2026-11-09</t>
        </is>
      </c>
      <c r="J62" s="10" t="inlineStr">
        <is>
          <t>2026-11-13</t>
        </is>
      </c>
      <c r="K62" s="10" t="inlineStr">
        <is>
          <t>CZĘŚCIOWE</t>
        </is>
      </c>
      <c r="L62" s="11" t="inlineStr">
        <is>
          <t>panel off-site siedzi w zakładce „Usage”, nie „Kopie zapasowe” (page.tsx:74,128,313,319)</t>
        </is>
      </c>
      <c r="M62" s="11" t="inlineStr">
        <is>
          <t>—</t>
        </is>
      </c>
      <c r="N62" s="11" t="inlineStr">
        <is>
          <t>Ograniczenie opisane w uwagach macierzy zniknęło; test potwierdza zachowanie także w scenariuszu awaryjnym.</t>
        </is>
      </c>
      <c r="O62" s="11" t="inlineStr">
        <is>
          <t>klient w kryzysie tego nie znajdzie</t>
        </is>
      </c>
      <c r="P62" s="10" t="inlineStr">
        <is>
          <t>do zrobienia</t>
        </is>
      </c>
    </row>
    <row r="63">
      <c r="A63" s="10" t="inlineStr">
        <is>
          <t>H-09</t>
        </is>
      </c>
      <c r="B63" s="11" t="inlineStr">
        <is>
          <t>Kopia bezpieczeństwa przed odtworzeniem</t>
        </is>
      </c>
      <c r="C63" s="10" t="inlineStr">
        <is>
          <t>audyt</t>
        </is>
      </c>
      <c r="D63" s="10" t="inlineStr">
        <is>
          <t>H — Backup i odtwarzanie</t>
        </is>
      </c>
      <c r="E63" s="10" t="inlineStr">
        <is>
          <t>WYSOKA</t>
        </is>
      </c>
      <c r="F63" s="10" t="n">
        <v>6</v>
      </c>
      <c r="G63" s="10" t="n">
        <v>12</v>
      </c>
      <c r="H63" s="10" t="inlineStr">
        <is>
          <t>Faza 2 — Odzyskanie funkcji-widm i luki pierwszego tygodnia</t>
        </is>
      </c>
      <c r="I63" s="10" t="inlineStr">
        <is>
          <t>2026-11-16</t>
        </is>
      </c>
      <c r="J63" s="10" t="inlineStr">
        <is>
          <t>2026-11-20</t>
        </is>
      </c>
      <c r="K63" s="10" t="inlineStr">
        <is>
          <t>CZĘŚCIOWE</t>
        </is>
      </c>
      <c r="L63" s="11" t="inlineStr">
        <is>
          <t>hosting-restore.service.ts:167</t>
        </is>
      </c>
      <c r="M63" s="11" t="inlineStr">
        <is>
          <t>—</t>
        </is>
      </c>
      <c r="N63" s="11" t="inlineStr">
        <is>
          <t>Ograniczenie opisane w uwagach macierzy zniknęło; test potwierdza zachowanie także w scenariuszu awaryjnym.</t>
        </is>
      </c>
      <c r="O63" s="11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  <c r="P63" s="10" t="inlineStr">
        <is>
          <t>do zrobienia</t>
        </is>
      </c>
    </row>
    <row r="64">
      <c r="A64" s="10" t="inlineStr">
        <is>
          <t>H-17</t>
        </is>
      </c>
      <c r="B64" s="11" t="inlineStr">
        <is>
          <t>Tryb restore skryptu odtwarzającego osiągalny z produktu</t>
        </is>
      </c>
      <c r="C64" s="10" t="inlineStr">
        <is>
          <t>audyt</t>
        </is>
      </c>
      <c r="D64" s="10" t="inlineStr">
        <is>
          <t>H — Backup i odtwarzanie</t>
        </is>
      </c>
      <c r="E64" s="10" t="inlineStr">
        <is>
          <t>WYSOKA</t>
        </is>
      </c>
      <c r="F64" s="10" t="n">
        <v>6</v>
      </c>
      <c r="G64" s="10" t="n">
        <v>12</v>
      </c>
      <c r="H64" s="10" t="inlineStr">
        <is>
          <t>Faza 2 — Odzyskanie funkcji-widm i luki pierwszego tygodnia</t>
        </is>
      </c>
      <c r="I64" s="10" t="inlineStr">
        <is>
          <t>2026-11-16</t>
        </is>
      </c>
      <c r="J64" s="10" t="inlineStr">
        <is>
          <t>2026-11-20</t>
        </is>
      </c>
      <c r="K64" s="10" t="inlineStr">
        <is>
          <t>BRAK</t>
        </is>
      </c>
      <c r="L64" s="11" t="inlineStr">
        <is>
          <t>node-account-restore.sh:82-99 ma tryb restore; offsite-restore.service.ts:94 przyjmuje wyłącznie list|fetch</t>
        </is>
      </c>
      <c r="M64" s="11" t="inlineStr">
        <is>
          <t>H-20 (najpierw potwierdzone odtworzenie, potem wystawienie trybu w produkcie)</t>
        </is>
      </c>
      <c r="N64" s="11" t="inlineStr">
        <is>
          <t>Funkcja dostępna z panelu klienta bez wychodzenia do DirectAdmina; test uruchamiany w CI.</t>
        </is>
      </c>
      <c r="O64" s="11" t="inlineStr">
        <is>
          <t>Skorygowane: tryb restore jest martwy z poziomu produktu, ale żywy z CLI (node-account-restore.sh:120-124) i udokumentowany w runbooku.</t>
        </is>
      </c>
      <c r="P64" s="10" t="inlineStr">
        <is>
          <t>do zrobienia</t>
        </is>
      </c>
    </row>
    <row r="65">
      <c r="A65" s="10" t="inlineStr">
        <is>
          <t>G-20</t>
        </is>
      </c>
      <c r="B65" s="11" t="inlineStr">
        <is>
          <t>Ochrona przed atakiem słownikowym na panel</t>
        </is>
      </c>
      <c r="C65" s="10" t="inlineStr">
        <is>
          <t>audyt</t>
        </is>
      </c>
      <c r="D65" s="10" t="inlineStr">
        <is>
          <t>G — SSL i bezpieczeństwo</t>
        </is>
      </c>
      <c r="E65" s="10" t="inlineStr">
        <is>
          <t>WYSOKA</t>
        </is>
      </c>
      <c r="F65" s="10" t="n">
        <v>6</v>
      </c>
      <c r="G65" s="10" t="n">
        <v>12</v>
      </c>
      <c r="H65" s="10" t="inlineStr">
        <is>
          <t>Faza 2 — Odzyskanie funkcji-widm i luki pierwszego tygodnia</t>
        </is>
      </c>
      <c r="I65" s="10" t="inlineStr">
        <is>
          <t>2026-11-16</t>
        </is>
      </c>
      <c r="J65" s="10" t="inlineStr">
        <is>
          <t>2026-11-20</t>
        </is>
      </c>
      <c r="K65" s="10" t="inlineStr">
        <is>
          <t>CZĘŚCIOWE</t>
        </is>
      </c>
      <c r="L65" s="11" t="inlineStr">
        <is>
          <t>rate-limit.guard.ts — ZERO testów</t>
        </is>
      </c>
      <c r="M65" s="11" t="inlineStr">
        <is>
          <t>—</t>
        </is>
      </c>
      <c r="N65" s="11" t="inlineStr">
        <is>
          <t>Ograniczenie opisane w uwagach macierzy zniknęło; test potwierdza zachowanie także w scenariuszu awaryjnym.</t>
        </is>
      </c>
      <c r="O65" s="11" t="inlineStr">
        <is>
          <t>brak dowodu D2 na krytycznym guardzie</t>
        </is>
      </c>
      <c r="P65" s="10" t="inlineStr">
        <is>
          <t>do zrobienia</t>
        </is>
      </c>
    </row>
    <row r="66">
      <c r="A66" s="10" t="inlineStr">
        <is>
          <t>I-11</t>
        </is>
      </c>
      <c r="B66" s="11" t="inlineStr">
        <is>
          <t>Staging — publikacja na produkcję</t>
        </is>
      </c>
      <c r="C66" s="10" t="inlineStr">
        <is>
          <t>audyt</t>
        </is>
      </c>
      <c r="D66" s="10" t="inlineStr">
        <is>
          <t>I — Aplikacje i WordPress</t>
        </is>
      </c>
      <c r="E66" s="10" t="inlineStr">
        <is>
          <t>WYSOKA</t>
        </is>
      </c>
      <c r="F66" s="10" t="n">
        <v>6</v>
      </c>
      <c r="G66" s="10" t="n">
        <v>12</v>
      </c>
      <c r="H66" s="10" t="inlineStr">
        <is>
          <t>Faza 2 — Odzyskanie funkcji-widm i luki pierwszego tygodnia</t>
        </is>
      </c>
      <c r="I66" s="10" t="inlineStr">
        <is>
          <t>2026-11-16</t>
        </is>
      </c>
      <c r="J66" s="10" t="inlineStr">
        <is>
          <t>2026-11-20</t>
        </is>
      </c>
      <c r="K66" s="10" t="inlineStr">
        <is>
          <t>CZĘŚCIOWE</t>
        </is>
      </c>
      <c r="L66" s="11" t="inlineStr">
        <is>
          <t>services.controller.ts:187</t>
        </is>
      </c>
      <c r="M66" s="11" t="inlineStr">
        <is>
          <t>—</t>
        </is>
      </c>
      <c r="N66" s="11" t="inlineStr">
        <is>
          <t>Ograniczenie opisane w uwagach macierzy zniknęło; test potwierdza zachowanie także w scenariuszu awaryjnym.</t>
        </is>
      </c>
      <c r="O66" s="11" t="inlineStr">
        <is>
          <t>OSŁABIONE: node-staging-sync.sh:141-142 backup plików jest twardą bramką, ale :152-153 backup bazy LIVE jest best-effort — linia 158 robi wp db import na produkcji mimo braku kopii.</t>
        </is>
      </c>
      <c r="P66" s="10" t="inlineStr">
        <is>
          <t>do zrobienia</t>
        </is>
      </c>
    </row>
    <row r="67">
      <c r="A67" s="10" t="inlineStr">
        <is>
          <t>X-31</t>
        </is>
      </c>
      <c r="B67" s="11" t="inlineStr">
        <is>
          <t>Kanał alertów daje znak życia (dead man's switch)</t>
        </is>
      </c>
      <c r="C67" s="10" t="inlineStr">
        <is>
          <t>audyt</t>
        </is>
      </c>
      <c r="D67" s="10" t="inlineStr">
        <is>
          <t>X — Infrastruktura jakości</t>
        </is>
      </c>
      <c r="E67" s="10" t="inlineStr">
        <is>
          <t>—</t>
        </is>
      </c>
      <c r="F67" s="10" t="n">
        <v>6</v>
      </c>
      <c r="G67" s="10" t="n">
        <v>13</v>
      </c>
      <c r="H67" s="10" t="inlineStr">
        <is>
          <t>Faza 2 — Odzyskanie funkcji-widm i luki pierwszego tygodnia</t>
        </is>
      </c>
      <c r="I67" s="10" t="inlineStr">
        <is>
          <t>2026-11-23</t>
        </is>
      </c>
      <c r="J67" s="10" t="inlineStr">
        <is>
          <t>2026-11-27</t>
        </is>
      </c>
      <c r="K67" s="10" t="inlineStr">
        <is>
          <t>DZIAŁA</t>
        </is>
      </c>
      <c r="L67" s="11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M67" s="11" t="inlineStr">
        <is>
          <t>—</t>
        </is>
      </c>
      <c r="N67" s="11" t="inlineStr">
        <is>
          <t>Funkcja dostępna z panelu klienta bez wychodzenia do DirectAdmina; test uruchamiany w CI.</t>
        </is>
      </c>
      <c r="O67" s="11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docs/archiwum/zadania/X-31-znak-zycia-kanalu-alertow.md | 2026-09-22 D3: wlasciciel potwierdza, ze mail [FIRING:1] VerrisKanalAlertowZyje przychodzi codziennie. Kanal alertow dziala koniec-do-konca.</t>
        </is>
      </c>
      <c r="P67" s="10" t="inlineStr">
        <is>
          <t>do zrobienia</t>
        </is>
      </c>
    </row>
    <row r="68">
      <c r="A68" s="10" t="inlineStr">
        <is>
          <t>X-32</t>
        </is>
      </c>
      <c r="B68" s="11" t="inlineStr">
        <is>
          <t>Martwy job da się odrzucić z panelu, ze śladem w audycie</t>
        </is>
      </c>
      <c r="C68" s="10" t="inlineStr">
        <is>
          <t>audyt</t>
        </is>
      </c>
      <c r="D68" s="10" t="inlineStr">
        <is>
          <t>X — Infrastruktura jakości</t>
        </is>
      </c>
      <c r="E68" s="10" t="inlineStr">
        <is>
          <t>—</t>
        </is>
      </c>
      <c r="F68" s="10" t="n">
        <v>6</v>
      </c>
      <c r="G68" s="10" t="n">
        <v>13</v>
      </c>
      <c r="H68" s="10" t="inlineStr">
        <is>
          <t>Faza 2 — Odzyskanie funkcji-widm i luki pierwszego tygodnia</t>
        </is>
      </c>
      <c r="I68" s="10" t="inlineStr">
        <is>
          <t>2026-11-23</t>
        </is>
      </c>
      <c r="J68" s="10" t="inlineStr">
        <is>
          <t>2026-11-27</t>
        </is>
      </c>
      <c r="K68" s="10" t="inlineStr">
        <is>
          <t>DZIAŁA</t>
        </is>
      </c>
      <c r="L68" s="11" t="inlineStr">
        <is>
          <t>apps/api/src/common/audit/audit.actions.ts — PROVISIONING_JOB_DISCARDED_BY_ADMIN; provisioning-queue.service.ts — odrzucJob (getState() === failed, ślad przed job.remove(), audyt z subskrypcją, typem, liczbą prób, failedReason i powodem); provisioning-queue.admin.controller.ts — POST :id/odrzuc za @StaffPerm('PROVISIONING_MANAGE'); apps/admin-panel/.../provisioning-queue/ — actions.ts, odrzuc-button.tsx (dwa kliknięcia, powód ≥5 znaków, zdanie o nietkniętej subskrypcji), page.tsx; apps/api/src/test/odrzucenie-martwego-joba.spec.ts (13). BRAK: pierwszego odrzucenia na produkcji — dowód D3 jeszcze nie powstał.</t>
        </is>
      </c>
      <c r="M68" s="11" t="inlineStr">
        <is>
          <t>—</t>
        </is>
      </c>
      <c r="N68" s="11" t="inlineStr">
        <is>
          <t>Funkcja dostępna z panelu klienta bez wychodzenia do DirectAdmina; test uruchamiany w CI.</t>
        </is>
      </c>
      <c r="O68" s="11" t="inlineStr">
        <is>
          <t>Stan 2026-08-23: ZROBIONE W KODZIE (D2), D3 przy pierwszym odrzuceniu na produkcji — a to da się zrobić od razu po wdrożeniu, w odróżnieniu od Z-18, który czeka na węzeł. Decyzja właściciela produktu: dorobić akcję w panelu zamiast jednorazowego czyszczenia Redisa. | JAK TO WYSZŁO: X-30 naprawiło alerting, VerrisProvisioningQueueFailed zapalił się z prawdziwego powodu i wskazał cztery martwe joby (to z nich wyszło Z-18). Naturalny następny ruch — usunąć je — okazał się NIEWYKONALNY: panel ma przy nich wyłącznie „Retry", a kontroler administracyjny dokładnie dwa endpointy, listowanie i ponowienie. Retry nic nie daje, bo węzła nie ma: job padnie ponownie, podbije licznik prób i dołoży wpisy do audytu — cztery martwe joby zamieniają się w cztery martwe joby z dłuższą historią. Zostawało grzebanie w Redisie ręcznie, czyli zmiana stanu produkcyjnego dotyczącego subskrypcji klientów BEZ ŚLADU W AUDYCIE. | TO NIE JEST USTERKA TYCH CZTERECH JOBÓW, tylko luka w warstwie operatorskiej, która ujawni się ponownie przy pierwszym prawdziwym niepowodzeniu provisioningu — z tą różnicą, że wtedy po drugiej stronie będzie klient. | ROZWIĄZANIE: POST /admin/provisioning-queue/:id/odrzuc + przycisk „Odrzuć" obok Retry. TRZY REGUŁY: (1) TYLKO STAN failed — usunięcie joba aktywnego albo czekającego osierociłoby provisioning w trakcie, konto na węźle mogłoby powstać, a system przestałby o nim wiedzieć; ograniczenie siedzi w usłudze, nie w kontrolerze, bo to reguła o kolejce, nie o HTTP; (2) POWÓD WYMAGANY, tak samo jak przy retry — operacja bez powodu to operacja, której za pół roku nikt nie wyjaśni; (3) NAJPIERW ODCZYT, POTEM USUNIĘCIE — ślad zbierany PRZED job.remove(), bo po usunięciu nie ma już czego odczytać; zapisujemy subskrypcję, joba, typ, liczbę prób, ostatni błąd i powód. Po Z-18 ten ostatni błąd niesie PRAWDZIWĄ przyczynę, więc wpis ma realną wartość dowodową — jeszcze wczoraj zapisałby zdanie o brakującym pakiecie DirectAdmina, którego nigdy nie brakowało. | OSOBNA AKCJA AUDYTU (PROVISIONING_JOB_DISCARDED_BY_ADMIN), nie wariant retry: w raportach odrzucenie i ponowienie to dwie różne decyzje i nie wolno im się zlewać. | DWA KLIKNIĘCIA, NIE JEDNO: retry można cofnąć następnym retry, odrzucenia nie da się cofnąć wcale. Potwierdzenie jest po to, żeby ta różnica była wyczuwalna w palcach. | ZDANIE PRZY PRZYCISKU: „Usuwa wpis z kolejki bez możliwości cofnięcia. Subskrypcja zostaje nietknięta." Operator ma prawo założyć, że „odrzuć" anuluje zamówienie — nie anuluje. Musi to być napisane tam, gdzie się klika, a nie w dokumentacji, której nikt nie otworzy w trakcie incydentu. | Czerwieni się na starym kodzie: 11 z 13. | DWIE UWAGI O SAMYCH TESTACH: odczyty plików panelu są LENIWE, bo odczyt na poziomie describe wywalał cały plik testowy, zanim cokolwiek się policzyło — a wtedy nie wiadomo, ILE asercji się czerwieni, tylko że „nie skompilowało się"; asercja o warunku row.failedReason nie mierzy odległości w znakach, tylko relację między warunkiem a przyciskiem, bo wersja licząca znaki zepsuła się od dopisania komentarza i kusiło, żeby poszerzyć okno zamiast poprawić asercję — to byłoby naprawianie testu zamiast kodu. | CZEGO NIE OBEJMUJE: losu czterech subskrypcji, które dostały zwrot i status PENDING_PAYMENT (odrzucenie joba ich nie dotyka — osobne sprzątanie po stronie bazy); odrzucania hurtem — świadomie, bo przycisk „odrzuć wszystkie" jest wygodny dokładnie do momentu, w którym ktoś kliknie go na kolejce z prawdziwym zamówieniem. | JAK ZAMKNĄĆ: odrzucić jeden z czterech martwych jobów, obejrzeć wpis PROVISIONING_JOB_DISCARDED_BY_ADMIN w audycie i sprawdzić, że verris_provisioning_queue_depth{state="failed"} spadło o jeden. Dokumentacja: docs/archiwum/zadania/X-32-odrzucenie-martwego-joba.md | 2026-09-22 D3: wlasciciel odrzucil martwy job przyciskiem 'Odrzuc' w panelu admina na produkcji (potwierdzenie wlasciciela; wpis PROVISIONING_JOB_DISCARDED_BY_ADMIN w audycie).</t>
        </is>
      </c>
      <c r="P68" s="10" t="inlineStr">
        <is>
          <t>do zrobienia</t>
        </is>
      </c>
    </row>
    <row r="69">
      <c r="A69" s="10" t="inlineStr">
        <is>
          <t>DEP-02</t>
        </is>
      </c>
      <c r="B69" s="11" t="inlineStr">
        <is>
          <t>W drzewie stoją dwa majory ESLinta naraz</t>
        </is>
      </c>
      <c r="C69" s="10" t="inlineStr">
        <is>
          <t>audyt</t>
        </is>
      </c>
      <c r="D69" s="10" t="inlineStr">
        <is>
          <t>X — Infrastruktura jakości</t>
        </is>
      </c>
      <c r="E69" s="10" t="inlineStr">
        <is>
          <t>ŚREDNIA</t>
        </is>
      </c>
      <c r="F69" s="10" t="n">
        <v>6</v>
      </c>
      <c r="G69" s="10" t="n">
        <v>13</v>
      </c>
      <c r="H69" s="10" t="inlineStr">
        <is>
          <t>Faza 2 — Odzyskanie funkcji-widm i luki pierwszego tygodnia</t>
        </is>
      </c>
      <c r="I69" s="10" t="inlineStr">
        <is>
          <t>2026-11-23</t>
        </is>
      </c>
      <c r="J69" s="10" t="inlineStr">
        <is>
          <t>2026-11-27</t>
        </is>
      </c>
      <c r="K69" s="10" t="inlineStr">
        <is>
          <t>BRAK</t>
        </is>
      </c>
      <c r="L69" s="11" t="inlineStr">
        <is>
          <t>package.json (korzeń) — @eslint/js ^10.0.1 przy braku jakiegokolwiek eslint.config.* w korzeniu; libs/eslint-config/node_modules: eslint 10.9.0 obok @eslint/js 9.39.5; apps/api, apps/www, apps/client-panel, apps/status-page, libs/directadmin-sdk — eslint 9.39.5</t>
        </is>
      </c>
      <c r="M69" s="11" t="inlineStr">
        <is>
          <t>—</t>
        </is>
      </c>
      <c r="N69" s="11" t="inlineStr">
        <is>
          <t>Funkcja dostępna z panelu klienta bez wychodzenia do DirectAdmina; test uruchamiany w CI.</t>
        </is>
      </c>
      <c r="O69" s="11" t="inlineStr">
        <is>
          <t>Odkryte 2026-08-28 przy DEP-01. Korzeń deklaruje @eslint/js ^10.0.1, którego peer to eslint ^10.0.0 — i to on wciąga eslint@10.9.0 do drzewa. Tymczasem KAŻDY pakiet, który realnie lintuje, ma 9.39.5. Najostrzej widać to wewnątrz libs/eslint-config, czyli wspólnej konfiguracji: node_modules/eslint = 10.9.0, node_modules/@eslint/js = 9.39.5 — dwie połowy jednego narzędzia z różnych majorów w jednym katalogu. | Korzeń NIE MA żadnego eslint.config.* i nie odpala lintera (pnpm lint = turbo run lint), więc te zależności nie robią nic poza wciąganiem majora, którego nikt nie używa. | To nie awaria — bramka jest zielona, 0 błędów. To BRAK KONTROLI: żaden strażnik nie sprawdza, czy major ESLinta jest jeden, tak jak do ENV-01 nic nie sprawdzało wersji Node. | DO ZROBIENIA: zdjąć z korzenia nieużywane @eslint/js i typescript-eslint albo cofnąć je do dziewiątki (rusza lockfile — osobny commit z pełną bramką), plus strażnik spójności majora na wzór wersja-node.spec.ts.</t>
        </is>
      </c>
      <c r="P69" s="10" t="inlineStr">
        <is>
          <t>do zrobienia</t>
        </is>
      </c>
    </row>
    <row r="70">
      <c r="A70" s="10" t="inlineStr">
        <is>
          <t>M-08</t>
        </is>
      </c>
      <c r="B70" s="11" t="inlineStr">
        <is>
          <t>Anulowanie faktury (VOID) z panelu</t>
        </is>
      </c>
      <c r="C70" s="10" t="inlineStr">
        <is>
          <t>audyt</t>
        </is>
      </c>
      <c r="D70" s="10" t="inlineStr">
        <is>
          <t>M — Rozliczenia</t>
        </is>
      </c>
      <c r="E70" s="10" t="inlineStr">
        <is>
          <t>WYSOKA</t>
        </is>
      </c>
      <c r="F70" s="10" t="n">
        <v>6</v>
      </c>
      <c r="G70" s="10" t="n">
        <v>13</v>
      </c>
      <c r="H70" s="10" t="inlineStr">
        <is>
          <t>Faza 2 — Odzyskanie funkcji-widm i luki pierwszego tygodnia</t>
        </is>
      </c>
      <c r="I70" s="10" t="inlineStr">
        <is>
          <t>2026-11-23</t>
        </is>
      </c>
      <c r="J70" s="10" t="inlineStr">
        <is>
          <t>2026-11-27</t>
        </is>
      </c>
      <c r="K70" s="10" t="inlineStr">
        <is>
          <t>BRAK</t>
        </is>
      </c>
      <c r="L70" s="11" t="inlineStr">
        <is>
          <t>InvoiceStatus.VOID w schema.prisma:1354 nigdy nie ustawiany</t>
        </is>
      </c>
      <c r="M70" s="11" t="inlineStr">
        <is>
          <t>—</t>
        </is>
      </c>
      <c r="N70" s="11" t="inlineStr">
        <is>
          <t>Funkcja dostępna z panelu klienta bez wychodzenia do DirectAdmina; test uruchamiany w CI.</t>
        </is>
      </c>
      <c r="O70" s="11" t="inlineStr"/>
      <c r="P70" s="10" t="inlineStr">
        <is>
          <t>do zrobienia</t>
        </is>
      </c>
    </row>
    <row r="71">
      <c r="A71" s="10" t="inlineStr">
        <is>
          <t>C-18</t>
        </is>
      </c>
      <c r="B71" s="11" t="inlineStr">
        <is>
          <t>Konto FTP — zmiana hasła</t>
        </is>
      </c>
      <c r="C71" s="10" t="inlineStr">
        <is>
          <t>audyt</t>
        </is>
      </c>
      <c r="D71" s="10" t="inlineStr">
        <is>
          <t>C — Pliki, FTP, SSH, Git</t>
        </is>
      </c>
      <c r="E71" s="10" t="inlineStr">
        <is>
          <t>WYSOKA</t>
        </is>
      </c>
      <c r="F71" s="10" t="n">
        <v>6</v>
      </c>
      <c r="G71" s="10" t="n">
        <v>13</v>
      </c>
      <c r="H71" s="10" t="inlineStr">
        <is>
          <t>Faza 2 — Odzyskanie funkcji-widm i luki pierwszego tygodnia</t>
        </is>
      </c>
      <c r="I71" s="10" t="inlineStr">
        <is>
          <t>2026-11-23</t>
        </is>
      </c>
      <c r="J71" s="10" t="inlineStr">
        <is>
          <t>2026-11-27</t>
        </is>
      </c>
      <c r="K71" s="10" t="inlineStr">
        <is>
          <t>BRAK</t>
        </is>
      </c>
      <c r="L71" s="11" t="inlineStr">
        <is>
          <t>—</t>
        </is>
      </c>
      <c r="M71" s="11" t="inlineStr">
        <is>
          <t>—</t>
        </is>
      </c>
      <c r="N71" s="11" t="inlineStr">
        <is>
          <t>Funkcja dostępna z panelu klienta bez wychodzenia do DirectAdmina; test uruchamiany w CI.</t>
        </is>
      </c>
      <c r="O71" s="11" t="inlineStr">
        <is>
          <t>brak jakiejkolwiek ścieżki edycji istniejącego konta</t>
        </is>
      </c>
      <c r="P71" s="10" t="inlineStr">
        <is>
          <t>do zrobienia</t>
        </is>
      </c>
    </row>
    <row r="72">
      <c r="A72" s="10" t="inlineStr">
        <is>
          <t>A-11</t>
        </is>
      </c>
      <c r="B72" s="11" t="inlineStr">
        <is>
          <t>Wyszukiwarka wolnych domen</t>
        </is>
      </c>
      <c r="C72" s="10" t="inlineStr">
        <is>
          <t>audyt</t>
        </is>
      </c>
      <c r="D72" s="10" t="inlineStr">
        <is>
          <t>A — Domeny i konta</t>
        </is>
      </c>
      <c r="E72" s="10" t="inlineStr">
        <is>
          <t>WYSOKA</t>
        </is>
      </c>
      <c r="F72" s="10" t="n">
        <v>6</v>
      </c>
      <c r="G72" s="10" t="n">
        <v>14</v>
      </c>
      <c r="H72" s="10" t="inlineStr">
        <is>
          <t>Faza 2 — Odzyskanie funkcji-widm i luki pierwszego tygodnia</t>
        </is>
      </c>
      <c r="I72" s="10" t="inlineStr">
        <is>
          <t>2026-11-30</t>
        </is>
      </c>
      <c r="J72" s="10" t="inlineStr">
        <is>
          <t>2026-12-04</t>
        </is>
      </c>
      <c r="K72" s="10" t="inlineStr">
        <is>
          <t>FLAGA</t>
        </is>
      </c>
      <c r="L72" s="11" t="inlineStr">
        <is>
          <t>domains.controller.ts:54</t>
        </is>
      </c>
      <c r="M72" s="11" t="inlineStr">
        <is>
          <t>—</t>
        </is>
      </c>
      <c r="N72" s="11" t="inlineStr">
        <is>
          <t>Wartość domyślna włączona albo check w live-readiness pilnuje konfiguracji — flaga nie może po cichu wyłączyć funkcji.</t>
        </is>
      </c>
      <c r="O72" s="11" t="inlineStr"/>
      <c r="P72" s="10" t="inlineStr">
        <is>
          <t>do zrobienia</t>
        </is>
      </c>
    </row>
    <row r="73">
      <c r="A73" s="10" t="inlineStr">
        <is>
          <t>C-11</t>
        </is>
      </c>
      <c r="B73" s="11" t="inlineStr">
        <is>
          <t>Spakowanie do archiwum</t>
        </is>
      </c>
      <c r="C73" s="10" t="inlineStr">
        <is>
          <t>audyt</t>
        </is>
      </c>
      <c r="D73" s="10" t="inlineStr">
        <is>
          <t>C — Pliki, FTP, SSH, Git</t>
        </is>
      </c>
      <c r="E73" s="10" t="inlineStr">
        <is>
          <t>ŚREDNIA</t>
        </is>
      </c>
      <c r="F73" s="10" t="n">
        <v>6</v>
      </c>
      <c r="G73" s="10" t="n">
        <v>14</v>
      </c>
      <c r="H73" s="10" t="inlineStr">
        <is>
          <t>Faza 2 — Odzyskanie funkcji-widm i luki pierwszego tygodnia</t>
        </is>
      </c>
      <c r="I73" s="10" t="inlineStr">
        <is>
          <t>2026-11-30</t>
        </is>
      </c>
      <c r="J73" s="10" t="inlineStr">
        <is>
          <t>2026-12-04</t>
        </is>
      </c>
      <c r="K73" s="10" t="inlineStr">
        <is>
          <t>BRAK</t>
        </is>
      </c>
      <c r="L73" s="11" t="inlineStr">
        <is>
          <t>files.service.ts:320 — tylko extract</t>
        </is>
      </c>
      <c r="M73" s="11" t="inlineStr">
        <is>
          <t>—</t>
        </is>
      </c>
      <c r="N73" s="11" t="inlineStr">
        <is>
          <t>Funkcja dostępna z panelu klienta bez wychodzenia do DirectAdmina; test uruchamiany w CI.</t>
        </is>
      </c>
      <c r="O73" s="11" t="inlineStr">
        <is>
          <t>standard we wszystkich panelach</t>
        </is>
      </c>
      <c r="P73" s="10" t="inlineStr">
        <is>
          <t>do zrobienia</t>
        </is>
      </c>
    </row>
    <row r="74">
      <c r="A74" s="10" t="inlineStr">
        <is>
          <t>NODE-03</t>
        </is>
      </c>
      <c r="B74" s="11" t="inlineStr">
        <is>
          <t>Pojemność węzła nigdy się nie odświeża</t>
        </is>
      </c>
      <c r="C74" s="10" t="inlineStr">
        <is>
          <t>audyt</t>
        </is>
      </c>
      <c r="D74" s="10" t="inlineStr">
        <is>
          <t>Q — Przewaga</t>
        </is>
      </c>
      <c r="E74" s="10" t="inlineStr">
        <is>
          <t>ŚREDNIA</t>
        </is>
      </c>
      <c r="F74" s="10" t="n">
        <v>6</v>
      </c>
      <c r="G74" s="10" t="n">
        <v>14</v>
      </c>
      <c r="H74" s="10" t="inlineStr">
        <is>
          <t>Faza 2 — Odzyskanie funkcji-widm i luki pierwszego tygodnia</t>
        </is>
      </c>
      <c r="I74" s="10" t="inlineStr">
        <is>
          <t>2026-11-30</t>
        </is>
      </c>
      <c r="J74" s="10" t="inlineStr">
        <is>
          <t>2026-12-04</t>
        </is>
      </c>
      <c r="K74" s="10" t="inlineStr">
        <is>
          <t>BRAK</t>
        </is>
      </c>
      <c r="L74" s="11" t="inlineStr">
        <is>
          <t>`schema.prisma:454` wobec `telemetry.service.ts:48-72`</t>
        </is>
      </c>
      <c r="M74" s="11" t="inlineStr">
        <is>
          <t>—</t>
        </is>
      </c>
      <c r="N74" s="11" t="inlineStr">
        <is>
          <t>Funkcja dostępna z panelu klienta bez wychodzenia do DirectAdmina; test uruchamiany w CI.</t>
        </is>
      </c>
      <c r="O74" s="11" t="inlineStr">
        <is>
          <t>Przepisane do macierzy 2026-08-28 w ramach X-49 — pozycja powstala 2026-08-26 i do tego dnia istniala WYLACZNIE w dashboardzie, poza zasiegiem straznikow repozytorium. Obszar: instalator węzła. Krytycznosc i naklad zostaly puste SWIADOMIE: dashboard ich nie niosl, a wpisanie ich teraz byloby zgadywaniem. Do uzupelnienia przy najblizszym przegladzie tej pozycji. | TRESC ZE ZRODLA: Pojemność węzła nigdy się nie odświeża. `totalCpuCores`/`totalMemoryMb`/`totalDiskMb` ustawiane wyłącznie w handshake; telemetria ich nie aktualizuje — mimo komentarza w schemacie „reported via handshake / heartbeat”. Rozbudowa węzła nie dociera do `NodeSelector`. | WYCENA 2026-09-19: krytycznosc i naklad uzupelnione przy wznowieniu. Pozycje przepisane 2026-08-28 w ramach X-49 zostaly bez wyceny, przez co nie liczyly sie do budzetu godzin i nie stały w zadnym sprincie. Podstawa wyceny: Telemetria aktualizuje totalCpuCores/totalMemoryMb/totalDiskMb, nie tylko handshake.</t>
        </is>
      </c>
      <c r="P74" s="10" t="inlineStr">
        <is>
          <t>do zrobienia</t>
        </is>
      </c>
    </row>
    <row r="75">
      <c r="A75" s="10" t="inlineStr">
        <is>
          <t>PB-08</t>
        </is>
      </c>
      <c r="B75" s="11" t="inlineStr">
        <is>
          <t>Pomiar: Consent Mode v2 + GTM + dedup event_id</t>
        </is>
      </c>
      <c r="C75" s="10" t="inlineStr">
        <is>
          <t>poza audytem</t>
        </is>
      </c>
      <c r="D75" s="10" t="inlineStr">
        <is>
          <t>Praca spoza audytu</t>
        </is>
      </c>
      <c r="E75" s="10" t="inlineStr">
        <is>
          <t>ŚREDNI</t>
        </is>
      </c>
      <c r="F75" s="10" t="n">
        <v>16</v>
      </c>
      <c r="G75" s="10" t="n">
        <v>14</v>
      </c>
      <c r="H75" s="10" t="inlineStr">
        <is>
          <t>Faza 2 — Odzyskanie funkcji-widm i luki pierwszego tygodnia</t>
        </is>
      </c>
      <c r="I75" s="10" t="inlineStr">
        <is>
          <t>2026-11-30</t>
        </is>
      </c>
      <c r="J75" s="10" t="inlineStr">
        <is>
          <t>2026-12-04</t>
        </is>
      </c>
      <c r="K75" s="10" t="inlineStr">
        <is>
          <t>—</t>
        </is>
      </c>
      <c r="L75" s="11" t="inlineStr">
        <is>
          <t>—</t>
        </is>
      </c>
      <c r="M75" s="11" t="inlineStr">
        <is>
          <t>—</t>
        </is>
      </c>
      <c r="N75" s="11" t="inlineStr">
        <is>
          <t>Zdarzenie zakupu dociera raz, nie dwa. Consent Mode nie blokuje pomiaru po zgodzie. Zweryfikowane w GTM Preview i w raporcie.</t>
        </is>
      </c>
      <c r="O75" s="11" t="inlineStr">
        <is>
          <t>Wdrożenie ustaleń z audytu pomiaru: www linkuje, panel działa, deduplikacja po event_id, cookie Domain=.verris.pl.</t>
        </is>
      </c>
      <c r="P75" s="10" t="inlineStr">
        <is>
          <t>do zrobienia</t>
        </is>
      </c>
    </row>
    <row r="76">
      <c r="A76" s="10" t="inlineStr">
        <is>
          <t>X-41</t>
        </is>
      </c>
      <c r="B76" s="11" t="inlineStr">
        <is>
          <t>Hardening egressu wisi w łańcuchu OUTPUT, a ruch kontenerów idzie przez FORWARD</t>
        </is>
      </c>
      <c r="C76" s="10" t="inlineStr">
        <is>
          <t>audyt</t>
        </is>
      </c>
      <c r="D76" s="10" t="inlineStr">
        <is>
          <t>X — Infrastruktura jakości</t>
        </is>
      </c>
      <c r="E76" s="10" t="inlineStr">
        <is>
          <t>WYSOKA</t>
        </is>
      </c>
      <c r="F76" s="10" t="n">
        <v>16</v>
      </c>
      <c r="G76" s="10" t="n">
        <v>15</v>
      </c>
      <c r="H76" s="10" t="inlineStr">
        <is>
          <t>Faza 3 — Wejście na rynek</t>
        </is>
      </c>
      <c r="I76" s="10" t="inlineStr">
        <is>
          <t>2026-12-07</t>
        </is>
      </c>
      <c r="J76" s="10" t="inlineStr">
        <is>
          <t>2026-12-11</t>
        </is>
      </c>
      <c r="K76" s="10" t="inlineStr">
        <is>
          <t>CZĘŚCIOWE</t>
        </is>
      </c>
      <c r="L76" s="11" t="inlineStr">
        <is>
          <t>obserwacja wpięta w DOCKER-USER, 1674 pakiety zliczone, 0 DROP/REJECT</t>
        </is>
      </c>
      <c r="M76" s="11" t="inlineStr">
        <is>
          <t>—</t>
        </is>
      </c>
      <c r="N76" s="11" t="inlineStr">
        <is>
          <t>Ograniczenie opisane w uwagach macierzy zniknęło; test potwierdza zachowanie także w scenariuszu awaryjnym.</t>
        </is>
      </c>
      <c r="O76" s="11" t="inlineStr">
        <is>
          <t>Przepisane do macierzy 2026-08-28 w ramach X-49 — pozycja powstala 2026-08-25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Cały hardening egressu wisi w łańcuchu OUTPUT. Ruch kontenerów idzie przez FORWARD → DOCKER-USER, więc egress całego produktu był poza zasięgiem zabezpieczenia, które wyglądało, jakby go obejmowało. | WYCENA 2026-09-19: krytycznosc i naklad uzupelnione przy wznowieniu. Pozycje przepisane 2026-08-28 w ramach X-49 zostaly bez wyceny, przez co nie liczyly sie do budzetu godzin i nie stały w zadnym sprincie. Podstawa wyceny: Obserwacja w DOCKER-USER juz stoi (1674 pakiety, 0 DROP). Zostaje egzekwowanie: przeniesienie regul z OUTPUT do FORWARD/DOCKER-USER razem z SEC-01.</t>
        </is>
      </c>
      <c r="P76" s="10" t="inlineStr">
        <is>
          <t>do zrobienia</t>
        </is>
      </c>
    </row>
    <row r="77">
      <c r="A77" s="10" t="inlineStr">
        <is>
          <t>SEC-03</t>
        </is>
      </c>
      <c r="B77" s="11" t="inlineStr">
        <is>
          <t>Ruch poza TCP/80 i TCP/443 — DNS (UDP/53), SMTP — nie jest objęty ani obserwacją z X-41, ani trybem strict</t>
        </is>
      </c>
      <c r="C77" s="10" t="inlineStr">
        <is>
          <t>audyt</t>
        </is>
      </c>
      <c r="D77" s="10" t="inlineStr">
        <is>
          <t>G — SSL i bezpieczeństwo</t>
        </is>
      </c>
      <c r="E77" s="10" t="inlineStr">
        <is>
          <t>WYSOKA</t>
        </is>
      </c>
      <c r="F77" s="10" t="n">
        <v>16</v>
      </c>
      <c r="G77" s="10" t="n">
        <v>15</v>
      </c>
      <c r="H77" s="10" t="inlineStr">
        <is>
          <t>Faza 3 — Wejście na rynek</t>
        </is>
      </c>
      <c r="I77" s="10" t="inlineStr">
        <is>
          <t>2026-12-07</t>
        </is>
      </c>
      <c r="J77" s="10" t="inlineStr">
        <is>
          <t>2026-12-11</t>
        </is>
      </c>
      <c r="K77" s="10" t="inlineStr">
        <is>
          <t>BRAK</t>
        </is>
      </c>
      <c r="L77" s="11" t="inlineStr">
        <is>
          <t>zakres reguł w `security-control-plane-egress.sh`</t>
        </is>
      </c>
      <c r="M77" s="11" t="inlineStr">
        <is>
          <t>—</t>
        </is>
      </c>
      <c r="N77" s="11" t="inlineStr">
        <is>
          <t>Funkcja dostępna z panelu klienta bez wychodzenia do DirectAdmina; test uruchamiany w CI.</t>
        </is>
      </c>
      <c r="O77" s="11" t="inlineStr">
        <is>
          <t>Przepisane do macierzy 2026-08-28 w ramach X-49 — pozycja powstala 2026-08-26 i do tego dnia istniala WYLACZNIE w dashboardzie, poza zasiegiem straznikow repozytorium. Obszar: egress. Krytycznosc i naklad zostaly puste SWIADOMIE: dashboard ich nie niosl, a wpisanie ich teraz byloby zgadywaniem. Do uzupelnienia przy najblizszym przegladzie tej pozycji. | TRESC ZE ZRODLA: Ruch poza TCP/80 i TCP/443 — DNS (UDP/53), SMTP — nie jest objęty ani obserwacją z X-41, ani trybem strict. | WYCENA 2026-09-19: krytycznosc i naklad uzupelnione przy wznowieniu. Pozycje przepisane 2026-08-28 w ramach X-49 zostaly bez wyceny, przez co nie liczyly sie do budzetu godzin i nie stały w zadnym sprincie. Podstawa wyceny: Rozszerzenie obserwacji i trybu strict na UDP/53 i SMTP — nowe lancuchy, nowe zbiory, nowy zakres testu.</t>
        </is>
      </c>
      <c r="P77" s="10" t="inlineStr">
        <is>
          <t>do zrobienia</t>
        </is>
      </c>
    </row>
    <row r="78">
      <c r="A78" s="10" t="inlineStr">
        <is>
          <t>SEC-05</t>
        </is>
      </c>
      <c r="B78" s="11" t="inlineStr">
        <is>
          <t>Log egressu jest próbką, nie zapisem</t>
        </is>
      </c>
      <c r="C78" s="10" t="inlineStr">
        <is>
          <t>audyt</t>
        </is>
      </c>
      <c r="D78" s="10" t="inlineStr">
        <is>
          <t>G — SSL i bezpieczeństwo</t>
        </is>
      </c>
      <c r="E78" s="10" t="inlineStr">
        <is>
          <t>WYSOKA</t>
        </is>
      </c>
      <c r="F78" s="10" t="n">
        <v>6</v>
      </c>
      <c r="G78" s="10" t="n">
        <v>16</v>
      </c>
      <c r="H78" s="10" t="inlineStr">
        <is>
          <t>Faza 3 — Wejście na rynek</t>
        </is>
      </c>
      <c r="I78" s="10" t="inlineStr">
        <is>
          <t>2026-12-14</t>
        </is>
      </c>
      <c r="J78" s="10" t="inlineStr">
        <is>
          <t>2026-12-18</t>
        </is>
      </c>
      <c r="K78" s="10" t="inlineStr">
        <is>
          <t>DZIAŁA</t>
        </is>
      </c>
      <c r="L78" s="11" t="inlineStr">
        <is>
          <t>ops/scripts/security-control-plane-egress.sh — apply_egress_seen: lancuch VERRIS_EGRESS_SEEN (pierwszy w OUTPUT) dopisuje KAZDE nowe polaczenie TCP/UDP do ipset verris_egress_seen (hash:ip,port, okno 7 dni, bez -m limit); apply_forward_observe — to samo dla kontenerow (verris_egress_seen_fwd); --pomiar — raport z ipset z flaga allowlisty; test apps/api/src/test/egress-strict-naprawde-blokuje.spec.ts</t>
        </is>
      </c>
      <c r="M78" s="11" t="inlineStr">
        <is>
          <t>—</t>
        </is>
      </c>
      <c r="N78" s="11" t="inlineStr">
        <is>
          <t>Funkcja dostępna z panelu klienta bez wychodzenia do DirectAdmina; test uruchamiany w CI.</t>
        </is>
      </c>
      <c r="O78" s="11" t="inlineStr">
        <is>
          <t>Przepisane do macierzy 2026-08-28 w ramach X-49 — pozycja powstala 2026-08-26 i do tego dnia istniala WYLACZNIE w dashboardzie, poza zasiegiem straznikow repozytorium. Obszar: obserwowalność. Krytycznosc i naklad zostaly puste SWIADOMIE: dashboard ich nie niosl, a wpisanie ich teraz byloby zgadywaniem. Do uzupelnienia przy najblizszym przegladzie tej pozycji. | TRESC ZE ZRODLA: Log egressu jest próbką, nie zapisem. Licznik iptables pokazuje ~1,81 mln pakietów przez łańcuch strict, a w journalu jest 1796 wpisów z 48 h — reguła logująca ma ogranicznik częstotliwości. Nieobecność celu w tym logu nie dowodzi, że host tam nie chodzi. Każda allowlista budowana na tym odczycie jest niepełna z definicji. | WYCENA 2026-09-19: krytycznosc i naklad uzupelnione przy wznowieniu. Pozycje przepisane 2026-08-28 w ramach X-49 zostaly bez wyceny, przez co nie liczyly sie do budzetu godzin i nie stały w zadnym sprincie. Podstawa wyceny: Zdjecie ogranicznika czestotliwosci z reguly logujacej albo przejscie na nflog z licznikami. WARUNEK WSTEPNY dla SEC-06: allowlista budowana na probce jest niepelna z definicji. | 2026-09-22 KOD (D1): zamiast zdejmowac ogranicznik z LOG (dysk/journal pod kazdym polaczeniem) — zapis celow w ipset w pamieci jadra. Obecnosc celu pewna, liczniki orientacyjne. D3: wlaczenie na control-plane (przebieg domyslny) i --pomiar po dobie. | 2026-09-22 D3: wlaczone na control-plane (09:23 UTC, przebieg domyslny po wdrozeniu 5c3fe99); --pomiar po kilku minutach pokazal pierwszy cel: 169.254.169.254,tcp:80 (metadane chmury, 2 nowe polaczenia) — cel, ktorego probkowany log nie wykazal. Pomiar kontenerow (FORWARD) wlaczy sie przy nastepnym --obserwuj-kontenery.</t>
        </is>
      </c>
      <c r="P78" s="10" t="inlineStr">
        <is>
          <t>do zrobienia</t>
        </is>
      </c>
    </row>
    <row r="79">
      <c r="A79" s="10" t="inlineStr">
        <is>
          <t>SEC-04</t>
        </is>
      </c>
      <c r="B79" s="11" t="inlineStr">
        <is>
          <t>Host rozmawia z kontenerami przez OUTPUT — ruch wewnętrzny liczony jako egress</t>
        </is>
      </c>
      <c r="C79" s="10" t="inlineStr">
        <is>
          <t>audyt</t>
        </is>
      </c>
      <c r="D79" s="10" t="inlineStr">
        <is>
          <t>G — SSL i bezpieczeństwo</t>
        </is>
      </c>
      <c r="E79" s="10" t="inlineStr">
        <is>
          <t>WYSOKA</t>
        </is>
      </c>
      <c r="F79" s="10" t="n">
        <v>6</v>
      </c>
      <c r="G79" s="10" t="n">
        <v>16</v>
      </c>
      <c r="H79" s="10" t="inlineStr">
        <is>
          <t>Faza 3 — Wejście na rynek</t>
        </is>
      </c>
      <c r="I79" s="10" t="inlineStr">
        <is>
          <t>2026-12-14</t>
        </is>
      </c>
      <c r="J79" s="10" t="inlineStr">
        <is>
          <t>2026-12-18</t>
        </is>
      </c>
      <c r="K79" s="10" t="inlineStr">
        <is>
          <t>CZĘŚCIOWE</t>
        </is>
      </c>
      <c r="L79" s="11" t="inlineStr">
        <is>
          <t>security-control-plane-egress.sh — RETURN dla -o lo/docker0/br-+ w VERRIS_EGRESS_STRICT i br-+ w VERRIS_EGRESS_BOGON przed DROP; test apps/api/src/test/egress-strict-naprawde-blokuje.spec.ts</t>
        </is>
      </c>
      <c r="M79" s="11" t="inlineStr">
        <is>
          <t>—</t>
        </is>
      </c>
      <c r="N79" s="11" t="inlineStr">
        <is>
          <t>Ograniczenie opisane w uwagach macierzy zniknęło; test potwierdza zachowanie także w scenariuszu awaryjnym.</t>
        </is>
      </c>
      <c r="O79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Host rozmawia z kontenerami przez OUTPUT. W logu egressu są wpisy `DST=172.19.0.3` na portach 443 i 80 — czyli ruch host → kontener. Reguła `DROP` trybu strict odrzuca wszystko spoza ipsetu, a adresy sieci Dockera w ipsecie nie są i być nie powinny. Włączenie strict bez wyjątku dla `172.16.0.0/12` zerwałoby to połączenie. | WYCENA 2026-09-19: krytycznosc i naklad uzupelnione przy wznowieniu. Pozycje przepisane 2026-08-28 w ramach X-49 zostaly bez wyceny, przez co nie liczyly sie do budzetu godzin i nie stały w zadnym sprincie. Podstawa wyceny: Wyjatek dla 172.16.0.0/12 w regule OUTPUT. Sama zmiana jest mala, ale bez niej wlaczenie strict zrywa polaczenie host-kontener. | 2026-09-22 KOD (D1): wyjatek po interfejsie (mostki Dockera), nie po CIDR — 172.16.0.0/12 zostaje w bogonach dla ruchu, ktory NIE idzie do kontenera. Przy okazji: lancuch BOGON zwalnial tylko docker0, a sieci compose to br-&lt;id&gt; w 172.18-172.20 — host-&gt;kontener na 443 wpadlby w DROP bogonow. D3 przy wlaczeniu strict (sprint 9).</t>
        </is>
      </c>
      <c r="P79" s="10" t="inlineStr">
        <is>
          <t>do zrobienia</t>
        </is>
      </c>
    </row>
    <row r="80">
      <c r="A80" s="10" t="inlineStr">
        <is>
          <t>SEC-01</t>
        </is>
      </c>
      <c r="B80" s="11" t="inlineStr">
        <is>
          <t>Tryb `--strict` jest atrapą</t>
        </is>
      </c>
      <c r="C80" s="10" t="inlineStr">
        <is>
          <t>audyt</t>
        </is>
      </c>
      <c r="D80" s="10" t="inlineStr">
        <is>
          <t>G — SSL i bezpieczeństwo</t>
        </is>
      </c>
      <c r="E80" s="10" t="inlineStr">
        <is>
          <t>WYSOKA</t>
        </is>
      </c>
      <c r="F80" s="10" t="n">
        <v>16</v>
      </c>
      <c r="G80" s="10" t="n">
        <v>16</v>
      </c>
      <c r="H80" s="10" t="inlineStr">
        <is>
          <t>Faza 3 — Wejście na rynek</t>
        </is>
      </c>
      <c r="I80" s="10" t="inlineStr">
        <is>
          <t>2026-12-14</t>
        </is>
      </c>
      <c r="J80" s="10" t="inlineStr">
        <is>
          <t>2026-12-18</t>
        </is>
      </c>
      <c r="K80" s="10" t="inlineStr">
        <is>
          <t>CZĘŚCIOWE</t>
        </is>
      </c>
      <c r="L80" s="11" t="inlineStr">
        <is>
          <t>security-control-plane-egress.sh — apply_strict_allowlist: DROP bez testu cgroup, kontrola po fakcie (iptables -S; brak reguly = exit 1), warunek wstepny sprawdz_pomiar_przed_strict (&gt;= POMIAR_MIN_DNI dni pomiaru i zero celow 80/443 spoza allowlisty, inaczej exit 1 z lista celow), --wymus-strict; security-install-verris-security.sh — usuniete automatyczne --strict || true; test behawioralny apps/api/src/test/egress-strict-naprawde-blokuje.spec.ts (prawdziwy skrypt na atrapach iptables/ipset, te same flagi powloki)</t>
        </is>
      </c>
      <c r="M80" s="11" t="inlineStr">
        <is>
          <t>—</t>
        </is>
      </c>
      <c r="N80" s="11" t="inlineStr">
        <is>
          <t>Ograniczenie opisane w uwagach macierzy zniknęło; test potwierdza zachowanie także w scenariuszu awaryjnym.</t>
        </is>
      </c>
      <c r="O80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Tryb `--strict` jest atrapą. Trzy niezależne wyciszenia jedno po drugim: reguła `DROP` zagnieżdżona w teście dopasowania cgroup (na tym jądrze niedostępnego), skrypt kończy się `WARN` i kodem 0, a instalator woła go z `|| true`. Wyjątek cgroup miał przepuszczać ruch kontenerów — który do OUTPUT w ogóle nie dociera (patrz X-41). | WYCENA 2026-09-19: krytycznosc i naklad uzupelnione przy wznowieniu. Pozycje przepisane 2026-08-28 w ramach X-49 zostaly bez wyceny, przez co nie liczyly sie do budzetu godzin i nie stały w zadnym sprincie. Podstawa wyceny: DROP musi realnie obowiazywac: przebudowa security-control-plane-egress.sh bez zagniezdzenia w tescie cgroup, bez "|| true" w instalatorze, plus straznik zachowaniowy na wzor X-34 (atrapa wielkosci produkcyjnej, te same flagi powloki). | 2026-09-22 KOD (D1): trzy wyciszenia usuniete. Wyjatek cgroup byl zbedny — ruch kontenerow nie przechodzi przez OUTPUT (X-41). Strict przestal byc nieszkodliwy, dlatego warunek wstepny laczy SEC-05 (pomiar) z SEC-06 (allowlista z tego, co host robi): nie da sie go wlaczyc na slepo. D3 dopiero przy wlaczeniu na control-plane w sprincie 9, po tygodniu pomiaru.</t>
        </is>
      </c>
      <c r="P80" s="10" t="inlineStr">
        <is>
          <t>do zrobienia</t>
        </is>
      </c>
    </row>
    <row r="81">
      <c r="A81" s="10" t="inlineStr">
        <is>
          <t>SEC-06</t>
        </is>
      </c>
      <c r="B81" s="11" t="inlineStr">
        <is>
          <t>Allowlista pokrywa to, o czym ktoś pomyślał, nie to, co host robi</t>
        </is>
      </c>
      <c r="C81" s="10" t="inlineStr">
        <is>
          <t>audyt</t>
        </is>
      </c>
      <c r="D81" s="10" t="inlineStr">
        <is>
          <t>G — SSL i bezpieczeństwo</t>
        </is>
      </c>
      <c r="E81" s="10" t="inlineStr">
        <is>
          <t>WYSOKA</t>
        </is>
      </c>
      <c r="F81" s="10" t="n">
        <v>16</v>
      </c>
      <c r="G81" s="10" t="n">
        <v>16</v>
      </c>
      <c r="H81" s="10" t="inlineStr">
        <is>
          <t>Faza 3 — Wejście na rynek</t>
        </is>
      </c>
      <c r="I81" s="10" t="inlineStr">
        <is>
          <t>2026-12-14</t>
        </is>
      </c>
      <c r="J81" s="10" t="inlineStr">
        <is>
          <t>2026-12-18</t>
        </is>
      </c>
      <c r="K81" s="10" t="inlineStr">
        <is>
          <t>BRAK</t>
        </is>
      </c>
      <c r="L81" s="11" t="inlineStr">
        <is>
          <t>ipset test verris_egress_https na 4 celach z logu egressu</t>
        </is>
      </c>
      <c r="M81" s="11" t="inlineStr">
        <is>
          <t>—</t>
        </is>
      </c>
      <c r="N81" s="11" t="inlineStr">
        <is>
          <t>Funkcja dostępna z panelu klienta bez wychodzenia do DirectAdmina; test uruchamiany w CI.</t>
        </is>
      </c>
      <c r="O81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Allowlista pokrywa to, o czym ktoś pomyślał, nie to, co host robi. Test `ipset` na celach z rzeczywistego ruchu: `sogo-repo.alinto.org` — BRAK, `static.77.118.180.157.clients.your-server.de` (120 pakietów, nierozpoznany) — BRAK. GitHub i `sa-update.surbl.org` — JEST. Włączenie `--strict` dziś odcięłoby repozytorium pakietów SOGo i nieznany host Hetznera. | WYCENA 2026-09-19: krytycznosc i naklad uzupelnione przy wznowieniu. Pozycje przepisane 2026-08-28 w ramach X-49 zostaly bez wyceny, przez co nie liczyly sie do budzetu godzin i nie stały w zadnym sprincie. Podstawa wyceny: Okres obserwacji na pelnym logu (po SEC-05) i zbudowanie allowlisty z tego, co host robi, a nie z tego, o czym ktos pomyslal. Koszt to glownie czas obserwacji, nie kod. | 2026-09-22 POMIAR RUSZYL (SEC-05, D3). Pierwszy cel spoza allowlisty: 169.254.169.254:80 — metadane chmury, siec link-local. Z hosta odcina go VERRIS_EGRESS_BOGON, wiec --pomiar oznacza go jako 'bogon' i nie liczy do warunku strict. OTWARTE PYTANIE (SSRF): kontenery ida przez FORWARD, gdzie bogonow nie ma — jesli z kontenera API da sie odpytac 169.254.169.254, to kazda funkcja pobierajaca URL od klienta (webhooki, sondy statusu, migrator) moze byc droga do metadanych serwera. Do sprawdzenia jednym poleceniem z kontenera; wynik decyduje, czy blokada metadanych w DOCKER-USER idzie przed sprint 9.</t>
        </is>
      </c>
      <c r="P81" s="10" t="inlineStr">
        <is>
          <t>do zrobienia</t>
        </is>
      </c>
    </row>
    <row r="82">
      <c r="A82" s="10" t="inlineStr">
        <is>
          <t>SEC-02</t>
        </is>
      </c>
      <c r="B82" s="11" t="inlineStr">
        <is>
          <t>Stripe jest w allowliście wyłącznie po nazwie, a ipset powstaje z rozwiązania nazw</t>
        </is>
      </c>
      <c r="C82" s="10" t="inlineStr">
        <is>
          <t>audyt</t>
        </is>
      </c>
      <c r="D82" s="10" t="inlineStr">
        <is>
          <t>G — SSL i bezpieczeństwo</t>
        </is>
      </c>
      <c r="E82" s="10" t="inlineStr">
        <is>
          <t>ŚREDNIA</t>
        </is>
      </c>
      <c r="F82" s="10" t="n">
        <v>6</v>
      </c>
      <c r="G82" s="10" t="n">
        <v>16</v>
      </c>
      <c r="H82" s="10" t="inlineStr">
        <is>
          <t>Faza 3 — Wejście na rynek</t>
        </is>
      </c>
      <c r="I82" s="10" t="inlineStr">
        <is>
          <t>2026-12-14</t>
        </is>
      </c>
      <c r="J82" s="10" t="inlineStr">
        <is>
          <t>2026-12-18</t>
        </is>
      </c>
      <c r="K82" s="10" t="inlineStr">
        <is>
          <t>BRAK</t>
        </is>
      </c>
      <c r="L82" s="11" t="inlineStr">
        <is>
          <t>`egress-allow-hostnames.txt`; ipset `verris_egress_https` = 65 wpisów</t>
        </is>
      </c>
      <c r="M82" s="11" t="inlineStr">
        <is>
          <t>—</t>
        </is>
      </c>
      <c r="N82" s="11" t="inlineStr">
        <is>
          <t>Funkcja dostępna z panelu klienta bez wychodzenia do DirectAdmina; test uruchamiany w CI.</t>
        </is>
      </c>
      <c r="O82" s="11" t="inlineStr">
        <is>
          <t>Przepisane do macierzy 2026-08-28 w ramach X-49 — pozycja powstala 2026-08-26 i do tego dnia istniala WYLACZNIE w dashboardzie, poza zasiegiem straznikow repozytorium. Obszar: egress / płatności. Krytycznosc i naklad zostaly puste SWIADOMIE: dashboard ich nie niosl, a wpisanie ich teraz byloby zgadywaniem. Do uzupelnienia przy najblizszym przegladzie tej pozycji. | TRESC ZE ZRODLA: Stripe jest w allowliście wyłącznie po nazwie, a ipset powstaje z rozwiązania nazw. Adresy Stripe rotują (198.137.x / 198.202.x), więc zbiór starzeje się między uruchomieniami. | WYCENA 2026-09-19: krytycznosc i naklad uzupelnione przy wznowieniu. Pozycje przepisane 2026-08-28 w ramach X-49 zostaly bez wyceny, przez co nie liczyly sie do budzetu godzin i nie stały w zadnym sprincie. Podstawa wyceny: Odswiezanie ipsetu z opublikowanej listy adresow Stripe zamiast jednorazowego rozwiazania nazw; cron plus check w live-readiness.</t>
        </is>
      </c>
      <c r="P82" s="10" t="inlineStr">
        <is>
          <t>do zrobienia</t>
        </is>
      </c>
    </row>
    <row r="83">
      <c r="A83" s="10" t="inlineStr">
        <is>
          <t>P-15</t>
        </is>
      </c>
      <c r="B83" s="11" t="inlineStr">
        <is>
          <t>Podpisane DPA z subprocesorami (część)</t>
        </is>
      </c>
      <c r="C83" s="10" t="inlineStr">
        <is>
          <t>audyt</t>
        </is>
      </c>
      <c r="D83" s="10" t="inlineStr">
        <is>
          <t>P — Zgodność</t>
        </is>
      </c>
      <c r="E83" s="10" t="inlineStr">
        <is>
          <t>BLOKER STARTU</t>
        </is>
      </c>
      <c r="F83" s="10" t="n">
        <v>6</v>
      </c>
      <c r="G83" s="10" t="n">
        <v>17</v>
      </c>
      <c r="H83" s="10" t="inlineStr">
        <is>
          <t>Faza 3 — Wejście na rynek</t>
        </is>
      </c>
      <c r="I83" s="10" t="inlineStr">
        <is>
          <t>2026-12-21</t>
        </is>
      </c>
      <c r="J83" s="10" t="inlineStr">
        <is>
          <t>2026-12-25</t>
        </is>
      </c>
      <c r="K83" s="10" t="inlineStr">
        <is>
          <t>BRAK</t>
        </is>
      </c>
      <c r="L83" s="11" t="inlineStr">
        <is>
          <t>docs/legal/dpa-subprocessors-tracking.md — tabela statusow po korekcie 2026-09-19. Stripe i AWS: DPA obowiazuje z mocy umowy glownej. Hetzner i Openprovider: akceptacja w panelu, jeszcze nie wykonana. Cloudflare: mechanizm do potwierdzenia.</t>
        </is>
      </c>
      <c r="M83" s="11" t="inlineStr">
        <is>
          <t>—</t>
        </is>
      </c>
      <c r="N83" s="11" t="inlineStr">
        <is>
          <t>Funkcja dostępna z panelu klienta bez wychodzenia do DirectAdmina; test uruchamiany w CI.</t>
        </is>
      </c>
      <c r="O83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 | KOREKTA 2026-09-19: naklad M (16 h) -&gt; S (6 h) i pozycja w calosci w sprincie 4. Zalozenie "zalezy od tempa dostawcow, nie od nas" bylo NIEPRAWDZIWE i kosztowalo cztery tygodnie w planie: P-15 bylo rozbite na sprinty 4 i 10, przez co domkniecie blokerow stalo na 2026-11-02. Sprawdzone u zrodla: u zadnego z pieciu dostawcow nie trzeba nikogo prosic — trzy DPA obowiazuja z mocy umowy glownej (Stripe, AWS, warunkowo Cloudflare), dwa akceptuje sie kliknieciem w panelu (Hetzner accounts.hetzner.com/account/dpa, Openprovider control panel). Jedyna praca wlasna to Zalacznik 1 do DPA Hetznera: kategorie danych i krag osob, w tym UZYTKOWNICY KONCOWI SERWISOW KLIENTOW — najlatwiejsza do pominiecia i najwieksza grupa. Rownolegle poprawiona lista subprocesorow, ktora byla nieaktualna od 2026-07-07: wymieniala "dostawca VPS (OVH/Hetzner)" i "dostawca backupu" jako nierozstrzygniete oraz reCAPTCHA zamiast Turnstile.</t>
        </is>
      </c>
      <c r="P83" s="10" t="inlineStr">
        <is>
          <t>do zrobienia</t>
        </is>
      </c>
    </row>
    <row r="84">
      <c r="A84" s="10" t="inlineStr">
        <is>
          <t>PB-03</t>
        </is>
      </c>
      <c r="B84" s="11" t="inlineStr">
        <is>
          <t>Finalizacja dokumentów prawnych 1.0.0</t>
        </is>
      </c>
      <c r="C84" s="10" t="inlineStr">
        <is>
          <t>poza audytem</t>
        </is>
      </c>
      <c r="D84" s="10" t="inlineStr">
        <is>
          <t>Praca spoza audytu</t>
        </is>
      </c>
      <c r="E84" s="10" t="inlineStr">
        <is>
          <t>BLOKER BIZNESOWY</t>
        </is>
      </c>
      <c r="F84" s="10" t="n">
        <v>16</v>
      </c>
      <c r="G84" s="10" t="n">
        <v>17</v>
      </c>
      <c r="H84" s="10" t="inlineStr">
        <is>
          <t>Faza 3 — Wejście na rynek</t>
        </is>
      </c>
      <c r="I84" s="10" t="inlineStr">
        <is>
          <t>2026-12-21</t>
        </is>
      </c>
      <c r="J84" s="10" t="inlineStr">
        <is>
          <t>2026-12-25</t>
        </is>
      </c>
      <c r="K84" s="10" t="inlineStr">
        <is>
          <t>—</t>
        </is>
      </c>
      <c r="L84" s="11" t="inlineStr">
        <is>
          <t>—</t>
        </is>
      </c>
      <c r="M84" s="11" t="inlineStr">
        <is>
          <t>—</t>
        </is>
      </c>
      <c r="N84" s="11" t="inlineStr">
        <is>
          <t>Wszystkie dokumenty w statusie opublikowanym z numerem wersji i datą. Panel /legal nie pokazuje ani jednego „Dokument w przygotowaniu”.</t>
        </is>
      </c>
      <c r="O84" s="11" t="inlineStr">
        <is>
          <t>Regulamin, polityka prywatności, SLA, DPA, polityka cookies — wyjście z DRAFT-u, wersjonowanie i publikacja w panelu.</t>
        </is>
      </c>
      <c r="P84" s="10" t="inlineStr">
        <is>
          <t>do zrobienia</t>
        </is>
      </c>
    </row>
    <row r="85">
      <c r="A85" s="10" t="inlineStr">
        <is>
          <t>PB-04</t>
        </is>
      </c>
      <c r="B85" s="11" t="inlineStr">
        <is>
          <t>Procedura obsługi nadużyć (abuse) — dokument</t>
        </is>
      </c>
      <c r="C85" s="10" t="inlineStr">
        <is>
          <t>poza audytem</t>
        </is>
      </c>
      <c r="D85" s="10" t="inlineStr">
        <is>
          <t>Praca spoza audytu</t>
        </is>
      </c>
      <c r="E85" s="10" t="inlineStr">
        <is>
          <t>WYSOKI</t>
        </is>
      </c>
      <c r="F85" s="10" t="n">
        <v>8</v>
      </c>
      <c r="G85" s="10" t="n">
        <v>17</v>
      </c>
      <c r="H85" s="10" t="inlineStr">
        <is>
          <t>Faza 3 — Wejście na rynek</t>
        </is>
      </c>
      <c r="I85" s="10" t="inlineStr">
        <is>
          <t>2026-12-21</t>
        </is>
      </c>
      <c r="J85" s="10" t="inlineStr">
        <is>
          <t>2026-12-25</t>
        </is>
      </c>
      <c r="K85" s="10" t="inlineStr">
        <is>
          <t>—</t>
        </is>
      </c>
      <c r="L85" s="11" t="inlineStr">
        <is>
          <t>—</t>
        </is>
      </c>
      <c r="M85" s="11" t="inlineStr">
        <is>
          <t>—</t>
        </is>
      </c>
      <c r="N85" s="11" t="inlineStr">
        <is>
          <t>Dokument w ops/docs z właścicielem i czasami reakcji. Test: zgłoszenie wysłane na abuse@ trafia do kogoś i ma odpowiedź w deklarowanym czasie.</t>
        </is>
      </c>
      <c r="O85" s="11" t="inlineStr">
        <is>
          <t>Adres abuse@ obsługiwany, ścieżka od zgłoszenia do reakcji, czasy reakcji, kto decyduje o zawieszeniu, wzory odpowiedzi do CERT i rejestratorów.</t>
        </is>
      </c>
      <c r="P85" s="10" t="inlineStr">
        <is>
          <t>do zrobienia</t>
        </is>
      </c>
    </row>
    <row r="86">
      <c r="A86" s="10" t="inlineStr">
        <is>
          <t>N-16</t>
        </is>
      </c>
      <c r="B86" s="11" t="inlineStr">
        <is>
          <t>SLA z zapisanymi kredytami</t>
        </is>
      </c>
      <c r="C86" s="10" t="inlineStr">
        <is>
          <t>audyt</t>
        </is>
      </c>
      <c r="D86" s="10" t="inlineStr">
        <is>
          <t>N — Wsparcie i ops</t>
        </is>
      </c>
      <c r="E86" s="10" t="inlineStr">
        <is>
          <t>WYSOKA</t>
        </is>
      </c>
      <c r="F86" s="10" t="n">
        <v>6</v>
      </c>
      <c r="G86" s="10" t="n">
        <v>18</v>
      </c>
      <c r="H86" s="10" t="inlineStr">
        <is>
          <t>Faza 3 — Wejście na rynek</t>
        </is>
      </c>
      <c r="I86" s="10" t="inlineStr">
        <is>
          <t>2026-12-28</t>
        </is>
      </c>
      <c r="J86" s="10" t="inlineStr">
        <is>
          <t>2027-01-01</t>
        </is>
      </c>
      <c r="K86" s="10" t="inlineStr">
        <is>
          <t>FLAGA</t>
        </is>
      </c>
      <c r="L86" s="11" t="inlineStr">
        <is>
          <t>sla-credit.scheduler.ts:79 — if (!policy.enabled) return; SLA_CREDITS_ENABLED default '0' (platform-settings.keys.ts:116)</t>
        </is>
      </c>
      <c r="M86" s="11" t="inlineStr">
        <is>
          <t>PB-03 (kredyty SLA muszą być zgodne z opublikowanym regulaminem)</t>
        </is>
      </c>
      <c r="N86" s="11" t="inlineStr">
        <is>
          <t>Wartość domyślna włączona albo check w live-readiness pilnuje konfiguracji — flaga nie może po cichu wyłączyć funkcji.</t>
        </is>
      </c>
      <c r="O86" s="11" t="inlineStr">
        <is>
          <t>OSŁABIONE: funkcja jest domyślnie martwa, a live-readiness nie ma checka SLA — flaga może zostać wyłączona bez żadnego sygnału. Regulamin obiecuje kredyty, kod ich nie nalicza.</t>
        </is>
      </c>
      <c r="P86" s="10" t="inlineStr">
        <is>
          <t>do zrobienia</t>
        </is>
      </c>
    </row>
    <row r="87">
      <c r="A87" s="10" t="inlineStr">
        <is>
          <t>PB-07</t>
        </is>
      </c>
      <c r="B87" s="11" t="inlineStr">
        <is>
          <t>Treści i cennik na verris.pl</t>
        </is>
      </c>
      <c r="C87" s="10" t="inlineStr">
        <is>
          <t>poza audytem</t>
        </is>
      </c>
      <c r="D87" s="10" t="inlineStr">
        <is>
          <t>Praca spoza audytu</t>
        </is>
      </c>
      <c r="E87" s="10" t="inlineStr">
        <is>
          <t>WYSOKI</t>
        </is>
      </c>
      <c r="F87" s="10" t="n">
        <v>16</v>
      </c>
      <c r="G87" s="10" t="n">
        <v>18</v>
      </c>
      <c r="H87" s="10" t="inlineStr">
        <is>
          <t>Faza 3 — Wejście na rynek</t>
        </is>
      </c>
      <c r="I87" s="10" t="inlineStr">
        <is>
          <t>2026-12-28</t>
        </is>
      </c>
      <c r="J87" s="10" t="inlineStr">
        <is>
          <t>2027-01-01</t>
        </is>
      </c>
      <c r="K87" s="10" t="inlineStr">
        <is>
          <t>—</t>
        </is>
      </c>
      <c r="L87" s="11" t="inlineStr">
        <is>
          <t>—</t>
        </is>
      </c>
      <c r="M87" s="11" t="inlineStr">
        <is>
          <t>PB-01 (cennik zależy od unit economics)</t>
        </is>
      </c>
      <c r="N87" s="11" t="inlineStr">
        <is>
          <t>Cennik zgodny z wynikiem PB-01. Specyfikacja techniczna publiczna, jak u cyber_Folks — to jest element zaufania, którego rynek oczekuje.</t>
        </is>
      </c>
      <c r="O87" s="11" t="inlineStr">
        <is>
          <t>Strona główna, cennik, specyfikacja techniczna pakietu, strona SLA. Narracja: cena stała, bez skoku po roku.</t>
        </is>
      </c>
      <c r="P87" s="10" t="inlineStr">
        <is>
          <t>do zrobienia</t>
        </is>
      </c>
    </row>
    <row r="88">
      <c r="A88" s="10" t="inlineStr">
        <is>
          <t>PB-11</t>
        </is>
      </c>
      <c r="B88" s="11" t="inlineStr">
        <is>
          <t>Bus factor: drugi kanał alertów i procedura zastępstwa</t>
        </is>
      </c>
      <c r="C88" s="10" t="inlineStr">
        <is>
          <t>poza audytem</t>
        </is>
      </c>
      <c r="D88" s="10" t="inlineStr">
        <is>
          <t>Praca spoza audytu</t>
        </is>
      </c>
      <c r="E88" s="10" t="inlineStr">
        <is>
          <t>WYSOKI</t>
        </is>
      </c>
      <c r="F88" s="10" t="n">
        <v>8</v>
      </c>
      <c r="G88" s="10" t="n">
        <v>18</v>
      </c>
      <c r="H88" s="10" t="inlineStr">
        <is>
          <t>Faza 3 — Wejście na rynek</t>
        </is>
      </c>
      <c r="I88" s="10" t="inlineStr">
        <is>
          <t>2026-12-28</t>
        </is>
      </c>
      <c r="J88" s="10" t="inlineStr">
        <is>
          <t>2027-01-01</t>
        </is>
      </c>
      <c r="K88" s="10" t="inlineStr">
        <is>
          <t>—</t>
        </is>
      </c>
      <c r="L88" s="11" t="inlineStr">
        <is>
          <t>—</t>
        </is>
      </c>
      <c r="M88" s="11" t="inlineStr">
        <is>
          <t>—</t>
        </is>
      </c>
      <c r="N88" s="11" t="inlineStr">
        <is>
          <t>Alert testowy dociera dwoma kanałami. Dokument zastępstwa zawiera dostęp awaryjny i listę rzeczy, które muszą się dziać codziennie.</t>
        </is>
      </c>
      <c r="O88" s="11" t="inlineStr">
        <is>
          <t>Alerty na więcej niż jeden adres, przetestowane. Dokument: co robi ktoś inny, gdy Ciebie nie ma przez tydzień.</t>
        </is>
      </c>
      <c r="P88" s="10" t="inlineStr">
        <is>
          <t>do zrobienia</t>
        </is>
      </c>
    </row>
    <row r="89">
      <c r="A89" s="10" t="inlineStr">
        <is>
          <t>PB-20</t>
        </is>
      </c>
      <c r="B89" s="11" t="inlineStr">
        <is>
          <t>Tryb agencji: przełącznik klienta w menu bocznym</t>
        </is>
      </c>
      <c r="C89" s="10" t="inlineStr">
        <is>
          <t>poza audytem</t>
        </is>
      </c>
      <c r="D89" s="10" t="inlineStr">
        <is>
          <t>Praca spoza audytu</t>
        </is>
      </c>
      <c r="E89" s="10" t="inlineStr">
        <is>
          <t>ŚREDNI</t>
        </is>
      </c>
      <c r="F89" s="10" t="n">
        <v>16</v>
      </c>
      <c r="G89" s="10" t="n">
        <v>18</v>
      </c>
      <c r="H89" s="10" t="inlineStr">
        <is>
          <t>Faza 3 — Wejście na rynek</t>
        </is>
      </c>
      <c r="I89" s="10" t="inlineStr">
        <is>
          <t>2026-12-28</t>
        </is>
      </c>
      <c r="J89" s="10" t="inlineStr">
        <is>
          <t>2027-01-01</t>
        </is>
      </c>
      <c r="K89" s="10" t="inlineStr">
        <is>
          <t>—</t>
        </is>
      </c>
      <c r="L89" s="11" t="inlineStr">
        <is>
          <t>—</t>
        </is>
      </c>
      <c r="M89" s="11" t="inlineStr">
        <is>
          <t>—</t>
        </is>
      </c>
      <c r="N89" s="11" t="inlineStr">
        <is>
          <t>Decyzja o modelu zapisana w docs/VERRIS.md; przełącznik widoczny tylko dla kont z klientami; przełączenie zmienia kontekst usług, domen i płatności; guard uprawnień obejmuje nowe trasy (Z-04); testy w CI.</t>
        </is>
      </c>
      <c r="O89" s="11" t="inlineStr">
        <is>
          <t>Element makiety („Piekarnia Zdrój · klient · 3 usługi” nad menu): konto agencji/resellera przełącza się między swoimi klientami bez wylogowania. Wymaga decyzji, jak Reseller (white-label) mapuje klientów na konta i uprawnienia (IAM).</t>
        </is>
      </c>
      <c r="P89" s="10" t="inlineStr">
        <is>
          <t>do zrobienia</t>
        </is>
      </c>
    </row>
    <row r="90">
      <c r="A90" s="10" t="inlineStr">
        <is>
          <t>PB-06</t>
        </is>
      </c>
      <c r="B90" s="11" t="inlineStr">
        <is>
          <t>Landing /przenies-strone</t>
        </is>
      </c>
      <c r="C90" s="10" t="inlineStr">
        <is>
          <t>poza audytem</t>
        </is>
      </c>
      <c r="D90" s="10" t="inlineStr">
        <is>
          <t>Praca spoza audytu</t>
        </is>
      </c>
      <c r="E90" s="10" t="inlineStr">
        <is>
          <t>WYSOKI</t>
        </is>
      </c>
      <c r="F90" s="10" t="n">
        <v>16</v>
      </c>
      <c r="G90" s="10" t="n">
        <v>19</v>
      </c>
      <c r="H90" s="10" t="inlineStr">
        <is>
          <t>Faza 3 — Wejście na rynek</t>
        </is>
      </c>
      <c r="I90" s="10" t="inlineStr">
        <is>
          <t>2027-01-04</t>
        </is>
      </c>
      <c r="J90" s="10" t="inlineStr">
        <is>
          <t>2027-01-08</t>
        </is>
      </c>
      <c r="K90" s="10" t="inlineStr">
        <is>
          <t>—</t>
        </is>
      </c>
      <c r="L90" s="11" t="inlineStr">
        <is>
          <t>—</t>
        </is>
      </c>
      <c r="M90" s="11" t="inlineStr">
        <is>
          <t>PB-07 (landing korzysta z ustalonego cennika)</t>
        </is>
      </c>
      <c r="N90" s="11" t="inlineStr">
        <is>
          <t>Strona opublikowana, pomiar działa, formularz i CTA prowadzą do rejestracji. Żadne twierdzenie na stronie nie jest oznaczone w macierzy jako LUKA lub ATRAPA.</t>
        </is>
      </c>
      <c r="O90" s="11" t="inlineStr">
        <is>
          <t>Strona docelowa kampanii Google Ads na osi migracji. Treść oparta na realnych przewagach z audytu, nie na obietnicach.</t>
        </is>
      </c>
      <c r="P90" s="10" t="inlineStr">
        <is>
          <t>do zrobienia</t>
        </is>
      </c>
    </row>
    <row r="91">
      <c r="A91" s="10" t="inlineStr">
        <is>
          <t>PB-09</t>
        </is>
      </c>
      <c r="B91" s="11" t="inlineStr">
        <is>
          <t>Baza wiedzy — 20 artykułów startowych</t>
        </is>
      </c>
      <c r="C91" s="10" t="inlineStr">
        <is>
          <t>poza audytem</t>
        </is>
      </c>
      <c r="D91" s="10" t="inlineStr">
        <is>
          <t>Praca spoza audytu</t>
        </is>
      </c>
      <c r="E91" s="10" t="inlineStr">
        <is>
          <t>ŚREDNI</t>
        </is>
      </c>
      <c r="F91" s="10" t="n">
        <v>16</v>
      </c>
      <c r="G91" s="10" t="n">
        <v>19</v>
      </c>
      <c r="H91" s="10" t="inlineStr">
        <is>
          <t>Faza 3 — Wejście na rynek</t>
        </is>
      </c>
      <c r="I91" s="10" t="inlineStr">
        <is>
          <t>2027-01-04</t>
        </is>
      </c>
      <c r="J91" s="10" t="inlineStr">
        <is>
          <t>2027-01-08</t>
        </is>
      </c>
      <c r="K91" s="10" t="inlineStr">
        <is>
          <t>—</t>
        </is>
      </c>
      <c r="L91" s="11" t="inlineStr">
        <is>
          <t>—</t>
        </is>
      </c>
      <c r="M91" s="11" t="inlineStr">
        <is>
          <t>—</t>
        </is>
      </c>
      <c r="N91" s="11" t="inlineStr">
        <is>
          <t>20 artykułów opublikowanych i zaindeksowanych do asystenta AI. Każdy opisuje funkcję, która w macierzy ma status DZIAŁA.</t>
        </is>
      </c>
      <c r="O91" s="11" t="inlineStr">
        <is>
          <t>Artykuły pokrywające najczęstsze pytania pierwszego tygodnia: skierowanie domeny, SSL, poczta, FTP, backup, migracja, faktury.</t>
        </is>
      </c>
      <c r="P91" s="10" t="inlineStr">
        <is>
          <t>do zrobienia</t>
        </is>
      </c>
    </row>
    <row r="92">
      <c r="A92" s="10" t="inlineStr">
        <is>
          <t>PB-19</t>
        </is>
      </c>
      <c r="B92" s="11" t="inlineStr">
        <is>
          <t>Widok strony: ruch, TTFB, błędy 5xx, technologia i logi z węzła</t>
        </is>
      </c>
      <c r="C92" s="10" t="inlineStr">
        <is>
          <t>poza audytem</t>
        </is>
      </c>
      <c r="D92" s="10" t="inlineStr">
        <is>
          <t>Praca spoza audytu</t>
        </is>
      </c>
      <c r="E92" s="10" t="inlineStr">
        <is>
          <t>ŚREDNI</t>
        </is>
      </c>
      <c r="F92" s="10" t="n">
        <v>24</v>
      </c>
      <c r="G92" s="10" t="n">
        <v>19</v>
      </c>
      <c r="H92" s="10" t="inlineStr">
        <is>
          <t>Faza 3 — Wejście na rynek</t>
        </is>
      </c>
      <c r="I92" s="10" t="inlineStr">
        <is>
          <t>2027-01-04</t>
        </is>
      </c>
      <c r="J92" s="10" t="inlineStr">
        <is>
          <t>2027-01-08</t>
        </is>
      </c>
      <c r="K92" s="10" t="inlineStr">
        <is>
          <t>—</t>
        </is>
      </c>
      <c r="L92" s="11" t="inlineStr">
        <is>
          <t>—</t>
        </is>
      </c>
      <c r="M92" s="11" t="inlineStr">
        <is>
          <t>—</t>
        </is>
      </c>
      <c r="N92" s="11" t="inlineStr">
        <is>
          <t>Na działającym węźle produkcyjnym: widok strony pokazuje ruch 7 dni, TTFB i 5xx z prawdziwych logów, wykrytą technologię i zakładkę „Logi”; brak danych = „—”, nie zero; testy parsera logów i detekcji technologii w CI; sprawdzone na D3 (serwer).</t>
        </is>
      </c>
      <c r="O92" s="11" t="inlineStr">
        <is>
          <t>Braki makiety widoku strony (docs/design/wzorzec-panelu.html), których API nie ma, bo wymagają węzła: (1) odwiedziny, mediana TTFB i błędy 5xx per domena z logów serwera WWW przez agenta; (2) rozpoznanie technologii strony (WordPress, PrestaShop, Laravel, HTML, przekierowanie) skanem plików i narzędzia dopasowane do technologii; (3) zakładka „Logi” — log błędów i dostępu per domena. Dziś panel pokazuje tylko to, co realnie istnieje (docs/VERRIS.md, sekcja „Otwarte”).</t>
        </is>
      </c>
      <c r="P92" s="10" t="inlineStr">
        <is>
          <t>do zrobienia</t>
        </is>
      </c>
    </row>
    <row r="93">
      <c r="A93" s="10" t="inlineStr">
        <is>
          <t>PB-10</t>
        </is>
      </c>
      <c r="B93" s="11" t="inlineStr">
        <is>
          <t>Kampania gads-search-hosting-202607 — uruchomienie</t>
        </is>
      </c>
      <c r="C93" s="10" t="inlineStr">
        <is>
          <t>poza audytem</t>
        </is>
      </c>
      <c r="D93" s="10" t="inlineStr">
        <is>
          <t>Praca spoza audytu</t>
        </is>
      </c>
      <c r="E93" s="10" t="inlineStr">
        <is>
          <t>ŚREDNI</t>
        </is>
      </c>
      <c r="F93" s="10" t="n">
        <v>8</v>
      </c>
      <c r="G93" s="10" t="n">
        <v>20</v>
      </c>
      <c r="H93" s="10" t="inlineStr"/>
      <c r="I93" s="10" t="inlineStr">
        <is>
          <t>2027-01-11</t>
        </is>
      </c>
      <c r="J93" s="10" t="inlineStr">
        <is>
          <t>2027-01-15</t>
        </is>
      </c>
      <c r="K93" s="10" t="inlineStr">
        <is>
          <t>—</t>
        </is>
      </c>
      <c r="L93" s="11" t="inlineStr">
        <is>
          <t>—</t>
        </is>
      </c>
      <c r="M93" s="11" t="inlineStr">
        <is>
          <t>PB-06 (kampania kieruje na landing)</t>
        </is>
      </c>
      <c r="N93" s="11" t="inlineStr">
        <is>
          <t>Kampania utworzona wstrzymana, konwersje podpięte, budżet i stawki ustawione. Start dopiero po PB-05.</t>
        </is>
      </c>
      <c r="O93" s="11" t="inlineStr">
        <is>
          <t>Konfiguracja kampanii wyszukiwarkowej, budżet 500–1000 zł/mies., oś przekazu: migracja bez przestoju.</t>
        </is>
      </c>
      <c r="P93" s="10" t="inlineStr">
        <is>
          <t>do zrobienia</t>
        </is>
      </c>
    </row>
    <row r="94">
      <c r="A94" s="10" t="inlineStr">
        <is>
          <t>Z-18</t>
        </is>
      </c>
      <c r="B94" s="11" t="inlineStr">
        <is>
          <t>Prawdziwa przyczyna błędu provisioningu nie ginie po drodze (część)</t>
        </is>
      </c>
      <c r="C94" s="10" t="inlineStr">
        <is>
          <t>audyt</t>
        </is>
      </c>
      <c r="D94" s="10" t="inlineStr">
        <is>
          <t>Z — Pass adwersaryjny</t>
        </is>
      </c>
      <c r="E94" s="10" t="inlineStr">
        <is>
          <t>BLOKER STARTU</t>
        </is>
      </c>
      <c r="F94" s="10" t="n">
        <v>2</v>
      </c>
      <c r="G94" s="10" t="n">
        <v>21</v>
      </c>
      <c r="H94" s="10" t="inlineStr"/>
      <c r="I94" s="10" t="inlineStr">
        <is>
          <t>2027-01-18</t>
        </is>
      </c>
      <c r="J94" s="10" t="inlineStr">
        <is>
          <t>2027-01-22</t>
        </is>
      </c>
      <c r="K94" s="10" t="inlineStr">
        <is>
          <t>CZĘŚCIOWE</t>
        </is>
      </c>
      <c r="L94" s="11" t="inlineStr">
        <is>
          <t>apps/api/src/subscriptions/provisioning-error.ts — BladEtapuProvisioningu (etap, przyczyna, message z doklejoną przyczyną); provisioning-queue.service.ts — kategoriaBledu(err), klasyfikacja obiektu zamiast napisu, pole przyczyna w audycie ponowienia i twardej porażki; provisioning.service.ts — trzy etapy DA (ensureUserPackage, createAccount, setAccountLimits) bez prania przyczyny; apps/api/src/test/blad-provisioningu-nie-klamie.spec.ts (18). BRAK: dowodu D3 — nie ma węzła obliczeniowego, więc ścieżki provisioningu nie da się dziś przejść na produkcji.</t>
        </is>
      </c>
      <c r="M94" s="11" t="inlineStr">
        <is>
          <t>—</t>
        </is>
      </c>
      <c r="N94" s="11" t="inlineStr">
        <is>
          <t>Ograniczenie opisane w uwagach macierzy zniknęło; test potwierdza zachowanie także w scenariuszu awaryjnym.</t>
        </is>
      </c>
      <c r="O94" s="11" t="inlineStr">
        <is>
          <t>Stan 2026-08-23: NAPRAWIONE W KODZIE (D2), POZYCJA OTWARTA — bloker startu do czasu dowodu D3 na węźle #1 (sprint 8). Krytyczność nadana decyzją właściciela produktu 2026-08-23. | JAK TO WYSZŁO: X-30 naprawiło alerting i w ciągu dziesięciu minut zapaliła się pierwsza reguła z PRAWDZIWEGO powodu — VerrisProvisioningQueueFailed. W kolejce leżały cztery martwe joby, a w panelu operatora stało przy nich „DirectAdmin package "starter" is missing on the node and could not be created automatically". W audycie stało co innego: ensureUserPackage / connect ECONNREFUSED 62.238.0.223:2222 (2026-07-07 i 07-10) oraz createAccount / „DirectAdmin API Error: Unable to Create User — A valid IP was not provided" (2026-05-30). Węzeł nie przyjmował połączeń; z pakietem nie było nic nie tak. Same joby są nieszkodliwe — konto testowe właściciela, domeny test.pl/testowa.pl/hvln.pl, sprzed trzech miesięcy, z czasów gdy węzeł testowy jeszcze istniał (dziś nie ma go wcale). Ale komunikat doprowadził mnie do hipotezy o złym mapowaniu planów na pakiety DA — całkowicie chybionej. Na tym polega koszt takiego błędu: nie na tym, że coś nie działa, tylko że wszyscy patrzą nie tam. | MECHANIZM: provisioning.service.ts łapał prawdziwy błąd, zapisywał go do audytu i rzucał dalej STAŁY NAPIS. Prawda zostawała w bazie, w górę szła zmyślona przyczyna. A wyżej: const errCategory = categorizeProvisioningError(msg) — klasyfikator dostawał ten wyprany napis. Jest napisany POPRAWNIE, ma econnrefused na liście błędów przejściowych; tylko nigdy nie widzi tego słowa. | DLACZEGO DOTYKA PIENIĘDZY: przy kliencie i chwilowym zerwaniu sieci — próba 1 → ECONNREFUSED przebrany za brak pakietu → permanent → ścieżka twardej porażki JUŻ PRZY PIERWSZEJ PRÓBIE: subskrypcja na FAILED, ZWROT ŚRODKÓW do portfela, status PENDING_PAYMENT; potem throw err i BullMQ i tak ponawia (attempts: 3, backoff wykładniczy); próba 2 przechodzi, konto powstaje, provisioning.service.ts:299 ustawia subskrypcję na ACTIVE. Klient ma działający hosting i odzyskane pieniądze, a zwrot jest idempotentny (sub-{id}-initial-refund), więc nic go nie cofnie. Wada uśpiona — nie ma dowodu, że się zdarzyła (te joby padły do końca, węzeł był wyłączony na dobre) — ale leży dokładnie na ścieżce pierwszego płacącego klienta. | RODZINA, NOWY WARIANT: to NIE jest „kontrola, która melduje zamiast zatrzymywać" (X-14, X-23, H-19, X-27), gdzie mechanizm istniał i niczego nie bramkował. To POPRAWNA KONTROLA, KTÓREJ SIĘ KŁAMIE: guard dobry, decyzja dobra, lista wyjątków kompletna — a wejście wyprane po drodze. Blisko też rodzinie „strażnik dopasowuje własną prozę" (dziesiąte wystąpienie): jeden z trzech komunikatów był ułożony tak, żeby TRAFIĆ w listę przejściowych — 'CloudLinux LVE limits could not be applied on this node.' kontra lower.includes('cloudlinux lve limits could not be applied'). Działało przypadkiem, dopóki ktoś nie poprawiłby zdania. | POPRAWKA: BladEtapuProvisioningu(etap, przyczyna, komunikatDlaCzlowieka) — klasa niosąca ORYGINALNĄ treść błędu; kategoriaBledu(err) pyta obiekt o przyczynę i dopiero na niej odpala istniejący klasyfikator, a napis zostaje ścieżką zapasową. Przyczyna jest DOKLEJONA także do message, bo panel pokazuje job.failedReason z BullMQ (czyli Error.message), a failedCategory liczy się z tego samego napisu — gdyby przyczyna została tylko we właściwości, panel dalej opowiadałby zmyśloną historię. Audyt dostał osobne pole przyczyna obok error. | Czerwieni się na starym kodzie: 4 z 18. Czternaście przechodziło, bo dotyczą zachowania kategoriaBledu, której przed poprawką nie było — redness siedzi w asercjach strukturalnych. Mówię o tym wprost, żeby „4 z 18" nie wyglądało słabiej, niż jest. | CZEGO NIE OBEJMUJE: innych miejsc, gdzie prawdziwy błąd może być prany (Stripe, migracje, autoskalowanie mają własne bloki catch i nie były przeglądane pod tym kątem — warte osobnego przejścia); sensowności samego zwrotu przy twardej porażce (zwrot jest właściwy, gdy błąd NAPRAWDĘ jest trwały — ta pozycja naprawia rozpoznanie, nie decyzję); czterech martwych jobów w kolejce (sprzątane po tej poprawce, decyzją właściciela produktu, żeby czyścić już na kodzie zapisującym prawdziwą przyczynę). | JAK ZAMKNĄĆ: na węźle #1 uruchomić provisioning, przerwać połączenie do DA w trakcie i pokazać w audycie PONOWIENIE zamiast zwrotu środków, a potem konto założone przy drugiej próbie. Dokumentacja: docs/archiwum/zadania/Z-18-blad-provisioningu-nie-klamie.md</t>
        </is>
      </c>
      <c r="P94" s="10" t="inlineStr">
        <is>
          <t>do zrobienia</t>
        </is>
      </c>
    </row>
    <row r="95">
      <c r="A95" s="10" t="inlineStr">
        <is>
          <t>NODE-02</t>
        </is>
      </c>
      <c r="B95" s="11" t="inlineStr">
        <is>
          <t>`main()` nie sprawdza kodów powrotu</t>
        </is>
      </c>
      <c r="C95" s="10" t="inlineStr">
        <is>
          <t>audyt</t>
        </is>
      </c>
      <c r="D95" s="10" t="inlineStr">
        <is>
          <t>Q — Przewaga</t>
        </is>
      </c>
      <c r="E95" s="10" t="inlineStr">
        <is>
          <t>WYSOKA</t>
        </is>
      </c>
      <c r="F95" s="10" t="n">
        <v>6</v>
      </c>
      <c r="G95" s="10" t="n">
        <v>21</v>
      </c>
      <c r="H95" s="10" t="inlineStr"/>
      <c r="I95" s="10" t="inlineStr">
        <is>
          <t>2027-01-18</t>
        </is>
      </c>
      <c r="J95" s="10" t="inlineStr">
        <is>
          <t>2027-01-22</t>
        </is>
      </c>
      <c r="K95" s="10" t="inlineStr">
        <is>
          <t>CZĘŚCIOWE</t>
        </is>
      </c>
      <c r="L95" s="11" t="inlineStr">
        <is>
          <t>ops/scripts/lib/przerwij-po-etapie.sh — przerwij_po_etapie zamienia zebrane [FAIL] w exit 1; node-onboard-live.sh main() — bramka po preflight_stack, run_security_hardening, ensure_da_ip; nieudana rejestracja IP w DA z log_warn na log_fail; node-live-readiness.sh main() — bramka po preflight (python3/curl); obie paczki wymagaja lib/przerwij-po-etapie.sh; test apps/api/src/test/instalator-wezla-zatrzymuje-sie.spec.ts</t>
        </is>
      </c>
      <c r="M95" s="11" t="inlineStr">
        <is>
          <t>—</t>
        </is>
      </c>
      <c r="N95" s="11" t="inlineStr">
        <is>
          <t>Ograniczenie opisane w uwagach macierzy zniknęło; test potwierdza zachowanie także w scenariuszu awaryjnym.</t>
        </is>
      </c>
      <c r="O95" s="11" t="inlineStr">
        <is>
          <t>Przepisane do macierzy 2026-08-28 w ramach X-49 — pozycja powstala 2026-08-26 i do tego dnia istniala WYLACZNIE w dashboardzie, poza zasiegiem straznikow repozytorium. Obszar: instalator węzła. Krytycznosc i naklad zostaly puste SWIADOMIE: dashboard ich nie niosl, a wpisanie ich teraz byloby zgadywaniem. Do uzupelnienia przy najblizszym przegladzie tej pozycji. | TRESC ZE ZRODLA: `main()` nie sprawdza kodów powrotu. W `node-onboard-live.sh` i `node-live-readiness.sh` funkcje zwracają `1`, ale `main` leci dalej i dopiero na końcu drukuje `[FAIL]`. Instalacja kontynuuje po nieudanym preflighcie. Ta sama rodzina co SEC-01: kontrola wykrywa problem i nie zatrzymuje procesu. | WYCENA 2026-09-19: krytycznosc i naklad uzupelnione przy wznowieniu. Pozycje przepisane 2026-08-28 w ramach X-49 zostaly bez wyceny, przez co nie liczyly sie do budzetu godzin i nie stały w zadnym sprincie. Podstawa wyceny: Sprawdzanie kodow powrotu w main() obu skryptow. Male, ale instalacja kontynuuje po nieudanym preflighcie — dotyka PB-02 w W3. | 2026-09-22 KOREKTA OPISU: 'main() nie sprawdza kodow powrotu' bylo nieprecyzyjne — oba skrypty maja set -Eeuo pipefail, wiec funkcja z return 1 KONCZY skrypt (sprawdzone na bashu). Prawdziwa dziura: log_fail ustawia FAIL=1 bez return, a set -e tego nie widzi — preflight z brakujacym python3/curl przechodzil do instalacji agenta, a nieudany sync pakietow DA do readiness. Weryfikacja na koncu readiness swiadomie ZBIERA wszystkie usterki i odmawia raz (print_final_summary -&gt; return 1) — to zostaje, przerwanie po pierwszej kazaloby naprawiac je po jednej. POPRAWKA: bramka po kazdym etapie-bramce + IP w DA jako [FAIL] (bez IP kazde zakladanie konta konczy sie 'A valid IP was not provided' — poczatek Z-18). D2 2026-09-22: bramka lokalna zielona (886 testow, w tym 8 z instalator-wezla-zatrzymuje-sie.spec.ts); D3 przy onboardzie wezla #1 (PB-02).</t>
        </is>
      </c>
      <c r="P95" s="10" t="inlineStr">
        <is>
          <t>do zrobienia</t>
        </is>
      </c>
    </row>
    <row r="96">
      <c r="A96" s="10" t="inlineStr">
        <is>
          <t>J-01</t>
        </is>
      </c>
      <c r="B96" s="11" t="inlineStr">
        <is>
          <t>LiteSpeed / serwer o wysokiej wydajności</t>
        </is>
      </c>
      <c r="C96" s="10" t="inlineStr">
        <is>
          <t>audyt</t>
        </is>
      </c>
      <c r="D96" s="10" t="inlineStr">
        <is>
          <t>J — Wydajność i cache</t>
        </is>
      </c>
      <c r="E96" s="10" t="inlineStr">
        <is>
          <t>WYSOKA</t>
        </is>
      </c>
      <c r="F96" s="10" t="n">
        <v>6</v>
      </c>
      <c r="G96" s="10" t="n">
        <v>21</v>
      </c>
      <c r="H96" s="10" t="inlineStr"/>
      <c r="I96" s="10" t="inlineStr">
        <is>
          <t>2027-01-18</t>
        </is>
      </c>
      <c r="J96" s="10" t="inlineStr">
        <is>
          <t>2027-01-22</t>
        </is>
      </c>
      <c r="K96" s="10" t="inlineStr">
        <is>
          <t>b.d.</t>
        </is>
      </c>
      <c r="L96" s="11" t="inlineStr">
        <is>
          <t>decyzja infrastrukturalna, poza kodem panelu</t>
        </is>
      </c>
      <c r="M96" s="11" t="inlineStr">
        <is>
          <t>—</t>
        </is>
      </c>
      <c r="N96" s="11" t="inlineStr">
        <is>
          <t>Stan zweryfikowany na produkcji z timestampem (poziom D3), wynik zapisany w repo.</t>
        </is>
      </c>
      <c r="O96" s="11" t="inlineStr">
        <is>
          <t>koszt licencji — pozycja do unit economics | WYCENA 2026-09-19: krytycznosc i naklad uzupelnione przy wznowieniu. Pozycje przepisane 2026-08-28 w ramach X-49 zostaly bez wyceny, przez co nie liczyly sie do budzetu godzin i nie stały w zadnym sprincie. Podstawa wyceny: Stan b.d. — definicja ukonczenia dla b.d. to weryfikacja na produkcji z timestampem (D3), nie implementacja. Wykonalne na wezle #1.</t>
        </is>
      </c>
      <c r="P96" s="10" t="inlineStr">
        <is>
          <t>do zrobienia</t>
        </is>
      </c>
    </row>
    <row r="97">
      <c r="A97" s="10" t="inlineStr">
        <is>
          <t>J-04</t>
        </is>
      </c>
      <c r="B97" s="11" t="inlineStr">
        <is>
          <t>HTTP/3</t>
        </is>
      </c>
      <c r="C97" s="10" t="inlineStr">
        <is>
          <t>audyt</t>
        </is>
      </c>
      <c r="D97" s="10" t="inlineStr">
        <is>
          <t>J — Wydajność i cache</t>
        </is>
      </c>
      <c r="E97" s="10" t="inlineStr">
        <is>
          <t>ŚREDNIA</t>
        </is>
      </c>
      <c r="F97" s="10" t="n">
        <v>6</v>
      </c>
      <c r="G97" s="10" t="n">
        <v>21</v>
      </c>
      <c r="H97" s="10" t="inlineStr"/>
      <c r="I97" s="10" t="inlineStr">
        <is>
          <t>2027-01-18</t>
        </is>
      </c>
      <c r="J97" s="10" t="inlineStr">
        <is>
          <t>2027-01-22</t>
        </is>
      </c>
      <c r="K97" s="10" t="inlineStr">
        <is>
          <t>b.d.</t>
        </is>
      </c>
      <c r="L97" s="11" t="inlineStr">
        <is>
          <t>poza kodem panelu</t>
        </is>
      </c>
      <c r="M97" s="11" t="inlineStr">
        <is>
          <t>—</t>
        </is>
      </c>
      <c r="N97" s="11" t="inlineStr">
        <is>
          <t>Stan zweryfikowany na produkcji z timestampem (poziom D3), wynik zapisany w repo.</t>
        </is>
      </c>
      <c r="O97" s="11" t="inlineStr">
        <is>
          <t>4 z 5 hostingów PL już ma | WYCENA 2026-09-19: krytycznosc i naklad uzupelnione przy wznowieniu. Pozycje przepisane 2026-08-28 w ramach X-49 zostaly bez wyceny, przez co nie liczyly sie do budzetu godzin i nie stały w zadnym sprincie. Podstawa wyceny: Stan b.d. — jak J-01, weryfikacja na wezle #1.</t>
        </is>
      </c>
      <c r="P97" s="10" t="inlineStr">
        <is>
          <t>do zrobienia</t>
        </is>
      </c>
    </row>
    <row r="98">
      <c r="A98" s="10" t="inlineStr">
        <is>
          <t>B-01</t>
        </is>
      </c>
      <c r="B98" s="11" t="inlineStr">
        <is>
          <t>Zmiana wersji PHP dla całego konta</t>
        </is>
      </c>
      <c r="C98" s="10" t="inlineStr">
        <is>
          <t>audyt</t>
        </is>
      </c>
      <c r="D98" s="10" t="inlineStr">
        <is>
          <t>B — Runtime WWW</t>
        </is>
      </c>
      <c r="E98" s="10" t="inlineStr">
        <is>
          <t>WYSOKA</t>
        </is>
      </c>
      <c r="F98" s="10" t="n">
        <v>6</v>
      </c>
      <c r="G98" s="10" t="n">
        <v>21</v>
      </c>
      <c r="H98" s="10" t="inlineStr"/>
      <c r="I98" s="10" t="inlineStr">
        <is>
          <t>2027-01-18</t>
        </is>
      </c>
      <c r="J98" s="10" t="inlineStr">
        <is>
          <t>2027-01-22</t>
        </is>
      </c>
      <c r="K98" s="10" t="inlineStr">
        <is>
          <t>CZĘŚCIOWE</t>
        </is>
      </c>
      <c r="L98" s="11" t="inlineStr">
        <is>
          <t>services.controller.ts:125</t>
        </is>
      </c>
      <c r="M98" s="11" t="inlineStr">
        <is>
          <t>—</t>
        </is>
      </c>
      <c r="N98" s="11" t="inlineStr">
        <is>
          <t>Ograniczenie opisane w uwagach macierzy zniknęło; test potwierdza zachowanie także w scenariuszu awaryjnym.</t>
        </is>
      </c>
      <c r="O98" s="11" t="inlineStr">
        <is>
          <t>KOREKTA: pozycja miała stan DZIAŁA na podstawie kodu i kolejki PHP_APPLY. Odkryte 2026-08-21 przy przeglądzie Dockerfile.api: loadery skryptów w API czytają plik z dysku i rzucają wyjątkiem, gdy go nie ma, a obraz produkcyjny kopiował tylko 7 z 10 potrzebnych skryptów. Endpoint /agent/tasks/php-apply/script zwracał 500, więc agent nie miał czego uruchomić — zadanie PHP_APPLY nie mogło się wykonać na produkcji ani razu. Naprawione (COPY + test apps/api/src/test/dockerfile-scripts.spec.ts), ale do czasu potwierdzenia na produkcji stan to CZĘŚCIOWE: kod i testy były zielone przez cały czas, więc D1 i D2 nic tu nie dowodzą — potrzebny D3. | 2026-08-21 21:57: przyczyna wdrożeniowa USUNIĘTA — node-php-apply.sh jest już w obrazie (potwierdzone na serwerze, X-12 D3). Pozycja zostaje CZĘŚCIOWE, bo jej własny dowód wymaga wykonania zadania PHP_APPLY na żywym węźle, a węzła jeszcze nie ma. Do przejścia z części B checklisty D3. | WYCENA 2026-09-19: krytycznosc i naklad uzupelnione przy wznowieniu. Pozycje przepisane 2026-08-28 w ramach X-49 zostaly bez wyceny, przez co nie liczyly sie do budzetu godzin i nie stały w zadnym sprincie. Podstawa wyceny: Zmiana wersji PHP dla calego konta — per domena juz dziala (B-02, S), to ten sam mechanizm o poziom wyzej. | 2026-09-22: przeniesione do sprintu 18 — kod i obraz sa gotowe, zostal wylacznie dowod D3 (PHP_APPLY na zywym wezle).</t>
        </is>
      </c>
      <c r="P98" s="10" t="inlineStr">
        <is>
          <t>do zrobienia</t>
        </is>
      </c>
    </row>
    <row r="99">
      <c r="A99" s="10" t="inlineStr">
        <is>
          <t>PB-02</t>
        </is>
      </c>
      <c r="B99" s="11" t="inlineStr">
        <is>
          <t>Onboarding produkcyjnego węzła #1 (Hetzner AX102)</t>
        </is>
      </c>
      <c r="C99" s="10" t="inlineStr">
        <is>
          <t>poza audytem</t>
        </is>
      </c>
      <c r="D99" s="10" t="inlineStr">
        <is>
          <t>Praca spoza audytu</t>
        </is>
      </c>
      <c r="E99" s="10" t="inlineStr">
        <is>
          <t>WYSOKI</t>
        </is>
      </c>
      <c r="F99" s="10" t="n">
        <v>16</v>
      </c>
      <c r="G99" s="10" t="n">
        <v>21</v>
      </c>
      <c r="H99" s="10" t="inlineStr"/>
      <c r="I99" s="10" t="inlineStr">
        <is>
          <t>2027-01-18</t>
        </is>
      </c>
      <c r="J99" s="10" t="inlineStr">
        <is>
          <t>2027-01-22</t>
        </is>
      </c>
      <c r="K99" s="10" t="inlineStr">
        <is>
          <t>—</t>
        </is>
      </c>
      <c r="L99" s="11" t="inlineStr">
        <is>
          <t>—</t>
        </is>
      </c>
      <c r="M99" s="11" t="inlineStr">
        <is>
          <t>—</t>
        </is>
      </c>
      <c r="N99" s="11" t="inlineStr">
        <is>
          <t>Węzeł przechodzi wszystkie 14 checków live-readiness. /etc/verris-backup.conf istnieje, pierwszy backup off-site wykonany i zaraportowany do control-plane.</t>
        </is>
      </c>
      <c r="O99" s="11" t="inlineStr">
        <is>
          <t>Pełny przebieg node-onboard-live.sh na docelowym serwerze, z konfiguracją backupu off-site jako krokiem obowiązkowym.</t>
        </is>
      </c>
      <c r="P99" s="10" t="inlineStr">
        <is>
          <t>do zrobienia</t>
        </is>
      </c>
    </row>
    <row r="100">
      <c r="A100" s="10" t="inlineStr">
        <is>
          <t>PB-05</t>
        </is>
      </c>
      <c r="B100" s="11" t="inlineStr">
        <is>
          <t>Test end-to-end „pierwszy klient”</t>
        </is>
      </c>
      <c r="C100" s="10" t="inlineStr">
        <is>
          <t>poza audytem</t>
        </is>
      </c>
      <c r="D100" s="10" t="inlineStr">
        <is>
          <t>Praca spoza audytu</t>
        </is>
      </c>
      <c r="E100" s="10" t="inlineStr">
        <is>
          <t>BLOKER BIZNESOWY</t>
        </is>
      </c>
      <c r="F100" s="10" t="n">
        <v>16</v>
      </c>
      <c r="G100" s="10" t="n">
        <v>22</v>
      </c>
      <c r="H100" s="10" t="inlineStr"/>
      <c r="I100" s="10" t="inlineStr">
        <is>
          <t>2027-01-25</t>
        </is>
      </c>
      <c r="J100" s="10" t="inlineStr">
        <is>
          <t>2027-01-29</t>
        </is>
      </c>
      <c r="K100" s="10" t="inlineStr">
        <is>
          <t>—</t>
        </is>
      </c>
      <c r="L100" s="11" t="inlineStr">
        <is>
          <t>—</t>
        </is>
      </c>
      <c r="M100" s="11" t="inlineStr">
        <is>
          <t>wszystkie blokery zamknięte (sprint 8)</t>
        </is>
      </c>
      <c r="N100" s="11" t="inlineStr">
        <is>
          <t>Zapisany przebieg z timestampami dla każdego kroku — to jest dowód poziomu D3, jedyny w całym projekcie. Każdy nieudany krok wraca do backlogu jako bloker.</t>
        </is>
      </c>
      <c r="O100" s="11" t="inlineStr">
        <is>
          <t>Przejście całej ścieżki na produkcji jako realny klient: rejestracja, zakup, płatność, provisioning, migracja strony, wystawienie faktury, KSeF, backup, odtworzenie.</t>
        </is>
      </c>
      <c r="P100" s="10" t="inlineStr">
        <is>
          <t>do zrobienia</t>
        </is>
      </c>
    </row>
    <row r="101">
      <c r="A101" s="10" t="inlineStr">
        <is>
          <t>PB-12</t>
        </is>
      </c>
      <c r="B101" s="11" t="inlineStr">
        <is>
          <t>Runbook startu i decyzja GO</t>
        </is>
      </c>
      <c r="C101" s="10" t="inlineStr">
        <is>
          <t>poza audytem</t>
        </is>
      </c>
      <c r="D101" s="10" t="inlineStr">
        <is>
          <t>Praca spoza audytu</t>
        </is>
      </c>
      <c r="E101" s="10" t="inlineStr">
        <is>
          <t>BLOKER BIZNESOWY</t>
        </is>
      </c>
      <c r="F101" s="10" t="n">
        <v>8</v>
      </c>
      <c r="G101" s="10" t="n">
        <v>22</v>
      </c>
      <c r="H101" s="10" t="inlineStr"/>
      <c r="I101" s="10" t="inlineStr">
        <is>
          <t>2027-01-25</t>
        </is>
      </c>
      <c r="J101" s="10" t="inlineStr">
        <is>
          <t>2027-01-29</t>
        </is>
      </c>
      <c r="K101" s="10" t="inlineStr">
        <is>
          <t>—</t>
        </is>
      </c>
      <c r="L101" s="11" t="inlineStr">
        <is>
          <t>—</t>
        </is>
      </c>
      <c r="M101" s="11" t="inlineStr">
        <is>
          <t>PB-05 (decyzja GO po przejściu ścieżki na produkcji)</t>
        </is>
      </c>
      <c r="N101" s="11" t="inlineStr">
        <is>
          <t>Każdy z 11 blokerów ma wpis: co zrobiono, gdzie jest dowód, kto potwierdził. Bez formuły „warunkowe GO”.</t>
        </is>
      </c>
      <c r="O101" s="11" t="inlineStr">
        <is>
          <t>Domknięcie: przegląd wszystkich blokerów z dowodem zamknięcia, decyzja GO/NO-GO zapisana z datą.</t>
        </is>
      </c>
      <c r="P101" s="10" t="inlineStr">
        <is>
          <t>do zrobienia</t>
        </is>
      </c>
    </row>
  </sheetData>
  <autoFilter ref="A1:P101"/>
  <conditionalFormatting sqref="E2:E101">
    <cfRule type="cellIs" priority="1" operator="equal" dxfId="0">
      <formula>"BLOKER STARTU"</formula>
    </cfRule>
    <cfRule type="cellIs" priority="2" operator="equal" dxfId="0">
      <formula>"BLOKER BIZNESOWY"</formula>
    </cfRule>
    <cfRule type="cellIs" priority="3" operator="equal" dxfId="1">
      <formula>"WYSOKA"</formula>
    </cfRule>
    <cfRule type="cellIs" priority="4" operator="equal" dxfId="1">
      <formula>"WYSOKI"</formula>
    </cfRule>
    <cfRule type="cellIs" priority="5" operator="equal" dxfId="2">
      <formula>"ŚREDNIA"</formula>
    </cfRule>
    <cfRule type="cellIs" priority="6" operator="equal" dxfId="2">
      <formula>"ŚREDNI"</formula>
    </cfRule>
  </conditionalFormatting>
  <conditionalFormatting sqref="P2:P101">
    <cfRule type="cellIs" priority="7" operator="equal" dxfId="3">
      <formula>"zrobione"</formula>
    </cfRule>
    <cfRule type="cellIs" priority="8" operator="equal" dxfId="2">
      <formula>"w toku"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40" customWidth="1" min="4" max="4"/>
    <col width="52" customWidth="1" min="5" max="5"/>
    <col width="7" customWidth="1" min="6" max="6"/>
    <col width="8" customWidth="1" min="7" max="7"/>
    <col width="11" customWidth="1" min="8" max="8"/>
    <col width="12" customWidth="1" min="9" max="9"/>
    <col width="92" customWidth="1" min="10" max="10"/>
  </cols>
  <sheetData>
    <row r="1" ht="30" customHeight="1">
      <c r="A1" s="9" t="inlineStr">
        <is>
          <t>Sprint</t>
        </is>
      </c>
      <c r="B1" s="9" t="inlineStr">
        <is>
          <t>Od</t>
        </is>
      </c>
      <c r="C1" s="9" t="inlineStr">
        <is>
          <t>Do</t>
        </is>
      </c>
      <c r="D1" s="9" t="inlineStr">
        <is>
          <t>Faza</t>
        </is>
      </c>
      <c r="E1" s="9" t="inlineStr">
        <is>
          <t>Cel sprintu</t>
        </is>
      </c>
      <c r="F1" s="9" t="inlineStr">
        <is>
          <t>Zadań</t>
        </is>
      </c>
      <c r="G1" s="9" t="inlineStr">
        <is>
          <t>Godzin</t>
        </is>
      </c>
      <c r="H1" s="9" t="inlineStr">
        <is>
          <t>Pojemność</t>
        </is>
      </c>
      <c r="I1" s="9" t="inlineStr">
        <is>
          <t>Obciążenie</t>
        </is>
      </c>
      <c r="J1" s="9" t="inlineStr">
        <is>
          <t>Ryzyko</t>
        </is>
      </c>
    </row>
    <row r="2">
      <c r="A2" s="10" t="n">
        <v>1</v>
      </c>
      <c r="B2" s="10" t="inlineStr">
        <is>
          <t>2026-08-31</t>
        </is>
      </c>
      <c r="C2" s="10" t="inlineStr">
        <is>
          <t>2026-09-04</t>
        </is>
      </c>
      <c r="D2" s="11" t="inlineStr">
        <is>
          <t>Faza 0 — Zatrzymać krwawienie</t>
        </is>
      </c>
      <c r="E2" s="11" t="inlineStr">
        <is>
          <t>Zatrzymać krwawienie i włączyć CI</t>
        </is>
      </c>
      <c r="F2" s="10">
        <f>COUNTIF('Backlog do startu'!$G$2:$G$101,A2)</f>
        <v/>
      </c>
      <c r="G2" s="10">
        <f>SUMIF('Backlog do startu'!$G$2:$G$101,A2,'Backlog do startu'!$F$2:$F$101)</f>
        <v/>
      </c>
      <c r="H2" s="10" t="n">
        <v>30</v>
      </c>
      <c r="I2" s="12">
        <f>IFERROR(G2/H2,0)</f>
        <v/>
      </c>
      <c r="J2" s="11" t="inlineStr">
        <is>
          <t>PB-01 może wywrócić cenę 45 zł. Dlatego jest w pierwszym sprincie, a nie w ostatnim — wynik zmienia treść cennika w sprincie 15. Sprint urósł o sześć pozycji odkrytych przy włączaniu CI — nie było ich w planie z 2026-08. | PRZEPLANOWANIE 2026-09-19: sprinty 1-3 sa WYKONANE. Ich zawartosc zostaje bez zmian jako zapis historii. Faktyczny przebieg: 2026-08-21 do 2026-08-28, trzy sprinty tresci w szesc dni roboczych, po czym 22 dni przerwy. Daty kalendarzowe w tym pliku licza sie od nowego punktu odniesienia (start=2026-08-31), zeby zgadzaly sie DO PRZODU; dla sprintow 1-3 sa o tydzien przesuniete wobec rzeczywistosci i nie nalezy ich czytac jako zapisu, kiedy ta praca powstala.</t>
        </is>
      </c>
    </row>
    <row r="3">
      <c r="A3" s="10" t="n">
        <v>2</v>
      </c>
      <c r="B3" s="10" t="inlineStr">
        <is>
          <t>2026-09-07</t>
        </is>
      </c>
      <c r="C3" s="10" t="inlineStr">
        <is>
          <t>2026-09-11</t>
        </is>
      </c>
      <c r="D3" s="11" t="inlineStr">
        <is>
          <t>Faza 0 — Zatrzymać krwawienie</t>
        </is>
      </c>
      <c r="E3" s="11" t="inlineStr">
        <is>
          <t>Zamknąć luki bezpieczeństwa z passu adwersaryjnego</t>
        </is>
      </c>
      <c r="F3" s="10">
        <f>COUNTIF('Backlog do startu'!$G$2:$G$101,A3)</f>
        <v/>
      </c>
      <c r="G3" s="10">
        <f>SUMIF('Backlog do startu'!$G$2:$G$101,A3,'Backlog do startu'!$F$2:$F$101)</f>
        <v/>
      </c>
      <c r="H3" s="10" t="n">
        <v>30</v>
      </c>
      <c r="I3" s="12">
        <f>IFERROR(G3/H3,0)</f>
        <v/>
      </c>
      <c r="J3" s="11" t="inlineStr">
        <is>
          <t>Z-03 dotyka skryptów na węźle — zmiana wymaga przetestowania całej ścieżki migracji, nie tylko walidacji DTO. Sprint urósł o dziesięć pozycji odkrytych w trakcie: podatności, strażniki, bramki wdrożeniowe i awaria kopii bazy (H-23/H-24). Przeciążenie jest prawdziwe i celowo widoczne — praca została wykonana, plan jej nie przewidywał. X-28 doszło jako odpowiedź na pytanie, które zostawiło H-23: dlaczego alarm o braku kopii nie dotarł do nikogo. Odpowiedź — nie miał dokąd; w repo nie było Alertmanagera, a Grafana miała odbiorcę i zero reguł. X-29 wyszło godzinę po X-28 i z tego samego pytania: skoro reguły są w repo, to czy wdrożenie w ogóle je dowozi? Nie dowoziło — wdrożenie restartowało tylko aplikacje, a Prometheus i Grafana czytają konfigurację wyłącznie przy starcie. H-20 wykonane tu, a nie w sprincie 9: awaria kopii z H-23 wymusiła odtworzenie bazy tu i teraz, więc dowód D4 powstał jedenaście sprintów przed terminem. X-30 wyszło przy sprawdzaniu, czy X-29 faktycznie coś zmieniło: reguły były wczytane i żadna się nie liczyła. Trzeci raz tego dnia to samo pytanie — czy to, co wygląda na zrobione, jest zrobione — i trzeci raz odpowiedź brzmiała nie. X-31 domyka dzień: po naprawie X-30 alerty ucichną, a cisza wygląda tak samo jak awaria kanału — więc dokładamy regułę, która pali się zawsze i której brak jest sygnałem. Decyzja właściciela produktu: jeden mail na dobę. Z-18 zamyka dzień tym, od czego wszystko się zaczęło: pierwszy alarm zapalony z prawdziwego powodu pokazał wadę, która przy zerwaniu sieci oddaje klientowi pieniądze za usługę, którą za chwilę wykona. Poprawka jest tutaj, dowód D3 dopiero przy węźle #1. X-32 to ostatnie ogniwo dnia i najkrótsza historia: alarm kazał posprzątać kolejkę, a w produkcie nie było czym jej posprzątać. Zostawało grzebanie w Redisie bez śladu w audycie — czyli dokładnie to, przeciwko czemu powstał cały ten dzień. X-33 dopisało się samo, bo wdrożenie #70 padło na bramce z X-30 przy czternastu działających regułach. Metryka reguł pojawia się dopiero na pierwszym takcie schedulera alertów, a bramka czytała ją sekundę po tym, jak /api/health odpowiedziało — mierzyła szybkość startu i meldowała o poprawności prowizjonowania. Bramka, która potrafi zapalić się na zdrowym systemie, uczy klikać „re-run" i przestaje chronić cokolwiek, więc ten sprint domyka się dopiero tutaj. X-34 dopisało się, bo bramka z X-33 miała własną usterkę: printf | grep -q przy pipefail zwraca błąd DOKŁADNIE WTEDY, GDY METRYKA JEST, o ile odpowiedź przekracza bufor potoku. Bramka nie kłamała o Grafanie — kłamała o własnym odczycie, a strażnik tego nie złapał, bo jego atrapa ważyła 200 bajtów zamiast setek kilobajtów i pracował pod innymi flagami powłoki niż produkcja. | 2026-09-22: Z-18 zdjete z listy tego sprintu (kod zrobiony tutaj, D2) — pozycja otwarta czeka na dowod D3 w sprincie 18, a generator przypisuje pozycje do pierwszego sprintu, w ktorym wystepuje.</t>
        </is>
      </c>
    </row>
    <row r="4">
      <c r="A4" s="10" t="n">
        <v>3</v>
      </c>
      <c r="B4" s="10" t="inlineStr">
        <is>
          <t>2026-09-14</t>
        </is>
      </c>
      <c r="C4" s="10" t="inlineStr">
        <is>
          <t>2026-09-18</t>
        </is>
      </c>
      <c r="D4" s="11" t="inlineStr">
        <is>
          <t>Faza 0 — Zatrzymać krwawienie</t>
        </is>
      </c>
      <c r="E4" s="11" t="inlineStr">
        <is>
          <t>Pojemność węzła i plan produkcyjny</t>
        </is>
      </c>
      <c r="F4" s="10">
        <f>COUNTIF('Backlog do startu'!$G$2:$G$101,A4)</f>
        <v/>
      </c>
      <c r="G4" s="10">
        <f>SUMIF('Backlog do startu'!$G$2:$G$101,A4,'Backlog do startu'!$F$2:$F$101)</f>
        <v/>
      </c>
      <c r="H4" s="10" t="n">
        <v>30</v>
      </c>
      <c r="I4" s="12">
        <f>IFERROR(G4/H4,0)</f>
        <v/>
      </c>
      <c r="J4" s="11" t="inlineStr">
        <is>
          <t>Sprintu nie było w planie z 2026-08. Dołożony po PB-01, które pokazało, że przy dzisiejszym placemencie na węźle mieści się 16 kont, a próg rentowności przy cenie 45 zł to 58. Dopóki Z-12 jest otwarte, sprzedaż zatrzymuje się na szesnastym koncie niezależnie od popytu — selektor odmówi provisioningu. Z-13 idzie razem, bo bez planu produkcyjnego w bazie nie ma czego umieszczać ani na czym testować nadsubskrypcji. PB-14 zamyka sprint, bo wybór dostawcy przesądza o rentowności bardziej niż cokolwiek innego w tym modelu, a decyzja musi zapaść przed zamówieniem serwera w sprincie 8. AKTUALIZACJA 2026-08-22: Z-12 i Z-13 zamknięte tego samego dnia, a przy nich wyszło Z-16 — autoskalowanie nie pyta węzła o pojemność i nie dowozi sufitu z oferty. Dołożone do tego samego sprintu, bo to trzecia strona tej samej sprawy: pojemność węzła musi być liczona w jednym miejscu, a nie w trzech niezależnych.</t>
        </is>
      </c>
    </row>
    <row r="5">
      <c r="A5" s="10" t="n">
        <v>4</v>
      </c>
      <c r="B5" s="10" t="inlineStr">
        <is>
          <t>2026-09-21</t>
        </is>
      </c>
      <c r="C5" s="10" t="inlineStr">
        <is>
          <t>2026-09-25</t>
        </is>
      </c>
      <c r="D5" s="11" t="inlineStr">
        <is>
          <t>Faza 1 — Rozliczenia i dowód odtworzenia</t>
        </is>
      </c>
      <c r="E5" s="11" t="inlineStr">
        <is>
          <t>Wznowienie: odzyskac srodowisko i zatrzymac gnicie</t>
        </is>
      </c>
      <c r="F5" s="10">
        <f>COUNTIF('Backlog do startu'!$G$2:$G$101,A5)</f>
        <v/>
      </c>
      <c r="G5" s="10">
        <f>SUMIF('Backlog do startu'!$G$2:$G$101,A5,'Backlog do startu'!$F$2:$F$101)</f>
        <v/>
      </c>
      <c r="H5" s="10" t="n">
        <v>30</v>
      </c>
      <c r="I5" s="12">
        <f>IFERROR(G5/H5,0)</f>
        <v/>
      </c>
      <c r="J5" s="11" t="inlineStr">
        <is>
          <t>Pierwszy sprint po 22 dniach przerwy. Kolejnosc nie jest dowolna: DEV-01 idzie pierwsze, bo po decyzji nr 1 z 2026-08-28 JEDYNA realna bramka przed main jest bramka uruchamiana lokalnie, a ona nie wstanie bez bazy deweloperskiej. DEP-01 rosnie samo — kolejka PR-ow Dependabota powiekszyla sie przez przerwe, a job Security scans wykrywa CVE, ktorych poprawki leza niescalone. P-15 W CALOSCI TUTAJ, nie rozbite na dwa sprinty. Korekta 2026-09-19: zalozenie, ze DPA zalezy od tempa dostawcow, bylo nieprawdziwe — trzy z pieciu obowiazuja z mocy umowy glownej, dwa akceptuje sie kliknieciem w panelu. Praca wlasna to wylacznie Zalacznik 1 do DPA Hetznera. Dzieki temu OSTATNI BLOKER POZA KSeF-em zamyka sie w sprincie 4, a nie w sprincie 10. DEP-02 przeniesione do sprintu 10, zeby zmiescic sie w pojemnosci. | DOLOZONE 2026-09-19: X-50. Bramka podatnosci nie jest checkiem wymaganym w rulesecie i nie jest wolana przez deploy.yml, wiec czerwona bramka nie zatrzymuje ani merge, ani wdrozenia. Wchodzi do sprintu 4, bo jest tania (6 h) i jest warunkiem tego, zeby SEC-07 i cokolwiek pozniejszego mialo gdzie sie zatrzymac. X-03 przeniesione do sprintu 5, zeby zmiescic sie w pojemnosci. | DOLOZONE W TRAKCIE 2026-09-19: X-51 (etykiety) i SEC-08 (dwa CRITICAL RCE w Next.js, odkryte przy pierwszym uruchomieniu bramki podatnosci po przerwie). SEC-07 przeniesione tu ze sprintu 5 — zamkniete tego samego dnia. | 2026-09-22: P-15 przeniesione do bloku dokumentow na koncu planu (decyzja wlasciciela — przed pierwszym klientem, nie teraz). Stripe, AWS, Openprovider i Cloudflare zalatwione; zostaje Hetzner z Zalacznikiem 1.</t>
        </is>
      </c>
    </row>
    <row r="6">
      <c r="A6" s="10" t="n">
        <v>5</v>
      </c>
      <c r="B6" s="10" t="inlineStr">
        <is>
          <t>2026-09-28</t>
        </is>
      </c>
      <c r="C6" s="10" t="inlineStr">
        <is>
          <t>2026-10-02</t>
        </is>
      </c>
      <c r="D6" s="11" t="inlineStr">
        <is>
          <t>Faza 1 — Rozliczenia i dowód odtworzenia</t>
        </is>
      </c>
      <c r="E6" s="11" t="inlineStr">
        <is>
          <t>Faktury w programie ksiegowym i bramka wdrozenia</t>
        </is>
      </c>
      <c r="F6" s="10">
        <f>COUNTIF('Backlog do startu'!$G$2:$G$101,A6)</f>
        <v/>
      </c>
      <c r="G6" s="10">
        <f>SUMIF('Backlog do startu'!$G$2:$G$101,A6,'Backlog do startu'!$F$2:$F$101)</f>
        <v/>
      </c>
      <c r="H6" s="10" t="n">
        <v>30</v>
      </c>
      <c r="I6" s="12">
        <f>IFERROR(G6/H6,0)</f>
        <v/>
      </c>
      <c r="J6" s="11" t="inlineStr">
        <is>
          <t>FAK-01 NA POCZATKU i jako BLOKER STARTU: decyzja z 2026-09-22 (ADR-2026-09-22) — faktury VAT wystawia program ksiegowy. Panel dzis sam numeruje faktury w transakcji obciazenia portfela, wiec bez przelacznika trybu kazda platnosc dostalaby dwie faktury w dwoch seriach. Dopiero po FAK-01 moga zejsc flagi blokera z M-16 i M-17. PB-13 ZAMKNIETE tego samego dnia — kierunek: integracja z programem ksiegowym po API, na start recznie. PB-14 musi zapasc przed zamowieniem serwera w sprincie 6. X-03 — reczna sciezka wdrozenia omija bramke: zamiana cichego obejscia na jawne, z flaga i zapisanym powodem.</t>
        </is>
      </c>
    </row>
    <row r="7">
      <c r="A7" s="10" t="n">
        <v>6</v>
      </c>
      <c r="B7" s="10" t="inlineStr">
        <is>
          <t>2026-10-05</t>
        </is>
      </c>
      <c r="C7" s="10" t="inlineStr">
        <is>
          <t>2026-10-09</t>
        </is>
      </c>
      <c r="D7" s="11" t="inlineStr">
        <is>
          <t>Faza 1 — Rozliczenia i dowód odtworzenia</t>
        </is>
      </c>
      <c r="E7" s="11" t="inlineStr">
        <is>
          <t>Fundament designu i edytor DNS</t>
        </is>
      </c>
      <c r="F7" s="10">
        <f>COUNTIF('Backlog do startu'!$G$2:$G$101,A7)</f>
        <v/>
      </c>
      <c r="G7" s="10">
        <f>SUMIF('Backlog do startu'!$G$2:$G$101,A7,'Backlog do startu'!$F$2:$F$101)</f>
        <v/>
      </c>
      <c r="H7" s="10" t="n">
        <v>30</v>
      </c>
      <c r="I7" s="12">
        <f>IFERROR(G7/H7,0)</f>
        <v/>
      </c>
      <c r="J7" s="11" t="inlineStr">
        <is>
          <t>Najpierw system wizualny i jeden ekran-wzorzec do akceptacji — wszystko dalej budujemy juz w nowym stylu. F-01/F-02 (edytor DNS) maja kod z 2026-09-22; D3 przy wezle. | PRZEPLANOWANIE 2026-09-22 (3): decyzja wlasciciela — przed startem design (PB-15/16), asystent v1 (PB-17) i tickety v2 (PB-18); plan wydluza sie o 3 sprinty.</t>
        </is>
      </c>
    </row>
    <row r="8">
      <c r="A8" s="10" t="n">
        <v>7</v>
      </c>
      <c r="B8" s="10" t="inlineStr">
        <is>
          <t>2026-10-12</t>
        </is>
      </c>
      <c r="C8" s="10" t="inlineStr">
        <is>
          <t>2026-10-16</t>
        </is>
      </c>
      <c r="D8" s="11" t="inlineStr">
        <is>
          <t>Faza 1 — Rozliczenia i dowód odtworzenia</t>
        </is>
      </c>
      <c r="E8" s="11" t="inlineStr">
        <is>
          <t>Ekrany panelu klienta w nowym designie</t>
        </is>
      </c>
      <c r="F8" s="10">
        <f>COUNTIF('Backlog do startu'!$G$2:$G$101,A8)</f>
        <v/>
      </c>
      <c r="G8" s="10">
        <f>SUMIF('Backlog do startu'!$G$2:$G$101,A8,'Backlog do startu'!$F$2:$F$101)</f>
        <v/>
      </c>
      <c r="H8" s="10" t="n">
        <v>30</v>
      </c>
      <c r="I8" s="12">
        <f>IFERROR(G8/H8,0)</f>
        <v/>
      </c>
      <c r="J8" s="11" t="inlineStr">
        <is>
          <t>Przeniesienie ekranow po akceptacji wzorca z PB-15. Ryzyko: zakres — ekranow jest duzo; kolejnosc od najczesciej uzywanych. | PRZEPLANOWANIE 2026-09-22 (3): decyzja wlasciciela — przed startem design (PB-15/16), asystent v1 (PB-17) i tickety v2 (PB-18); plan wydluza sie o 3 sprinty.</t>
        </is>
      </c>
    </row>
    <row r="9">
      <c r="A9" s="10" t="n">
        <v>8</v>
      </c>
      <c r="B9" s="10" t="inlineStr">
        <is>
          <t>2026-10-19</t>
        </is>
      </c>
      <c r="C9" s="10" t="inlineStr">
        <is>
          <t>2026-10-23</t>
        </is>
      </c>
      <c r="D9" s="11" t="inlineStr">
        <is>
          <t>Faza 1 — Rozliczenia i dowód odtworzenia</t>
        </is>
      </c>
      <c r="E9" s="11" t="inlineStr">
        <is>
          <t>Poczta: dostarczalnosc i skrzynki</t>
        </is>
      </c>
      <c r="F9" s="10">
        <f>COUNTIF('Backlog do startu'!$G$2:$G$101,A9)</f>
        <v/>
      </c>
      <c r="G9" s="10">
        <f>SUMIF('Backlog do startu'!$G$2:$G$101,A9,'Backlog do startu'!$F$2:$F$101)</f>
        <v/>
      </c>
      <c r="H9" s="10" t="n">
        <v>30</v>
      </c>
      <c r="I9" s="12">
        <f>IFERROR(G9/H9,0)</f>
        <v/>
      </c>
      <c r="J9" s="11" t="inlineStr">
        <is>
          <t>Brak SPF/DKIM w panelu to najczestsza przyczyna "moja poczta trafia do spamu". Backend dziala — to glownie podpiecie osieroconego komponentu. | PRZEPLANOWANIE 2026-09-22 (decyzja wlasciciela): wszystko, co wymaga nowego serwera, na koniec — zakup AX102 dopiero w sprincie 18, zeby serwer nie stal pusty i nie generowal kosztow. Najpierw panel, funkcje i poprawki na istniejacej infrastrukturze. | PRZEPLANOWANIE 2026-09-22 (3): decyzja wlasciciela — przed startem design (PB-15/16), asystent v1 (PB-17) i tickety v2 (PB-18); plan wydluza sie o 3 sprinty.</t>
        </is>
      </c>
    </row>
    <row r="10">
      <c r="A10" s="10" t="n">
        <v>9</v>
      </c>
      <c r="B10" s="10" t="inlineStr">
        <is>
          <t>2026-10-26</t>
        </is>
      </c>
      <c r="C10" s="10" t="inlineStr">
        <is>
          <t>2026-10-30</t>
        </is>
      </c>
      <c r="D10" s="11" t="inlineStr">
        <is>
          <t>Faza 2 — Odzyskanie funkcji-widm i luki pierwszego tygodnia</t>
        </is>
      </c>
      <c r="E10" s="11" t="inlineStr">
        <is>
          <t>Asystent v1</t>
        </is>
      </c>
      <c r="F10" s="10">
        <f>COUNTIF('Backlog do startu'!$G$2:$G$101,A10)</f>
        <v/>
      </c>
      <c r="G10" s="10">
        <f>SUMIF('Backlog do startu'!$G$2:$G$101,A10,'Backlog do startu'!$F$2:$F$101)</f>
        <v/>
      </c>
      <c r="H10" s="10" t="n">
        <v>30</v>
      </c>
      <c r="I10" s="12">
        <f>IFERROR(G10/H10,0)</f>
        <v/>
      </c>
      <c r="J10" s="11" t="inlineStr">
        <is>
          <t>Dymki na regulach i naprawy odwracalne — bez kosztow AI i bez akcji destrukcyjnych. Agent wykonujacy akcje: po starcie. | PRZEPLANOWANIE 2026-09-22 (3): decyzja wlasciciela — przed startem design (PB-15/16), asystent v1 (PB-17) i tickety v2 (PB-18); plan wydluza sie o 3 sprinty.</t>
        </is>
      </c>
    </row>
    <row r="11">
      <c r="A11" s="10" t="n">
        <v>10</v>
      </c>
      <c r="B11" s="10" t="inlineStr">
        <is>
          <t>2026-11-02</t>
        </is>
      </c>
      <c r="C11" s="10" t="inlineStr">
        <is>
          <t>2026-11-06</t>
        </is>
      </c>
      <c r="D11" s="11" t="inlineStr">
        <is>
          <t>Faza 2 — Odzyskanie funkcji-widm i luki pierwszego tygodnia</t>
        </is>
      </c>
      <c r="E11" s="11" t="inlineStr">
        <is>
          <t>Tickety v2</t>
        </is>
      </c>
      <c r="F11" s="10">
        <f>COUNTIF('Backlog do startu'!$G$2:$G$101,A11)</f>
        <v/>
      </c>
      <c r="G11" s="10">
        <f>SUMIF('Backlog do startu'!$G$2:$G$101,A11,'Backlog do startu'!$F$2:$F$101)</f>
        <v/>
      </c>
      <c r="H11" s="10" t="n">
        <v>30</v>
      </c>
      <c r="I11" s="12">
        <f>IFERROR(G11/H11,0)</f>
        <v/>
      </c>
      <c r="J11" s="11" t="inlineStr">
        <is>
          <t>Od pierwszego klienta support musi byc szybki; auto-wysylka odpowiedzi dopiero po zebraniu danych o trafnosci szkicow. | PRZEPLANOWANIE 2026-09-22 (3): decyzja wlasciciela — przed startem design (PB-15/16), asystent v1 (PB-17) i tickety v2 (PB-18); plan wydluza sie o 3 sprinty.</t>
        </is>
      </c>
    </row>
    <row r="12">
      <c r="A12" s="10" t="n">
        <v>11</v>
      </c>
      <c r="B12" s="10" t="inlineStr">
        <is>
          <t>2026-11-09</t>
        </is>
      </c>
      <c r="C12" s="10" t="inlineStr">
        <is>
          <t>2026-11-13</t>
        </is>
      </c>
      <c r="D12" s="11" t="inlineStr">
        <is>
          <t>Faza 2 — Odzyskanie funkcji-widm i luki pierwszego tygodnia</t>
        </is>
      </c>
      <c r="E12" s="11" t="inlineStr">
        <is>
          <t>Warstwa operatorska: zatrzymywanie szkody</t>
        </is>
      </c>
      <c r="F12" s="10">
        <f>COUNTIF('Backlog do startu'!$G$2:$G$101,A12)</f>
        <v/>
      </c>
      <c r="G12" s="10">
        <f>SUMIF('Backlog do startu'!$G$2:$G$101,A12,'Backlog do startu'!$F$2:$F$101)</f>
        <v/>
      </c>
      <c r="H12" s="10" t="n">
        <v>30</v>
      </c>
      <c r="I12" s="12">
        <f>IFERROR(G12/H12,0)</f>
        <v/>
      </c>
      <c r="J12" s="11" t="inlineStr">
        <is>
          <t>Bez tego pierwszy incydent obslugujesz curlem o drugiej w nocy. Pierwsze cztery pozycje to endpointy, ktore juz dzialaja.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13">
      <c r="A13" s="10" t="n">
        <v>12</v>
      </c>
      <c r="B13" s="10" t="inlineStr">
        <is>
          <t>2026-11-16</t>
        </is>
      </c>
      <c r="C13" s="10" t="inlineStr">
        <is>
          <t>2026-11-20</t>
        </is>
      </c>
      <c r="D13" s="11" t="inlineStr">
        <is>
          <t>Faza 2 — Odzyskanie funkcji-widm i luki pierwszego tygodnia</t>
        </is>
      </c>
      <c r="E13" s="11" t="inlineStr">
        <is>
          <t>Backup i staging</t>
        </is>
      </c>
      <c r="F13" s="10">
        <f>COUNTIF('Backlog do startu'!$G$2:$G$101,A13)</f>
        <v/>
      </c>
      <c r="G13" s="10">
        <f>SUMIF('Backlog do startu'!$G$2:$G$101,A13,'Backlog do startu'!$F$2:$F$101)</f>
        <v/>
      </c>
      <c r="H13" s="10" t="n">
        <v>30</v>
      </c>
      <c r="I13" s="12">
        <f>IFERROR(G13/H13,0)</f>
        <v/>
      </c>
      <c r="J13" s="11" t="inlineStr">
        <is>
          <t>H-17 bylo zalezne od H-20 — zamkniete 2026-08-23 dowodem D4, wiec zaleznosc spelniona. | PRZEPLANOWANIE 2026-09-22 (decyzja wlasciciela): wszystko, co wymaga nowego serwera, na koniec — zakup AX102 dopiero w sprincie 18, zeby serwer nie stal pusty i nie generowal kosztow. Najpierw panel, funkcje i poprawki na istniejacej infrastrukturze. Pozycje, ktore okaza sie wymagac wezla do dowodu D3, dostaja kod tutaj, a dowod w sprincie 18.</t>
        </is>
      </c>
    </row>
    <row r="14">
      <c r="A14" s="10" t="n">
        <v>13</v>
      </c>
      <c r="B14" s="10" t="inlineStr">
        <is>
          <t>2026-11-23</t>
        </is>
      </c>
      <c r="C14" s="10" t="inlineStr">
        <is>
          <t>2026-11-27</t>
        </is>
      </c>
      <c r="D14" s="11" t="inlineStr">
        <is>
          <t>Faza 2 — Odzyskanie funkcji-widm i luki pierwszego tygodnia</t>
        </is>
      </c>
      <c r="E14" s="11" t="inlineStr">
        <is>
          <t>Ogony, zaleznosci i dokumenty VOID</t>
        </is>
      </c>
      <c r="F14" s="10">
        <f>COUNTIF('Backlog do startu'!$G$2:$G$101,A14)</f>
        <v/>
      </c>
      <c r="G14" s="10">
        <f>SUMIF('Backlog do startu'!$G$2:$G$101,A14,'Backlog do startu'!$F$2:$F$101)</f>
        <v/>
      </c>
      <c r="H14" s="10" t="n">
        <v>30</v>
      </c>
      <c r="I14" s="12">
        <f>IFERROR(G14/H14,0)</f>
        <v/>
      </c>
      <c r="J14" s="11" t="inlineStr">
        <is>
          <t>X-31 i X-32 to ostatnie CZESCIOWE z passu adwersaryjnego. DEP-02 tu, bo wyciszenie majorow ESLinta z DEP-03 ma termin przegladu 2026-11-15, a sprint zaczyna sie 2026-11-02. M-08 (anulowanie faktury VOID) — w trybie zewnetrznym z FAK-01 dotyczy dokumentu rozliczeniowego, nie faktury VAT; zakres do potwierdzenia przy realizacji. X-31 i X-32 zamkniete 2026-09-22 (D3) — zostaja tu jako zapis.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15">
      <c r="A15" s="10" t="n">
        <v>14</v>
      </c>
      <c r="B15" s="10" t="inlineStr">
        <is>
          <t>2026-11-30</t>
        </is>
      </c>
      <c r="C15" s="10" t="inlineStr">
        <is>
          <t>2026-12-04</t>
        </is>
      </c>
      <c r="D15" s="11" t="inlineStr">
        <is>
          <t>Faza 2 — Odzyskanie funkcji-widm i luki pierwszego tygodnia</t>
        </is>
      </c>
      <c r="E15" s="11" t="inlineStr">
        <is>
          <t>Rozliczenia klienta i pomiar</t>
        </is>
      </c>
      <c r="F15" s="10">
        <f>COUNTIF('Backlog do startu'!$G$2:$G$101,A15)</f>
        <v/>
      </c>
      <c r="G15" s="10">
        <f>SUMIF('Backlog do startu'!$G$2:$G$101,A15,'Backlog do startu'!$F$2:$F$101)</f>
        <v/>
      </c>
      <c r="H15" s="10" t="n">
        <v>30</v>
      </c>
      <c r="I15" s="12">
        <f>IFERROR(G15/H15,0)</f>
        <v/>
      </c>
      <c r="J15" s="11" t="inlineStr">
        <is>
          <t>Ostatni sprint kodowy przed blokiem dokumentow. PB-08 (Consent Mode v2 + dedup event_id) jest tu, a nie przy landingu, bo to kod w panelu, nie tresc — landing tylko z niego korzysta. | PRZEPLANOWANIE 2026-09-22 (decyzja wlasciciela): wszystko, co wymaga nowego serwera, na koniec — zakup AX102 dopiero w sprincie 18, zeby serwer nie stal pusty i nie generowal kosztow. Najpierw panel, funkcje i poprawki na istniejacej infrastrukturze. NODE-03 (pojemnosc wezla z telemetrii) dolozone tutaj z sprintu 13 dla pojemnosci — kod bez wezla, dowod przy wezle.</t>
        </is>
      </c>
    </row>
    <row r="16">
      <c r="A16" s="10" t="n">
        <v>15</v>
      </c>
      <c r="B16" s="10" t="inlineStr">
        <is>
          <t>2026-12-07</t>
        </is>
      </c>
      <c r="C16" s="10" t="inlineStr">
        <is>
          <t>2026-12-11</t>
        </is>
      </c>
      <c r="D16" s="11" t="inlineStr">
        <is>
          <t>Faza 3 — Wejście na rynek</t>
        </is>
      </c>
      <c r="E16" s="11" t="inlineStr">
        <is>
          <t>Egress: pelne pokrycie ruchu (control-plane)</t>
        </is>
      </c>
      <c r="F16" s="10">
        <f>COUNTIF('Backlog do startu'!$G$2:$G$101,A16)</f>
        <v/>
      </c>
      <c r="G16" s="10">
        <f>SUMIF('Backlog do startu'!$G$2:$G$101,A16,'Backlog do startu'!$F$2:$F$101)</f>
        <v/>
      </c>
      <c r="H16" s="10" t="n">
        <v>30</v>
      </c>
      <c r="I16" s="12">
        <f>IFERROR(G16/H16,0)</f>
        <v/>
      </c>
      <c r="J16" s="11" t="inlineStr">
        <is>
          <t>X-41 zamyka to, co dzis jest tylko obserwacja: hardening wisi w lancuchu OUTPUT, a ruch kontenerow idzie przez FORWARD/DOCKER-USER, czyli egress CALEGO PRODUKTU byl poza zasiegiem zabezpieczenia, ktore wygladalo, jakby go obejmowalo. Obserwacja stoi (1674 pakiety, 0 DROP), zostaje egzekwowanie. SEC-03 dokłada ruch spoza TCP/80 i TCP/443 — DNS po UDP/53 i SMTP nie sa objete ani obserwacja, ani trybem strict, wiec bez tego "strict" opisuje dwa porty, nie host. | PRZEPLANOWANIE 2026-09-22 (decyzja wlasciciela): wszystko, co wymaga nowego serwera, na koniec — zakup AX102 dopiero w sprincie 18, zeby serwer nie stal pusty i nie generowal kosztow. Najpierw panel, funkcje i poprawki na istniejacej infrastrukturze. Pomiar z SEC-05 dziala od 2026-09-22, wiec egzekwowanie w FORWARD i UDP/53/SMTP ma juz na czym sie oprzec. Po panelu (sprinty 6-11), bezposrednio przed wlaczeniem strict — oba to ta sama robota na zaporze control-plane, a pomiar dostaje przez ten czas kilka tygodni danych.</t>
        </is>
      </c>
    </row>
    <row r="17">
      <c r="A17" s="10" t="n">
        <v>16</v>
      </c>
      <c r="B17" s="10" t="inlineStr">
        <is>
          <t>2026-12-14</t>
        </is>
      </c>
      <c r="C17" s="10" t="inlineStr">
        <is>
          <t>2026-12-18</t>
        </is>
      </c>
      <c r="D17" s="11" t="inlineStr">
        <is>
          <t>Faza 3 — Wejście na rynek</t>
        </is>
      </c>
      <c r="E17" s="11" t="inlineStr">
        <is>
          <t>Strict egress na control-plane</t>
        </is>
      </c>
      <c r="F17" s="10">
        <f>COUNTIF('Backlog do startu'!$G$2:$G$101,A17)</f>
        <v/>
      </c>
      <c r="G17" s="10">
        <f>SUMIF('Backlog do startu'!$G$2:$G$101,A17,'Backlog do startu'!$F$2:$F$101)</f>
        <v/>
      </c>
      <c r="H17" s="10" t="n">
        <v>30</v>
      </c>
      <c r="I17" s="12">
        <f>IFERROR(G17/H17,0)</f>
        <v/>
      </c>
      <c r="J17" s="11" t="inlineStr">
        <is>
          <t>Kod SEC-05/04/01 gotowy 2026-09-22 (pomiar na produkcji od 09:23 UTC). Tutaj: allowlista z kilku tygodni pelnego pomiaru (SEC-06), odswiezanie adresow Stripe (SEC-02), wlaczenie --strict (warunek wstepny w skrypcie sam odmowi, jesli pomiar widzi cele spoza listy).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18">
      <c r="A18" s="10" t="n">
        <v>17</v>
      </c>
      <c r="B18" s="10" t="inlineStr">
        <is>
          <t>2026-12-21</t>
        </is>
      </c>
      <c r="C18" s="10" t="inlineStr">
        <is>
          <t>2026-12-25</t>
        </is>
      </c>
      <c r="D18" s="11" t="inlineStr">
        <is>
          <t>Faza 3 — Wejście na rynek</t>
        </is>
      </c>
      <c r="E18" s="11" t="inlineStr">
        <is>
          <t>Dokumenty prawne, DPA i naduzycia</t>
        </is>
      </c>
      <c r="F18" s="10">
        <f>COUNTIF('Backlog do startu'!$G$2:$G$101,A18)</f>
        <v/>
      </c>
      <c r="G18" s="10">
        <f>SUMIF('Backlog do startu'!$G$2:$G$101,A18,'Backlog do startu'!$F$2:$F$101)</f>
        <v/>
      </c>
      <c r="H18" s="10" t="n">
        <v>30</v>
      </c>
      <c r="I18" s="12">
        <f>IFERROR(G18/H18,0)</f>
        <v/>
      </c>
      <c r="J18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P-15 zamyka ostatni bloker poza FAK-01 i Z-18: zostal tylko Hetzner (Zalacznik 1 przygotowany w trackerze). PB-04: adres abuse@ jest punktem kontaktowym DSA i musi istniec przed publikacja regulaminu. Polityka prywatnosci opisuje lokalizacje przetwarzania DE/FI (ADR-2026-09-22-wezel-1-hetzner).</t>
        </is>
      </c>
    </row>
    <row r="19">
      <c r="A19" s="10" t="n">
        <v>18</v>
      </c>
      <c r="B19" s="10" t="inlineStr">
        <is>
          <t>2026-12-28</t>
        </is>
      </c>
      <c r="C19" s="10" t="inlineStr">
        <is>
          <t>2027-01-01</t>
        </is>
      </c>
      <c r="D19" s="11" t="inlineStr">
        <is>
          <t>Faza 3 — Wejście na rynek</t>
        </is>
      </c>
      <c r="E19" s="11" t="inlineStr">
        <is>
          <t>Cennik, SLA i zastepstwo</t>
        </is>
      </c>
      <c r="F19" s="10">
        <f>COUNTIF('Backlog do startu'!$G$2:$G$101,A19)</f>
        <v/>
      </c>
      <c r="G19" s="10">
        <f>SUMIF('Backlog do startu'!$G$2:$G$101,A19,'Backlog do startu'!$F$2:$F$101)</f>
        <v/>
      </c>
      <c r="H19" s="10" t="n">
        <v>30</v>
      </c>
      <c r="I19" s="12">
        <f>IFERROR(G19/H19,0)</f>
        <v/>
      </c>
      <c r="J19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N-16 (kredyty SLA) po PB-03, bo regulamin obiecuje kredyty — najpierw przeliczyc je na realnych danych z probe-ow. Cennik zgodny z PB-01 (45 zl/mies brutto, 399 zl/rok).</t>
        </is>
      </c>
    </row>
    <row r="20">
      <c r="A20" s="10" t="n">
        <v>19</v>
      </c>
      <c r="B20" s="10" t="inlineStr">
        <is>
          <t>2027-01-04</t>
        </is>
      </c>
      <c r="C20" s="10" t="inlineStr">
        <is>
          <t>2027-01-08</t>
        </is>
      </c>
      <c r="D20" s="11" t="inlineStr">
        <is>
          <t>Faza 3 — Wejście na rynek</t>
        </is>
      </c>
      <c r="E20" s="11" t="inlineStr">
        <is>
          <t>Landing i baza wiedzy</t>
        </is>
      </c>
      <c r="F20" s="10">
        <f>COUNTIF('Backlog do startu'!$G$2:$G$101,A20)</f>
        <v/>
      </c>
      <c r="G20" s="10">
        <f>SUMIF('Backlog do startu'!$G$2:$G$101,A20,'Backlog do startu'!$F$2:$F$101)</f>
        <v/>
      </c>
      <c r="H20" s="10" t="n">
        <v>30</v>
      </c>
      <c r="I20" s="12">
        <f>IFERROR(G20/H20,0)</f>
        <v/>
      </c>
      <c r="J20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Landing nie moze obiecywac funkcji ze statusem LUKA lub ATRAPA — kazde zdanie sprawdzic wobec macierzy.</t>
        </is>
      </c>
    </row>
    <row r="21">
      <c r="A21" s="10" t="n">
        <v>20</v>
      </c>
      <c r="B21" s="10" t="inlineStr">
        <is>
          <t>2027-01-11</t>
        </is>
      </c>
      <c r="C21" s="10" t="inlineStr">
        <is>
          <t>2027-01-15</t>
        </is>
      </c>
      <c r="D21" s="11" t="inlineStr"/>
      <c r="E21" s="11" t="inlineStr">
        <is>
          <t>Kampania (wstrzymana)</t>
        </is>
      </c>
      <c r="F21" s="10">
        <f>COUNTIF('Backlog do startu'!$G$2:$G$101,A21)</f>
        <v/>
      </c>
      <c r="G21" s="10">
        <f>SUMIF('Backlog do startu'!$G$2:$G$101,A21,'Backlog do startu'!$F$2:$F$101)</f>
        <v/>
      </c>
      <c r="H21" s="10" t="n">
        <v>30</v>
      </c>
      <c r="I21" s="12">
        <f>IFERROR(G21/H21,0)</f>
        <v/>
      </c>
      <c r="J21" s="11" t="inlineStr">
        <is>
          <t>Kampania powstaje wstrzymana — wlaczenie dopiero po decyzji GO.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22">
      <c r="A22" s="10" t="n">
        <v>21</v>
      </c>
      <c r="B22" s="10" t="inlineStr">
        <is>
          <t>2027-01-18</t>
        </is>
      </c>
      <c r="C22" s="10" t="inlineStr">
        <is>
          <t>2027-01-22</t>
        </is>
      </c>
      <c r="D22" s="11" t="inlineStr"/>
      <c r="E22" s="11" t="inlineStr">
        <is>
          <t>Wezel produkcyjny #1 (Hetzner AX102)</t>
        </is>
      </c>
      <c r="F22" s="10">
        <f>COUNTIF('Backlog do startu'!$G$2:$G$101,A22)</f>
        <v/>
      </c>
      <c r="G22" s="10">
        <f>SUMIF('Backlog do startu'!$G$2:$G$101,A22,'Backlog do startu'!$F$2:$F$101)</f>
        <v/>
      </c>
      <c r="H22" s="10" t="n">
        <v>30</v>
      </c>
      <c r="I22" s="12">
        <f>IFERROR(G22/H22,0)</f>
        <v/>
      </c>
      <c r="J22" s="11" t="inlineStr">
        <is>
          <t>ZAKUP SERWERA TUTAJ, nie wczesniej (decyzja wlasciciela 2026-09-22: bez kosztow za pusty serwer). Zamowienie na poczatku sprintu: AX102 w centrum danych Panelu, licencje DirectAdmin/CloudLinux/Imunify, Storage Box BX21 w innej lokalizacji. NODE-02 ma kod i D2 (instalator zatrzymuje sie na bledzie) — tu dowod D3 przy pierwszym onboardingu. Z-18 dostaje D3 (provisioning z przerwanym polaczeniem do DA) i przestaje byc blokerem. J-01 i J-04 — weryfikacja na wezle z timestampem.</t>
        </is>
      </c>
    </row>
    <row r="23">
      <c r="A23" s="10" t="n">
        <v>22</v>
      </c>
      <c r="B23" s="10" t="inlineStr">
        <is>
          <t>2027-01-25</t>
        </is>
      </c>
      <c r="C23" s="10" t="inlineStr">
        <is>
          <t>2027-01-29</t>
        </is>
      </c>
      <c r="D23" s="11" t="inlineStr"/>
      <c r="E23" s="11" t="inlineStr">
        <is>
          <t>Sciezka pierwszego klienta i decyzja GO</t>
        </is>
      </c>
      <c r="F23" s="10">
        <f>COUNTIF('Backlog do startu'!$G$2:$G$101,A23)</f>
        <v/>
      </c>
      <c r="G23" s="10">
        <f>SUMIF('Backlog do startu'!$G$2:$G$101,A23,'Backlog do startu'!$F$2:$F$101)</f>
        <v/>
      </c>
      <c r="H23" s="10" t="n">
        <v>30</v>
      </c>
      <c r="I23" s="12">
        <f>IFERROR(G23/H23,0)</f>
        <v/>
      </c>
      <c r="J23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Kampania powstaje wstrzymana. PB-05 to jedyny moment w planie, w ktorym powstaje dowod D3 calej sciezki — kazdy nieudany krok wraca do backlogu jako bloker i przesuwa start. PB-05 wymaga wezla, dlatego stoi zaraz po sprincie 18.</t>
        </is>
      </c>
    </row>
  </sheetData>
  <autoFilter ref="A1:J23"/>
  <conditionalFormatting sqref="G2:G23">
    <cfRule type="dataBar" priority="1">
      <dataBar>
        <cfvo type="num" val="0"/>
        <cfvo type="num" val="30"/>
        <color rgb="004A90D9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11" customWidth="1" min="4" max="4"/>
    <col width="15" customWidth="1" min="5" max="5"/>
    <col width="46" customWidth="1" min="6" max="6"/>
    <col width="26" customWidth="1" min="7" max="7"/>
    <col width="15" customWidth="1" min="8" max="8"/>
    <col width="5" customWidth="1" min="9" max="9"/>
    <col width="17" customWidth="1" min="10" max="10"/>
    <col width="66" customWidth="1" min="11" max="11"/>
  </cols>
  <sheetData>
    <row r="1" ht="30" customHeight="1">
      <c r="A1" s="9" t="inlineStr">
        <is>
          <t>ID</t>
        </is>
      </c>
      <c r="B1" s="9" t="inlineStr">
        <is>
          <t>Epik</t>
        </is>
      </c>
      <c r="C1" s="9" t="inlineStr">
        <is>
          <t>Nazwa epiku</t>
        </is>
      </c>
      <c r="D1" s="9" t="inlineStr">
        <is>
          <t>Kwartał</t>
        </is>
      </c>
      <c r="E1" s="9" t="inlineStr">
        <is>
          <t>Priorytet epiku</t>
        </is>
      </c>
      <c r="F1" s="9" t="inlineStr">
        <is>
          <t>Funkcja</t>
        </is>
      </c>
      <c r="G1" s="9" t="inlineStr">
        <is>
          <t>Kategoria</t>
        </is>
      </c>
      <c r="H1" s="9" t="inlineStr">
        <is>
          <t>Krytyczność</t>
        </is>
      </c>
      <c r="I1" s="9" t="inlineStr">
        <is>
          <t>h</t>
        </is>
      </c>
      <c r="J1" s="9" t="inlineStr">
        <is>
          <t>Stan w kodzie</t>
        </is>
      </c>
      <c r="K1" s="9" t="inlineStr">
        <is>
          <t>Dowód / uwagi</t>
        </is>
      </c>
    </row>
    <row r="2">
      <c r="A2" s="10" t="inlineStr">
        <is>
          <t>B-03</t>
        </is>
      </c>
      <c r="B2" s="10" t="inlineStr">
        <is>
          <t>E-01</t>
        </is>
      </c>
      <c r="C2" s="11" t="inlineStr">
        <is>
          <t>Runtime, pliki i diagnostyka</t>
        </is>
      </c>
      <c r="D2" s="10" t="inlineStr">
        <is>
          <t>Q1 2027</t>
        </is>
      </c>
      <c r="E2" s="10" t="inlineStr">
        <is>
          <t>WYSOKI</t>
        </is>
      </c>
      <c r="F2" s="11" t="inlineStr">
        <is>
          <t>Zmiana wersji PHP per katalog</t>
        </is>
      </c>
      <c r="G2" s="10" t="inlineStr">
        <is>
          <t>B — Runtime WWW</t>
        </is>
      </c>
      <c r="H2" s="10" t="inlineStr">
        <is>
          <t>NISKA</t>
        </is>
      </c>
      <c r="I2" s="10" t="n">
        <v>16</v>
      </c>
      <c r="J2" s="10" t="inlineStr">
        <is>
          <t>BRAK</t>
        </is>
      </c>
      <c r="K2" s="11" t="inlineStr"/>
    </row>
    <row r="3">
      <c r="A3" s="10" t="inlineStr">
        <is>
          <t>B-04</t>
        </is>
      </c>
      <c r="B3" s="10" t="inlineStr">
        <is>
          <t>E-01</t>
        </is>
      </c>
      <c r="C3" s="11" t="inlineStr">
        <is>
          <t>Runtime, pliki i diagnostyka</t>
        </is>
      </c>
      <c r="D3" s="10" t="inlineStr">
        <is>
          <t>Q1 2027</t>
        </is>
      </c>
      <c r="E3" s="10" t="inlineStr">
        <is>
          <t>WYSOKI</t>
        </is>
      </c>
      <c r="F3" s="11" t="inlineStr">
        <is>
          <t>Włączanie/wyłączanie rozszerzeń PHP</t>
        </is>
      </c>
      <c r="G3" s="10" t="inlineStr">
        <is>
          <t>B — Runtime WWW</t>
        </is>
      </c>
      <c r="H3" s="10" t="inlineStr">
        <is>
          <t>ŚREDNIA</t>
        </is>
      </c>
      <c r="I3" s="10" t="n">
        <v>16</v>
      </c>
      <c r="J3" s="10" t="inlineStr">
        <is>
          <t>BRAK</t>
        </is>
      </c>
      <c r="K3" s="11" t="inlineStr"/>
    </row>
    <row r="4">
      <c r="A4" s="10" t="inlineStr">
        <is>
          <t>B-05</t>
        </is>
      </c>
      <c r="B4" s="10" t="inlineStr">
        <is>
          <t>E-01</t>
        </is>
      </c>
      <c r="C4" s="11" t="inlineStr">
        <is>
          <t>Runtime, pliki i diagnostyka</t>
        </is>
      </c>
      <c r="D4" s="10" t="inlineStr">
        <is>
          <t>Q1 2027</t>
        </is>
      </c>
      <c r="E4" s="10" t="inlineStr">
        <is>
          <t>WYSOKI</t>
        </is>
      </c>
      <c r="F4" s="11" t="inlineStr">
        <is>
          <t>Edycja dyrektyw php.ini z panelu</t>
        </is>
      </c>
      <c r="G4" s="10" t="inlineStr">
        <is>
          <t>B — Runtime WWW</t>
        </is>
      </c>
      <c r="H4" s="10" t="inlineStr">
        <is>
          <t>WYSOKA</t>
        </is>
      </c>
      <c r="I4" s="10" t="n">
        <v>16</v>
      </c>
      <c r="J4" s="10" t="inlineStr">
        <is>
          <t>BRAK</t>
        </is>
      </c>
      <c r="K4" s="11" t="inlineStr">
        <is>
          <t>4 z 5 hostingów PL to ma</t>
        </is>
      </c>
    </row>
    <row r="5">
      <c r="A5" s="10" t="inlineStr">
        <is>
          <t>B-06</t>
        </is>
      </c>
      <c r="B5" s="10" t="inlineStr">
        <is>
          <t>E-01</t>
        </is>
      </c>
      <c r="C5" s="11" t="inlineStr">
        <is>
          <t>Runtime, pliki i diagnostyka</t>
        </is>
      </c>
      <c r="D5" s="10" t="inlineStr">
        <is>
          <t>Q1 2027</t>
        </is>
      </c>
      <c r="E5" s="10" t="inlineStr">
        <is>
          <t>WYSOKI</t>
        </is>
      </c>
      <c r="F5" s="11" t="inlineStr">
        <is>
          <t>Podgląd aktualnej konfiguracji PHP (phpinfo)</t>
        </is>
      </c>
      <c r="G5" s="10" t="inlineStr">
        <is>
          <t>B — Runtime WWW</t>
        </is>
      </c>
      <c r="H5" s="10" t="inlineStr">
        <is>
          <t>NISKA</t>
        </is>
      </c>
      <c r="I5" s="10" t="n">
        <v>6</v>
      </c>
      <c r="J5" s="10" t="inlineStr">
        <is>
          <t>BRAK</t>
        </is>
      </c>
      <c r="K5" s="11" t="inlineStr"/>
    </row>
    <row r="6">
      <c r="A6" s="10" t="inlineStr">
        <is>
          <t>B-08</t>
        </is>
      </c>
      <c r="B6" s="10" t="inlineStr">
        <is>
          <t>E-01</t>
        </is>
      </c>
      <c r="C6" s="11" t="inlineStr">
        <is>
          <t>Runtime, pliki i diagnostyka</t>
        </is>
      </c>
      <c r="D6" s="10" t="inlineStr">
        <is>
          <t>Q1 2027</t>
        </is>
      </c>
      <c r="E6" s="10" t="inlineStr">
        <is>
          <t>WYSOKI</t>
        </is>
      </c>
      <c r="F6" s="11" t="inlineStr">
        <is>
          <t>Aplikacje Node.js</t>
        </is>
      </c>
      <c r="G6" s="10" t="inlineStr">
        <is>
          <t>B — Runtime WWW</t>
        </is>
      </c>
      <c r="H6" s="10" t="inlineStr">
        <is>
          <t>NISKA</t>
        </is>
      </c>
      <c r="I6" s="10" t="n">
        <v>40</v>
      </c>
      <c r="J6" s="10" t="inlineStr">
        <is>
          <t>BRAK</t>
        </is>
      </c>
      <c r="K6" s="11" t="inlineStr">
        <is>
          <t>żaden z 5 hostingów PL tego nie ma</t>
        </is>
      </c>
    </row>
    <row r="7">
      <c r="A7" s="10" t="inlineStr">
        <is>
          <t>B-09</t>
        </is>
      </c>
      <c r="B7" s="10" t="inlineStr">
        <is>
          <t>E-01</t>
        </is>
      </c>
      <c r="C7" s="11" t="inlineStr">
        <is>
          <t>Runtime, pliki i diagnostyka</t>
        </is>
      </c>
      <c r="D7" s="10" t="inlineStr">
        <is>
          <t>Q1 2027</t>
        </is>
      </c>
      <c r="E7" s="10" t="inlineStr">
        <is>
          <t>WYSOKI</t>
        </is>
      </c>
      <c r="F7" s="11" t="inlineStr">
        <is>
          <t>Aplikacje Python</t>
        </is>
      </c>
      <c r="G7" s="10" t="inlineStr">
        <is>
          <t>B — Runtime WWW</t>
        </is>
      </c>
      <c r="H7" s="10" t="inlineStr">
        <is>
          <t>NISKA</t>
        </is>
      </c>
      <c r="I7" s="10" t="n">
        <v>40</v>
      </c>
      <c r="J7" s="10" t="inlineStr">
        <is>
          <t>BRAK</t>
        </is>
      </c>
      <c r="K7" s="11" t="inlineStr"/>
    </row>
    <row r="8">
      <c r="A8" s="10" t="inlineStr">
        <is>
          <t>B-17</t>
        </is>
      </c>
      <c r="B8" s="10" t="inlineStr">
        <is>
          <t>E-01</t>
        </is>
      </c>
      <c r="C8" s="11" t="inlineStr">
        <is>
          <t>Runtime, pliki i diagnostyka</t>
        </is>
      </c>
      <c r="D8" s="10" t="inlineStr">
        <is>
          <t>Q1 2027</t>
        </is>
      </c>
      <c r="E8" s="10" t="inlineStr">
        <is>
          <t>WYSOKI</t>
        </is>
      </c>
      <c r="F8" s="11" t="inlineStr">
        <is>
          <t>Własne strony błędów</t>
        </is>
      </c>
      <c r="G8" s="10" t="inlineStr">
        <is>
          <t>B — Runtime WWW</t>
        </is>
      </c>
      <c r="H8" s="10" t="inlineStr">
        <is>
          <t>NISKA</t>
        </is>
      </c>
      <c r="I8" s="10" t="n">
        <v>6</v>
      </c>
      <c r="J8" s="10" t="inlineStr">
        <is>
          <t>BRAK</t>
        </is>
      </c>
      <c r="K8" s="11" t="inlineStr"/>
    </row>
    <row r="9">
      <c r="A9" s="10" t="inlineStr">
        <is>
          <t>B-18</t>
        </is>
      </c>
      <c r="B9" s="10" t="inlineStr">
        <is>
          <t>E-01</t>
        </is>
      </c>
      <c r="C9" s="11" t="inlineStr">
        <is>
          <t>Runtime, pliki i diagnostyka</t>
        </is>
      </c>
      <c r="D9" s="10" t="inlineStr">
        <is>
          <t>Q1 2027</t>
        </is>
      </c>
      <c r="E9" s="10" t="inlineStr">
        <is>
          <t>WYSOKI</t>
        </is>
      </c>
      <c r="F9" s="11" t="inlineStr">
        <is>
          <t>Menedżer indeksowania katalogu</t>
        </is>
      </c>
      <c r="G9" s="10" t="inlineStr">
        <is>
          <t>B — Runtime WWW</t>
        </is>
      </c>
      <c r="H9" s="10" t="inlineStr">
        <is>
          <t>NISKA</t>
        </is>
      </c>
      <c r="I9" s="10" t="n">
        <v>6</v>
      </c>
      <c r="J9" s="10" t="inlineStr">
        <is>
          <t>BRAK</t>
        </is>
      </c>
      <c r="K9" s="11" t="inlineStr"/>
    </row>
    <row r="10">
      <c r="A10" s="10" t="inlineStr">
        <is>
          <t>B-19</t>
        </is>
      </c>
      <c r="B10" s="10" t="inlineStr">
        <is>
          <t>E-01</t>
        </is>
      </c>
      <c r="C10" s="11" t="inlineStr">
        <is>
          <t>Runtime, pliki i diagnostyka</t>
        </is>
      </c>
      <c r="D10" s="10" t="inlineStr">
        <is>
          <t>Q1 2027</t>
        </is>
      </c>
      <c r="E10" s="10" t="inlineStr">
        <is>
          <t>WYSOKI</t>
        </is>
      </c>
      <c r="F10" s="11" t="inlineStr">
        <is>
          <t>Kreator stron WWW</t>
        </is>
      </c>
      <c r="G10" s="10" t="inlineStr">
        <is>
          <t>B — Runtime WWW</t>
        </is>
      </c>
      <c r="H10" s="10" t="inlineStr">
        <is>
          <t>NISKA</t>
        </is>
      </c>
      <c r="I10" s="10" t="n">
        <v>16</v>
      </c>
      <c r="J10" s="10" t="inlineStr">
        <is>
          <t>ATRAPA</t>
        </is>
      </c>
      <c r="K10" s="11" t="inlineStr">
        <is>
          <t>SiteBuilderTab.tsx (1612 l.) wyłączony w page.tsx:65,296</t>
        </is>
      </c>
    </row>
    <row r="11">
      <c r="A11" s="10" t="inlineStr">
        <is>
          <t>C-14</t>
        </is>
      </c>
      <c r="B11" s="10" t="inlineStr">
        <is>
          <t>E-01</t>
        </is>
      </c>
      <c r="C11" s="11" t="inlineStr">
        <is>
          <t>Runtime, pliki i diagnostyka</t>
        </is>
      </c>
      <c r="D11" s="10" t="inlineStr">
        <is>
          <t>Q1 2027</t>
        </is>
      </c>
      <c r="E11" s="10" t="inlineStr">
        <is>
          <t>WYSOKI</t>
        </is>
      </c>
      <c r="F11" s="11" t="inlineStr">
        <is>
          <t>Wyszukiwanie plików</t>
        </is>
      </c>
      <c r="G11" s="10" t="inlineStr">
        <is>
          <t>C — Pliki, FTP, SSH, Git</t>
        </is>
      </c>
      <c r="H11" s="10" t="inlineStr">
        <is>
          <t>NISKA</t>
        </is>
      </c>
      <c r="I11" s="10" t="n">
        <v>6</v>
      </c>
      <c r="J11" s="10" t="inlineStr">
        <is>
          <t>BRAK</t>
        </is>
      </c>
      <c r="K11" s="11" t="inlineStr"/>
    </row>
    <row r="12">
      <c r="A12" s="10" t="inlineStr">
        <is>
          <t>C-15</t>
        </is>
      </c>
      <c r="B12" s="10" t="inlineStr">
        <is>
          <t>E-01</t>
        </is>
      </c>
      <c r="C12" s="11" t="inlineStr">
        <is>
          <t>Runtime, pliki i diagnostyka</t>
        </is>
      </c>
      <c r="D12" s="10" t="inlineStr">
        <is>
          <t>Q1 2027</t>
        </is>
      </c>
      <c r="E12" s="10" t="inlineStr">
        <is>
          <t>WYSOKI</t>
        </is>
      </c>
      <c r="F12" s="11" t="inlineStr">
        <is>
          <t>Podgląd zajętości katalogów (disk usage)</t>
        </is>
      </c>
      <c r="G12" s="10" t="inlineStr">
        <is>
          <t>C — Pliki, FTP, SSH, Git</t>
        </is>
      </c>
      <c r="H12" s="10" t="inlineStr">
        <is>
          <t>ŚREDNIA</t>
        </is>
      </c>
      <c r="I12" s="10" t="n">
        <v>6</v>
      </c>
      <c r="J12" s="10" t="inlineStr">
        <is>
          <t>BRAK</t>
        </is>
      </c>
      <c r="K12" s="11" t="inlineStr">
        <is>
          <t>częste źródło ticketów „skończyło się miejsce”</t>
        </is>
      </c>
    </row>
    <row r="13">
      <c r="A13" s="10" t="inlineStr">
        <is>
          <t>C-19</t>
        </is>
      </c>
      <c r="B13" s="10" t="inlineStr">
        <is>
          <t>E-01</t>
        </is>
      </c>
      <c r="C13" s="11" t="inlineStr">
        <is>
          <t>Runtime, pliki i diagnostyka</t>
        </is>
      </c>
      <c r="D13" s="10" t="inlineStr">
        <is>
          <t>Q1 2027</t>
        </is>
      </c>
      <c r="E13" s="10" t="inlineStr">
        <is>
          <t>WYSOKI</t>
        </is>
      </c>
      <c r="F13" s="11" t="inlineStr">
        <is>
          <t>Konto FTP — limit powierzchni (quota)</t>
        </is>
      </c>
      <c r="G13" s="10" t="inlineStr">
        <is>
          <t>C — Pliki, FTP, SSH, Git</t>
        </is>
      </c>
      <c r="H13" s="10" t="inlineStr">
        <is>
          <t>NISKA</t>
        </is>
      </c>
      <c r="I13" s="10" t="n">
        <v>6</v>
      </c>
      <c r="J13" s="10" t="inlineStr">
        <is>
          <t>BRAK</t>
        </is>
      </c>
      <c r="K13" s="11" t="inlineStr"/>
    </row>
    <row r="14">
      <c r="A14" s="10" t="inlineStr">
        <is>
          <t>C-21</t>
        </is>
      </c>
      <c r="B14" s="10" t="inlineStr">
        <is>
          <t>E-01</t>
        </is>
      </c>
      <c r="C14" s="11" t="inlineStr">
        <is>
          <t>Runtime, pliki i diagnostyka</t>
        </is>
      </c>
      <c r="D14" s="10" t="inlineStr">
        <is>
          <t>Q1 2027</t>
        </is>
      </c>
      <c r="E14" s="10" t="inlineStr">
        <is>
          <t>WYSOKI</t>
        </is>
      </c>
      <c r="F14" s="11" t="inlineStr">
        <is>
          <t>Dostęp SSH</t>
        </is>
      </c>
      <c r="G14" s="10" t="inlineStr">
        <is>
          <t>C — Pliki, FTP, SSH, Git</t>
        </is>
      </c>
      <c r="H14" s="10" t="inlineStr">
        <is>
          <t>WYSOKA</t>
        </is>
      </c>
      <c r="I14" s="10" t="n">
        <v>16</v>
      </c>
      <c r="J14" s="10" t="inlineStr">
        <is>
          <t>CZĘŚCIOWE</t>
        </is>
      </c>
      <c r="K14" s="11" t="inlineStr">
        <is>
          <t>ServiceConnectionCard.tsx:235 — tylko odczyt flagi</t>
        </is>
      </c>
    </row>
    <row r="15">
      <c r="A15" s="10" t="inlineStr">
        <is>
          <t>C-22</t>
        </is>
      </c>
      <c r="B15" s="10" t="inlineStr">
        <is>
          <t>E-01</t>
        </is>
      </c>
      <c r="C15" s="11" t="inlineStr">
        <is>
          <t>Runtime, pliki i diagnostyka</t>
        </is>
      </c>
      <c r="D15" s="10" t="inlineStr">
        <is>
          <t>Q1 2027</t>
        </is>
      </c>
      <c r="E15" s="10" t="inlineStr">
        <is>
          <t>WYSOKI</t>
        </is>
      </c>
      <c r="F15" s="11" t="inlineStr">
        <is>
          <t>Zarządzanie kluczami SSH konta hostingowego</t>
        </is>
      </c>
      <c r="G15" s="10" t="inlineStr">
        <is>
          <t>C — Pliki, FTP, SSH, Git</t>
        </is>
      </c>
      <c r="H15" s="10" t="inlineStr">
        <is>
          <t>WYSOKA</t>
        </is>
      </c>
      <c r="I15" s="10" t="n">
        <v>16</v>
      </c>
      <c r="J15" s="10" t="inlineStr">
        <is>
          <t>BRAK</t>
        </is>
      </c>
      <c r="K15" s="11" t="inlineStr">
        <is>
          <t>klucze są tylko dla VPS, nie dla hostingu</t>
        </is>
      </c>
    </row>
    <row r="16">
      <c r="A16" s="10" t="inlineStr">
        <is>
          <t>C-25</t>
        </is>
      </c>
      <c r="B16" s="10" t="inlineStr">
        <is>
          <t>E-01</t>
        </is>
      </c>
      <c r="C16" s="11" t="inlineStr">
        <is>
          <t>Runtime, pliki i diagnostyka</t>
        </is>
      </c>
      <c r="D16" s="10" t="inlineStr">
        <is>
          <t>Q1 2027</t>
        </is>
      </c>
      <c r="E16" s="10" t="inlineStr">
        <is>
          <t>WYSOKI</t>
        </is>
      </c>
      <c r="F16" s="11" t="inlineStr">
        <is>
          <t>Klonowanie repozytorium Git z panelu</t>
        </is>
      </c>
      <c r="G16" s="10" t="inlineStr">
        <is>
          <t>C — Pliki, FTP, SSH, Git</t>
        </is>
      </c>
      <c r="H16" s="10" t="inlineStr">
        <is>
          <t>ŚREDNIA</t>
        </is>
      </c>
      <c r="I16" s="10" t="n">
        <v>16</v>
      </c>
      <c r="J16" s="10" t="inlineStr">
        <is>
          <t>BRAK</t>
        </is>
      </c>
      <c r="K16" s="11" t="inlineStr">
        <is>
          <t>DeployTab.tsx:192 przyznaje brak</t>
        </is>
      </c>
    </row>
    <row r="17">
      <c r="A17" s="10" t="inlineStr">
        <is>
          <t>C-26</t>
        </is>
      </c>
      <c r="B17" s="10" t="inlineStr">
        <is>
          <t>E-01</t>
        </is>
      </c>
      <c r="C17" s="11" t="inlineStr">
        <is>
          <t>Runtime, pliki i diagnostyka</t>
        </is>
      </c>
      <c r="D17" s="10" t="inlineStr">
        <is>
          <t>Q1 2027</t>
        </is>
      </c>
      <c r="E17" s="10" t="inlineStr">
        <is>
          <t>WYSOKI</t>
        </is>
      </c>
      <c r="F17" s="11" t="inlineStr">
        <is>
          <t>Deploy z repozytorium (pull na żądanie)</t>
        </is>
      </c>
      <c r="G17" s="10" t="inlineStr">
        <is>
          <t>C — Pliki, FTP, SSH, Git</t>
        </is>
      </c>
      <c r="H17" s="10" t="inlineStr">
        <is>
          <t>ŚREDNIA</t>
        </is>
      </c>
      <c r="I17" s="10" t="n">
        <v>16</v>
      </c>
      <c r="J17" s="10" t="inlineStr">
        <is>
          <t>CZĘŚCIOWE</t>
        </is>
      </c>
      <c r="K17" s="11" t="inlineStr">
        <is>
          <t>services.controller.ts:717; directadmin.service.ts:2450</t>
        </is>
      </c>
    </row>
    <row r="18">
      <c r="A18" s="10" t="inlineStr">
        <is>
          <t>C-27</t>
        </is>
      </c>
      <c r="B18" s="10" t="inlineStr">
        <is>
          <t>E-01</t>
        </is>
      </c>
      <c r="C18" s="11" t="inlineStr">
        <is>
          <t>Runtime, pliki i diagnostyka</t>
        </is>
      </c>
      <c r="D18" s="10" t="inlineStr">
        <is>
          <t>Q1 2027</t>
        </is>
      </c>
      <c r="E18" s="10" t="inlineStr">
        <is>
          <t>WYSOKI</t>
        </is>
      </c>
      <c r="F18" s="11" t="inlineStr">
        <is>
          <t>Webhook deploy z GitHuba</t>
        </is>
      </c>
      <c r="G18" s="10" t="inlineStr">
        <is>
          <t>C — Pliki, FTP, SSH, Git</t>
        </is>
      </c>
      <c r="H18" s="10" t="inlineStr">
        <is>
          <t>NISKA</t>
        </is>
      </c>
      <c r="I18" s="10" t="n">
        <v>16</v>
      </c>
      <c r="J18" s="10" t="inlineStr">
        <is>
          <t>BRAK</t>
        </is>
      </c>
      <c r="K18" s="11" t="inlineStr"/>
    </row>
    <row r="19">
      <c r="A19" s="10" t="inlineStr">
        <is>
          <t>C-28</t>
        </is>
      </c>
      <c r="B19" s="10" t="inlineStr">
        <is>
          <t>E-01</t>
        </is>
      </c>
      <c r="C19" s="11" t="inlineStr">
        <is>
          <t>Runtime, pliki i diagnostyka</t>
        </is>
      </c>
      <c r="D19" s="10" t="inlineStr">
        <is>
          <t>Q1 2027</t>
        </is>
      </c>
      <c r="E19" s="10" t="inlineStr">
        <is>
          <t>WYSOKI</t>
        </is>
      </c>
      <c r="F19" s="11" t="inlineStr">
        <is>
          <t>Composer / narzędzia CLI przez SSH</t>
        </is>
      </c>
      <c r="G19" s="10" t="inlineStr">
        <is>
          <t>C — Pliki, FTP, SSH, Git</t>
        </is>
      </c>
      <c r="H19" s="10" t="inlineStr">
        <is>
          <t>ŚREDNIA</t>
        </is>
      </c>
      <c r="I19" s="10" t="n">
        <v>16</v>
      </c>
      <c r="J19" s="10" t="inlineStr">
        <is>
          <t>CZĘŚCIOWE</t>
        </is>
      </c>
      <c r="K19" s="11" t="inlineStr">
        <is>
          <t>zależne od C-21</t>
        </is>
      </c>
    </row>
    <row r="20">
      <c r="A20" s="10" t="inlineStr">
        <is>
          <t>D-08</t>
        </is>
      </c>
      <c r="B20" s="10" t="inlineStr">
        <is>
          <t>E-01</t>
        </is>
      </c>
      <c r="C20" s="11" t="inlineStr">
        <is>
          <t>Runtime, pliki i diagnostyka</t>
        </is>
      </c>
      <c r="D20" s="10" t="inlineStr">
        <is>
          <t>Q1 2027</t>
        </is>
      </c>
      <c r="E20" s="10" t="inlineStr">
        <is>
          <t>WYSOKI</t>
        </is>
      </c>
      <c r="F20" s="11" t="inlineStr">
        <is>
          <t>Nadawanie uprawnień użytkownikowi bazy</t>
        </is>
      </c>
      <c r="G20" s="10" t="inlineStr">
        <is>
          <t>D — Bazy danych</t>
        </is>
      </c>
      <c r="H20" s="10" t="inlineStr">
        <is>
          <t>ŚREDNIA</t>
        </is>
      </c>
      <c r="I20" s="10" t="n">
        <v>6</v>
      </c>
      <c r="J20" s="10" t="inlineStr">
        <is>
          <t>BRAK</t>
        </is>
      </c>
      <c r="K20" s="11" t="inlineStr"/>
    </row>
    <row r="21">
      <c r="A21" s="10" t="inlineStr">
        <is>
          <t>D-10</t>
        </is>
      </c>
      <c r="B21" s="10" t="inlineStr">
        <is>
          <t>E-01</t>
        </is>
      </c>
      <c r="C21" s="11" t="inlineStr">
        <is>
          <t>Runtime, pliki i diagnostyka</t>
        </is>
      </c>
      <c r="D21" s="10" t="inlineStr">
        <is>
          <t>Q1 2027</t>
        </is>
      </c>
      <c r="E21" s="10" t="inlineStr">
        <is>
          <t>WYSOKI</t>
        </is>
      </c>
      <c r="F21" s="11" t="inlineStr">
        <is>
          <t>phpMyAdmin — dostęp</t>
        </is>
      </c>
      <c r="G21" s="10" t="inlineStr">
        <is>
          <t>D — Bazy danych</t>
        </is>
      </c>
      <c r="H21" s="10" t="inlineStr">
        <is>
          <t>ŚREDNIA</t>
        </is>
      </c>
      <c r="I21" s="10" t="n">
        <v>6</v>
      </c>
      <c r="J21" s="10" t="inlineStr">
        <is>
          <t>CZĘŚCIOWE</t>
        </is>
      </c>
      <c r="K21" s="11" t="inlineStr">
        <is>
          <t>link do DA zamiast SSO</t>
        </is>
      </c>
    </row>
    <row r="22">
      <c r="A22" s="10" t="inlineStr">
        <is>
          <t>D-12</t>
        </is>
      </c>
      <c r="B22" s="10" t="inlineStr">
        <is>
          <t>E-01</t>
        </is>
      </c>
      <c r="C22" s="11" t="inlineStr">
        <is>
          <t>Runtime, pliki i diagnostyka</t>
        </is>
      </c>
      <c r="D22" s="10" t="inlineStr">
        <is>
          <t>Q1 2027</t>
        </is>
      </c>
      <c r="E22" s="10" t="inlineStr">
        <is>
          <t>WYSOKI</t>
        </is>
      </c>
      <c r="F22" s="11" t="inlineStr">
        <is>
          <t>Import / eksport bazy z panelu</t>
        </is>
      </c>
      <c r="G22" s="10" t="inlineStr">
        <is>
          <t>D — Bazy danych</t>
        </is>
      </c>
      <c r="H22" s="10" t="inlineStr">
        <is>
          <t>WYSOKA</t>
        </is>
      </c>
      <c r="I22" s="10" t="n">
        <v>16</v>
      </c>
      <c r="J22" s="10" t="inlineStr">
        <is>
          <t>BRAK</t>
        </is>
      </c>
      <c r="K22" s="11" t="inlineStr">
        <is>
          <t>standard u wszystkich 5 hostingów PL</t>
        </is>
      </c>
    </row>
    <row r="23">
      <c r="A23" s="10" t="inlineStr">
        <is>
          <t>D-13</t>
        </is>
      </c>
      <c r="B23" s="10" t="inlineStr">
        <is>
          <t>E-01</t>
        </is>
      </c>
      <c r="C23" s="11" t="inlineStr">
        <is>
          <t>Runtime, pliki i diagnostyka</t>
        </is>
      </c>
      <c r="D23" s="10" t="inlineStr">
        <is>
          <t>Q1 2027</t>
        </is>
      </c>
      <c r="E23" s="10" t="inlineStr">
        <is>
          <t>WYSOKI</t>
        </is>
      </c>
      <c r="F23" s="11" t="inlineStr">
        <is>
          <t>Kopia bazy na żądanie</t>
        </is>
      </c>
      <c r="G23" s="10" t="inlineStr">
        <is>
          <t>D — Bazy danych</t>
        </is>
      </c>
      <c r="H23" s="10" t="inlineStr">
        <is>
          <t>ŚREDNIA</t>
        </is>
      </c>
      <c r="I23" s="10" t="n">
        <v>6</v>
      </c>
      <c r="J23" s="10" t="inlineStr">
        <is>
          <t>CZĘŚCIOWE</t>
        </is>
      </c>
      <c r="K23" s="11" t="inlineStr">
        <is>
          <t>w ramach backupu konta</t>
        </is>
      </c>
    </row>
    <row r="24">
      <c r="A24" s="10" t="inlineStr">
        <is>
          <t>D-14</t>
        </is>
      </c>
      <c r="B24" s="10" t="inlineStr">
        <is>
          <t>E-01</t>
        </is>
      </c>
      <c r="C24" s="11" t="inlineStr">
        <is>
          <t>Runtime, pliki i diagnostyka</t>
        </is>
      </c>
      <c r="D24" s="10" t="inlineStr">
        <is>
          <t>Q1 2027</t>
        </is>
      </c>
      <c r="E24" s="10" t="inlineStr">
        <is>
          <t>WYSOKI</t>
        </is>
      </c>
      <c r="F24" s="11" t="inlineStr">
        <is>
          <t>PostgreSQL</t>
        </is>
      </c>
      <c r="G24" s="10" t="inlineStr">
        <is>
          <t>D — Bazy danych</t>
        </is>
      </c>
      <c r="H24" s="10" t="inlineStr">
        <is>
          <t>NISKA</t>
        </is>
      </c>
      <c r="I24" s="10" t="n">
        <v>40</v>
      </c>
      <c r="J24" s="10" t="inlineStr">
        <is>
          <t>BRAK</t>
        </is>
      </c>
      <c r="K24" s="11" t="inlineStr">
        <is>
          <t>2 z 5 hostingów PL</t>
        </is>
      </c>
    </row>
    <row r="25">
      <c r="A25" s="10" t="inlineStr">
        <is>
          <t>D-17</t>
        </is>
      </c>
      <c r="B25" s="10" t="inlineStr">
        <is>
          <t>E-01</t>
        </is>
      </c>
      <c r="C25" s="11" t="inlineStr">
        <is>
          <t>Runtime, pliki i diagnostyka</t>
        </is>
      </c>
      <c r="D25" s="10" t="inlineStr">
        <is>
          <t>Q1 2027</t>
        </is>
      </c>
      <c r="E25" s="10" t="inlineStr">
        <is>
          <t>WYSOKI</t>
        </is>
      </c>
      <c r="F25" s="11" t="inlineStr">
        <is>
          <t>Podgląd rozmiaru bazy</t>
        </is>
      </c>
      <c r="G25" s="10" t="inlineStr">
        <is>
          <t>D — Bazy danych</t>
        </is>
      </c>
      <c r="H25" s="10" t="inlineStr">
        <is>
          <t>NISKA</t>
        </is>
      </c>
      <c r="I25" s="10" t="n">
        <v>6</v>
      </c>
      <c r="J25" s="10" t="inlineStr">
        <is>
          <t>CZĘŚCIOWE</t>
        </is>
      </c>
      <c r="K25" s="11" t="inlineStr">
        <is>
          <t>w statystykach konta</t>
        </is>
      </c>
    </row>
    <row r="26">
      <c r="A26" s="10" t="inlineStr">
        <is>
          <t>D-18</t>
        </is>
      </c>
      <c r="B26" s="10" t="inlineStr">
        <is>
          <t>E-01</t>
        </is>
      </c>
      <c r="C26" s="11" t="inlineStr">
        <is>
          <t>Runtime, pliki i diagnostyka</t>
        </is>
      </c>
      <c r="D26" s="10" t="inlineStr">
        <is>
          <t>Q1 2027</t>
        </is>
      </c>
      <c r="E26" s="10" t="inlineStr">
        <is>
          <t>WYSOKI</t>
        </is>
      </c>
      <c r="F26" s="11" t="inlineStr">
        <is>
          <t>Naprawa / optymalizacja tabel</t>
        </is>
      </c>
      <c r="G26" s="10" t="inlineStr">
        <is>
          <t>D — Bazy danych</t>
        </is>
      </c>
      <c r="H26" s="10" t="inlineStr">
        <is>
          <t>NISKA</t>
        </is>
      </c>
      <c r="I26" s="10" t="n">
        <v>6</v>
      </c>
      <c r="J26" s="10" t="inlineStr">
        <is>
          <t>BRAK</t>
        </is>
      </c>
      <c r="K26" s="11" t="inlineStr"/>
    </row>
    <row r="27">
      <c r="A27" s="10" t="inlineStr">
        <is>
          <t>K-03</t>
        </is>
      </c>
      <c r="B27" s="10" t="inlineStr">
        <is>
          <t>E-01</t>
        </is>
      </c>
      <c r="C27" s="11" t="inlineStr">
        <is>
          <t>Runtime, pliki i diagnostyka</t>
        </is>
      </c>
      <c r="D27" s="10" t="inlineStr">
        <is>
          <t>Q1 2027</t>
        </is>
      </c>
      <c r="E27" s="10" t="inlineStr">
        <is>
          <t>WYSOKI</t>
        </is>
      </c>
      <c r="F27" s="11" t="inlineStr">
        <is>
          <t>Licznik inodów</t>
        </is>
      </c>
      <c r="G27" s="10" t="inlineStr">
        <is>
          <t>K — Statystyki, logi, limity</t>
        </is>
      </c>
      <c r="H27" s="10" t="inlineStr">
        <is>
          <t>ŚREDNIA</t>
        </is>
      </c>
      <c r="I27" s="10" t="n">
        <v>6</v>
      </c>
      <c r="J27" s="10" t="inlineStr">
        <is>
          <t>BRAK</t>
        </is>
      </c>
      <c r="K27" s="11" t="inlineStr">
        <is>
          <t>żaden hosting PL nie publikuje — okazja na transparentność</t>
        </is>
      </c>
    </row>
    <row r="28">
      <c r="A28" s="10" t="inlineStr">
        <is>
          <t>K-04</t>
        </is>
      </c>
      <c r="B28" s="10" t="inlineStr">
        <is>
          <t>E-01</t>
        </is>
      </c>
      <c r="C28" s="11" t="inlineStr">
        <is>
          <t>Runtime, pliki i diagnostyka</t>
        </is>
      </c>
      <c r="D28" s="10" t="inlineStr">
        <is>
          <t>Q1 2027</t>
        </is>
      </c>
      <c r="E28" s="10" t="inlineStr">
        <is>
          <t>WYSOKI</t>
        </is>
      </c>
      <c r="F28" s="11" t="inlineStr">
        <is>
          <t>Logi dostępu WWW (access log)</t>
        </is>
      </c>
      <c r="G28" s="10" t="inlineStr">
        <is>
          <t>K — Statystyki, logi, limity</t>
        </is>
      </c>
      <c r="H28" s="10" t="inlineStr">
        <is>
          <t>WYSOKA</t>
        </is>
      </c>
      <c r="I28" s="10" t="n">
        <v>16</v>
      </c>
      <c r="J28" s="10" t="inlineStr">
        <is>
          <t>BRAK</t>
        </is>
      </c>
      <c r="K28" s="11" t="inlineStr">
        <is>
          <t>wszystkie 5 hostingów PL to ma; seohost reklamuje jako darmowe</t>
        </is>
      </c>
    </row>
    <row r="29">
      <c r="A29" s="10" t="inlineStr">
        <is>
          <t>K-05</t>
        </is>
      </c>
      <c r="B29" s="10" t="inlineStr">
        <is>
          <t>E-01</t>
        </is>
      </c>
      <c r="C29" s="11" t="inlineStr">
        <is>
          <t>Runtime, pliki i diagnostyka</t>
        </is>
      </c>
      <c r="D29" s="10" t="inlineStr">
        <is>
          <t>Q1 2027</t>
        </is>
      </c>
      <c r="E29" s="10" t="inlineStr">
        <is>
          <t>WYSOKI</t>
        </is>
      </c>
      <c r="F29" s="11" t="inlineStr">
        <is>
          <t>Logi błędów PHP</t>
        </is>
      </c>
      <c r="G29" s="10" t="inlineStr">
        <is>
          <t>K — Statystyki, logi, limity</t>
        </is>
      </c>
      <c r="H29" s="10" t="inlineStr">
        <is>
          <t>WYSOKA</t>
        </is>
      </c>
      <c r="I29" s="10" t="n">
        <v>16</v>
      </c>
      <c r="J29" s="10" t="inlineStr">
        <is>
          <t>BRAK</t>
        </is>
      </c>
      <c r="K29" s="11" t="inlineStr">
        <is>
          <t>j.w. — bez tego klient nie zdiagnozuje własnej strony</t>
        </is>
      </c>
    </row>
    <row r="30">
      <c r="A30" s="10" t="inlineStr">
        <is>
          <t>K-06</t>
        </is>
      </c>
      <c r="B30" s="10" t="inlineStr">
        <is>
          <t>E-01</t>
        </is>
      </c>
      <c r="C30" s="11" t="inlineStr">
        <is>
          <t>Runtime, pliki i diagnostyka</t>
        </is>
      </c>
      <c r="D30" s="10" t="inlineStr">
        <is>
          <t>Q1 2027</t>
        </is>
      </c>
      <c r="E30" s="10" t="inlineStr">
        <is>
          <t>WYSOKI</t>
        </is>
      </c>
      <c r="F30" s="11" t="inlineStr">
        <is>
          <t>Surowe logi do pobrania</t>
        </is>
      </c>
      <c r="G30" s="10" t="inlineStr">
        <is>
          <t>K — Statystyki, logi, limity</t>
        </is>
      </c>
      <c r="H30" s="10" t="inlineStr">
        <is>
          <t>ŚREDNIA</t>
        </is>
      </c>
      <c r="I30" s="10" t="n">
        <v>6</v>
      </c>
      <c r="J30" s="10" t="inlineStr">
        <is>
          <t>BRAK</t>
        </is>
      </c>
      <c r="K30" s="11" t="inlineStr"/>
    </row>
    <row r="31">
      <c r="A31" s="10" t="inlineStr">
        <is>
          <t>K-08</t>
        </is>
      </c>
      <c r="B31" s="10" t="inlineStr">
        <is>
          <t>E-01</t>
        </is>
      </c>
      <c r="C31" s="11" t="inlineStr">
        <is>
          <t>Runtime, pliki i diagnostyka</t>
        </is>
      </c>
      <c r="D31" s="10" t="inlineStr">
        <is>
          <t>Q1 2027</t>
        </is>
      </c>
      <c r="E31" s="10" t="inlineStr">
        <is>
          <t>WYSOKI</t>
        </is>
      </c>
      <c r="F31" s="11" t="inlineStr">
        <is>
          <t>Powiadomienia o przekroczeniu limitów</t>
        </is>
      </c>
      <c r="G31" s="10" t="inlineStr">
        <is>
          <t>K — Statystyki, logi, limity</t>
        </is>
      </c>
      <c r="H31" s="10" t="inlineStr">
        <is>
          <t>ŚREDNIA</t>
        </is>
      </c>
      <c r="I31" s="10" t="n">
        <v>6</v>
      </c>
      <c r="J31" s="10" t="inlineStr">
        <is>
          <t>CZĘŚCIOWE</t>
        </is>
      </c>
      <c r="K31" s="11" t="inlineStr">
        <is>
          <t>monitoring dostępności działa; brak alertów o limitach zasobów</t>
        </is>
      </c>
    </row>
    <row r="32">
      <c r="A32" s="10" t="inlineStr">
        <is>
          <t>K-14</t>
        </is>
      </c>
      <c r="B32" s="10" t="inlineStr">
        <is>
          <t>E-01</t>
        </is>
      </c>
      <c r="C32" s="11" t="inlineStr">
        <is>
          <t>Runtime, pliki i diagnostyka</t>
        </is>
      </c>
      <c r="D32" s="10" t="inlineStr">
        <is>
          <t>Q1 2027</t>
        </is>
      </c>
      <c r="E32" s="10" t="inlineStr">
        <is>
          <t>WYSOKI</t>
        </is>
      </c>
      <c r="F32" s="11" t="inlineStr">
        <is>
          <t>Wolne zapytania SQL</t>
        </is>
      </c>
      <c r="G32" s="10" t="inlineStr">
        <is>
          <t>K — Statystyki, logi, limity</t>
        </is>
      </c>
      <c r="H32" s="10" t="inlineStr">
        <is>
          <t>NISKA</t>
        </is>
      </c>
      <c r="I32" s="10" t="n">
        <v>16</v>
      </c>
      <c r="J32" s="10" t="inlineStr">
        <is>
          <t>BRAK</t>
        </is>
      </c>
      <c r="K32" s="11" t="inlineStr"/>
    </row>
    <row r="33">
      <c r="A33" s="10" t="inlineStr">
        <is>
          <t>Z-15</t>
        </is>
      </c>
      <c r="B33" s="10" t="inlineStr">
        <is>
          <t>E-01</t>
        </is>
      </c>
      <c r="C33" s="11" t="inlineStr">
        <is>
          <t>Runtime, pliki i diagnostyka</t>
        </is>
      </c>
      <c r="D33" s="10" t="inlineStr">
        <is>
          <t>Q1 2027</t>
        </is>
      </c>
      <c r="E33" s="10" t="inlineStr">
        <is>
          <t>WYSOKI</t>
        </is>
      </c>
      <c r="F33" s="11" t="inlineStr">
        <is>
          <t>Alert wyprzedzający, gdy realne zużycie węzła zbliża się do progu</t>
        </is>
      </c>
      <c r="G33" s="10" t="inlineStr">
        <is>
          <t>K — Statystyki, logi, limity</t>
        </is>
      </c>
      <c r="H33" s="10" t="inlineStr">
        <is>
          <t>ŚREDNIA</t>
        </is>
      </c>
      <c r="I33" s="10" t="n">
        <v>6</v>
      </c>
      <c r="J33" s="10" t="inlineStr">
        <is>
          <t>BRAK</t>
        </is>
      </c>
      <c r="K33" s="11" t="inlineStr">
        <is>
          <t>node-capacity.ts — bramka fizyczna odmawia po przekroczeniu progu, nie przed</t>
        </is>
      </c>
    </row>
    <row r="34">
      <c r="A34" s="10" t="inlineStr">
        <is>
          <t>D-15</t>
        </is>
      </c>
      <c r="B34" s="10" t="inlineStr">
        <is>
          <t>E-02</t>
        </is>
      </c>
      <c r="C34" s="11" t="inlineStr">
        <is>
          <t>Wydajność: cache i skalowanie</t>
        </is>
      </c>
      <c r="D34" s="10" t="inlineStr">
        <is>
          <t>Q1 2027</t>
        </is>
      </c>
      <c r="E34" s="10" t="inlineStr">
        <is>
          <t>WYSOKI</t>
        </is>
      </c>
      <c r="F34" s="11" t="inlineStr">
        <is>
          <t>Redis / cache obiektowy dla klienta</t>
        </is>
      </c>
      <c r="G34" s="10" t="inlineStr">
        <is>
          <t>D — Bazy danych</t>
        </is>
      </c>
      <c r="H34" s="10" t="inlineStr">
        <is>
          <t>WYSOKA</t>
        </is>
      </c>
      <c r="I34" s="10" t="n">
        <v>16</v>
      </c>
      <c r="J34" s="10" t="inlineStr">
        <is>
          <t>BRAK</t>
        </is>
      </c>
      <c r="K34" s="11" t="inlineStr">
        <is>
          <t>3 z 5 hostingów PL ma w cenie — realny wyróżnik dla WordPressa</t>
        </is>
      </c>
    </row>
    <row r="35">
      <c r="A35" s="10" t="inlineStr">
        <is>
          <t>D-16</t>
        </is>
      </c>
      <c r="B35" s="10" t="inlineStr">
        <is>
          <t>E-02</t>
        </is>
      </c>
      <c r="C35" s="11" t="inlineStr">
        <is>
          <t>Wydajność: cache i skalowanie</t>
        </is>
      </c>
      <c r="D35" s="10" t="inlineStr">
        <is>
          <t>Q1 2027</t>
        </is>
      </c>
      <c r="E35" s="10" t="inlineStr">
        <is>
          <t>WYSOKI</t>
        </is>
      </c>
      <c r="F35" s="11" t="inlineStr">
        <is>
          <t>Memcached</t>
        </is>
      </c>
      <c r="G35" s="10" t="inlineStr">
        <is>
          <t>D — Bazy danych</t>
        </is>
      </c>
      <c r="H35" s="10" t="inlineStr">
        <is>
          <t>NISKA</t>
        </is>
      </c>
      <c r="I35" s="10" t="n">
        <v>16</v>
      </c>
      <c r="J35" s="10" t="inlineStr">
        <is>
          <t>BRAK</t>
        </is>
      </c>
      <c r="K35" s="11" t="inlineStr"/>
    </row>
    <row r="36">
      <c r="A36" s="10" t="inlineStr">
        <is>
          <t>J-02</t>
        </is>
      </c>
      <c r="B36" s="10" t="inlineStr">
        <is>
          <t>E-02</t>
        </is>
      </c>
      <c r="C36" s="11" t="inlineStr">
        <is>
          <t>Wydajność: cache i skalowanie</t>
        </is>
      </c>
      <c r="D36" s="10" t="inlineStr">
        <is>
          <t>Q1 2027</t>
        </is>
      </c>
      <c r="E36" s="10" t="inlineStr">
        <is>
          <t>WYSOKI</t>
        </is>
      </c>
      <c r="F36" s="11" t="inlineStr">
        <is>
          <t>Cache stron (LSCache) sterowany z panelu</t>
        </is>
      </c>
      <c r="G36" s="10" t="inlineStr">
        <is>
          <t>J — Wydajność i cache</t>
        </is>
      </c>
      <c r="H36" s="10" t="inlineStr">
        <is>
          <t>WYSOKA</t>
        </is>
      </c>
      <c r="I36" s="10" t="n">
        <v>16</v>
      </c>
      <c r="J36" s="10" t="inlineStr">
        <is>
          <t>BRAK</t>
        </is>
      </c>
      <c r="K36" s="11" t="inlineStr"/>
    </row>
    <row r="37">
      <c r="A37" s="10" t="inlineStr">
        <is>
          <t>J-03</t>
        </is>
      </c>
      <c r="B37" s="10" t="inlineStr">
        <is>
          <t>E-02</t>
        </is>
      </c>
      <c r="C37" s="11" t="inlineStr">
        <is>
          <t>Wydajność: cache i skalowanie</t>
        </is>
      </c>
      <c r="D37" s="10" t="inlineStr">
        <is>
          <t>Q1 2027</t>
        </is>
      </c>
      <c r="E37" s="10" t="inlineStr">
        <is>
          <t>WYSOKI</t>
        </is>
      </c>
      <c r="F37" s="11" t="inlineStr">
        <is>
          <t>Cache obiektowy (Redis) dla WordPressa</t>
        </is>
      </c>
      <c r="G37" s="10" t="inlineStr">
        <is>
          <t>J — Wydajność i cache</t>
        </is>
      </c>
      <c r="H37" s="10" t="inlineStr">
        <is>
          <t>WYSOKA</t>
        </is>
      </c>
      <c r="I37" s="10" t="n">
        <v>16</v>
      </c>
      <c r="J37" s="10" t="inlineStr">
        <is>
          <t>BRAK</t>
        </is>
      </c>
      <c r="K37" s="11" t="inlineStr">
        <is>
          <t>patrz D-15</t>
        </is>
      </c>
    </row>
    <row r="38">
      <c r="A38" s="10" t="inlineStr">
        <is>
          <t>J-05</t>
        </is>
      </c>
      <c r="B38" s="10" t="inlineStr">
        <is>
          <t>E-02</t>
        </is>
      </c>
      <c r="C38" s="11" t="inlineStr">
        <is>
          <t>Wydajność: cache i skalowanie</t>
        </is>
      </c>
      <c r="D38" s="10" t="inlineStr">
        <is>
          <t>Q1 2027</t>
        </is>
      </c>
      <c r="E38" s="10" t="inlineStr">
        <is>
          <t>WYSOKI</t>
        </is>
      </c>
      <c r="F38" s="11" t="inlineStr">
        <is>
          <t>CDN</t>
        </is>
      </c>
      <c r="G38" s="10" t="inlineStr">
        <is>
          <t>J — Wydajność i cache</t>
        </is>
      </c>
      <c r="H38" s="10" t="inlineStr">
        <is>
          <t>NISKA</t>
        </is>
      </c>
      <c r="I38" s="10" t="n">
        <v>40</v>
      </c>
      <c r="J38" s="10" t="inlineStr">
        <is>
          <t>BRAK</t>
        </is>
      </c>
      <c r="K38" s="11" t="inlineStr">
        <is>
          <t>na rynku PL płatny dodatek</t>
        </is>
      </c>
    </row>
    <row r="39">
      <c r="A39" s="10" t="inlineStr">
        <is>
          <t>J-06</t>
        </is>
      </c>
      <c r="B39" s="10" t="inlineStr">
        <is>
          <t>E-02</t>
        </is>
      </c>
      <c r="C39" s="11" t="inlineStr">
        <is>
          <t>Wydajność: cache i skalowanie</t>
        </is>
      </c>
      <c r="D39" s="10" t="inlineStr">
        <is>
          <t>Q1 2027</t>
        </is>
      </c>
      <c r="E39" s="10" t="inlineStr">
        <is>
          <t>WYSOKI</t>
        </is>
      </c>
      <c r="F39" s="11" t="inlineStr">
        <is>
          <t>Optymalizacja obrazów</t>
        </is>
      </c>
      <c r="G39" s="10" t="inlineStr">
        <is>
          <t>J — Wydajność i cache</t>
        </is>
      </c>
      <c r="H39" s="10" t="inlineStr">
        <is>
          <t>NISKA</t>
        </is>
      </c>
      <c r="I39" s="10" t="n">
        <v>16</v>
      </c>
      <c r="J39" s="10" t="inlineStr">
        <is>
          <t>BRAK</t>
        </is>
      </c>
      <c r="K39" s="11" t="inlineStr"/>
    </row>
    <row r="40">
      <c r="A40" s="10" t="inlineStr">
        <is>
          <t>J-07</t>
        </is>
      </c>
      <c r="B40" s="10" t="inlineStr">
        <is>
          <t>E-02</t>
        </is>
      </c>
      <c r="C40" s="11" t="inlineStr">
        <is>
          <t>Wydajność: cache i skalowanie</t>
        </is>
      </c>
      <c r="D40" s="10" t="inlineStr">
        <is>
          <t>Q1 2027</t>
        </is>
      </c>
      <c r="E40" s="10" t="inlineStr">
        <is>
          <t>WYSOKI</t>
        </is>
      </c>
      <c r="F40" s="11" t="inlineStr">
        <is>
          <t>Dedykowany adres IP</t>
        </is>
      </c>
      <c r="G40" s="10" t="inlineStr">
        <is>
          <t>J — Wydajność i cache</t>
        </is>
      </c>
      <c r="H40" s="10" t="inlineStr">
        <is>
          <t>ŚREDNIA</t>
        </is>
      </c>
      <c r="I40" s="10" t="n">
        <v>6</v>
      </c>
      <c r="J40" s="10" t="inlineStr">
        <is>
          <t>CZĘŚCIOWE</t>
        </is>
      </c>
      <c r="K40" s="11" t="inlineStr">
        <is>
          <t>addons — jako dodatek typu workorder</t>
        </is>
      </c>
    </row>
    <row r="41">
      <c r="A41" s="10" t="inlineStr">
        <is>
          <t>Z-17</t>
        </is>
      </c>
      <c r="B41" s="10" t="inlineStr">
        <is>
          <t>E-02</t>
        </is>
      </c>
      <c r="C41" s="11" t="inlineStr">
        <is>
          <t>Wydajność: cache i skalowanie</t>
        </is>
      </c>
      <c r="D41" s="10" t="inlineStr">
        <is>
          <t>Q1 2027</t>
        </is>
      </c>
      <c r="E41" s="10" t="inlineStr">
        <is>
          <t>WYSOKI</t>
        </is>
      </c>
      <c r="F41" s="11" t="inlineStr">
        <is>
          <t>Klient widzi, że autoskalowanie dało mu mniej, niż potrzebował</t>
        </is>
      </c>
      <c r="G41" s="10" t="inlineStr">
        <is>
          <t>J — Wydajność i cache</t>
        </is>
      </c>
      <c r="H41" s="10" t="inlineStr">
        <is>
          <t>ŚREDNIA</t>
        </is>
      </c>
      <c r="I41" s="10" t="n">
        <v>6</v>
      </c>
      <c r="J41" s="10" t="inlineStr">
        <is>
          <t>BRAK</t>
        </is>
      </c>
      <c r="K41" s="11" t="inlineStr">
        <is>
          <t>autoscaling-engine.service.ts — obcięcie zostawia wpis w dzienniku audytu i warn w logu, ale panel klienta nie pokazuje niczego</t>
        </is>
      </c>
    </row>
    <row r="42">
      <c r="A42" s="10" t="inlineStr">
        <is>
          <t>H-04</t>
        </is>
      </c>
      <c r="B42" s="10" t="inlineStr">
        <is>
          <t>E-12</t>
        </is>
      </c>
      <c r="C42" s="11" t="inlineStr">
        <is>
          <t>Backup: granularność i retencja</t>
        </is>
      </c>
      <c r="D42" s="10" t="inlineStr">
        <is>
          <t>Q1 2027</t>
        </is>
      </c>
      <c r="E42" s="10" t="inlineStr">
        <is>
          <t>WYSOKI</t>
        </is>
      </c>
      <c r="F42" s="11" t="inlineStr">
        <is>
          <t>Retencja co najmniej 28 dni w cenie</t>
        </is>
      </c>
      <c r="G42" s="10" t="inlineStr">
        <is>
          <t>H — Backup i odtwarzanie</t>
        </is>
      </c>
      <c r="H42" s="10" t="inlineStr">
        <is>
          <t>WYSOKA</t>
        </is>
      </c>
      <c r="I42" s="10" t="n">
        <v>16</v>
      </c>
      <c r="J42" s="10" t="inlineStr">
        <is>
          <t>CZĘŚCIOWE</t>
        </is>
      </c>
      <c r="K42" s="11" t="inlineStr">
        <is>
          <t>off-site: 30 dni (node-offsite-backup.sh:101)</t>
        </is>
      </c>
    </row>
    <row r="43">
      <c r="A43" s="10" t="inlineStr">
        <is>
          <t>H-10</t>
        </is>
      </c>
      <c r="B43" s="10" t="inlineStr">
        <is>
          <t>E-12</t>
        </is>
      </c>
      <c r="C43" s="11" t="inlineStr">
        <is>
          <t>Backup: granularność i retencja</t>
        </is>
      </c>
      <c r="D43" s="10" t="inlineStr">
        <is>
          <t>Q1 2027</t>
        </is>
      </c>
      <c r="E43" s="10" t="inlineStr">
        <is>
          <t>WYSOKI</t>
        </is>
      </c>
      <c r="F43" s="11" t="inlineStr">
        <is>
          <t>Odtworzenie pojedynczego pliku</t>
        </is>
      </c>
      <c r="G43" s="10" t="inlineStr">
        <is>
          <t>H — Backup i odtwarzanie</t>
        </is>
      </c>
      <c r="H43" s="10" t="inlineStr">
        <is>
          <t>WYSOKA</t>
        </is>
      </c>
      <c r="I43" s="10" t="n">
        <v>16</v>
      </c>
      <c r="J43" s="10" t="inlineStr">
        <is>
          <t>BRAK</t>
        </is>
      </c>
      <c r="K43" s="11" t="inlineStr">
        <is>
          <t>JetBackup/Plesk to mają; seohost i dhosting też</t>
        </is>
      </c>
    </row>
    <row r="44">
      <c r="A44" s="10" t="inlineStr">
        <is>
          <t>H-11</t>
        </is>
      </c>
      <c r="B44" s="10" t="inlineStr">
        <is>
          <t>E-12</t>
        </is>
      </c>
      <c r="C44" s="11" t="inlineStr">
        <is>
          <t>Backup: granularność i retencja</t>
        </is>
      </c>
      <c r="D44" s="10" t="inlineStr">
        <is>
          <t>Q1 2027</t>
        </is>
      </c>
      <c r="E44" s="10" t="inlineStr">
        <is>
          <t>WYSOKI</t>
        </is>
      </c>
      <c r="F44" s="11" t="inlineStr">
        <is>
          <t>Podgląd zawartości archiwum przed odtworzeniem</t>
        </is>
      </c>
      <c r="G44" s="10" t="inlineStr">
        <is>
          <t>H — Backup i odtwarzanie</t>
        </is>
      </c>
      <c r="H44" s="10" t="inlineStr">
        <is>
          <t>WYSOKA</t>
        </is>
      </c>
      <c r="I44" s="10" t="n">
        <v>16</v>
      </c>
      <c r="J44" s="10" t="inlineStr">
        <is>
          <t>ATRAPA</t>
        </is>
      </c>
      <c r="K44" s="11" t="inlineStr">
        <is>
          <t>services.controller.ts:788-793 — buduje z BIEŻĄCEGO inwentarza konta, nie z archiwum</t>
        </is>
      </c>
    </row>
    <row r="45">
      <c r="A45" s="10" t="inlineStr">
        <is>
          <t>H-13</t>
        </is>
      </c>
      <c r="B45" s="10" t="inlineStr">
        <is>
          <t>E-12</t>
        </is>
      </c>
      <c r="C45" s="11" t="inlineStr">
        <is>
          <t>Backup: granularność i retencja</t>
        </is>
      </c>
      <c r="D45" s="10" t="inlineStr">
        <is>
          <t>Q1 2027</t>
        </is>
      </c>
      <c r="E45" s="10" t="inlineStr">
        <is>
          <t>WYSOKI</t>
        </is>
      </c>
      <c r="F45" s="11" t="inlineStr">
        <is>
          <t>Pobranie archiwum kopii lokalnie</t>
        </is>
      </c>
      <c r="G45" s="10" t="inlineStr">
        <is>
          <t>H — Backup i odtwarzanie</t>
        </is>
      </c>
      <c r="H45" s="10" t="inlineStr">
        <is>
          <t>ŚREDNIA</t>
        </is>
      </c>
      <c r="I45" s="10" t="n">
        <v>6</v>
      </c>
      <c r="J45" s="10" t="inlineStr">
        <is>
          <t>CZĘŚCIOWE</t>
        </is>
      </c>
      <c r="K45" s="11" t="inlineStr">
        <is>
          <t>services.controller.ts:855 — kopiuje na konto, nie do przeglądarki</t>
        </is>
      </c>
    </row>
    <row r="46">
      <c r="A46" s="10" t="inlineStr">
        <is>
          <t>H-16</t>
        </is>
      </c>
      <c r="B46" s="10" t="inlineStr">
        <is>
          <t>E-12</t>
        </is>
      </c>
      <c r="C46" s="11" t="inlineStr">
        <is>
          <t>Backup: granularność i retencja</t>
        </is>
      </c>
      <c r="D46" s="10" t="inlineStr">
        <is>
          <t>Q1 2027</t>
        </is>
      </c>
      <c r="E46" s="10" t="inlineStr">
        <is>
          <t>WYSOKI</t>
        </is>
      </c>
      <c r="F46" s="11" t="inlineStr">
        <is>
          <t>ODTWORZENIE KONTA NA INNY WĘZEŁ</t>
        </is>
      </c>
      <c r="G46" s="10" t="inlineStr">
        <is>
          <t>H — Backup i odtwarzanie</t>
        </is>
      </c>
      <c r="H46" s="10" t="inlineStr">
        <is>
          <t>WYSOKA</t>
        </is>
      </c>
      <c r="I46" s="10" t="n">
        <v>40</v>
      </c>
      <c r="J46" s="10" t="inlineStr">
        <is>
          <t>BRAK</t>
        </is>
      </c>
      <c r="K46" s="11" t="inlineStr">
        <is>
          <t>offsite-restore.service.ts:125 kieruje zadanie na account.serverId; node-account-restore.sh:76 przerywa gdy brak katalogu</t>
        </is>
      </c>
    </row>
    <row r="47">
      <c r="A47" s="10" t="inlineStr">
        <is>
          <t>H-18</t>
        </is>
      </c>
      <c r="B47" s="10" t="inlineStr">
        <is>
          <t>E-12</t>
        </is>
      </c>
      <c r="C47" s="11" t="inlineStr">
        <is>
          <t>Backup: granularność i retencja</t>
        </is>
      </c>
      <c r="D47" s="10" t="inlineStr">
        <is>
          <t>Q1 2027</t>
        </is>
      </c>
      <c r="E47" s="10" t="inlineStr">
        <is>
          <t>WYSOKI</t>
        </is>
      </c>
      <c r="F47" s="11" t="inlineStr">
        <is>
          <t>Odtworzenie konta przez operatora z panelu</t>
        </is>
      </c>
      <c r="G47" s="10" t="inlineStr">
        <is>
          <t>H — Backup i odtwarzanie</t>
        </is>
      </c>
      <c r="H47" s="10" t="inlineStr">
        <is>
          <t>ŚREDNIA</t>
        </is>
      </c>
      <c r="I47" s="10" t="n">
        <v>6</v>
      </c>
      <c r="J47" s="10" t="inlineStr">
        <is>
          <t>ENDPOINT BEZ UI</t>
        </is>
      </c>
      <c r="K47" s="11" t="inlineStr">
        <is>
          <t>subscriptions.admin.controller.ts:69,86 — zero wywołań w admin-panel</t>
        </is>
      </c>
    </row>
    <row r="48">
      <c r="A48" s="10" t="inlineStr">
        <is>
          <t>H-19</t>
        </is>
      </c>
      <c r="B48" s="10" t="inlineStr">
        <is>
          <t>E-12</t>
        </is>
      </c>
      <c r="C48" s="11" t="inlineStr">
        <is>
          <t>Backup: granularność i retencja</t>
        </is>
      </c>
      <c r="D48" s="10" t="inlineStr">
        <is>
          <t>Q1 2027</t>
        </is>
      </c>
      <c r="E48" s="10" t="inlineStr">
        <is>
          <t>WYSOKI</t>
        </is>
      </c>
      <c r="F48" s="11" t="inlineStr">
        <is>
          <t>Automatyczna konfiguracja backupu przy wdrożeniu węzła</t>
        </is>
      </c>
      <c r="G48" s="10" t="inlineStr">
        <is>
          <t>H — Backup i odtwarzanie</t>
        </is>
      </c>
      <c r="H48" s="10" t="inlineStr">
        <is>
          <t>WYSOKA</t>
        </is>
      </c>
      <c r="I48" s="10" t="n">
        <v>16</v>
      </c>
      <c r="J48" s="10" t="inlineStr">
        <is>
          <t>BRAK</t>
        </is>
      </c>
      <c r="K48" s="11" t="inlineStr">
        <is>
          <t>node-onboard-live.sh:240-244 tylko log_warn; wizard węzła (wizard-content.ts:21-40) nie ma kroku backupu</t>
        </is>
      </c>
    </row>
    <row r="49">
      <c r="A49" s="10" t="inlineStr">
        <is>
          <t>KSEF-01</t>
        </is>
      </c>
      <c r="B49" s="10" t="inlineStr">
        <is>
          <t>E-14</t>
        </is>
      </c>
      <c r="C49" s="11" t="inlineStr">
        <is>
          <t>Rozliczenia: dokończenie</t>
        </is>
      </c>
      <c r="D49" s="10" t="inlineStr">
        <is>
          <t>Q1 2027</t>
        </is>
      </c>
      <c r="E49" s="10" t="inlineStr">
        <is>
          <t>WYSOKI</t>
        </is>
      </c>
      <c r="F49" s="11" t="inlineStr">
        <is>
          <t>Obowiązek KSeF działa od 1 kwietnia 2026 — od pięciu miesięcy</t>
        </is>
      </c>
      <c r="G49" s="10" t="inlineStr">
        <is>
          <t>M — Rozliczenia</t>
        </is>
      </c>
      <c r="H49" s="10" t="inlineStr">
        <is>
          <t>WYSOKA</t>
        </is>
      </c>
      <c r="I49" s="10" t="n">
        <v>6</v>
      </c>
      <c r="J49" s="10" t="inlineStr">
        <is>
          <t>BRAK</t>
        </is>
      </c>
      <c r="K49" s="11" t="inlineStr">
        <is>
          <t>harmonogram MF: 1.02.2026 (&gt;200 mln), 1.04.2026 (pozostali), 1.01.2027 (do 10 tys./mies.)</t>
        </is>
      </c>
    </row>
    <row r="50">
      <c r="A50" s="10" t="inlineStr">
        <is>
          <t>KSEF-02</t>
        </is>
      </c>
      <c r="B50" s="10" t="inlineStr">
        <is>
          <t>E-14</t>
        </is>
      </c>
      <c r="C50" s="11" t="inlineStr">
        <is>
          <t>Rozliczenia: dokończenie</t>
        </is>
      </c>
      <c r="D50" s="10" t="inlineStr">
        <is>
          <t>Q1 2027</t>
        </is>
      </c>
      <c r="E50" s="10" t="inlineStr">
        <is>
          <t>WYSOKI</t>
        </is>
      </c>
      <c r="F50" s="11" t="inlineStr">
        <is>
          <t>`KsefStatus.OFFLINE` istnieje w schemacie i nie jest ustawiany nigdy</t>
        </is>
      </c>
      <c r="G50" s="10" t="inlineStr">
        <is>
          <t>M — Rozliczenia</t>
        </is>
      </c>
      <c r="H50" s="10" t="inlineStr">
        <is>
          <t>ŚREDNIA</t>
        </is>
      </c>
      <c r="I50" s="10" t="n">
        <v>6</v>
      </c>
      <c r="J50" s="10" t="inlineStr">
        <is>
          <t>CZĘŚCIOWE</t>
        </is>
      </c>
      <c r="K50" s="11" t="inlineStr">
        <is>
          <t>Częściowo 2026-08-26: `KsefStatus.OFFLINE` jest zapisywany przy nieudanym otwarciu sesji, wraz z trybem i terminem (`ksef-tryby.ts`, 16 testów; migracja wykonana na PG 16.13). Brak klasyfikacji zdarzenia przez operatora — każda przerwa dostaje NIESKLASYFIKOWANY z najkrótszym terminem.</t>
        </is>
      </c>
    </row>
    <row r="51">
      <c r="A51" s="10" t="inlineStr">
        <is>
          <t>KSEF-03</t>
        </is>
      </c>
      <c r="B51" s="10" t="inlineStr">
        <is>
          <t>E-14</t>
        </is>
      </c>
      <c r="C51" s="11" t="inlineStr">
        <is>
          <t>Rozliczenia: dokończenie</t>
        </is>
      </c>
      <c r="D51" s="10" t="inlineStr">
        <is>
          <t>Q1 2027</t>
        </is>
      </c>
      <c r="E51" s="10" t="inlineStr">
        <is>
          <t>WYSOKI</t>
        </is>
      </c>
      <c r="F51" s="11" t="inlineStr">
        <is>
          <t>Brak kodów QR na fakturze offline</t>
        </is>
      </c>
      <c r="G51" s="10" t="inlineStr">
        <is>
          <t>M — Rozliczenia</t>
        </is>
      </c>
      <c r="H51" s="10" t="inlineStr">
        <is>
          <t>WYSOKA</t>
        </is>
      </c>
      <c r="I51" s="10" t="n">
        <v>16</v>
      </c>
      <c r="J51" s="10" t="inlineStr">
        <is>
          <t>BRAK</t>
        </is>
      </c>
      <c r="K51" s="11" t="inlineStr">
        <is>
          <t>zero trafień `qrcode|QRCode|kodQR` w `apps/api/src` i `apps/client-panel/src`</t>
        </is>
      </c>
    </row>
    <row r="52">
      <c r="A52" s="10" t="inlineStr">
        <is>
          <t>M-07</t>
        </is>
      </c>
      <c r="B52" s="10" t="inlineStr">
        <is>
          <t>E-14</t>
        </is>
      </c>
      <c r="C52" s="11" t="inlineStr">
        <is>
          <t>Rozliczenia: dokończenie</t>
        </is>
      </c>
      <c r="D52" s="10" t="inlineStr">
        <is>
          <t>Q1 2027</t>
        </is>
      </c>
      <c r="E52" s="10" t="inlineStr">
        <is>
          <t>WYSOKI</t>
        </is>
      </c>
      <c r="F52" s="11" t="inlineStr">
        <is>
          <t>DUPLIKAT FAKTURY</t>
        </is>
      </c>
      <c r="G52" s="10" t="inlineStr">
        <is>
          <t>M — Rozliczenia</t>
        </is>
      </c>
      <c r="H52" s="10" t="inlineStr">
        <is>
          <t>ŚREDNIA</t>
        </is>
      </c>
      <c r="I52" s="10" t="n">
        <v>16</v>
      </c>
      <c r="J52" s="10" t="inlineStr">
        <is>
          <t>BRAK</t>
        </is>
      </c>
      <c r="K52" s="11" t="inlineStr">
        <is>
          <t>brak flagi isDuplicate, brak endpointu</t>
        </is>
      </c>
    </row>
    <row r="53">
      <c r="A53" s="10" t="inlineStr">
        <is>
          <t>M-09</t>
        </is>
      </c>
      <c r="B53" s="10" t="inlineStr">
        <is>
          <t>E-14</t>
        </is>
      </c>
      <c r="C53" s="11" t="inlineStr">
        <is>
          <t>Rozliczenia: dokończenie</t>
        </is>
      </c>
      <c r="D53" s="10" t="inlineStr">
        <is>
          <t>Q1 2027</t>
        </is>
      </c>
      <c r="E53" s="10" t="inlineStr">
        <is>
          <t>WYSOKI</t>
        </is>
      </c>
      <c r="F53" s="11" t="inlineStr">
        <is>
          <t>Stawki VAT inne niż 23%</t>
        </is>
      </c>
      <c r="G53" s="10" t="inlineStr">
        <is>
          <t>M — Rozliczenia</t>
        </is>
      </c>
      <c r="H53" s="10" t="inlineStr">
        <is>
          <t>WYSOKA</t>
        </is>
      </c>
      <c r="I53" s="10" t="n">
        <v>16</v>
      </c>
      <c r="J53" s="10" t="inlineStr">
        <is>
          <t>BRAK</t>
        </is>
      </c>
      <c r="K53" s="11" t="inlineStr">
        <is>
          <t>invoices.service.ts:17 — DEFAULT_VAT_RATE = 23 na sztywno</t>
        </is>
      </c>
    </row>
    <row r="54">
      <c r="A54" s="10" t="inlineStr">
        <is>
          <t>M-10</t>
        </is>
      </c>
      <c r="B54" s="10" t="inlineStr">
        <is>
          <t>E-14</t>
        </is>
      </c>
      <c r="C54" s="11" t="inlineStr">
        <is>
          <t>Rozliczenia: dokończenie</t>
        </is>
      </c>
      <c r="D54" s="10" t="inlineStr">
        <is>
          <t>Q1 2027</t>
        </is>
      </c>
      <c r="E54" s="10" t="inlineStr">
        <is>
          <t>WYSOKI</t>
        </is>
      </c>
      <c r="F54" s="11" t="inlineStr">
        <is>
          <t>Faktury w walucie obcej z przeliczeniem VAT</t>
        </is>
      </c>
      <c r="G54" s="10" t="inlineStr">
        <is>
          <t>M — Rozliczenia</t>
        </is>
      </c>
      <c r="H54" s="10" t="inlineStr">
        <is>
          <t>WYSOKA</t>
        </is>
      </c>
      <c r="I54" s="10" t="n">
        <v>16</v>
      </c>
      <c r="J54" s="10" t="inlineStr">
        <is>
          <t>CZĘŚCIOWE</t>
        </is>
      </c>
      <c r="K54" s="11" t="inlineStr">
        <is>
          <t>invoice-pdf.service.ts:61 formatuje PLN/EUR/USD; brak kursu i przeliczenia (art. 31a)</t>
        </is>
      </c>
    </row>
    <row r="55">
      <c r="A55" s="10" t="inlineStr">
        <is>
          <t>M-14</t>
        </is>
      </c>
      <c r="B55" s="10" t="inlineStr">
        <is>
          <t>E-14</t>
        </is>
      </c>
      <c r="C55" s="11" t="inlineStr">
        <is>
          <t>Rozliczenia: dokończenie</t>
        </is>
      </c>
      <c r="D55" s="10" t="inlineStr">
        <is>
          <t>Q1 2027</t>
        </is>
      </c>
      <c r="E55" s="10" t="inlineStr">
        <is>
          <t>WYSOKI</t>
        </is>
      </c>
      <c r="F55" s="11" t="inlineStr">
        <is>
          <t>KSeF — numer i UPO widoczne dla klienta</t>
        </is>
      </c>
      <c r="G55" s="10" t="inlineStr">
        <is>
          <t>M — Rozliczenia</t>
        </is>
      </c>
      <c r="H55" s="10" t="inlineStr">
        <is>
          <t>WYSOKA</t>
        </is>
      </c>
      <c r="I55" s="10" t="n">
        <v>6</v>
      </c>
      <c r="J55" s="10" t="inlineStr">
        <is>
          <t>BRAK</t>
        </is>
      </c>
      <c r="K55" s="11" t="inlineStr">
        <is>
          <t>zero wystąpień „ksef” w apps/client-panel</t>
        </is>
      </c>
    </row>
    <row r="56">
      <c r="A56" s="10" t="inlineStr">
        <is>
          <t>M-15</t>
        </is>
      </c>
      <c r="B56" s="10" t="inlineStr">
        <is>
          <t>E-14</t>
        </is>
      </c>
      <c r="C56" s="11" t="inlineStr">
        <is>
          <t>Rozliczenia: dokończenie</t>
        </is>
      </c>
      <c r="D56" s="10" t="inlineStr">
        <is>
          <t>Q1 2027</t>
        </is>
      </c>
      <c r="E56" s="10" t="inlineStr">
        <is>
          <t>WYSOKI</t>
        </is>
      </c>
      <c r="F56" s="11" t="inlineStr">
        <is>
          <t>KSeF — pobranie UPO przez operatora</t>
        </is>
      </c>
      <c r="G56" s="10" t="inlineStr">
        <is>
          <t>M — Rozliczenia</t>
        </is>
      </c>
      <c r="H56" s="10" t="inlineStr">
        <is>
          <t>ŚREDNIA</t>
        </is>
      </c>
      <c r="I56" s="10" t="n">
        <v>6</v>
      </c>
      <c r="J56" s="10" t="inlineStr">
        <is>
          <t>ENDPOINT BEZ UI</t>
        </is>
      </c>
      <c r="K56" s="11" t="inlineStr">
        <is>
          <t>ksef.admin.controller.ts:38; zero wystąpień UPO w admin-panel</t>
        </is>
      </c>
    </row>
    <row r="57">
      <c r="A57" s="10" t="inlineStr">
        <is>
          <t>M-16</t>
        </is>
      </c>
      <c r="B57" s="10" t="inlineStr">
        <is>
          <t>E-14</t>
        </is>
      </c>
      <c r="C57" s="11" t="inlineStr">
        <is>
          <t>Rozliczenia: dokończenie</t>
        </is>
      </c>
      <c r="D57" s="10" t="inlineStr">
        <is>
          <t>Q1 2027</t>
        </is>
      </c>
      <c r="E57" s="10" t="inlineStr">
        <is>
          <t>WYSOKI</t>
        </is>
      </c>
      <c r="F57" s="11" t="inlineStr">
        <is>
          <t>KSeF — tryb offline/awaryjny</t>
        </is>
      </c>
      <c r="G57" s="10" t="inlineStr">
        <is>
          <t>M — Rozliczenia</t>
        </is>
      </c>
      <c r="H57" s="10" t="inlineStr">
        <is>
          <t>WYSOKA</t>
        </is>
      </c>
      <c r="I57" s="10" t="n">
        <v>16</v>
      </c>
      <c r="J57" s="10" t="inlineStr">
        <is>
          <t>BRAK</t>
        </is>
      </c>
      <c r="K57" s="11" t="inlineStr">
        <is>
          <t>KsefStatus.OFFLINE w schema.prisma:1432 nigdy nie ustawiany</t>
        </is>
      </c>
    </row>
    <row r="58">
      <c r="A58" s="10" t="inlineStr">
        <is>
          <t>M-17</t>
        </is>
      </c>
      <c r="B58" s="10" t="inlineStr">
        <is>
          <t>E-14</t>
        </is>
      </c>
      <c r="C58" s="11" t="inlineStr">
        <is>
          <t>Rozliczenia: dokończenie</t>
        </is>
      </c>
      <c r="D58" s="10" t="inlineStr">
        <is>
          <t>Q1 2027</t>
        </is>
      </c>
      <c r="E58" s="10" t="inlineStr">
        <is>
          <t>WYSOKI</t>
        </is>
      </c>
      <c r="F58" s="11" t="inlineStr">
        <is>
          <t>KSeF — walidacja XSD przed wysyłką</t>
        </is>
      </c>
      <c r="G58" s="10" t="inlineStr">
        <is>
          <t>M — Rozliczenia</t>
        </is>
      </c>
      <c r="H58" s="10" t="inlineStr">
        <is>
          <t>WYSOKA</t>
        </is>
      </c>
      <c r="I58" s="10" t="n">
        <v>6</v>
      </c>
      <c r="J58" s="10" t="inlineStr">
        <is>
          <t>BRAK</t>
        </is>
      </c>
      <c r="K58" s="11" t="inlineStr">
        <is>
          <t>fa3-xml.builder.ts składa XML stringowo; komentarz ksef-v2.client.ts:61-62 sam to wskazuje</t>
        </is>
      </c>
    </row>
    <row r="59">
      <c r="A59" s="10" t="inlineStr">
        <is>
          <t>M-24</t>
        </is>
      </c>
      <c r="B59" s="10" t="inlineStr">
        <is>
          <t>E-14</t>
        </is>
      </c>
      <c r="C59" s="11" t="inlineStr">
        <is>
          <t>Rozliczenia: dokończenie</t>
        </is>
      </c>
      <c r="D59" s="10" t="inlineStr">
        <is>
          <t>Q1 2027</t>
        </is>
      </c>
      <c r="E59" s="10" t="inlineStr">
        <is>
          <t>WYSOKI</t>
        </is>
      </c>
      <c r="F59" s="11" t="inlineStr">
        <is>
          <t>Proforma przed odnowieniem</t>
        </is>
      </c>
      <c r="G59" s="10" t="inlineStr">
        <is>
          <t>M — Rozliczenia</t>
        </is>
      </c>
      <c r="H59" s="10" t="inlineStr">
        <is>
          <t>ŚREDNIA</t>
        </is>
      </c>
      <c r="I59" s="10" t="n">
        <v>6</v>
      </c>
      <c r="J59" s="10" t="inlineStr">
        <is>
          <t>CZĘŚCIOWE</t>
        </is>
      </c>
      <c r="K59" s="11" t="inlineStr">
        <is>
          <t>renewal-reminder.scheduler.ts — przypomnienie, nie proforma</t>
        </is>
      </c>
    </row>
    <row r="60">
      <c r="A60" s="10" t="inlineStr">
        <is>
          <t>M-27</t>
        </is>
      </c>
      <c r="B60" s="10" t="inlineStr">
        <is>
          <t>E-14</t>
        </is>
      </c>
      <c r="C60" s="11" t="inlineStr">
        <is>
          <t>Rozliczenia: dokończenie</t>
        </is>
      </c>
      <c r="D60" s="10" t="inlineStr">
        <is>
          <t>Q1 2027</t>
        </is>
      </c>
      <c r="E60" s="10" t="inlineStr">
        <is>
          <t>WYSOKI</t>
        </is>
      </c>
      <c r="F60" s="11" t="inlineStr">
        <is>
          <t>Dodanie karty niezależnie od zakupu</t>
        </is>
      </c>
      <c r="G60" s="10" t="inlineStr">
        <is>
          <t>M — Rozliczenia</t>
        </is>
      </c>
      <c r="H60" s="10" t="inlineStr">
        <is>
          <t>ŚREDNIA</t>
        </is>
      </c>
      <c r="I60" s="10" t="n">
        <v>6</v>
      </c>
      <c r="J60" s="10" t="inlineStr">
        <is>
          <t>BRAK</t>
        </is>
      </c>
      <c r="K60" s="11" t="inlineStr">
        <is>
          <t>karta zapisuje się tylko przy okazji Stripe Checkout</t>
        </is>
      </c>
    </row>
    <row r="61">
      <c r="A61" s="10" t="inlineStr">
        <is>
          <t>M-28</t>
        </is>
      </c>
      <c r="B61" s="10" t="inlineStr">
        <is>
          <t>E-14</t>
        </is>
      </c>
      <c r="C61" s="11" t="inlineStr">
        <is>
          <t>Rozliczenia: dokończenie</t>
        </is>
      </c>
      <c r="D61" s="10" t="inlineStr">
        <is>
          <t>Q1 2027</t>
        </is>
      </c>
      <c r="E61" s="10" t="inlineStr">
        <is>
          <t>WYSOKI</t>
        </is>
      </c>
      <c r="F61" s="11" t="inlineStr">
        <is>
          <t>Eksport historii transakcji do CSV</t>
        </is>
      </c>
      <c r="G61" s="10" t="inlineStr">
        <is>
          <t>M — Rozliczenia</t>
        </is>
      </c>
      <c r="H61" s="10" t="inlineStr">
        <is>
          <t>NISKA</t>
        </is>
      </c>
      <c r="I61" s="10" t="n">
        <v>6</v>
      </c>
      <c r="J61" s="10" t="inlineStr">
        <is>
          <t>ENDPOINT BEZ UI</t>
        </is>
      </c>
      <c r="K61" s="11" t="inlineStr">
        <is>
          <t>billing.controller.ts:70 — zero odwołań w panelu</t>
        </is>
      </c>
    </row>
    <row r="62">
      <c r="A62" s="10" t="inlineStr">
        <is>
          <t>M-33</t>
        </is>
      </c>
      <c r="B62" s="10" t="inlineStr">
        <is>
          <t>E-14</t>
        </is>
      </c>
      <c r="C62" s="11" t="inlineStr">
        <is>
          <t>Rozliczenia: dokończenie</t>
        </is>
      </c>
      <c r="D62" s="10" t="inlineStr">
        <is>
          <t>Q1 2027</t>
        </is>
      </c>
      <c r="E62" s="10" t="inlineStr">
        <is>
          <t>WYSOKI</t>
        </is>
      </c>
      <c r="F62" s="11" t="inlineStr">
        <is>
          <t>Dodatki płatne (IP, wsparcie priorytetowe)</t>
        </is>
      </c>
      <c r="G62" s="10" t="inlineStr">
        <is>
          <t>M — Rozliczenia</t>
        </is>
      </c>
      <c r="H62" s="10" t="inlineStr">
        <is>
          <t>NISKA</t>
        </is>
      </c>
      <c r="I62" s="10" t="n">
        <v>16</v>
      </c>
      <c r="J62" s="10" t="inlineStr">
        <is>
          <t>CZĘŚCIOWE</t>
        </is>
      </c>
      <c r="K62" s="11" t="inlineStr">
        <is>
          <t>addon.service.ts:120 — 2 z 3 to workorder do BOK</t>
        </is>
      </c>
    </row>
    <row r="63">
      <c r="A63" s="10" t="inlineStr">
        <is>
          <t>M-34</t>
        </is>
      </c>
      <c r="B63" s="10" t="inlineStr">
        <is>
          <t>E-14</t>
        </is>
      </c>
      <c r="C63" s="11" t="inlineStr">
        <is>
          <t>Rozliczenia: dokończenie</t>
        </is>
      </c>
      <c r="D63" s="10" t="inlineStr">
        <is>
          <t>Q1 2027</t>
        </is>
      </c>
      <c r="E63" s="10" t="inlineStr">
        <is>
          <t>WYSOKI</t>
        </is>
      </c>
      <c r="F63" s="11" t="inlineStr">
        <is>
          <t>Model prepaid potwierdzony z księgową — doładowanie bez faktury zaliczkowej</t>
        </is>
      </c>
      <c r="G63" s="10" t="inlineStr">
        <is>
          <t>M — Rozliczenia</t>
        </is>
      </c>
      <c r="H63" s="10" t="inlineStr">
        <is>
          <t>WYSOKA</t>
        </is>
      </c>
      <c r="I63" s="10" t="n">
        <v>6</v>
      </c>
      <c r="J63" s="10" t="inlineStr">
        <is>
          <t>b.d.</t>
        </is>
      </c>
      <c r="K63" s="11" t="inlineStr">
        <is>
          <t>faktura-za-portfel.ts — TYPY_SPRZEDAZY nie obejmuje TOPUP; billing.service.ts:handleCheckoutCompleted — doładowanie kredytuje portfel i nie tworzy dokumentu</t>
        </is>
      </c>
    </row>
    <row r="64">
      <c r="A64" s="10" t="inlineStr">
        <is>
          <t>Z-07</t>
        </is>
      </c>
      <c r="B64" s="10" t="inlineStr">
        <is>
          <t>E-14</t>
        </is>
      </c>
      <c r="C64" s="11" t="inlineStr">
        <is>
          <t>Rozliczenia: dokończenie</t>
        </is>
      </c>
      <c r="D64" s="10" t="inlineStr">
        <is>
          <t>Q1 2027</t>
        </is>
      </c>
      <c r="E64" s="10" t="inlineStr">
        <is>
          <t>WYSOKI</t>
        </is>
      </c>
      <c r="F64" s="11" t="inlineStr">
        <is>
          <t>Ponowienie płatności portfelem w okresie karencji</t>
        </is>
      </c>
      <c r="G64" s="10" t="inlineStr">
        <is>
          <t>M — Rozliczenia</t>
        </is>
      </c>
      <c r="H64" s="10" t="inlineStr">
        <is>
          <t>WYSOKA</t>
        </is>
      </c>
      <c r="I64" s="10" t="n">
        <v>16</v>
      </c>
      <c r="J64" s="10" t="inlineStr">
        <is>
          <t>BRAK</t>
        </is>
      </c>
      <c r="K64" s="11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</row>
    <row r="65">
      <c r="A65" s="10" t="inlineStr">
        <is>
          <t>Z-08</t>
        </is>
      </c>
      <c r="B65" s="10" t="inlineStr">
        <is>
          <t>E-14</t>
        </is>
      </c>
      <c r="C65" s="11" t="inlineStr">
        <is>
          <t>Rozliczenia: dokończenie</t>
        </is>
      </c>
      <c r="D65" s="10" t="inlineStr">
        <is>
          <t>Q1 2027</t>
        </is>
      </c>
      <c r="E65" s="10" t="inlineStr">
        <is>
          <t>WYSOKI</t>
        </is>
      </c>
      <c r="F65" s="11" t="inlineStr">
        <is>
          <t>Przegląd istniejących subskrypcji MANUAL założonych przez klientów</t>
        </is>
      </c>
      <c r="G65" s="10" t="inlineStr">
        <is>
          <t>M — Rozliczenia</t>
        </is>
      </c>
      <c r="H65" s="10" t="inlineStr">
        <is>
          <t>ŚREDNIA</t>
        </is>
      </c>
      <c r="I65" s="10" t="n">
        <v>6</v>
      </c>
      <c r="J65" s="10" t="inlineStr">
        <is>
          <t>BRAK</t>
        </is>
      </c>
      <c r="K65" s="11" t="inlineStr">
        <is>
          <t>brak jakiegokolwiek zapytania/raportu; luka Z-02 była otwarta do 2026-08-21</t>
        </is>
      </c>
    </row>
    <row r="66">
      <c r="A66" s="10" t="inlineStr">
        <is>
          <t>Z-11</t>
        </is>
      </c>
      <c r="B66" s="10" t="inlineStr">
        <is>
          <t>E-14</t>
        </is>
      </c>
      <c r="C66" s="11" t="inlineStr">
        <is>
          <t>Rozliczenia: dokończenie</t>
        </is>
      </c>
      <c r="D66" s="10" t="inlineStr">
        <is>
          <t>Q1 2027</t>
        </is>
      </c>
      <c r="E66" s="10" t="inlineStr">
        <is>
          <t>WYSOKI</t>
        </is>
      </c>
      <c r="F66" s="11" t="inlineStr">
        <is>
          <t>Przegląd wszystkich kluczy idempotencji pod kątem poprawności</t>
        </is>
      </c>
      <c r="G66" s="10" t="inlineStr">
        <is>
          <t>M — Rozliczenia</t>
        </is>
      </c>
      <c r="H66" s="10" t="inlineStr">
        <is>
          <t>ŚREDNIA</t>
        </is>
      </c>
      <c r="I66" s="10" t="n">
        <v>16</v>
      </c>
      <c r="J66" s="10" t="inlineStr">
        <is>
          <t>b.d.</t>
        </is>
      </c>
      <c r="K66" s="11" t="inlineStr">
        <is>
          <t>brak przeglądu; sprawdzone tylko wystąpienia Date.now() w kluczach</t>
        </is>
      </c>
    </row>
    <row r="67">
      <c r="A67" s="10" t="inlineStr">
        <is>
          <t>N-05</t>
        </is>
      </c>
      <c r="B67" s="10" t="inlineStr">
        <is>
          <t>E-15</t>
        </is>
      </c>
      <c r="C67" s="11" t="inlineStr">
        <is>
          <t>Wsparcie i ops: kolejka abuse</t>
        </is>
      </c>
      <c r="D67" s="10" t="inlineStr">
        <is>
          <t>Q1 2027</t>
        </is>
      </c>
      <c r="E67" s="10" t="inlineStr">
        <is>
          <t>WYSOKI</t>
        </is>
      </c>
      <c r="F67" s="11" t="inlineStr">
        <is>
          <t>Podpowiedzi artykułów przy zgłoszeniu</t>
        </is>
      </c>
      <c r="G67" s="10" t="inlineStr">
        <is>
          <t>N — Wsparcie i ops</t>
        </is>
      </c>
      <c r="H67" s="10" t="inlineStr">
        <is>
          <t>NISKA</t>
        </is>
      </c>
      <c r="I67" s="10" t="n">
        <v>6</v>
      </c>
      <c r="J67" s="10" t="inlineStr">
        <is>
          <t>FLAGA</t>
        </is>
      </c>
      <c r="K67" s="11" t="inlineStr">
        <is>
          <t>ai.controller.ts:53 — AI_API_KEY</t>
        </is>
      </c>
    </row>
    <row r="68">
      <c r="A68" s="10" t="inlineStr">
        <is>
          <t>N-10</t>
        </is>
      </c>
      <c r="B68" s="10" t="inlineStr">
        <is>
          <t>E-15</t>
        </is>
      </c>
      <c r="C68" s="11" t="inlineStr">
        <is>
          <t>Wsparcie i ops: kolejka abuse</t>
        </is>
      </c>
      <c r="D68" s="10" t="inlineStr">
        <is>
          <t>Q1 2027</t>
        </is>
      </c>
      <c r="E68" s="10" t="inlineStr">
        <is>
          <t>WYSOKI</t>
        </is>
      </c>
      <c r="F68" s="11" t="inlineStr">
        <is>
          <t>Preferencje powiadomień e-mail</t>
        </is>
      </c>
      <c r="G68" s="10" t="inlineStr">
        <is>
          <t>N — Wsparcie i ops</t>
        </is>
      </c>
      <c r="H68" s="10" t="inlineStr">
        <is>
          <t>ŚREDNIA</t>
        </is>
      </c>
      <c r="I68" s="10" t="n">
        <v>6</v>
      </c>
      <c r="J68" s="10" t="inlineStr">
        <is>
          <t>CZĘŚCIOWE</t>
        </is>
      </c>
      <c r="K68" s="11" t="inlineStr">
        <is>
          <t>notifications-tab.tsx:70 — sekcja „Zawsze włączone” to statyczny tekst bez backendu</t>
        </is>
      </c>
    </row>
    <row r="69">
      <c r="A69" s="10" t="inlineStr">
        <is>
          <t>N-11</t>
        </is>
      </c>
      <c r="B69" s="10" t="inlineStr">
        <is>
          <t>E-15</t>
        </is>
      </c>
      <c r="C69" s="11" t="inlineStr">
        <is>
          <t>Wsparcie i ops: kolejka abuse</t>
        </is>
      </c>
      <c r="D69" s="10" t="inlineStr">
        <is>
          <t>Q1 2027</t>
        </is>
      </c>
      <c r="E69" s="10" t="inlineStr">
        <is>
          <t>WYSOKI</t>
        </is>
      </c>
      <c r="F69" s="11" t="inlineStr">
        <is>
          <t>Ogłoszenia i okna serwisowe</t>
        </is>
      </c>
      <c r="G69" s="10" t="inlineStr">
        <is>
          <t>N — Wsparcie i ops</t>
        </is>
      </c>
      <c r="H69" s="10" t="inlineStr">
        <is>
          <t>WYSOKA</t>
        </is>
      </c>
      <c r="I69" s="10" t="n">
        <v>16</v>
      </c>
      <c r="J69" s="10" t="inlineStr">
        <is>
          <t>ENDPOINT BEZ UI</t>
        </is>
      </c>
      <c r="K69" s="11" t="inlineStr">
        <is>
          <t>product-ops.admin.controller.ts:281,307,342,427; product-ops/data.ts:78-85 to same GET-y</t>
        </is>
      </c>
    </row>
    <row r="70">
      <c r="A70" s="10" t="inlineStr">
        <is>
          <t>N-12</t>
        </is>
      </c>
      <c r="B70" s="10" t="inlineStr">
        <is>
          <t>E-15</t>
        </is>
      </c>
      <c r="C70" s="11" t="inlineStr">
        <is>
          <t>Wsparcie i ops: kolejka abuse</t>
        </is>
      </c>
      <c r="D70" s="10" t="inlineStr">
        <is>
          <t>Q1 2027</t>
        </is>
      </c>
      <c r="E70" s="10" t="inlineStr">
        <is>
          <t>WYSOKI</t>
        </is>
      </c>
      <c r="F70" s="11" t="inlineStr">
        <is>
          <t>Feature flagi z panelu operatora</t>
        </is>
      </c>
      <c r="G70" s="10" t="inlineStr">
        <is>
          <t>N — Wsparcie i ops</t>
        </is>
      </c>
      <c r="H70" s="10" t="inlineStr">
        <is>
          <t>ŚREDNIA</t>
        </is>
      </c>
      <c r="I70" s="10" t="n">
        <v>6</v>
      </c>
      <c r="J70" s="10" t="inlineStr">
        <is>
          <t>ENDPOINT BEZ UI</t>
        </is>
      </c>
      <c r="K70" s="11" t="inlineStr">
        <is>
          <t>product-ops.admin.controller.ts:342</t>
        </is>
      </c>
    </row>
    <row r="71">
      <c r="A71" s="10" t="inlineStr">
        <is>
          <t>N-13</t>
        </is>
      </c>
      <c r="B71" s="10" t="inlineStr">
        <is>
          <t>E-15</t>
        </is>
      </c>
      <c r="C71" s="11" t="inlineStr">
        <is>
          <t>Wsparcie i ops: kolejka abuse</t>
        </is>
      </c>
      <c r="D71" s="10" t="inlineStr">
        <is>
          <t>Q1 2027</t>
        </is>
      </c>
      <c r="E71" s="10" t="inlineStr">
        <is>
          <t>WYSOKI</t>
        </is>
      </c>
      <c r="F71" s="11" t="inlineStr">
        <is>
          <t>KOLEJKA OBSŁUGI NADUŻYĆ (ABUSE)</t>
        </is>
      </c>
      <c r="G71" s="10" t="inlineStr">
        <is>
          <t>N — Wsparcie i ops</t>
        </is>
      </c>
      <c r="H71" s="10" t="inlineStr">
        <is>
          <t>WYSOKA</t>
        </is>
      </c>
      <c r="I71" s="10" t="n">
        <v>40</v>
      </c>
      <c r="J71" s="10" t="inlineStr">
        <is>
          <t>BRAK</t>
        </is>
      </c>
      <c r="K71" s="11" t="inlineStr">
        <is>
          <t>brak modułu, encji i trasy; jest tylko outbound-abuse.guard.ts:7-18 bez UI</t>
        </is>
      </c>
    </row>
    <row r="72">
      <c r="A72" s="10" t="inlineStr">
        <is>
          <t>N-20</t>
        </is>
      </c>
      <c r="B72" s="10" t="inlineStr">
        <is>
          <t>E-15</t>
        </is>
      </c>
      <c r="C72" s="11" t="inlineStr">
        <is>
          <t>Wsparcie i ops: kolejka abuse</t>
        </is>
      </c>
      <c r="D72" s="10" t="inlineStr">
        <is>
          <t>Q1 2027</t>
        </is>
      </c>
      <c r="E72" s="10" t="inlineStr">
        <is>
          <t>WYSOKI</t>
        </is>
      </c>
      <c r="F72" s="11" t="inlineStr">
        <is>
          <t>Link ze zgłoszenia do szczegółu (admin)</t>
        </is>
      </c>
      <c r="G72" s="10" t="inlineStr">
        <is>
          <t>N — Wsparcie i ops</t>
        </is>
      </c>
      <c r="H72" s="10" t="inlineStr">
        <is>
          <t>ŚREDNIA</t>
        </is>
      </c>
      <c r="I72" s="10" t="n">
        <v>6</v>
      </c>
      <c r="J72" s="10" t="inlineStr">
        <is>
          <t>ATRAPA</t>
        </is>
      </c>
      <c r="K72" s="11" t="inlineStr">
        <is>
          <t>tickets/page.tsx:24 → /tickets/${id}; trasa nie istnieje w admin-panel</t>
        </is>
      </c>
    </row>
    <row r="73">
      <c r="A73" s="10" t="inlineStr">
        <is>
          <t>N-21</t>
        </is>
      </c>
      <c r="B73" s="10" t="inlineStr">
        <is>
          <t>E-15</t>
        </is>
      </c>
      <c r="C73" s="11" t="inlineStr">
        <is>
          <t>Wsparcie i ops: kolejka abuse</t>
        </is>
      </c>
      <c r="D73" s="10" t="inlineStr">
        <is>
          <t>Q1 2027</t>
        </is>
      </c>
      <c r="E73" s="10" t="inlineStr">
        <is>
          <t>WYSOKI</t>
        </is>
      </c>
      <c r="F73" s="11" t="inlineStr">
        <is>
          <t>Wsparcie telefoniczne</t>
        </is>
      </c>
      <c r="G73" s="10" t="inlineStr">
        <is>
          <t>N — Wsparcie i ops</t>
        </is>
      </c>
      <c r="H73" s="10" t="inlineStr">
        <is>
          <t>ŚREDNIA</t>
        </is>
      </c>
      <c r="I73" s="10" t="n">
        <v>6</v>
      </c>
      <c r="J73" s="10" t="inlineStr">
        <is>
          <t>BRAK</t>
        </is>
      </c>
      <c r="K73" s="11" t="inlineStr">
        <is>
          <t>poza produktem</t>
        </is>
      </c>
    </row>
    <row r="74">
      <c r="A74" s="10" t="inlineStr">
        <is>
          <t>I-04</t>
        </is>
      </c>
      <c r="B74" s="10" t="inlineStr">
        <is>
          <t>E-03</t>
        </is>
      </c>
      <c r="C74" s="11" t="inlineStr">
        <is>
          <t>WordPress Toolkit</t>
        </is>
      </c>
      <c r="D74" s="10" t="inlineStr">
        <is>
          <t>Q2 2027</t>
        </is>
      </c>
      <c r="E74" s="10" t="inlineStr">
        <is>
          <t>WYSOKI</t>
        </is>
      </c>
      <c r="F74" s="11" t="inlineStr">
        <is>
          <t>Automatyczne aktualizacje WordPressa</t>
        </is>
      </c>
      <c r="G74" s="10" t="inlineStr">
        <is>
          <t>I — Aplikacje i WordPress</t>
        </is>
      </c>
      <c r="H74" s="10" t="inlineStr">
        <is>
          <t>WYSOKA</t>
        </is>
      </c>
      <c r="I74" s="10" t="n">
        <v>16</v>
      </c>
      <c r="J74" s="10" t="inlineStr">
        <is>
          <t>BRAK</t>
        </is>
      </c>
      <c r="K74" s="11" t="inlineStr">
        <is>
          <t>4 z 5 hostingów PL to ma</t>
        </is>
      </c>
    </row>
    <row r="75">
      <c r="A75" s="10" t="inlineStr">
        <is>
          <t>I-05</t>
        </is>
      </c>
      <c r="B75" s="10" t="inlineStr">
        <is>
          <t>E-03</t>
        </is>
      </c>
      <c r="C75" s="11" t="inlineStr">
        <is>
          <t>WordPress Toolkit</t>
        </is>
      </c>
      <c r="D75" s="10" t="inlineStr">
        <is>
          <t>Q2 2027</t>
        </is>
      </c>
      <c r="E75" s="10" t="inlineStr">
        <is>
          <t>WYSOKI</t>
        </is>
      </c>
      <c r="F75" s="11" t="inlineStr">
        <is>
          <t>Aktualizacje wtyczek i motywów z panelu</t>
        </is>
      </c>
      <c r="G75" s="10" t="inlineStr">
        <is>
          <t>I — Aplikacje i WordPress</t>
        </is>
      </c>
      <c r="H75" s="10" t="inlineStr">
        <is>
          <t>ŚREDNIA</t>
        </is>
      </c>
      <c r="I75" s="10" t="n">
        <v>16</v>
      </c>
      <c r="J75" s="10" t="inlineStr">
        <is>
          <t>BRAK</t>
        </is>
      </c>
      <c r="K75" s="11" t="inlineStr"/>
    </row>
    <row r="76">
      <c r="A76" s="10" t="inlineStr">
        <is>
          <t>I-07</t>
        </is>
      </c>
      <c r="B76" s="10" t="inlineStr">
        <is>
          <t>E-03</t>
        </is>
      </c>
      <c r="C76" s="11" t="inlineStr">
        <is>
          <t>WordPress Toolkit</t>
        </is>
      </c>
      <c r="D76" s="10" t="inlineStr">
        <is>
          <t>Q2 2027</t>
        </is>
      </c>
      <c r="E76" s="10" t="inlineStr">
        <is>
          <t>WYSOKI</t>
        </is>
      </c>
      <c r="F76" s="11" t="inlineStr">
        <is>
          <t>Skanowanie podatności WordPressa</t>
        </is>
      </c>
      <c r="G76" s="10" t="inlineStr">
        <is>
          <t>I — Aplikacje i WordPress</t>
        </is>
      </c>
      <c r="H76" s="10" t="inlineStr">
        <is>
          <t>ŚREDNIA</t>
        </is>
      </c>
      <c r="I76" s="10" t="n">
        <v>40</v>
      </c>
      <c r="J76" s="10" t="inlineStr">
        <is>
          <t>BRAK</t>
        </is>
      </c>
      <c r="K76" s="11" t="inlineStr">
        <is>
          <t>Plesk używa Patchstack</t>
        </is>
      </c>
    </row>
    <row r="77">
      <c r="A77" s="10" t="inlineStr">
        <is>
          <t>I-08</t>
        </is>
      </c>
      <c r="B77" s="10" t="inlineStr">
        <is>
          <t>E-03</t>
        </is>
      </c>
      <c r="C77" s="11" t="inlineStr">
        <is>
          <t>WordPress Toolkit</t>
        </is>
      </c>
      <c r="D77" s="10" t="inlineStr">
        <is>
          <t>Q2 2027</t>
        </is>
      </c>
      <c r="E77" s="10" t="inlineStr">
        <is>
          <t>WYSOKI</t>
        </is>
      </c>
      <c r="F77" s="11" t="inlineStr">
        <is>
          <t>Hardening WordPressa (checklist)</t>
        </is>
      </c>
      <c r="G77" s="10" t="inlineStr">
        <is>
          <t>I — Aplikacje i WordPress</t>
        </is>
      </c>
      <c r="H77" s="10" t="inlineStr">
        <is>
          <t>ŚREDNIA</t>
        </is>
      </c>
      <c r="I77" s="10" t="n">
        <v>16</v>
      </c>
      <c r="J77" s="10" t="inlineStr">
        <is>
          <t>BRAK</t>
        </is>
      </c>
      <c r="K77" s="11" t="inlineStr"/>
    </row>
    <row r="78">
      <c r="A78" s="10" t="inlineStr">
        <is>
          <t>I-13</t>
        </is>
      </c>
      <c r="B78" s="10" t="inlineStr">
        <is>
          <t>E-03</t>
        </is>
      </c>
      <c r="C78" s="11" t="inlineStr">
        <is>
          <t>WordPress Toolkit</t>
        </is>
      </c>
      <c r="D78" s="10" t="inlineStr">
        <is>
          <t>Q2 2027</t>
        </is>
      </c>
      <c r="E78" s="10" t="inlineStr">
        <is>
          <t>WYSOKI</t>
        </is>
      </c>
      <c r="F78" s="11" t="inlineStr">
        <is>
          <t>Klonowanie strony między domenami</t>
        </is>
      </c>
      <c r="G78" s="10" t="inlineStr">
        <is>
          <t>I — Aplikacje i WordPress</t>
        </is>
      </c>
      <c r="H78" s="10" t="inlineStr">
        <is>
          <t>ŚREDNIA</t>
        </is>
      </c>
      <c r="I78" s="10" t="n">
        <v>16</v>
      </c>
      <c r="J78" s="10" t="inlineStr">
        <is>
          <t>BRAK</t>
        </is>
      </c>
      <c r="K78" s="11" t="inlineStr"/>
    </row>
    <row r="79">
      <c r="A79" s="10" t="inlineStr">
        <is>
          <t>I-14</t>
        </is>
      </c>
      <c r="B79" s="10" t="inlineStr">
        <is>
          <t>E-03</t>
        </is>
      </c>
      <c r="C79" s="11" t="inlineStr">
        <is>
          <t>WordPress Toolkit</t>
        </is>
      </c>
      <c r="D79" s="10" t="inlineStr">
        <is>
          <t>Q2 2027</t>
        </is>
      </c>
      <c r="E79" s="10" t="inlineStr">
        <is>
          <t>WYSOKI</t>
        </is>
      </c>
      <c r="F79" s="11" t="inlineStr">
        <is>
          <t>Masowe zarządzanie wieloma instalacjami WP</t>
        </is>
      </c>
      <c r="G79" s="10" t="inlineStr">
        <is>
          <t>I — Aplikacje i WordPress</t>
        </is>
      </c>
      <c r="H79" s="10" t="inlineStr">
        <is>
          <t>NISKA</t>
        </is>
      </c>
      <c r="I79" s="10" t="n">
        <v>40</v>
      </c>
      <c r="J79" s="10" t="inlineStr">
        <is>
          <t>BRAK</t>
        </is>
      </c>
      <c r="K79" s="11" t="inlineStr">
        <is>
          <t>realna przewaga dla agencji</t>
        </is>
      </c>
    </row>
    <row r="80">
      <c r="A80" s="10" t="inlineStr">
        <is>
          <t>I-15</t>
        </is>
      </c>
      <c r="B80" s="10" t="inlineStr">
        <is>
          <t>E-03</t>
        </is>
      </c>
      <c r="C80" s="11" t="inlineStr">
        <is>
          <t>WordPress Toolkit</t>
        </is>
      </c>
      <c r="D80" s="10" t="inlineStr">
        <is>
          <t>Q2 2027</t>
        </is>
      </c>
      <c r="E80" s="10" t="inlineStr">
        <is>
          <t>WYSOKI</t>
        </is>
      </c>
      <c r="F80" s="11" t="inlineStr">
        <is>
          <t>Tryb konserwacji WordPressa</t>
        </is>
      </c>
      <c r="G80" s="10" t="inlineStr">
        <is>
          <t>I — Aplikacje i WordPress</t>
        </is>
      </c>
      <c r="H80" s="10" t="inlineStr">
        <is>
          <t>NISKA</t>
        </is>
      </c>
      <c r="I80" s="10" t="n">
        <v>6</v>
      </c>
      <c r="J80" s="10" t="inlineStr">
        <is>
          <t>BRAK</t>
        </is>
      </c>
      <c r="K80" s="11" t="inlineStr"/>
    </row>
    <row r="81">
      <c r="A81" s="10" t="inlineStr">
        <is>
          <t>I-16</t>
        </is>
      </c>
      <c r="B81" s="10" t="inlineStr">
        <is>
          <t>E-03</t>
        </is>
      </c>
      <c r="C81" s="11" t="inlineStr">
        <is>
          <t>WordPress Toolkit</t>
        </is>
      </c>
      <c r="D81" s="10" t="inlineStr">
        <is>
          <t>Q2 2027</t>
        </is>
      </c>
      <c r="E81" s="10" t="inlineStr">
        <is>
          <t>WYSOKI</t>
        </is>
      </c>
      <c r="F81" s="11" t="inlineStr">
        <is>
          <t>WP-CLI</t>
        </is>
      </c>
      <c r="G81" s="10" t="inlineStr">
        <is>
          <t>I — Aplikacje i WordPress</t>
        </is>
      </c>
      <c r="H81" s="10" t="inlineStr">
        <is>
          <t>ŚREDNIA</t>
        </is>
      </c>
      <c r="I81" s="10" t="n">
        <v>6</v>
      </c>
      <c r="J81" s="10" t="inlineStr">
        <is>
          <t>CZĘŚCIOWE</t>
        </is>
      </c>
      <c r="K81" s="11" t="inlineStr">
        <is>
          <t>używane wewnętrznie przy WP_INSTALL</t>
        </is>
      </c>
    </row>
    <row r="82">
      <c r="A82" s="10" t="inlineStr">
        <is>
          <t>I-18</t>
        </is>
      </c>
      <c r="B82" s="10" t="inlineStr">
        <is>
          <t>E-03</t>
        </is>
      </c>
      <c r="C82" s="11" t="inlineStr">
        <is>
          <t>WordPress Toolkit</t>
        </is>
      </c>
      <c r="D82" s="10" t="inlineStr">
        <is>
          <t>Q2 2027</t>
        </is>
      </c>
      <c r="E82" s="10" t="inlineStr">
        <is>
          <t>WYSOKI</t>
        </is>
      </c>
      <c r="F82" s="11" t="inlineStr">
        <is>
          <t>Migracja — test poświadczeń (preflight)</t>
        </is>
      </c>
      <c r="G82" s="10" t="inlineStr">
        <is>
          <t>I — Aplikacje i WordPress</t>
        </is>
      </c>
      <c r="H82" s="10" t="inlineStr">
        <is>
          <t>ŚREDNIA</t>
        </is>
      </c>
      <c r="I82" s="10" t="n">
        <v>6</v>
      </c>
      <c r="J82" s="10" t="inlineStr">
        <is>
          <t>CZĘŚCIOWE</t>
        </is>
      </c>
      <c r="K82" s="11" t="inlineStr">
        <is>
          <t>services.controller.ts:1001</t>
        </is>
      </c>
    </row>
    <row r="83">
      <c r="A83" s="10" t="inlineStr">
        <is>
          <t>I-22</t>
        </is>
      </c>
      <c r="B83" s="10" t="inlineStr">
        <is>
          <t>E-03</t>
        </is>
      </c>
      <c r="C83" s="11" t="inlineStr">
        <is>
          <t>WordPress Toolkit</t>
        </is>
      </c>
      <c r="D83" s="10" t="inlineStr">
        <is>
          <t>Q2 2027</t>
        </is>
      </c>
      <c r="E83" s="10" t="inlineStr">
        <is>
          <t>WYSOKI</t>
        </is>
      </c>
      <c r="F83" s="11" t="inlineStr">
        <is>
          <t>Migracja — cockpit operatora</t>
        </is>
      </c>
      <c r="G83" s="10" t="inlineStr">
        <is>
          <t>I — Aplikacje i WordPress</t>
        </is>
      </c>
      <c r="H83" s="10" t="inlineStr">
        <is>
          <t>ŚREDNIA</t>
        </is>
      </c>
      <c r="I83" s="10" t="n">
        <v>6</v>
      </c>
      <c r="J83" s="10" t="inlineStr">
        <is>
          <t>CZĘŚCIOWE</t>
        </is>
      </c>
      <c r="K83" s="11" t="inlineStr">
        <is>
          <t>migrations.staff.controller.ts:75,90,126</t>
        </is>
      </c>
    </row>
    <row r="84">
      <c r="A84" s="10" t="inlineStr">
        <is>
          <t>A-06</t>
        </is>
      </c>
      <c r="B84" s="10" t="inlineStr">
        <is>
          <t>E-04</t>
        </is>
      </c>
      <c r="C84" s="11" t="inlineStr">
        <is>
          <t>Domeny jako produkt</t>
        </is>
      </c>
      <c r="D84" s="10" t="inlineStr">
        <is>
          <t>Q2 2027</t>
        </is>
      </c>
      <c r="E84" s="10" t="inlineStr">
        <is>
          <t>WYSOKI</t>
        </is>
      </c>
      <c r="F84" s="11" t="inlineStr">
        <is>
          <t>Zmiana document root domeny</t>
        </is>
      </c>
      <c r="G84" s="10" t="inlineStr">
        <is>
          <t>A — Domeny i konta</t>
        </is>
      </c>
      <c r="H84" s="10" t="inlineStr">
        <is>
          <t>NISKA</t>
        </is>
      </c>
      <c r="I84" s="10" t="n">
        <v>6</v>
      </c>
      <c r="J84" s="10" t="inlineStr">
        <is>
          <t>BRAK</t>
        </is>
      </c>
      <c r="K84" s="11" t="inlineStr">
        <is>
          <t>DA to potrafi; brak UI</t>
        </is>
      </c>
    </row>
    <row r="85">
      <c r="A85" s="10" t="inlineStr">
        <is>
          <t>A-08</t>
        </is>
      </c>
      <c r="B85" s="10" t="inlineStr">
        <is>
          <t>E-04</t>
        </is>
      </c>
      <c r="C85" s="11" t="inlineStr">
        <is>
          <t>Domeny jako produkt</t>
        </is>
      </c>
      <c r="D85" s="10" t="inlineStr">
        <is>
          <t>Q2 2027</t>
        </is>
      </c>
      <c r="E85" s="10" t="inlineStr">
        <is>
          <t>WYSOKI</t>
        </is>
      </c>
      <c r="F85" s="11" t="inlineStr">
        <is>
          <t>Rejestracja domeny z panelu</t>
        </is>
      </c>
      <c r="G85" s="10" t="inlineStr">
        <is>
          <t>A — Domeny i konta</t>
        </is>
      </c>
      <c r="H85" s="10" t="inlineStr">
        <is>
          <t>ŚREDNIA</t>
        </is>
      </c>
      <c r="I85" s="10" t="n">
        <v>16</v>
      </c>
      <c r="J85" s="10" t="inlineStr">
        <is>
          <t>FLAGA</t>
        </is>
      </c>
      <c r="K85" s="11" t="inlineStr">
        <is>
          <t>domains.controller.ts:118</t>
        </is>
      </c>
    </row>
    <row r="86">
      <c r="A86" s="10" t="inlineStr">
        <is>
          <t>A-09</t>
        </is>
      </c>
      <c r="B86" s="10" t="inlineStr">
        <is>
          <t>E-04</t>
        </is>
      </c>
      <c r="C86" s="11" t="inlineStr">
        <is>
          <t>Domeny jako produkt</t>
        </is>
      </c>
      <c r="D86" s="10" t="inlineStr">
        <is>
          <t>Q2 2027</t>
        </is>
      </c>
      <c r="E86" s="10" t="inlineStr">
        <is>
          <t>WYSOKI</t>
        </is>
      </c>
      <c r="F86" s="11" t="inlineStr">
        <is>
          <t>Transfer domeny (kod authinfo)</t>
        </is>
      </c>
      <c r="G86" s="10" t="inlineStr">
        <is>
          <t>A — Domeny i konta</t>
        </is>
      </c>
      <c r="H86" s="10" t="inlineStr">
        <is>
          <t>WYSOKA</t>
        </is>
      </c>
      <c r="I86" s="10" t="n">
        <v>16</v>
      </c>
      <c r="J86" s="10" t="inlineStr">
        <is>
          <t>FLAGA</t>
        </is>
      </c>
      <c r="K86" s="11" t="inlineStr">
        <is>
          <t>domains.controller.ts:123</t>
        </is>
      </c>
    </row>
    <row r="87">
      <c r="A87" s="10" t="inlineStr">
        <is>
          <t>A-10</t>
        </is>
      </c>
      <c r="B87" s="10" t="inlineStr">
        <is>
          <t>E-04</t>
        </is>
      </c>
      <c r="C87" s="11" t="inlineStr">
        <is>
          <t>Domeny jako produkt</t>
        </is>
      </c>
      <c r="D87" s="10" t="inlineStr">
        <is>
          <t>Q2 2027</t>
        </is>
      </c>
      <c r="E87" s="10" t="inlineStr">
        <is>
          <t>WYSOKI</t>
        </is>
      </c>
      <c r="F87" s="11" t="inlineStr">
        <is>
          <t>Odnowienie domeny przez klienta</t>
        </is>
      </c>
      <c r="G87" s="10" t="inlineStr">
        <is>
          <t>A — Domeny i konta</t>
        </is>
      </c>
      <c r="H87" s="10" t="inlineStr">
        <is>
          <t>ŚREDNIA</t>
        </is>
      </c>
      <c r="I87" s="10" t="n">
        <v>6</v>
      </c>
      <c r="J87" s="10" t="inlineStr">
        <is>
          <t>ENDPOINT BEZ UI</t>
        </is>
      </c>
      <c r="K87" s="11" t="inlineStr">
        <is>
          <t>domains.controller.ts:133</t>
        </is>
      </c>
    </row>
    <row r="88">
      <c r="A88" s="10" t="inlineStr">
        <is>
          <t>A-12</t>
        </is>
      </c>
      <c r="B88" s="10" t="inlineStr">
        <is>
          <t>E-04</t>
        </is>
      </c>
      <c r="C88" s="11" t="inlineStr">
        <is>
          <t>Domeny jako produkt</t>
        </is>
      </c>
      <c r="D88" s="10" t="inlineStr">
        <is>
          <t>Q2 2027</t>
        </is>
      </c>
      <c r="E88" s="10" t="inlineStr">
        <is>
          <t>WYSOKI</t>
        </is>
      </c>
      <c r="F88" s="11" t="inlineStr">
        <is>
          <t>Cennik rejestracji na 1–10 lat</t>
        </is>
      </c>
      <c r="G88" s="10" t="inlineStr">
        <is>
          <t>A — Domeny i konta</t>
        </is>
      </c>
      <c r="H88" s="10" t="inlineStr">
        <is>
          <t>ŚREDNIA</t>
        </is>
      </c>
      <c r="I88" s="10" t="n">
        <v>6</v>
      </c>
      <c r="J88" s="10" t="inlineStr">
        <is>
          <t>FLAGA</t>
        </is>
      </c>
      <c r="K88" s="11" t="inlineStr">
        <is>
          <t>domains.controller.ts:59</t>
        </is>
      </c>
    </row>
    <row r="89">
      <c r="A89" s="10" t="inlineStr">
        <is>
          <t>A-13</t>
        </is>
      </c>
      <c r="B89" s="10" t="inlineStr">
        <is>
          <t>E-04</t>
        </is>
      </c>
      <c r="C89" s="11" t="inlineStr">
        <is>
          <t>Domeny jako produkt</t>
        </is>
      </c>
      <c r="D89" s="10" t="inlineStr">
        <is>
          <t>Q2 2027</t>
        </is>
      </c>
      <c r="E89" s="10" t="inlineStr">
        <is>
          <t>WYSOKI</t>
        </is>
      </c>
      <c r="F89" s="11" t="inlineStr">
        <is>
          <t>Zmiana danych abonenta domeny</t>
        </is>
      </c>
      <c r="G89" s="10" t="inlineStr">
        <is>
          <t>A — Domeny i konta</t>
        </is>
      </c>
      <c r="H89" s="10" t="inlineStr">
        <is>
          <t>WYSOKA</t>
        </is>
      </c>
      <c r="I89" s="10" t="n">
        <v>16</v>
      </c>
      <c r="J89" s="10" t="inlineStr">
        <is>
          <t>BRAK</t>
        </is>
      </c>
      <c r="K89" s="11" t="inlineStr">
        <is>
          <t>wymóg operatorski przy własnej rejestracji</t>
        </is>
      </c>
    </row>
    <row r="90">
      <c r="A90" s="10" t="inlineStr">
        <is>
          <t>A-14</t>
        </is>
      </c>
      <c r="B90" s="10" t="inlineStr">
        <is>
          <t>E-04</t>
        </is>
      </c>
      <c r="C90" s="11" t="inlineStr">
        <is>
          <t>Domeny jako produkt</t>
        </is>
      </c>
      <c r="D90" s="10" t="inlineStr">
        <is>
          <t>Q2 2027</t>
        </is>
      </c>
      <c r="E90" s="10" t="inlineStr">
        <is>
          <t>WYSOKI</t>
        </is>
      </c>
      <c r="F90" s="11" t="inlineStr">
        <is>
          <t>Ukrycie danych WHOIS / domain privacy</t>
        </is>
      </c>
      <c r="G90" s="10" t="inlineStr">
        <is>
          <t>A — Domeny i konta</t>
        </is>
      </c>
      <c r="H90" s="10" t="inlineStr">
        <is>
          <t>NISKA</t>
        </is>
      </c>
      <c r="I90" s="10" t="n">
        <v>6</v>
      </c>
      <c r="J90" s="10" t="inlineStr">
        <is>
          <t>BRAK</t>
        </is>
      </c>
      <c r="K90" s="11" t="inlineStr"/>
    </row>
    <row r="91">
      <c r="A91" s="10" t="inlineStr">
        <is>
          <t>A-15</t>
        </is>
      </c>
      <c r="B91" s="10" t="inlineStr">
        <is>
          <t>E-04</t>
        </is>
      </c>
      <c r="C91" s="11" t="inlineStr">
        <is>
          <t>Domeny jako produkt</t>
        </is>
      </c>
      <c r="D91" s="10" t="inlineStr">
        <is>
          <t>Q2 2027</t>
        </is>
      </c>
      <c r="E91" s="10" t="inlineStr">
        <is>
          <t>WYSOKI</t>
        </is>
      </c>
      <c r="F91" s="11" t="inlineStr">
        <is>
          <t>Blokada transferu domeny (transfer lock)</t>
        </is>
      </c>
      <c r="G91" s="10" t="inlineStr">
        <is>
          <t>A — Domeny i konta</t>
        </is>
      </c>
      <c r="H91" s="10" t="inlineStr">
        <is>
          <t>ŚREDNIA</t>
        </is>
      </c>
      <c r="I91" s="10" t="n">
        <v>6</v>
      </c>
      <c r="J91" s="10" t="inlineStr">
        <is>
          <t>BRAK</t>
        </is>
      </c>
      <c r="K91" s="11" t="inlineStr"/>
    </row>
    <row r="92">
      <c r="A92" s="10" t="inlineStr">
        <is>
          <t>A-16</t>
        </is>
      </c>
      <c r="B92" s="10" t="inlineStr">
        <is>
          <t>E-04</t>
        </is>
      </c>
      <c r="C92" s="11" t="inlineStr">
        <is>
          <t>Domeny jako produkt</t>
        </is>
      </c>
      <c r="D92" s="10" t="inlineStr">
        <is>
          <t>Q2 2027</t>
        </is>
      </c>
      <c r="E92" s="10" t="inlineStr">
        <is>
          <t>WYSOKI</t>
        </is>
      </c>
      <c r="F92" s="11" t="inlineStr">
        <is>
          <t>Weryfikacja własności domeny</t>
        </is>
      </c>
      <c r="G92" s="10" t="inlineStr">
        <is>
          <t>A — Domeny i konta</t>
        </is>
      </c>
      <c r="H92" s="10" t="inlineStr">
        <is>
          <t>WYSOKA</t>
        </is>
      </c>
      <c r="I92" s="10" t="n">
        <v>16</v>
      </c>
      <c r="J92" s="10" t="inlineStr">
        <is>
          <t>CZĘŚCIOWE</t>
        </is>
      </c>
      <c r="K92" s="11" t="inlineStr">
        <is>
          <t>domains.service.ts:92-153 — runChecklist robi resolve4/resolve6/resolveNs + handshake TLS</t>
        </is>
      </c>
    </row>
    <row r="93">
      <c r="A93" s="10" t="inlineStr">
        <is>
          <t>A-24</t>
        </is>
      </c>
      <c r="B93" s="10" t="inlineStr">
        <is>
          <t>E-04</t>
        </is>
      </c>
      <c r="C93" s="11" t="inlineStr">
        <is>
          <t>Domeny jako produkt</t>
        </is>
      </c>
      <c r="D93" s="10" t="inlineStr">
        <is>
          <t>Q2 2027</t>
        </is>
      </c>
      <c r="E93" s="10" t="inlineStr">
        <is>
          <t>WYSOKI</t>
        </is>
      </c>
      <c r="F93" s="11" t="inlineStr">
        <is>
          <t>Zakładanie konta klienta przez operatora</t>
        </is>
      </c>
      <c r="G93" s="10" t="inlineStr">
        <is>
          <t>A — Domeny i konta</t>
        </is>
      </c>
      <c r="H93" s="10" t="inlineStr">
        <is>
          <t>WYSOKA</t>
        </is>
      </c>
      <c r="I93" s="10" t="n">
        <v>16</v>
      </c>
      <c r="J93" s="10" t="inlineStr">
        <is>
          <t>BRAK</t>
        </is>
      </c>
      <c r="K93" s="11" t="inlineStr">
        <is>
          <t>brak @Post w users.admin.controller.ts</t>
        </is>
      </c>
    </row>
    <row r="94">
      <c r="A94" s="10" t="inlineStr">
        <is>
          <t>I-01</t>
        </is>
      </c>
      <c r="B94" s="10" t="inlineStr">
        <is>
          <t>E-05</t>
        </is>
      </c>
      <c r="C94" s="11" t="inlineStr">
        <is>
          <t>Katalog aplikacji</t>
        </is>
      </c>
      <c r="D94" s="10" t="inlineStr">
        <is>
          <t>Q2 2027</t>
        </is>
      </c>
      <c r="E94" s="10" t="inlineStr">
        <is>
          <t>ŚREDNI</t>
        </is>
      </c>
      <c r="F94" s="11" t="inlineStr">
        <is>
          <t>Autoinstalator aplikacji</t>
        </is>
      </c>
      <c r="G94" s="10" t="inlineStr">
        <is>
          <t>I — Aplikacje i WordPress</t>
        </is>
      </c>
      <c r="H94" s="10" t="inlineStr">
        <is>
          <t>WYSOKA</t>
        </is>
      </c>
      <c r="I94" s="10" t="n">
        <v>16</v>
      </c>
      <c r="J94" s="10" t="inlineStr">
        <is>
          <t>CZĘŚCIOWE</t>
        </is>
      </c>
      <c r="K94" s="11" t="inlineStr">
        <is>
          <t>app-install.service.ts:25,32 — katalog ma 2 pozycje</t>
        </is>
      </c>
    </row>
    <row r="95">
      <c r="A95" s="10" t="inlineStr">
        <is>
          <t>E-06</t>
        </is>
      </c>
      <c r="B95" s="10" t="inlineStr">
        <is>
          <t>E-10</t>
        </is>
      </c>
      <c r="C95" s="11" t="inlineStr">
        <is>
          <t>Poczta: filtry, kalendarz, limity</t>
        </is>
      </c>
      <c r="D95" s="10" t="inlineStr">
        <is>
          <t>Q2 2027</t>
        </is>
      </c>
      <c r="E95" s="10" t="inlineStr">
        <is>
          <t>ŚREDNI</t>
        </is>
      </c>
      <c r="F95" s="11" t="inlineStr">
        <is>
          <t>Podgląd zużycia skrzynki</t>
        </is>
      </c>
      <c r="G95" s="10" t="inlineStr">
        <is>
          <t>E — Poczta</t>
        </is>
      </c>
      <c r="H95" s="10" t="inlineStr">
        <is>
          <t>ŚREDNIA</t>
        </is>
      </c>
      <c r="I95" s="10" t="n">
        <v>6</v>
      </c>
      <c r="J95" s="10" t="inlineStr">
        <is>
          <t>BRAK</t>
        </is>
      </c>
      <c r="K95" s="11" t="inlineStr"/>
    </row>
    <row r="96">
      <c r="A96" s="10" t="inlineStr">
        <is>
          <t>E-12</t>
        </is>
      </c>
      <c r="B96" s="10" t="inlineStr">
        <is>
          <t>E-10</t>
        </is>
      </c>
      <c r="C96" s="11" t="inlineStr">
        <is>
          <t>Poczta: filtry, kalendarz, limity</t>
        </is>
      </c>
      <c r="D96" s="10" t="inlineStr">
        <is>
          <t>Q2 2027</t>
        </is>
      </c>
      <c r="E96" s="10" t="inlineStr">
        <is>
          <t>ŚREDNI</t>
        </is>
      </c>
      <c r="F96" s="11" t="inlineStr">
        <is>
          <t>Reguły filtrowania poczty (Sieve)</t>
        </is>
      </c>
      <c r="G96" s="10" t="inlineStr">
        <is>
          <t>E — Poczta</t>
        </is>
      </c>
      <c r="H96" s="10" t="inlineStr">
        <is>
          <t>ŚREDNIA</t>
        </is>
      </c>
      <c r="I96" s="10" t="n">
        <v>16</v>
      </c>
      <c r="J96" s="10" t="inlineStr">
        <is>
          <t>BRAK</t>
        </is>
      </c>
      <c r="K96" s="11" t="inlineStr">
        <is>
          <t>wszystkie 5 hostingów PL to ma</t>
        </is>
      </c>
    </row>
    <row r="97">
      <c r="A97" s="10" t="inlineStr">
        <is>
          <t>E-13</t>
        </is>
      </c>
      <c r="B97" s="10" t="inlineStr">
        <is>
          <t>E-10</t>
        </is>
      </c>
      <c r="C97" s="11" t="inlineStr">
        <is>
          <t>Poczta: filtry, kalendarz, limity</t>
        </is>
      </c>
      <c r="D97" s="10" t="inlineStr">
        <is>
          <t>Q2 2027</t>
        </is>
      </c>
      <c r="E97" s="10" t="inlineStr">
        <is>
          <t>ŚREDNI</t>
        </is>
      </c>
      <c r="F97" s="11" t="inlineStr">
        <is>
          <t>Webmail — dostęp</t>
        </is>
      </c>
      <c r="G97" s="10" t="inlineStr">
        <is>
          <t>E — Poczta</t>
        </is>
      </c>
      <c r="H97" s="10" t="inlineStr">
        <is>
          <t>ŚREDNIA</t>
        </is>
      </c>
      <c r="I97" s="10" t="n">
        <v>6</v>
      </c>
      <c r="J97" s="10" t="inlineStr">
        <is>
          <t>CZĘŚCIOWE</t>
        </is>
      </c>
      <c r="K97" s="11" t="inlineStr">
        <is>
          <t>link do DA</t>
        </is>
      </c>
    </row>
    <row r="98">
      <c r="A98" s="10" t="inlineStr">
        <is>
          <t>E-18</t>
        </is>
      </c>
      <c r="B98" s="10" t="inlineStr">
        <is>
          <t>E-10</t>
        </is>
      </c>
      <c r="C98" s="11" t="inlineStr">
        <is>
          <t>Poczta: filtry, kalendarz, limity</t>
        </is>
      </c>
      <c r="D98" s="10" t="inlineStr">
        <is>
          <t>Q2 2027</t>
        </is>
      </c>
      <c r="E98" s="10" t="inlineStr">
        <is>
          <t>ŚREDNI</t>
        </is>
      </c>
      <c r="F98" s="11" t="inlineStr">
        <is>
          <t>Sprawdzenie obecności na RBL</t>
        </is>
      </c>
      <c r="G98" s="10" t="inlineStr">
        <is>
          <t>E — Poczta</t>
        </is>
      </c>
      <c r="H98" s="10" t="inlineStr">
        <is>
          <t>ŚREDNIA</t>
        </is>
      </c>
      <c r="I98" s="10" t="n">
        <v>6</v>
      </c>
      <c r="J98" s="10" t="inlineStr">
        <is>
          <t>ENDPOINT BEZ UI</t>
        </is>
      </c>
      <c r="K98" s="11" t="inlineStr">
        <is>
          <t>services.controller.ts:114</t>
        </is>
      </c>
    </row>
    <row r="99">
      <c r="A99" s="10" t="inlineStr">
        <is>
          <t>E-19</t>
        </is>
      </c>
      <c r="B99" s="10" t="inlineStr">
        <is>
          <t>E-10</t>
        </is>
      </c>
      <c r="C99" s="11" t="inlineStr">
        <is>
          <t>Poczta: filtry, kalendarz, limity</t>
        </is>
      </c>
      <c r="D99" s="10" t="inlineStr">
        <is>
          <t>Q2 2027</t>
        </is>
      </c>
      <c r="E99" s="10" t="inlineStr">
        <is>
          <t>ŚREDNI</t>
        </is>
      </c>
      <c r="F99" s="11" t="inlineStr">
        <is>
          <t>Podgląd kolejki i logów dostarczania</t>
        </is>
      </c>
      <c r="G99" s="10" t="inlineStr">
        <is>
          <t>E — Poczta</t>
        </is>
      </c>
      <c r="H99" s="10" t="inlineStr">
        <is>
          <t>ŚREDNIA</t>
        </is>
      </c>
      <c r="I99" s="10" t="n">
        <v>16</v>
      </c>
      <c r="J99" s="10" t="inlineStr">
        <is>
          <t>BRAK</t>
        </is>
      </c>
      <c r="K99" s="11" t="inlineStr">
        <is>
          <t>„gdzie jest mój mail” to najczęstszy ticket poczty</t>
        </is>
      </c>
    </row>
    <row r="100">
      <c r="A100" s="10" t="inlineStr">
        <is>
          <t>E-20</t>
        </is>
      </c>
      <c r="B100" s="10" t="inlineStr">
        <is>
          <t>E-10</t>
        </is>
      </c>
      <c r="C100" s="11" t="inlineStr">
        <is>
          <t>Poczta: filtry, kalendarz, limity</t>
        </is>
      </c>
      <c r="D100" s="10" t="inlineStr">
        <is>
          <t>Q2 2027</t>
        </is>
      </c>
      <c r="E100" s="10" t="inlineStr">
        <is>
          <t>ŚREDNI</t>
        </is>
      </c>
      <c r="F100" s="11" t="inlineStr">
        <is>
          <t>Limity wysyłki pokazane klientowi</t>
        </is>
      </c>
      <c r="G100" s="10" t="inlineStr">
        <is>
          <t>E — Poczta</t>
        </is>
      </c>
      <c r="H100" s="10" t="inlineStr">
        <is>
          <t>ŚREDNIA</t>
        </is>
      </c>
      <c r="I100" s="10" t="n">
        <v>6</v>
      </c>
      <c r="J100" s="10" t="inlineStr">
        <is>
          <t>BRAK</t>
        </is>
      </c>
      <c r="K100" s="11" t="inlineStr">
        <is>
          <t>cyber_Folks publikuje jawnie: 1000/dobę, 300/15 min</t>
        </is>
      </c>
    </row>
    <row r="101">
      <c r="A101" s="10" t="inlineStr">
        <is>
          <t>E-21</t>
        </is>
      </c>
      <c r="B101" s="10" t="inlineStr">
        <is>
          <t>E-10</t>
        </is>
      </c>
      <c r="C101" s="11" t="inlineStr">
        <is>
          <t>Poczta: filtry, kalendarz, limity</t>
        </is>
      </c>
      <c r="D101" s="10" t="inlineStr">
        <is>
          <t>Q2 2027</t>
        </is>
      </c>
      <c r="E101" s="10" t="inlineStr">
        <is>
          <t>ŚREDNI</t>
        </is>
      </c>
      <c r="F101" s="11" t="inlineStr">
        <is>
          <t>Samodzielny import skrzynek przez IMAP</t>
        </is>
      </c>
      <c r="G101" s="10" t="inlineStr">
        <is>
          <t>E — Poczta</t>
        </is>
      </c>
      <c r="H101" s="10" t="inlineStr">
        <is>
          <t>ŚREDNIA</t>
        </is>
      </c>
      <c r="I101" s="10" t="n">
        <v>6</v>
      </c>
      <c r="J101" s="10" t="inlineStr">
        <is>
          <t>CZĘŚCIOWE</t>
        </is>
      </c>
      <c r="K101" s="11" t="inlineStr">
        <is>
          <t>w ramach migracji, nie jako osobne narzędzie</t>
        </is>
      </c>
    </row>
    <row r="102">
      <c r="A102" s="10" t="inlineStr">
        <is>
          <t>E-23</t>
        </is>
      </c>
      <c r="B102" s="10" t="inlineStr">
        <is>
          <t>E-10</t>
        </is>
      </c>
      <c r="C102" s="11" t="inlineStr">
        <is>
          <t>Poczta: filtry, kalendarz, limity</t>
        </is>
      </c>
      <c r="D102" s="10" t="inlineStr">
        <is>
          <t>Q2 2027</t>
        </is>
      </c>
      <c r="E102" s="10" t="inlineStr">
        <is>
          <t>ŚREDNI</t>
        </is>
      </c>
      <c r="F102" s="11" t="inlineStr">
        <is>
          <t>Kalendarz i kontakty (CalDAV/CardDAV)</t>
        </is>
      </c>
      <c r="G102" s="10" t="inlineStr">
        <is>
          <t>E — Poczta</t>
        </is>
      </c>
      <c r="H102" s="10" t="inlineStr">
        <is>
          <t>NISKA</t>
        </is>
      </c>
      <c r="I102" s="10" t="n">
        <v>40</v>
      </c>
      <c r="J102" s="10" t="inlineStr">
        <is>
          <t>BRAK</t>
        </is>
      </c>
      <c r="K102" s="11" t="inlineStr">
        <is>
          <t>dhosting i home.pl mają w produkcie „poczta biznesowa”</t>
        </is>
      </c>
    </row>
    <row r="103">
      <c r="A103" s="10" t="inlineStr">
        <is>
          <t>E-24</t>
        </is>
      </c>
      <c r="B103" s="10" t="inlineStr">
        <is>
          <t>E-10</t>
        </is>
      </c>
      <c r="C103" s="11" t="inlineStr">
        <is>
          <t>Poczta: filtry, kalendarz, limity</t>
        </is>
      </c>
      <c r="D103" s="10" t="inlineStr">
        <is>
          <t>Q2 2027</t>
        </is>
      </c>
      <c r="E103" s="10" t="inlineStr">
        <is>
          <t>ŚREDNI</t>
        </is>
      </c>
      <c r="F103" s="11" t="inlineStr">
        <is>
          <t>2FA dla webmaila</t>
        </is>
      </c>
      <c r="G103" s="10" t="inlineStr">
        <is>
          <t>E — Poczta</t>
        </is>
      </c>
      <c r="H103" s="10" t="inlineStr">
        <is>
          <t>NISKA</t>
        </is>
      </c>
      <c r="I103" s="10" t="n">
        <v>16</v>
      </c>
      <c r="J103" s="10" t="inlineStr">
        <is>
          <t>BRAK</t>
        </is>
      </c>
      <c r="K103" s="11" t="inlineStr">
        <is>
          <t>cyber_Folks ma nawet 2FA dla IMAP/SMTP</t>
        </is>
      </c>
    </row>
    <row r="104">
      <c r="A104" s="10" t="inlineStr">
        <is>
          <t>G-07</t>
        </is>
      </c>
      <c r="B104" s="10" t="inlineStr">
        <is>
          <t>E-06</t>
        </is>
      </c>
      <c r="C104" s="11" t="inlineStr">
        <is>
          <t>Bezpieczeństwo jako funkcja</t>
        </is>
      </c>
      <c r="D104" s="10" t="inlineStr">
        <is>
          <t>Q3 2027</t>
        </is>
      </c>
      <c r="E104" s="10" t="inlineStr">
        <is>
          <t>ŚREDNI</t>
        </is>
      </c>
      <c r="F104" s="11" t="inlineStr">
        <is>
          <t>HSTS</t>
        </is>
      </c>
      <c r="G104" s="10" t="inlineStr">
        <is>
          <t>G — SSL i bezpieczeństwo</t>
        </is>
      </c>
      <c r="H104" s="10" t="inlineStr">
        <is>
          <t>NISKA</t>
        </is>
      </c>
      <c r="I104" s="10" t="n">
        <v>6</v>
      </c>
      <c r="J104" s="10" t="inlineStr">
        <is>
          <t>BRAK</t>
        </is>
      </c>
      <c r="K104" s="11" t="inlineStr"/>
    </row>
    <row r="105">
      <c r="A105" s="10" t="inlineStr">
        <is>
          <t>G-08</t>
        </is>
      </c>
      <c r="B105" s="10" t="inlineStr">
        <is>
          <t>E-06</t>
        </is>
      </c>
      <c r="C105" s="11" t="inlineStr">
        <is>
          <t>Bezpieczeństwo jako funkcja</t>
        </is>
      </c>
      <c r="D105" s="10" t="inlineStr">
        <is>
          <t>Q3 2027</t>
        </is>
      </c>
      <c r="E105" s="10" t="inlineStr">
        <is>
          <t>ŚREDNI</t>
        </is>
      </c>
      <c r="F105" s="11" t="inlineStr">
        <is>
          <t>Sprzedaż certyfikatów DV/OV/EV</t>
        </is>
      </c>
      <c r="G105" s="10" t="inlineStr">
        <is>
          <t>G — SSL i bezpieczeństwo</t>
        </is>
      </c>
      <c r="H105" s="10" t="inlineStr">
        <is>
          <t>NISKA</t>
        </is>
      </c>
      <c r="I105" s="10" t="n">
        <v>16</v>
      </c>
      <c r="J105" s="10" t="inlineStr">
        <is>
          <t>BRAK</t>
        </is>
      </c>
      <c r="K105" s="11" t="inlineStr">
        <is>
          <t>wszystkie 5 hostingów PL to sprzedaje</t>
        </is>
      </c>
    </row>
    <row r="106">
      <c r="A106" s="10" t="inlineStr">
        <is>
          <t>G-11</t>
        </is>
      </c>
      <c r="B106" s="10" t="inlineStr">
        <is>
          <t>E-06</t>
        </is>
      </c>
      <c r="C106" s="11" t="inlineStr">
        <is>
          <t>Bezpieczeństwo jako funkcja</t>
        </is>
      </c>
      <c r="D106" s="10" t="inlineStr">
        <is>
          <t>Q3 2027</t>
        </is>
      </c>
      <c r="E106" s="10" t="inlineStr">
        <is>
          <t>ŚREDNI</t>
        </is>
      </c>
      <c r="F106" s="11" t="inlineStr">
        <is>
          <t>Skaner malware dla klienta</t>
        </is>
      </c>
      <c r="G106" s="10" t="inlineStr">
        <is>
          <t>G — SSL i bezpieczeństwo</t>
        </is>
      </c>
      <c r="H106" s="10" t="inlineStr">
        <is>
          <t>WYSOKA</t>
        </is>
      </c>
      <c r="I106" s="10" t="n">
        <v>40</v>
      </c>
      <c r="J106" s="10" t="inlineStr">
        <is>
          <t>BRAK</t>
        </is>
      </c>
      <c r="K106" s="11" t="inlineStr">
        <is>
          <t>Imunify to koszt licencyjny — pozycja do unit economics</t>
        </is>
      </c>
    </row>
    <row r="107">
      <c r="A107" s="10" t="inlineStr">
        <is>
          <t>G-12</t>
        </is>
      </c>
      <c r="B107" s="10" t="inlineStr">
        <is>
          <t>E-06</t>
        </is>
      </c>
      <c r="C107" s="11" t="inlineStr">
        <is>
          <t>Bezpieczeństwo jako funkcja</t>
        </is>
      </c>
      <c r="D107" s="10" t="inlineStr">
        <is>
          <t>Q3 2027</t>
        </is>
      </c>
      <c r="E107" s="10" t="inlineStr">
        <is>
          <t>ŚREDNI</t>
        </is>
      </c>
      <c r="F107" s="11" t="inlineStr">
        <is>
          <t>Czyszczenie zainfekowanych plików</t>
        </is>
      </c>
      <c r="G107" s="10" t="inlineStr">
        <is>
          <t>G — SSL i bezpieczeństwo</t>
        </is>
      </c>
      <c r="H107" s="10" t="inlineStr">
        <is>
          <t>ŚREDNIA</t>
        </is>
      </c>
      <c r="I107" s="10" t="n">
        <v>40</v>
      </c>
      <c r="J107" s="10" t="inlineStr">
        <is>
          <t>BRAK</t>
        </is>
      </c>
      <c r="K107" s="11" t="inlineStr"/>
    </row>
    <row r="108">
      <c r="A108" s="10" t="inlineStr">
        <is>
          <t>G-19</t>
        </is>
      </c>
      <c r="B108" s="10" t="inlineStr">
        <is>
          <t>E-06</t>
        </is>
      </c>
      <c r="C108" s="11" t="inlineStr">
        <is>
          <t>Bezpieczeństwo jako funkcja</t>
        </is>
      </c>
      <c r="D108" s="10" t="inlineStr">
        <is>
          <t>Q3 2027</t>
        </is>
      </c>
      <c r="E108" s="10" t="inlineStr">
        <is>
          <t>ŚREDNI</t>
        </is>
      </c>
      <c r="F108" s="11" t="inlineStr">
        <is>
          <t>Auto-wylogowanie po bezczynności</t>
        </is>
      </c>
      <c r="G108" s="10" t="inlineStr">
        <is>
          <t>G — SSL i bezpieczeństwo</t>
        </is>
      </c>
      <c r="H108" s="10" t="inlineStr">
        <is>
          <t>ŚREDNIA</t>
        </is>
      </c>
      <c r="I108" s="10" t="n">
        <v>6</v>
      </c>
      <c r="J108" s="10" t="inlineStr">
        <is>
          <t>CZĘŚCIOWE</t>
        </is>
      </c>
      <c r="K108" s="11" t="inlineStr">
        <is>
          <t>session-idle-guard.tsx</t>
        </is>
      </c>
    </row>
    <row r="109">
      <c r="A109" s="10" t="inlineStr">
        <is>
          <t>G-21</t>
        </is>
      </c>
      <c r="B109" s="10" t="inlineStr">
        <is>
          <t>E-06</t>
        </is>
      </c>
      <c r="C109" s="11" t="inlineStr">
        <is>
          <t>Bezpieczeństwo jako funkcja</t>
        </is>
      </c>
      <c r="D109" s="10" t="inlineStr">
        <is>
          <t>Q3 2027</t>
        </is>
      </c>
      <c r="E109" s="10" t="inlineStr">
        <is>
          <t>ŚREDNI</t>
        </is>
      </c>
      <c r="F109" s="11" t="inlineStr">
        <is>
          <t>Anty-DDoS</t>
        </is>
      </c>
      <c r="G109" s="10" t="inlineStr">
        <is>
          <t>G — SSL i bezpieczeństwo</t>
        </is>
      </c>
      <c r="H109" s="10" t="inlineStr">
        <is>
          <t>ŚREDNIA</t>
        </is>
      </c>
      <c r="I109" s="10" t="n">
        <v>40</v>
      </c>
      <c r="J109" s="10" t="inlineStr">
        <is>
          <t>BRAK</t>
        </is>
      </c>
      <c r="K109" s="11" t="inlineStr">
        <is>
          <t>wszystkie 5 hostingów PL to deklaruje — brak w ofercie będzie widoczny</t>
        </is>
      </c>
    </row>
    <row r="110">
      <c r="A110" s="10" t="inlineStr">
        <is>
          <t>G-22</t>
        </is>
      </c>
      <c r="B110" s="10" t="inlineStr">
        <is>
          <t>E-06</t>
        </is>
      </c>
      <c r="C110" s="11" t="inlineStr">
        <is>
          <t>Bezpieczeństwo jako funkcja</t>
        </is>
      </c>
      <c r="D110" s="10" t="inlineStr">
        <is>
          <t>Q3 2027</t>
        </is>
      </c>
      <c r="E110" s="10" t="inlineStr">
        <is>
          <t>ŚREDNI</t>
        </is>
      </c>
      <c r="F110" s="11" t="inlineStr">
        <is>
          <t>Powiadomienie o podejrzanym logowaniu</t>
        </is>
      </c>
      <c r="G110" s="10" t="inlineStr">
        <is>
          <t>G — SSL i bezpieczeństwo</t>
        </is>
      </c>
      <c r="H110" s="10" t="inlineStr">
        <is>
          <t>NISKA</t>
        </is>
      </c>
      <c r="I110" s="10" t="n">
        <v>6</v>
      </c>
      <c r="J110" s="10" t="inlineStr">
        <is>
          <t>BRAK</t>
        </is>
      </c>
      <c r="K110" s="11" t="inlineStr"/>
    </row>
    <row r="111">
      <c r="A111" s="10" t="inlineStr">
        <is>
          <t>Z-09</t>
        </is>
      </c>
      <c r="B111" s="10" t="inlineStr">
        <is>
          <t>E-06</t>
        </is>
      </c>
      <c r="C111" s="11" t="inlineStr">
        <is>
          <t>Bezpieczeństwo jako funkcja</t>
        </is>
      </c>
      <c r="D111" s="10" t="inlineStr">
        <is>
          <t>Q3 2027</t>
        </is>
      </c>
      <c r="E111" s="10" t="inlineStr">
        <is>
          <t>ŚREDNI</t>
        </is>
      </c>
      <c r="F111" s="11" t="inlineStr">
        <is>
          <t>Ograniczenie hostów, do których łączy się worker migracji (SSRF z węzła)</t>
        </is>
      </c>
      <c r="G111" s="10" t="inlineStr">
        <is>
          <t>G — SSL i bezpieczeństwo</t>
        </is>
      </c>
      <c r="H111" s="10" t="inlineStr">
        <is>
          <t>ŚREDNIA</t>
        </is>
      </c>
      <c r="I111" s="10" t="n">
        <v>16</v>
      </c>
      <c r="J111" s="10" t="inlineStr">
        <is>
          <t>BRAK</t>
        </is>
      </c>
      <c r="K111" s="11" t="inlineStr">
        <is>
          <t>node-migration-worker.sh — host źródła pochodzi z formularza i nie jest niczym ograniczony</t>
        </is>
      </c>
    </row>
    <row r="112">
      <c r="A112" s="10" t="inlineStr">
        <is>
          <t>O-03</t>
        </is>
      </c>
      <c r="B112" s="10" t="inlineStr">
        <is>
          <t>E-07</t>
        </is>
      </c>
      <c r="C112" s="11" t="inlineStr">
        <is>
          <t>Reseller jako produkt</t>
        </is>
      </c>
      <c r="D112" s="10" t="inlineStr">
        <is>
          <t>Q3 2027</t>
        </is>
      </c>
      <c r="E112" s="10" t="inlineStr">
        <is>
          <t>ŚREDNI</t>
        </is>
      </c>
      <c r="F112" s="11" t="inlineStr">
        <is>
          <t>Dziennik audytu działań subkont</t>
        </is>
      </c>
      <c r="G112" s="10" t="inlineStr">
        <is>
          <t>O — Multi-user i reseller</t>
        </is>
      </c>
      <c r="H112" s="10" t="inlineStr">
        <is>
          <t>ŚREDNIA</t>
        </is>
      </c>
      <c r="I112" s="10" t="n">
        <v>16</v>
      </c>
      <c r="J112" s="10" t="inlineStr">
        <is>
          <t>CZĘŚCIOWE</t>
        </is>
      </c>
      <c r="K112" s="11" t="inlineStr">
        <is>
          <t>customer-iam.controller.ts:36</t>
        </is>
      </c>
    </row>
    <row r="113">
      <c r="A113" s="10" t="inlineStr">
        <is>
          <t>O-05</t>
        </is>
      </c>
      <c r="B113" s="10" t="inlineStr">
        <is>
          <t>E-07</t>
        </is>
      </c>
      <c r="C113" s="11" t="inlineStr">
        <is>
          <t>Reseller jako produkt</t>
        </is>
      </c>
      <c r="D113" s="10" t="inlineStr">
        <is>
          <t>Q3 2027</t>
        </is>
      </c>
      <c r="E113" s="10" t="inlineStr">
        <is>
          <t>ŚREDNI</t>
        </is>
      </c>
      <c r="F113" s="11" t="inlineStr">
        <is>
          <t>Reseller — przegląd klientów</t>
        </is>
      </c>
      <c r="G113" s="10" t="inlineStr">
        <is>
          <t>O — Multi-user i reseller</t>
        </is>
      </c>
      <c r="H113" s="10" t="inlineStr">
        <is>
          <t>ŚREDNIA</t>
        </is>
      </c>
      <c r="I113" s="10" t="n">
        <v>40</v>
      </c>
      <c r="J113" s="10" t="inlineStr">
        <is>
          <t>CZĘŚCIOWE</t>
        </is>
      </c>
      <c r="K113" s="11" t="inlineStr">
        <is>
          <t>reseller.controller.ts:12,17 — 2 GET-y, zero mutacji</t>
        </is>
      </c>
    </row>
    <row r="114">
      <c r="A114" s="10" t="inlineStr">
        <is>
          <t>O-06</t>
        </is>
      </c>
      <c r="B114" s="10" t="inlineStr">
        <is>
          <t>E-07</t>
        </is>
      </c>
      <c r="C114" s="11" t="inlineStr">
        <is>
          <t>Reseller jako produkt</t>
        </is>
      </c>
      <c r="D114" s="10" t="inlineStr">
        <is>
          <t>Q3 2027</t>
        </is>
      </c>
      <c r="E114" s="10" t="inlineStr">
        <is>
          <t>ŚREDNI</t>
        </is>
      </c>
      <c r="F114" s="11" t="inlineStr">
        <is>
          <t>Reseller — zakładanie kont klientom</t>
        </is>
      </c>
      <c r="G114" s="10" t="inlineStr">
        <is>
          <t>O — Multi-user i reseller</t>
        </is>
      </c>
      <c r="H114" s="10" t="inlineStr">
        <is>
          <t>ŚREDNIA</t>
        </is>
      </c>
      <c r="I114" s="10" t="n">
        <v>40</v>
      </c>
      <c r="J114" s="10" t="inlineStr">
        <is>
          <t>BRAK</t>
        </is>
      </c>
      <c r="K114" s="11" t="inlineStr">
        <is>
          <t>bez tego reseller nie jest produktem</t>
        </is>
      </c>
    </row>
    <row r="115">
      <c r="A115" s="10" t="inlineStr">
        <is>
          <t>O-07</t>
        </is>
      </c>
      <c r="B115" s="10" t="inlineStr">
        <is>
          <t>E-07</t>
        </is>
      </c>
      <c r="C115" s="11" t="inlineStr">
        <is>
          <t>Reseller jako produkt</t>
        </is>
      </c>
      <c r="D115" s="10" t="inlineStr">
        <is>
          <t>Q3 2027</t>
        </is>
      </c>
      <c r="E115" s="10" t="inlineStr">
        <is>
          <t>ŚREDNI</t>
        </is>
      </c>
      <c r="F115" s="11" t="inlineStr">
        <is>
          <t>Reseller — ustawianie własnej marży</t>
        </is>
      </c>
      <c r="G115" s="10" t="inlineStr">
        <is>
          <t>O — Multi-user i reseller</t>
        </is>
      </c>
      <c r="H115" s="10" t="inlineStr">
        <is>
          <t>NISKA</t>
        </is>
      </c>
      <c r="I115" s="10" t="n">
        <v>16</v>
      </c>
      <c r="J115" s="10" t="inlineStr">
        <is>
          <t>CZĘŚCIOWE</t>
        </is>
      </c>
      <c r="K115" s="11" t="inlineStr">
        <is>
          <t>reseller.admin.controller.ts:44,50 — tylko operator, nie reseller</t>
        </is>
      </c>
    </row>
    <row r="116">
      <c r="A116" s="10" t="inlineStr">
        <is>
          <t>O-08</t>
        </is>
      </c>
      <c r="B116" s="10" t="inlineStr">
        <is>
          <t>E-07</t>
        </is>
      </c>
      <c r="C116" s="11" t="inlineStr">
        <is>
          <t>Reseller jako produkt</t>
        </is>
      </c>
      <c r="D116" s="10" t="inlineStr">
        <is>
          <t>Q3 2027</t>
        </is>
      </c>
      <c r="E116" s="10" t="inlineStr">
        <is>
          <t>ŚREDNI</t>
        </is>
      </c>
      <c r="F116" s="11" t="inlineStr">
        <is>
          <t>Reseller — samodzielne włączenie programu</t>
        </is>
      </c>
      <c r="G116" s="10" t="inlineStr">
        <is>
          <t>O — Multi-user i reseller</t>
        </is>
      </c>
      <c r="H116" s="10" t="inlineStr">
        <is>
          <t>NISKA</t>
        </is>
      </c>
      <c r="I116" s="10" t="n">
        <v>16</v>
      </c>
      <c r="J116" s="10" t="inlineStr">
        <is>
          <t>ATRAPA</t>
        </is>
      </c>
      <c r="K116" s="11" t="inlineStr">
        <is>
          <t>reseller-client.tsx:49 — jedyna akcja to „Napisz do nas”</t>
        </is>
      </c>
    </row>
    <row r="117">
      <c r="A117" s="10" t="inlineStr">
        <is>
          <t>O-09</t>
        </is>
      </c>
      <c r="B117" s="10" t="inlineStr">
        <is>
          <t>E-07</t>
        </is>
      </c>
      <c r="C117" s="11" t="inlineStr">
        <is>
          <t>Reseller jako produkt</t>
        </is>
      </c>
      <c r="D117" s="10" t="inlineStr">
        <is>
          <t>Q3 2027</t>
        </is>
      </c>
      <c r="E117" s="10" t="inlineStr">
        <is>
          <t>ŚREDNI</t>
        </is>
      </c>
      <c r="F117" s="11" t="inlineStr">
        <is>
          <t>White-label / własna marka resellera</t>
        </is>
      </c>
      <c r="G117" s="10" t="inlineStr">
        <is>
          <t>O — Multi-user i reseller</t>
        </is>
      </c>
      <c r="H117" s="10" t="inlineStr">
        <is>
          <t>NISKA</t>
        </is>
      </c>
      <c r="I117" s="10" t="n">
        <v>40</v>
      </c>
      <c r="J117" s="10" t="inlineStr">
        <is>
          <t>CZĘŚCIOWE</t>
        </is>
      </c>
      <c r="K117" s="11" t="inlineStr">
        <is>
          <t>reseller.admin.controller.ts:44 (brand po stronie operatora)</t>
        </is>
      </c>
    </row>
    <row r="118">
      <c r="A118" s="10" t="inlineStr">
        <is>
          <t>Z-10</t>
        </is>
      </c>
      <c r="B118" s="10" t="inlineStr">
        <is>
          <t>E-07</t>
        </is>
      </c>
      <c r="C118" s="11" t="inlineStr">
        <is>
          <t>Reseller jako produkt</t>
        </is>
      </c>
      <c r="D118" s="10" t="inlineStr">
        <is>
          <t>Q3 2027</t>
        </is>
      </c>
      <c r="E118" s="10" t="inlineStr">
        <is>
          <t>ŚREDNI</t>
        </is>
      </c>
      <c r="F118" s="11" t="inlineStr">
        <is>
          <t>Izolacja rekordów między kontami klientów + dziennik odmów subkont</t>
        </is>
      </c>
      <c r="G118" s="10" t="inlineStr">
        <is>
          <t>O — Multi-user i reseller</t>
        </is>
      </c>
      <c r="H118" s="10" t="inlineStr">
        <is>
          <t>WYSOKA</t>
        </is>
      </c>
      <c r="I118" s="10" t="n">
        <v>40</v>
      </c>
      <c r="J118" s="10" t="inlineStr">
        <is>
          <t>b.d.</t>
        </is>
      </c>
      <c r="K118" s="11" t="inlineStr">
        <is>
          <t>brak systematycznego przeglądu; każdy serwis sprawdza właściciela zasobu po swojemu</t>
        </is>
      </c>
    </row>
    <row r="119">
      <c r="A119" s="10" t="inlineStr">
        <is>
          <t>P-11</t>
        </is>
      </c>
      <c r="B119" s="10" t="inlineStr">
        <is>
          <t>E-08</t>
        </is>
      </c>
      <c r="C119" s="11" t="inlineStr">
        <is>
          <t>Dostępność i zgodność w produkcie</t>
        </is>
      </c>
      <c r="D119" s="10" t="inlineStr">
        <is>
          <t>Q3 2027</t>
        </is>
      </c>
      <c r="E119" s="10" t="inlineStr">
        <is>
          <t>ŚREDNI</t>
        </is>
      </c>
      <c r="F119" s="11" t="inlineStr">
        <is>
          <t>Rejestr czynności przetwarzania (art. 30)</t>
        </is>
      </c>
      <c r="G119" s="10" t="inlineStr">
        <is>
          <t>P — Zgodność</t>
        </is>
      </c>
      <c r="H119" s="10" t="inlineStr">
        <is>
          <t>ŚREDNIA</t>
        </is>
      </c>
      <c r="I119" s="10" t="n">
        <v>16</v>
      </c>
      <c r="J119" s="10" t="inlineStr">
        <is>
          <t>BRAK</t>
        </is>
      </c>
      <c r="K119" s="11" t="inlineStr">
        <is>
          <t>docs/legal/rcpd.md — sekcje A (administrator), B (procesor, art. 30 ust. 2), C (art. 32), D (przeglądy)</t>
        </is>
      </c>
    </row>
    <row r="120">
      <c r="A120" s="10" t="inlineStr">
        <is>
          <t>P-12</t>
        </is>
      </c>
      <c r="B120" s="10" t="inlineStr">
        <is>
          <t>E-08</t>
        </is>
      </c>
      <c r="C120" s="11" t="inlineStr">
        <is>
          <t>Dostępność i zgodność w produkcie</t>
        </is>
      </c>
      <c r="D120" s="10" t="inlineStr">
        <is>
          <t>Q3 2027</t>
        </is>
      </c>
      <c r="E120" s="10" t="inlineStr">
        <is>
          <t>ŚREDNI</t>
        </is>
      </c>
      <c r="F120" s="11" t="inlineStr">
        <is>
          <t>Dostępność panelu wg WCAG 2.1 AA (EAA)</t>
        </is>
      </c>
      <c r="G120" s="10" t="inlineStr">
        <is>
          <t>P — Zgodność</t>
        </is>
      </c>
      <c r="H120" s="10" t="inlineStr">
        <is>
          <t>ŚREDNIA</t>
        </is>
      </c>
      <c r="I120" s="10" t="n">
        <v>40</v>
      </c>
      <c r="J120" s="10" t="inlineStr">
        <is>
          <t>BRAK</t>
        </is>
      </c>
      <c r="K120" s="11" t="inlineStr">
        <is>
          <t>docs/legal/EAA_AUDYT_DOSTEPNOSCI_2026-07-07.md — audyt wykonany, skip-link i focus-visible naprawione w commicie z 2026-07-07</t>
        </is>
      </c>
    </row>
    <row r="121">
      <c r="A121" s="10" t="inlineStr">
        <is>
          <t>P-13</t>
        </is>
      </c>
      <c r="B121" s="10" t="inlineStr">
        <is>
          <t>E-08</t>
        </is>
      </c>
      <c r="C121" s="11" t="inlineStr">
        <is>
          <t>Dostępność i zgodność w produkcie</t>
        </is>
      </c>
      <c r="D121" s="10" t="inlineStr">
        <is>
          <t>Q3 2027</t>
        </is>
      </c>
      <c r="E121" s="10" t="inlineStr">
        <is>
          <t>ŚREDNI</t>
        </is>
      </c>
      <c r="F121" s="11" t="inlineStr">
        <is>
          <t>Deklaracja lokalizacji danych</t>
        </is>
      </c>
      <c r="G121" s="10" t="inlineStr">
        <is>
          <t>P — Zgodność</t>
        </is>
      </c>
      <c r="H121" s="10" t="inlineStr">
        <is>
          <t>ŚREDNIA</t>
        </is>
      </c>
      <c r="I121" s="10" t="n">
        <v>6</v>
      </c>
      <c r="J121" s="10" t="inlineStr">
        <is>
          <t>b.d.</t>
        </is>
      </c>
      <c r="K121" s="11" t="inlineStr">
        <is>
          <t>poza kodem</t>
        </is>
      </c>
    </row>
    <row r="122">
      <c r="A122" s="10" t="inlineStr">
        <is>
          <t>P-14</t>
        </is>
      </c>
      <c r="B122" s="10" t="inlineStr">
        <is>
          <t>E-08</t>
        </is>
      </c>
      <c r="C122" s="11" t="inlineStr">
        <is>
          <t>Dostępność i zgodność w produkcie</t>
        </is>
      </c>
      <c r="D122" s="10" t="inlineStr">
        <is>
          <t>Q3 2027</t>
        </is>
      </c>
      <c r="E122" s="10" t="inlineStr">
        <is>
          <t>ŚREDNI</t>
        </is>
      </c>
      <c r="F122" s="11" t="inlineStr">
        <is>
          <t>Certyfikacja ISO 27001</t>
        </is>
      </c>
      <c r="G122" s="10" t="inlineStr">
        <is>
          <t>P — Zgodność</t>
        </is>
      </c>
      <c r="H122" s="10" t="inlineStr">
        <is>
          <t>NISKA</t>
        </is>
      </c>
      <c r="I122" s="10" t="n">
        <v>40</v>
      </c>
      <c r="J122" s="10" t="inlineStr">
        <is>
          <t>BRAK</t>
        </is>
      </c>
      <c r="K122" s="11" t="inlineStr">
        <is>
          <t>home.pl i nazwa.pl mają — element przetargowy w B2B</t>
        </is>
      </c>
    </row>
    <row r="123">
      <c r="A123" s="10" t="inlineStr">
        <is>
          <t>Q-09</t>
        </is>
      </c>
      <c r="B123" s="10" t="inlineStr">
        <is>
          <t>E-08</t>
        </is>
      </c>
      <c r="C123" s="11" t="inlineStr">
        <is>
          <t>Dostępność i zgodność w produkcie</t>
        </is>
      </c>
      <c r="D123" s="10" t="inlineStr">
        <is>
          <t>Q3 2027</t>
        </is>
      </c>
      <c r="E123" s="10" t="inlineStr">
        <is>
          <t>ŚREDNI</t>
        </is>
      </c>
      <c r="F123" s="11" t="inlineStr">
        <is>
          <t>Panel responsywny na telefonie</t>
        </is>
      </c>
      <c r="G123" s="10" t="inlineStr">
        <is>
          <t>Q — Przewaga</t>
        </is>
      </c>
      <c r="H123" s="10" t="inlineStr">
        <is>
          <t>WYSOKA</t>
        </is>
      </c>
      <c r="I123" s="10" t="n">
        <v>16</v>
      </c>
      <c r="J123" s="10" t="inlineStr">
        <is>
          <t>b.d.</t>
        </is>
      </c>
      <c r="K123" s="11" t="inlineStr">
        <is>
          <t>brak audytu w repo</t>
        </is>
      </c>
    </row>
    <row r="124">
      <c r="A124" s="10" t="inlineStr">
        <is>
          <t>F-03</t>
        </is>
      </c>
      <c r="B124" s="10" t="inlineStr">
        <is>
          <t>E-11</t>
        </is>
      </c>
      <c r="C124" s="11" t="inlineStr">
        <is>
          <t>DNS: DNSSEC i zarządzanie strefą</t>
        </is>
      </c>
      <c r="D124" s="10" t="inlineStr">
        <is>
          <t>Q3 2027</t>
        </is>
      </c>
      <c r="E124" s="10" t="inlineStr">
        <is>
          <t>ŚREDNI</t>
        </is>
      </c>
      <c r="F124" s="11" t="inlineStr">
        <is>
          <t>Link do strefy DNS w DirectAdmin</t>
        </is>
      </c>
      <c r="G124" s="10" t="inlineStr">
        <is>
          <t>F — DNS</t>
        </is>
      </c>
      <c r="H124" s="10" t="inlineStr">
        <is>
          <t>—</t>
        </is>
      </c>
      <c r="I124" s="10" t="n">
        <v>0</v>
      </c>
      <c r="J124" s="10" t="inlineStr">
        <is>
          <t>DZIAŁA</t>
        </is>
      </c>
      <c r="K124" s="11" t="inlineStr">
        <is>
          <t>services.controller.ts:350</t>
        </is>
      </c>
    </row>
    <row r="125">
      <c r="A125" s="10" t="inlineStr">
        <is>
          <t>F-06</t>
        </is>
      </c>
      <c r="B125" s="10" t="inlineStr">
        <is>
          <t>E-11</t>
        </is>
      </c>
      <c r="C125" s="11" t="inlineStr">
        <is>
          <t>DNS: DNSSEC i zarządzanie strefą</t>
        </is>
      </c>
      <c r="D125" s="10" t="inlineStr">
        <is>
          <t>Q3 2027</t>
        </is>
      </c>
      <c r="E125" s="10" t="inlineStr">
        <is>
          <t>ŚREDNI</t>
        </is>
      </c>
      <c r="F125" s="11" t="inlineStr">
        <is>
          <t>DNSSEC</t>
        </is>
      </c>
      <c r="G125" s="10" t="inlineStr">
        <is>
          <t>F — DNS</t>
        </is>
      </c>
      <c r="H125" s="10" t="inlineStr">
        <is>
          <t>ŚREDNIA</t>
        </is>
      </c>
      <c r="I125" s="10" t="n">
        <v>16</v>
      </c>
      <c r="J125" s="10" t="inlineStr">
        <is>
          <t>BRAK</t>
        </is>
      </c>
      <c r="K125" s="11" t="inlineStr">
        <is>
          <t>żaden z 5 hostingów PL nie potwierdza publicznie</t>
        </is>
      </c>
    </row>
    <row r="126">
      <c r="A126" s="10" t="inlineStr">
        <is>
          <t>F-11</t>
        </is>
      </c>
      <c r="B126" s="10" t="inlineStr">
        <is>
          <t>E-11</t>
        </is>
      </c>
      <c r="C126" s="11" t="inlineStr">
        <is>
          <t>DNS: DNSSEC i zarządzanie strefą</t>
        </is>
      </c>
      <c r="D126" s="10" t="inlineStr">
        <is>
          <t>Q3 2027</t>
        </is>
      </c>
      <c r="E126" s="10" t="inlineStr">
        <is>
          <t>ŚREDNI</t>
        </is>
      </c>
      <c r="F126" s="11" t="inlineStr">
        <is>
          <t>Zmiana TTL rekordów</t>
        </is>
      </c>
      <c r="G126" s="10" t="inlineStr">
        <is>
          <t>F — DNS</t>
        </is>
      </c>
      <c r="H126" s="10" t="inlineStr">
        <is>
          <t>ŚREDNIA</t>
        </is>
      </c>
      <c r="I126" s="10" t="n">
        <v>6</v>
      </c>
      <c r="J126" s="10" t="inlineStr">
        <is>
          <t>ATRAPA</t>
        </is>
      </c>
      <c r="K126" s="11" t="inlineStr">
        <is>
          <t>zależne od F-01</t>
        </is>
      </c>
    </row>
    <row r="127">
      <c r="A127" s="10" t="inlineStr">
        <is>
          <t>F-12</t>
        </is>
      </c>
      <c r="B127" s="10" t="inlineStr">
        <is>
          <t>E-11</t>
        </is>
      </c>
      <c r="C127" s="11" t="inlineStr">
        <is>
          <t>DNS: DNSSEC i zarządzanie strefą</t>
        </is>
      </c>
      <c r="D127" s="10" t="inlineStr">
        <is>
          <t>Q3 2027</t>
        </is>
      </c>
      <c r="E127" s="10" t="inlineStr">
        <is>
          <t>ŚREDNI</t>
        </is>
      </c>
      <c r="F127" s="11" t="inlineStr">
        <is>
          <t>Anycast DNS</t>
        </is>
      </c>
      <c r="G127" s="10" t="inlineStr">
        <is>
          <t>F — DNS</t>
        </is>
      </c>
      <c r="H127" s="10" t="inlineStr">
        <is>
          <t>NISKA</t>
        </is>
      </c>
      <c r="I127" s="10" t="n">
        <v>40</v>
      </c>
      <c r="J127" s="10" t="inlineStr">
        <is>
          <t>BRAK</t>
        </is>
      </c>
      <c r="K127" s="11" t="inlineStr">
        <is>
          <t>tylko nazwa.pl na rynku PL</t>
        </is>
      </c>
    </row>
    <row r="128">
      <c r="A128" s="10" t="inlineStr">
        <is>
          <t>L-03</t>
        </is>
      </c>
      <c r="B128" s="10" t="inlineStr">
        <is>
          <t>E-13</t>
        </is>
      </c>
      <c r="C128" s="11" t="inlineStr">
        <is>
          <t>Automatyzacja: API zapisu i webhooki</t>
        </is>
      </c>
      <c r="D128" s="10" t="inlineStr">
        <is>
          <t>Q3 2027</t>
        </is>
      </c>
      <c r="E128" s="10" t="inlineStr">
        <is>
          <t>ŚREDNI</t>
        </is>
      </c>
      <c r="F128" s="11" t="inlineStr">
        <is>
          <t>Zadanie cron — edycja</t>
        </is>
      </c>
      <c r="G128" s="10" t="inlineStr">
        <is>
          <t>L — Automatyzacja</t>
        </is>
      </c>
      <c r="H128" s="10" t="inlineStr">
        <is>
          <t>ŚREDNIA</t>
        </is>
      </c>
      <c r="I128" s="10" t="n">
        <v>6</v>
      </c>
      <c r="J128" s="10" t="inlineStr">
        <is>
          <t>BRAK</t>
        </is>
      </c>
      <c r="K128" s="11" t="inlineStr">
        <is>
          <t>obecnie usuń i dodaj ponownie</t>
        </is>
      </c>
    </row>
    <row r="129">
      <c r="A129" s="10" t="inlineStr">
        <is>
          <t>L-04</t>
        </is>
      </c>
      <c r="B129" s="10" t="inlineStr">
        <is>
          <t>E-13</t>
        </is>
      </c>
      <c r="C129" s="11" t="inlineStr">
        <is>
          <t>Automatyzacja: API zapisu i webhooki</t>
        </is>
      </c>
      <c r="D129" s="10" t="inlineStr">
        <is>
          <t>Q3 2027</t>
        </is>
      </c>
      <c r="E129" s="10" t="inlineStr">
        <is>
          <t>ŚREDNI</t>
        </is>
      </c>
      <c r="F129" s="11" t="inlineStr">
        <is>
          <t>Cron z interwałem 1 minuty</t>
        </is>
      </c>
      <c r="G129" s="10" t="inlineStr">
        <is>
          <t>L — Automatyzacja</t>
        </is>
      </c>
      <c r="H129" s="10" t="inlineStr">
        <is>
          <t>NISKA</t>
        </is>
      </c>
      <c r="I129" s="10" t="n">
        <v>6</v>
      </c>
      <c r="J129" s="10" t="inlineStr">
        <is>
          <t>b.d.</t>
        </is>
      </c>
      <c r="K129" s="11" t="inlineStr">
        <is>
          <t>zależne od konfiguracji DA</t>
        </is>
      </c>
    </row>
    <row r="130">
      <c r="A130" s="10" t="inlineStr">
        <is>
          <t>L-05</t>
        </is>
      </c>
      <c r="B130" s="10" t="inlineStr">
        <is>
          <t>E-13</t>
        </is>
      </c>
      <c r="C130" s="11" t="inlineStr">
        <is>
          <t>Automatyzacja: API zapisu i webhooki</t>
        </is>
      </c>
      <c r="D130" s="10" t="inlineStr">
        <is>
          <t>Q3 2027</t>
        </is>
      </c>
      <c r="E130" s="10" t="inlineStr">
        <is>
          <t>ŚREDNI</t>
        </is>
      </c>
      <c r="F130" s="11" t="inlineStr">
        <is>
          <t>Cron z wyborem wersji PHP</t>
        </is>
      </c>
      <c r="G130" s="10" t="inlineStr">
        <is>
          <t>L — Automatyzacja</t>
        </is>
      </c>
      <c r="H130" s="10" t="inlineStr">
        <is>
          <t>ŚREDNIA</t>
        </is>
      </c>
      <c r="I130" s="10" t="n">
        <v>6</v>
      </c>
      <c r="J130" s="10" t="inlineStr">
        <is>
          <t>BRAK</t>
        </is>
      </c>
      <c r="K130" s="11" t="inlineStr">
        <is>
          <t>seohost to reklamuje</t>
        </is>
      </c>
    </row>
    <row r="131">
      <c r="A131" s="10" t="inlineStr">
        <is>
          <t>L-06</t>
        </is>
      </c>
      <c r="B131" s="10" t="inlineStr">
        <is>
          <t>E-13</t>
        </is>
      </c>
      <c r="C131" s="11" t="inlineStr">
        <is>
          <t>Automatyzacja: API zapisu i webhooki</t>
        </is>
      </c>
      <c r="D131" s="10" t="inlineStr">
        <is>
          <t>Q3 2027</t>
        </is>
      </c>
      <c r="E131" s="10" t="inlineStr">
        <is>
          <t>ŚREDNI</t>
        </is>
      </c>
      <c r="F131" s="11" t="inlineStr">
        <is>
          <t>Podgląd wyniku ostatniego wykonania crona</t>
        </is>
      </c>
      <c r="G131" s="10" t="inlineStr">
        <is>
          <t>L — Automatyzacja</t>
        </is>
      </c>
      <c r="H131" s="10" t="inlineStr">
        <is>
          <t>ŚREDNIA</t>
        </is>
      </c>
      <c r="I131" s="10" t="n">
        <v>16</v>
      </c>
      <c r="J131" s="10" t="inlineStr">
        <is>
          <t>BRAK</t>
        </is>
      </c>
      <c r="K131" s="11" t="inlineStr"/>
    </row>
    <row r="132">
      <c r="A132" s="10" t="inlineStr">
        <is>
          <t>L-08</t>
        </is>
      </c>
      <c r="B132" s="10" t="inlineStr">
        <is>
          <t>E-13</t>
        </is>
      </c>
      <c r="C132" s="11" t="inlineStr">
        <is>
          <t>Automatyzacja: API zapisu i webhooki</t>
        </is>
      </c>
      <c r="D132" s="10" t="inlineStr">
        <is>
          <t>Q3 2027</t>
        </is>
      </c>
      <c r="E132" s="10" t="inlineStr">
        <is>
          <t>ŚREDNI</t>
        </is>
      </c>
      <c r="F132" s="11" t="inlineStr">
        <is>
          <t>Publiczne API — zapis</t>
        </is>
      </c>
      <c r="G132" s="10" t="inlineStr">
        <is>
          <t>L — Automatyzacja</t>
        </is>
      </c>
      <c r="H132" s="10" t="inlineStr">
        <is>
          <t>ŚREDNIA</t>
        </is>
      </c>
      <c r="I132" s="10" t="n">
        <v>40</v>
      </c>
      <c r="J132" s="10" t="inlineStr">
        <is>
          <t>BRAK</t>
        </is>
      </c>
      <c r="K132" s="11" t="inlineStr">
        <is>
          <t>api-scopes.ts:3 — 3 zakresy read-only; przyznane w api-tokens-client.tsx:158</t>
        </is>
      </c>
    </row>
    <row r="133">
      <c r="A133" s="10" t="inlineStr">
        <is>
          <t>L-09</t>
        </is>
      </c>
      <c r="B133" s="10" t="inlineStr">
        <is>
          <t>E-13</t>
        </is>
      </c>
      <c r="C133" s="11" t="inlineStr">
        <is>
          <t>Automatyzacja: API zapisu i webhooki</t>
        </is>
      </c>
      <c r="D133" s="10" t="inlineStr">
        <is>
          <t>Q3 2027</t>
        </is>
      </c>
      <c r="E133" s="10" t="inlineStr">
        <is>
          <t>ŚREDNI</t>
        </is>
      </c>
      <c r="F133" s="11" t="inlineStr">
        <is>
          <t>Tokeny API z zakresami uprawnień</t>
        </is>
      </c>
      <c r="G133" s="10" t="inlineStr">
        <is>
          <t>L — Automatyzacja</t>
        </is>
      </c>
      <c r="H133" s="10" t="inlineStr">
        <is>
          <t>NISKA</t>
        </is>
      </c>
      <c r="I133" s="10" t="n">
        <v>6</v>
      </c>
      <c r="J133" s="10" t="inlineStr">
        <is>
          <t>CZĘŚCIOWE</t>
        </is>
      </c>
      <c r="K133" s="11" t="inlineStr">
        <is>
          <t>api-tokens.controller.ts:35</t>
        </is>
      </c>
    </row>
    <row r="134">
      <c r="A134" s="10" t="inlineStr">
        <is>
          <t>L-10</t>
        </is>
      </c>
      <c r="B134" s="10" t="inlineStr">
        <is>
          <t>E-13</t>
        </is>
      </c>
      <c r="C134" s="11" t="inlineStr">
        <is>
          <t>Automatyzacja: API zapisu i webhooki</t>
        </is>
      </c>
      <c r="D134" s="10" t="inlineStr">
        <is>
          <t>Q3 2027</t>
        </is>
      </c>
      <c r="E134" s="10" t="inlineStr">
        <is>
          <t>ŚREDNI</t>
        </is>
      </c>
      <c r="F134" s="11" t="inlineStr">
        <is>
          <t>Webhooki dla klienta</t>
        </is>
      </c>
      <c r="G134" s="10" t="inlineStr">
        <is>
          <t>L — Automatyzacja</t>
        </is>
      </c>
      <c r="H134" s="10" t="inlineStr">
        <is>
          <t>NISKA</t>
        </is>
      </c>
      <c r="I134" s="10" t="n">
        <v>16</v>
      </c>
      <c r="J134" s="10" t="inlineStr">
        <is>
          <t>BRAK</t>
        </is>
      </c>
      <c r="K134" s="11" t="inlineStr"/>
    </row>
    <row r="135">
      <c r="A135" s="10" t="inlineStr">
        <is>
          <t>L-11</t>
        </is>
      </c>
      <c r="B135" s="10" t="inlineStr">
        <is>
          <t>E-13</t>
        </is>
      </c>
      <c r="C135" s="11" t="inlineStr">
        <is>
          <t>Automatyzacja: API zapisu i webhooki</t>
        </is>
      </c>
      <c r="D135" s="10" t="inlineStr">
        <is>
          <t>Q3 2027</t>
        </is>
      </c>
      <c r="E135" s="10" t="inlineStr">
        <is>
          <t>ŚREDNI</t>
        </is>
      </c>
      <c r="F135" s="11" t="inlineStr">
        <is>
          <t>Asystent AI w panelu</t>
        </is>
      </c>
      <c r="G135" s="10" t="inlineStr">
        <is>
          <t>L — Automatyzacja</t>
        </is>
      </c>
      <c r="H135" s="10" t="inlineStr">
        <is>
          <t>ŚREDNIA</t>
        </is>
      </c>
      <c r="I135" s="10" t="n">
        <v>6</v>
      </c>
      <c r="J135" s="10" t="inlineStr">
        <is>
          <t>FLAGA</t>
        </is>
      </c>
      <c r="K135" s="11" t="inlineStr">
        <is>
          <t>HostingAssistant.tsx:61; ai-provider.service.ts:21 — AI_API_KEY domyślnie pusty</t>
        </is>
      </c>
    </row>
    <row r="136">
      <c r="A136" s="10" t="inlineStr">
        <is>
          <t>L-12</t>
        </is>
      </c>
      <c r="B136" s="10" t="inlineStr">
        <is>
          <t>E-13</t>
        </is>
      </c>
      <c r="C136" s="11" t="inlineStr">
        <is>
          <t>Automatyzacja: API zapisu i webhooki</t>
        </is>
      </c>
      <c r="D136" s="10" t="inlineStr">
        <is>
          <t>Q3 2027</t>
        </is>
      </c>
      <c r="E136" s="10" t="inlineStr">
        <is>
          <t>ŚREDNI</t>
        </is>
      </c>
      <c r="F136" s="11" t="inlineStr">
        <is>
          <t>Prognoza zużycia zasobów (AI)</t>
        </is>
      </c>
      <c r="G136" s="10" t="inlineStr">
        <is>
          <t>L — Automatyzacja</t>
        </is>
      </c>
      <c r="H136" s="10" t="inlineStr">
        <is>
          <t>NISKA</t>
        </is>
      </c>
      <c r="I136" s="10" t="n">
        <v>6</v>
      </c>
      <c r="J136" s="10" t="inlineStr">
        <is>
          <t>FLAGA</t>
        </is>
      </c>
      <c r="K136" s="11" t="inlineStr">
        <is>
          <t>hosting-forecast-actions.ts:7; fallback ServiceForecastPanel.tsx:97</t>
        </is>
      </c>
    </row>
    <row r="137">
      <c r="A137" s="10" t="inlineStr">
        <is>
          <t>NODE-01</t>
        </is>
      </c>
      <c r="B137" s="10" t="inlineStr">
        <is>
          <t>E-16</t>
        </is>
      </c>
      <c r="C137" s="11" t="inlineStr">
        <is>
          <t>Rozszerzenia oferty</t>
        </is>
      </c>
      <c r="D137" s="10" t="inlineStr">
        <is>
          <t>Q4 2027</t>
        </is>
      </c>
      <c r="E137" s="10" t="inlineStr">
        <is>
          <t>NISKI</t>
        </is>
      </c>
      <c r="F137" s="11" t="inlineStr">
        <is>
          <t>Dwie niepołączone ścieżki dodania węzła w tym samym panelu</t>
        </is>
      </c>
      <c r="G137" s="10" t="inlineStr">
        <is>
          <t>Q — Przewaga</t>
        </is>
      </c>
      <c r="H137" s="10" t="inlineStr">
        <is>
          <t>ŚREDNIA</t>
        </is>
      </c>
      <c r="I137" s="10" t="n">
        <v>16</v>
      </c>
      <c r="J137" s="10" t="inlineStr">
        <is>
          <t>BRAK</t>
        </is>
      </c>
      <c r="K137" s="11" t="inlineStr">
        <is>
          <t>`node-wizard.tsx` vs `node-bootstrap.script.ts`; `NODE_ONBOARD_RUNBOOK.md` vs `NODE_BOOTSTRAP_V2.md` §9</t>
        </is>
      </c>
    </row>
    <row r="138">
      <c r="A138" s="10" t="inlineStr">
        <is>
          <t>Q-06</t>
        </is>
      </c>
      <c r="B138" s="10" t="inlineStr">
        <is>
          <t>E-16</t>
        </is>
      </c>
      <c r="C138" s="11" t="inlineStr">
        <is>
          <t>Rozszerzenia oferty</t>
        </is>
      </c>
      <c r="D138" s="10" t="inlineStr">
        <is>
          <t>Q4 2027</t>
        </is>
      </c>
      <c r="E138" s="10" t="inlineStr">
        <is>
          <t>NISKI</t>
        </is>
      </c>
      <c r="F138" s="11" t="inlineStr">
        <is>
          <t>VPS / cloud w tym samym panelu</t>
        </is>
      </c>
      <c r="G138" s="10" t="inlineStr">
        <is>
          <t>Q — Przewaga</t>
        </is>
      </c>
      <c r="H138" s="10" t="inlineStr">
        <is>
          <t>ŚREDNIA</t>
        </is>
      </c>
      <c r="I138" s="10" t="n">
        <v>16</v>
      </c>
      <c r="J138" s="10" t="inlineStr">
        <is>
          <t>FLAGA</t>
        </is>
      </c>
      <c r="K138" s="11" t="inlineStr">
        <is>
          <t>vps.controller.ts:53,59,69; HETZNER_API_TOKEN</t>
        </is>
      </c>
    </row>
    <row r="139">
      <c r="A139" s="10" t="inlineStr">
        <is>
          <t>Q-07</t>
        </is>
      </c>
      <c r="B139" s="10" t="inlineStr">
        <is>
          <t>E-16</t>
        </is>
      </c>
      <c r="C139" s="11" t="inlineStr">
        <is>
          <t>Rozszerzenia oferty</t>
        </is>
      </c>
      <c r="D139" s="10" t="inlineStr">
        <is>
          <t>Q4 2027</t>
        </is>
      </c>
      <c r="E139" s="10" t="inlineStr">
        <is>
          <t>NISKI</t>
        </is>
      </c>
      <c r="F139" s="11" t="inlineStr">
        <is>
          <t>VPS — konsola / VNC</t>
        </is>
      </c>
      <c r="G139" s="10" t="inlineStr">
        <is>
          <t>Q — Przewaga</t>
        </is>
      </c>
      <c r="H139" s="10" t="inlineStr">
        <is>
          <t>NISKA</t>
        </is>
      </c>
      <c r="I139" s="10" t="n">
        <v>16</v>
      </c>
      <c r="J139" s="10" t="inlineStr">
        <is>
          <t>BRAK</t>
        </is>
      </c>
      <c r="K139" s="11" t="inlineStr"/>
    </row>
    <row r="140">
      <c r="A140" s="10" t="inlineStr">
        <is>
          <t>Q-08</t>
        </is>
      </c>
      <c r="B140" s="10" t="inlineStr">
        <is>
          <t>E-16</t>
        </is>
      </c>
      <c r="C140" s="11" t="inlineStr">
        <is>
          <t>Rozszerzenia oferty</t>
        </is>
      </c>
      <c r="D140" s="10" t="inlineStr">
        <is>
          <t>Q4 2027</t>
        </is>
      </c>
      <c r="E140" s="10" t="inlineStr">
        <is>
          <t>NISKI</t>
        </is>
      </c>
      <c r="F140" s="11" t="inlineStr">
        <is>
          <t>VPS — snapshoty i rebuild</t>
        </is>
      </c>
      <c r="G140" s="10" t="inlineStr">
        <is>
          <t>Q — Przewaga</t>
        </is>
      </c>
      <c r="H140" s="10" t="inlineStr">
        <is>
          <t>NISKA</t>
        </is>
      </c>
      <c r="I140" s="10" t="n">
        <v>16</v>
      </c>
      <c r="J140" s="10" t="inlineStr">
        <is>
          <t>BRAK</t>
        </is>
      </c>
      <c r="K140" s="11" t="inlineStr"/>
    </row>
    <row r="141">
      <c r="A141" s="10" t="inlineStr">
        <is>
          <t>Q-14</t>
        </is>
      </c>
      <c r="B141" s="10" t="inlineStr">
        <is>
          <t>E-16</t>
        </is>
      </c>
      <c r="C141" s="11" t="inlineStr">
        <is>
          <t>Rozszerzenia oferty</t>
        </is>
      </c>
      <c r="D141" s="10" t="inlineStr">
        <is>
          <t>Q4 2027</t>
        </is>
      </c>
      <c r="E141" s="10" t="inlineStr">
        <is>
          <t>NISKI</t>
        </is>
      </c>
      <c r="F141" s="11" t="inlineStr">
        <is>
          <t>Kreator uruchomienia węzła</t>
        </is>
      </c>
      <c r="G141" s="10" t="inlineStr">
        <is>
          <t>Q — Przewaga</t>
        </is>
      </c>
      <c r="H141" s="10" t="inlineStr">
        <is>
          <t>WYSOKA</t>
        </is>
      </c>
      <c r="I141" s="10" t="n">
        <v>16</v>
      </c>
      <c r="J141" s="10" t="inlineStr">
        <is>
          <t>CZĘŚCIOWE</t>
        </is>
      </c>
      <c r="K141" s="11" t="inlineStr">
        <is>
          <t>node-wizard.tsx:277,288 — realnie tylko init + bootstrap; 7 z 9 kroków to treść runbooka (wizard-content.ts:21-40)</t>
        </is>
      </c>
    </row>
    <row r="142">
      <c r="A142" s="10" t="inlineStr">
        <is>
          <t>X-04</t>
        </is>
      </c>
      <c r="B142" s="10" t="inlineStr">
        <is>
          <t>E-09</t>
        </is>
      </c>
      <c r="C142" s="11" t="inlineStr">
        <is>
          <t>Pokrycie testowe warstw krytycznych</t>
        </is>
      </c>
      <c r="D142" s="10" t="inlineStr">
        <is>
          <t>ciągłe</t>
        </is>
      </c>
      <c r="E142" s="10" t="inlineStr">
        <is>
          <t>WYSOKI</t>
        </is>
      </c>
      <c r="F142" s="11" t="inlineStr">
        <is>
          <t>Testy integracyjne / e2e API</t>
        </is>
      </c>
      <c r="G142" s="10" t="inlineStr">
        <is>
          <t>X — Infrastruktura jakości</t>
        </is>
      </c>
      <c r="H142" s="10" t="inlineStr">
        <is>
          <t>WYSOKA</t>
        </is>
      </c>
      <c r="I142" s="10" t="n">
        <v>40</v>
      </c>
      <c r="J142" s="10" t="inlineStr">
        <is>
          <t>CZĘŚCIOWE</t>
        </is>
      </c>
      <c r="K142" s="11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</row>
    <row r="143">
      <c r="A143" s="10" t="inlineStr">
        <is>
          <t>X-05</t>
        </is>
      </c>
      <c r="B143" s="10" t="inlineStr">
        <is>
          <t>E-09</t>
        </is>
      </c>
      <c r="C143" s="11" t="inlineStr">
        <is>
          <t>Pokrycie testowe warstw krytycznych</t>
        </is>
      </c>
      <c r="D143" s="10" t="inlineStr">
        <is>
          <t>ciągłe</t>
        </is>
      </c>
      <c r="E143" s="10" t="inlineStr">
        <is>
          <t>WYSOKI</t>
        </is>
      </c>
      <c r="F143" s="11" t="inlineStr">
        <is>
          <t>Testy paneli frontowych</t>
        </is>
      </c>
      <c r="G143" s="10" t="inlineStr">
        <is>
          <t>X — Infrastruktura jakości</t>
        </is>
      </c>
      <c r="H143" s="10" t="inlineStr">
        <is>
          <t>ŚREDNIA</t>
        </is>
      </c>
      <c r="I143" s="10" t="n">
        <v>40</v>
      </c>
      <c r="J143" s="10" t="inlineStr">
        <is>
          <t>BRAK</t>
        </is>
      </c>
      <c r="K143" s="11" t="inlineStr">
        <is>
          <t>admin-panel i staff-panel: 0 plików; client-panel: 1 plik bez runnera (brak skryptu test w package.json:5-11)</t>
        </is>
      </c>
    </row>
    <row r="144">
      <c r="A144" s="10" t="inlineStr">
        <is>
          <t>X-06</t>
        </is>
      </c>
      <c r="B144" s="10" t="inlineStr">
        <is>
          <t>E-09</t>
        </is>
      </c>
      <c r="C144" s="11" t="inlineStr">
        <is>
          <t>Pokrycie testowe warstw krytycznych</t>
        </is>
      </c>
      <c r="D144" s="10" t="inlineStr">
        <is>
          <t>ciągłe</t>
        </is>
      </c>
      <c r="E144" s="10" t="inlineStr">
        <is>
          <t>WYSOKI</t>
        </is>
      </c>
      <c r="F144" s="11" t="inlineStr">
        <is>
          <t>Pokrycie testami modułu auth</t>
        </is>
      </c>
      <c r="G144" s="10" t="inlineStr">
        <is>
          <t>X — Infrastruktura jakości</t>
        </is>
      </c>
      <c r="H144" s="10" t="inlineStr">
        <is>
          <t>WYSOKA</t>
        </is>
      </c>
      <c r="I144" s="10" t="n">
        <v>16</v>
      </c>
      <c r="J144" s="10" t="inlineStr">
        <is>
          <t>BRAK</t>
        </is>
      </c>
      <c r="K144" s="11" t="inlineStr">
        <is>
          <t>zero plików .spec w apps/api/src/auth</t>
        </is>
      </c>
    </row>
    <row r="145">
      <c r="A145" s="10" t="inlineStr">
        <is>
          <t>X-07</t>
        </is>
      </c>
      <c r="B145" s="10" t="inlineStr">
        <is>
          <t>E-09</t>
        </is>
      </c>
      <c r="C145" s="11" t="inlineStr">
        <is>
          <t>Pokrycie testowe warstw krytycznych</t>
        </is>
      </c>
      <c r="D145" s="10" t="inlineStr">
        <is>
          <t>ciągłe</t>
        </is>
      </c>
      <c r="E145" s="10" t="inlineStr">
        <is>
          <t>WYSOKI</t>
        </is>
      </c>
      <c r="F145" s="11" t="inlineStr">
        <is>
          <t>Pokrycie testami klienta KSeF</t>
        </is>
      </c>
      <c r="G145" s="10" t="inlineStr">
        <is>
          <t>X — Infrastruktura jakości</t>
        </is>
      </c>
      <c r="H145" s="10" t="inlineStr">
        <is>
          <t>WYSOKA</t>
        </is>
      </c>
      <c r="I145" s="10" t="n">
        <v>16</v>
      </c>
      <c r="J145" s="10" t="inlineStr">
        <is>
          <t>BRAK</t>
        </is>
      </c>
      <c r="K145" s="11" t="inlineStr">
        <is>
          <t>ksef-v2.client.ts (487 l. kryptografii + API skarbowe) — ZERO testów; testowany jest tylko builder XML</t>
        </is>
      </c>
    </row>
    <row r="146">
      <c r="A146" s="10" t="inlineStr">
        <is>
          <t>X-08</t>
        </is>
      </c>
      <c r="B146" s="10" t="inlineStr">
        <is>
          <t>E-09</t>
        </is>
      </c>
      <c r="C146" s="11" t="inlineStr">
        <is>
          <t>Pokrycie testowe warstw krytycznych</t>
        </is>
      </c>
      <c r="D146" s="10" t="inlineStr">
        <is>
          <t>ciągłe</t>
        </is>
      </c>
      <c r="E146" s="10" t="inlineStr">
        <is>
          <t>WYSOKI</t>
        </is>
      </c>
      <c r="F146" s="11" t="inlineStr">
        <is>
          <t>Pokrycie testami ścieżki backup/restore</t>
        </is>
      </c>
      <c r="G146" s="10" t="inlineStr">
        <is>
          <t>X — Infrastruktura jakości</t>
        </is>
      </c>
      <c r="H146" s="10" t="inlineStr">
        <is>
          <t>WYSOKA</t>
        </is>
      </c>
      <c r="I146" s="10" t="n">
        <v>16</v>
      </c>
      <c r="J146" s="10" t="inlineStr">
        <is>
          <t>BRAK</t>
        </is>
      </c>
      <c r="K146" s="11" t="inlineStr">
        <is>
          <t>offsite-restore.service.ts (regex chroniący przed path traversal na wejściu od klienta) — ZERO testów</t>
        </is>
      </c>
    </row>
    <row r="147">
      <c r="A147" s="10" t="inlineStr">
        <is>
          <t>X-09</t>
        </is>
      </c>
      <c r="B147" s="10" t="inlineStr">
        <is>
          <t>E-09</t>
        </is>
      </c>
      <c r="C147" s="11" t="inlineStr">
        <is>
          <t>Pokrycie testowe warstw krytycznych</t>
        </is>
      </c>
      <c r="D147" s="10" t="inlineStr">
        <is>
          <t>ciągłe</t>
        </is>
      </c>
      <c r="E147" s="10" t="inlineStr">
        <is>
          <t>WYSOKI</t>
        </is>
      </c>
      <c r="F147" s="11" t="inlineStr">
        <is>
          <t>Pokrycie testami DirectAdminService</t>
        </is>
      </c>
      <c r="G147" s="10" t="inlineStr">
        <is>
          <t>X — Infrastruktura jakości</t>
        </is>
      </c>
      <c r="H147" s="10" t="inlineStr">
        <is>
          <t>WYSOKA</t>
        </is>
      </c>
      <c r="I147" s="10" t="n">
        <v>40</v>
      </c>
      <c r="J147" s="10" t="inlineStr">
        <is>
          <t>BRAK</t>
        </is>
      </c>
      <c r="K147" s="11" t="inlineStr">
        <is>
          <t>directadmin.service.ts ma 3057 linii; testowany jest wyłącznie helper mergeAdminSettingsPayload</t>
        </is>
      </c>
    </row>
    <row r="148">
      <c r="A148" s="10" t="inlineStr">
        <is>
          <t>X-10</t>
        </is>
      </c>
      <c r="B148" s="10" t="inlineStr">
        <is>
          <t>E-09</t>
        </is>
      </c>
      <c r="C148" s="11" t="inlineStr">
        <is>
          <t>Pokrycie testowe warstw krytycznych</t>
        </is>
      </c>
      <c r="D148" s="10" t="inlineStr">
        <is>
          <t>ciągłe</t>
        </is>
      </c>
      <c r="E148" s="10" t="inlineStr">
        <is>
          <t>WYSOKI</t>
        </is>
      </c>
      <c r="F148" s="11" t="inlineStr">
        <is>
          <t>Testy RBAC sprawdzające zachowanie, nie metadane</t>
        </is>
      </c>
      <c r="G148" s="10" t="inlineStr">
        <is>
          <t>X — Infrastruktura jakości</t>
        </is>
      </c>
      <c r="H148" s="10" t="inlineStr">
        <is>
          <t>WYSOKA</t>
        </is>
      </c>
      <c r="I148" s="10" t="n">
        <v>16</v>
      </c>
      <c r="J148" s="10" t="inlineStr">
        <is>
          <t>ATRAPA</t>
        </is>
      </c>
      <c r="K148" s="11" t="inlineStr">
        <is>
          <t>3 pliki spec czytają Reflect.getMetadata(ROLES_KEY) — weryfikują, że dekorator napisano, nie że guard blokuje</t>
        </is>
      </c>
    </row>
    <row r="149">
      <c r="A149" s="10" t="inlineStr">
        <is>
          <t>X-19</t>
        </is>
      </c>
      <c r="B149" s="10" t="inlineStr">
        <is>
          <t>E-09</t>
        </is>
      </c>
      <c r="C149" s="11" t="inlineStr">
        <is>
          <t>Pokrycie testowe warstw krytycznych</t>
        </is>
      </c>
      <c r="D149" s="10" t="inlineStr">
        <is>
          <t>ciągłe</t>
        </is>
      </c>
      <c r="E149" s="10" t="inlineStr">
        <is>
          <t>WYSOKI</t>
        </is>
      </c>
      <c r="F149" s="11" t="inlineStr">
        <is>
          <t>Dług lintera odsłonięty przez Next 16 i włączenie ESLinta w API</t>
        </is>
      </c>
      <c r="G149" s="10" t="inlineStr">
        <is>
          <t>X — Infrastruktura jakości</t>
        </is>
      </c>
      <c r="H149" s="10" t="inlineStr">
        <is>
          <t>ŚREDNIA</t>
        </is>
      </c>
      <c r="I149" s="10" t="n">
        <v>16</v>
      </c>
      <c r="J149" s="10" t="inlineStr">
        <is>
          <t>CZĘŚCIOWE</t>
        </is>
      </c>
      <c r="K149" s="11" t="inlineStr">
        <is>
          <t>libs/eslint-config/node.mjs oraz apps/*/eslint.config.mjs — reguły włączone, ale część jako ostrzeżenia; 209 ostrzeżeń w panelach, 58 w API</t>
        </is>
      </c>
    </row>
    <row r="150">
      <c r="A150" s="10" t="inlineStr">
        <is>
          <t>X-20</t>
        </is>
      </c>
      <c r="B150" s="10" t="inlineStr">
        <is>
          <t>E-09</t>
        </is>
      </c>
      <c r="C150" s="11" t="inlineStr">
        <is>
          <t>Pokrycie testowe warstw krytycznych</t>
        </is>
      </c>
      <c r="D150" s="10" t="inlineStr">
        <is>
          <t>ciągłe</t>
        </is>
      </c>
      <c r="E150" s="10" t="inlineStr">
        <is>
          <t>WYSOKI</t>
        </is>
      </c>
      <c r="F150" s="11" t="inlineStr">
        <is>
          <t>Decyzja i migracja na Prismę 7</t>
        </is>
      </c>
      <c r="G150" s="10" t="inlineStr">
        <is>
          <t>X — Infrastruktura jakości</t>
        </is>
      </c>
      <c r="H150" s="10" t="inlineStr">
        <is>
          <t>ŚREDNIA</t>
        </is>
      </c>
      <c r="I150" s="10" t="n">
        <v>40</v>
      </c>
      <c r="J150" s="10" t="inlineStr">
        <is>
          <t>BRAK</t>
        </is>
      </c>
      <c r="K150" s="11" t="inlineStr">
        <is>
          <t>libs/database/package.json — prisma 6.19.3; schema.prisma:17 — datasource url = env("DATABASE_URL"), składnia usunięta w Prismie 7</t>
        </is>
      </c>
    </row>
    <row r="151">
      <c r="A151" s="10" t="inlineStr">
        <is>
          <t>X-22</t>
        </is>
      </c>
      <c r="B151" s="10" t="inlineStr">
        <is>
          <t>E-09</t>
        </is>
      </c>
      <c r="C151" s="11" t="inlineStr">
        <is>
          <t>Pokrycie testowe warstw krytycznych</t>
        </is>
      </c>
      <c r="D151" s="10" t="inlineStr">
        <is>
          <t>ciągłe</t>
        </is>
      </c>
      <c r="E151" s="10" t="inlineStr">
        <is>
          <t>WYSOKI</t>
        </is>
      </c>
      <c r="F151" s="11" t="inlineStr">
        <is>
          <t>Eksport danych osobowych (RODO art. 20) sprawdzany testem end-to-end</t>
        </is>
      </c>
      <c r="G151" s="10" t="inlineStr">
        <is>
          <t>X — Infrastruktura jakości</t>
        </is>
      </c>
      <c r="H151" s="10" t="inlineStr">
        <is>
          <t>WYSOKA</t>
        </is>
      </c>
      <c r="I151" s="10" t="n">
        <v>16</v>
      </c>
      <c r="J151" s="10" t="inlineStr">
        <is>
          <t>BRAK</t>
        </is>
      </c>
      <c r="K151" s="11" t="inlineStr">
        <is>
          <t>apps/api/src/compliance/data-export.service.ts — buildZipToFile bez żadnego testu; apps/api/src/compliance/*.spec.ts — brak pokrycia tej ścieżki</t>
        </is>
      </c>
    </row>
    <row r="152">
      <c r="A152" s="10" t="inlineStr">
        <is>
          <t>X-48</t>
        </is>
      </c>
      <c r="B152" s="10" t="inlineStr">
        <is>
          <t>E-09</t>
        </is>
      </c>
      <c r="C152" s="11" t="inlineStr">
        <is>
          <t>Pokrycie testowe warstw krytycznych</t>
        </is>
      </c>
      <c r="D152" s="10" t="inlineStr">
        <is>
          <t>ciągłe</t>
        </is>
      </c>
      <c r="E152" s="10" t="inlineStr">
        <is>
          <t>WYSOKI</t>
        </is>
      </c>
      <c r="F152" s="11" t="inlineStr">
        <is>
          <t>`strict: true` w API jest w dużej mierze dekoracją — profil Nest wyłącza jego najważniejsze składniki</t>
        </is>
      </c>
      <c r="G152" s="10" t="inlineStr">
        <is>
          <t>X — Infrastruktura jakości</t>
        </is>
      </c>
      <c r="H152" s="10" t="inlineStr">
        <is>
          <t>WYSOKA</t>
        </is>
      </c>
      <c r="I152" s="10" t="n">
        <v>40</v>
      </c>
      <c r="J152" s="10" t="inlineStr">
        <is>
          <t>BRAK</t>
        </is>
      </c>
      <c r="K152" s="11" t="inlineStr">
        <is>
          <t>D1: odczyt obu plików, 2026-08-28. Świadomie NIE naprawiane dzisiaj — włączenie `strictNullChecks` w projekcie tej wielkości to osobna, duża praca z własnym planem, a nie doklejka do sprzątania martwych przypisań. Zapisane, żeby decyzja o terminie była decyzją, a nie przeoczeniem.</t>
        </is>
      </c>
    </row>
    <row r="153">
      <c r="A153" s="10" t="inlineStr">
        <is>
          <t>X-49</t>
        </is>
      </c>
      <c r="B153" s="10" t="inlineStr">
        <is>
          <t>E-09</t>
        </is>
      </c>
      <c r="C153" s="11" t="inlineStr">
        <is>
          <t>Pokrycie testowe warstw krytycznych</t>
        </is>
      </c>
      <c r="D153" s="10" t="inlineStr">
        <is>
          <t>ciągłe</t>
        </is>
      </c>
      <c r="E153" s="10" t="inlineStr">
        <is>
          <t>WYSOKI</t>
        </is>
      </c>
      <c r="F153" s="11" t="inlineStr">
        <is>
          <t>Znaleziska trafiają do macierzy, nie tylko do dashboardów</t>
        </is>
      </c>
      <c r="G153" s="10" t="inlineStr">
        <is>
          <t>X — Infrastruktura jakości</t>
        </is>
      </c>
      <c r="H153" s="10" t="inlineStr">
        <is>
          <t>ŚREDNIA</t>
        </is>
      </c>
      <c r="I153" s="10" t="n">
        <v>16</v>
      </c>
      <c r="J153" s="10" t="inlineStr">
        <is>
          <t>BRAK</t>
        </is>
      </c>
      <c r="K153" s="11" t="inlineStr">
        <is>
          <t>audyt/dane/macierz.csv — ostatnia pozycja przed 2026-08-28 to X-34 z 24.08; brak w macierzy bylo 32 pozycji: DEP-01, ENV-01, ENV-02, X-37..X-48 (bez X-44 w macierzy), DEV-01, KSEF-01..05, PANEL-01, OPS-01, NODE-01..03, SEC-01..06</t>
        </is>
      </c>
    </row>
  </sheetData>
  <autoFilter ref="A1:K15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26" customWidth="1" min="3" max="3"/>
    <col width="88" customWidth="1" min="4" max="4"/>
  </cols>
  <sheetData>
    <row r="1" ht="30" customHeight="1">
      <c r="A1" s="9" t="inlineStr">
        <is>
          <t>ID</t>
        </is>
      </c>
      <c r="B1" s="9" t="inlineStr">
        <is>
          <t>Funkcja</t>
        </is>
      </c>
      <c r="C1" s="9" t="inlineStr">
        <is>
          <t>Kategoria</t>
        </is>
      </c>
      <c r="D1" s="9" t="inlineStr">
        <is>
          <t>Uzasadnienie decyzji</t>
        </is>
      </c>
    </row>
    <row r="2">
      <c r="A2" s="10" t="inlineStr">
        <is>
          <t>B-07</t>
        </is>
      </c>
      <c r="B2" s="11" t="inlineStr">
        <is>
          <t>Wybór handlera PHP (LSAPI/FPM/CGI)</t>
        </is>
      </c>
      <c r="C2" s="10" t="inlineStr">
        <is>
          <t>B — Runtime WWW</t>
        </is>
      </c>
      <c r="D2" s="11" t="inlineStr">
        <is>
          <t>decyzja operatorska, nie klienta</t>
        </is>
      </c>
    </row>
    <row r="3">
      <c r="A3" s="10" t="inlineStr">
        <is>
          <t>B-10</t>
        </is>
      </c>
      <c r="B3" s="11" t="inlineStr">
        <is>
          <t>Aplikacje Ruby</t>
        </is>
      </c>
      <c r="C3" s="10" t="inlineStr">
        <is>
          <t>B — Runtime WWW</t>
        </is>
      </c>
      <c r="D3" s="11" t="inlineStr">
        <is>
          <t>rynek PL tego nie oczekuje</t>
        </is>
      </c>
    </row>
    <row r="4">
      <c r="A4" s="10" t="inlineStr">
        <is>
          <t>C-20</t>
        </is>
      </c>
      <c r="B4" s="11" t="inlineStr">
        <is>
          <t>FTP anonimowy</t>
        </is>
      </c>
      <c r="C4" s="10" t="inlineStr">
        <is>
          <t>C — Pliki, FTP, SSH, Git</t>
        </is>
      </c>
      <c r="D4" s="11" t="inlineStr">
        <is>
          <t>funkcja schyłkowa, ryzyko nadużyć</t>
        </is>
      </c>
    </row>
    <row r="5">
      <c r="A5" s="10" t="inlineStr">
        <is>
          <t>C-23</t>
        </is>
      </c>
      <c r="B5" s="11" t="inlineStr">
        <is>
          <t>Terminal SSH w przeglądarce</t>
        </is>
      </c>
      <c r="C5" s="10" t="inlineStr">
        <is>
          <t>C — Pliki, FTP, SSH, Git</t>
        </is>
      </c>
      <c r="D5" s="11" t="inlineStr">
        <is>
          <t>żaden hosting PL tego nie daje</t>
        </is>
      </c>
    </row>
    <row r="6">
      <c r="A6" s="10" t="inlineStr">
        <is>
          <t>C-24</t>
        </is>
      </c>
      <c r="B6" s="11" t="inlineStr">
        <is>
          <t>WebDAV / Web Disk</t>
        </is>
      </c>
      <c r="C6" s="10" t="inlineStr">
        <is>
          <t>C — Pliki, FTP, SSH, Git</t>
        </is>
      </c>
      <c r="D6" s="11" t="inlineStr">
        <is>
          <t>Protokół schyłkowy — żaden z pięciu badanych hostingów PL go nie wystawia, a menedżer plików i SFTP pokrywają ten sam scenariusz.</t>
        </is>
      </c>
    </row>
    <row r="7">
      <c r="A7" s="10" t="inlineStr">
        <is>
          <t>E-22</t>
        </is>
      </c>
      <c r="B7" s="11" t="inlineStr">
        <is>
          <t>Listy mailingowe</t>
        </is>
      </c>
      <c r="C7" s="10" t="inlineStr">
        <is>
          <t>E — Poczta</t>
        </is>
      </c>
      <c r="D7" s="11" t="inlineStr">
        <is>
          <t>zastąpione modułem email-marketing</t>
        </is>
      </c>
    </row>
    <row r="8">
      <c r="A8" s="10" t="inlineStr">
        <is>
          <t>F-07</t>
        </is>
      </c>
      <c r="B8" s="11" t="inlineStr">
        <is>
          <t>Secondary / slave DNS</t>
        </is>
      </c>
      <c r="C8" s="10" t="inlineStr">
        <is>
          <t>F — DNS</t>
        </is>
      </c>
      <c r="D8" s="11" t="inlineStr">
        <is>
          <t>Wtórny DNS ma sens przy własnej infrastrukturze DNS wielolokalizacyjnej; przy jednym operatorze i delegacji na zewnątrz (F-09) nie wnosi odporności, którą obiecuje.</t>
        </is>
      </c>
    </row>
    <row r="9">
      <c r="A9" s="10" t="inlineStr">
        <is>
          <t>F-10</t>
        </is>
      </c>
      <c r="B9" s="11" t="inlineStr">
        <is>
          <t>Szablony stref DNS</t>
        </is>
      </c>
      <c r="C9" s="10" t="inlineStr">
        <is>
          <t>F — DNS</t>
        </is>
      </c>
      <c r="D9" s="11" t="inlineStr">
        <is>
          <t>Szablony stref są narzędziem resellera zarządzającego setkami domen. Do rozważenia razem z epikiem E-07, nie wcześniej.</t>
        </is>
      </c>
    </row>
    <row r="10">
      <c r="A10" s="10" t="inlineStr">
        <is>
          <t>G-10</t>
        </is>
      </c>
      <c r="B10" s="11" t="inlineStr">
        <is>
          <t>ModSecurity — zarządzanie regułami</t>
        </is>
      </c>
      <c r="C10" s="10" t="inlineStr">
        <is>
          <t>G — SSL i bezpieczeństwo</t>
        </is>
      </c>
      <c r="D10" s="11" t="inlineStr">
        <is>
          <t>poziom operatora</t>
        </is>
      </c>
    </row>
    <row r="11">
      <c r="A11" s="10" t="inlineStr">
        <is>
          <t>I-06</t>
        </is>
      </c>
      <c r="B11" s="11" t="inlineStr">
        <is>
          <t>Smart Updates (test przed aktualizacją)</t>
        </is>
      </c>
      <c r="C11" s="10" t="inlineStr">
        <is>
          <t>I — Aplikacje i WordPress</t>
        </is>
      </c>
      <c r="D11" s="11" t="inlineStr">
        <is>
          <t>wyróżnik Pleska, rynek PL tego nie ma</t>
        </is>
      </c>
    </row>
    <row r="12">
      <c r="A12" s="10" t="inlineStr">
        <is>
          <t>K-07</t>
        </is>
      </c>
      <c r="B12" s="11" t="inlineStr">
        <is>
          <t>Statystyki odwiedzin (AWStats/Webalizer)</t>
        </is>
      </c>
      <c r="C12" s="10" t="inlineStr">
        <is>
          <t>K — Statystyki, logi, limity</t>
        </is>
      </c>
      <c r="D12" s="11" t="inlineStr">
        <is>
          <t>zastąpione własną analityką (K-12)</t>
        </is>
      </c>
    </row>
    <row r="13">
      <c r="A13" s="10" t="inlineStr">
        <is>
          <t>Q-10</t>
        </is>
      </c>
      <c r="B13" s="11" t="inlineStr">
        <is>
          <t>Natywna aplikacja mobilna</t>
        </is>
      </c>
      <c r="C13" s="10" t="inlineStr">
        <is>
          <t>Q — Przewaga</t>
        </is>
      </c>
      <c r="D13" s="11" t="inlineStr">
        <is>
          <t>tylko home.pl (iOS)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2026-09-22T21:06:35Z</dcterms:created>
  <dcterms:modified xmlns:dcterms="http://purl.org/dc/terms/" xmlns:xsi="http://www.w3.org/2001/XMLSchema-instance" xsi:type="dcterms:W3CDTF">2026-09-22T21:06:35Z</dcterms:modified>
</cp:coreProperties>
</file>