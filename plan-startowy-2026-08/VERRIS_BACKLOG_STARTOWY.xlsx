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startu'!$A$1:$P$104</definedName>
    <definedName name="_xlnm._FilterDatabase" localSheetId="2" hidden="1">'Sprinty'!$A$1:$J$22</definedName>
    <definedName name="_xlnm._FilterDatabase" localSheetId="3" hidden="1">'Po starcie'!$A$1:$K$146</definedName>
    <definedName name="_xlnm._FilterDatabase" localSheetId="4" hidden="1">'Poza zakresem'!$A$1:$D$13</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21 sprintów · 30 h netto na sprint · wygenerowane 2026-09-19 z audyt/dane/</t>
        </is>
      </c>
    </row>
    <row r="4">
      <c r="A4" s="3" t="inlineStr">
        <is>
          <t>Kluczowe liczby</t>
        </is>
      </c>
    </row>
    <row r="6">
      <c r="A6" s="4" t="inlineStr">
        <is>
          <t>Zadań w planie</t>
        </is>
      </c>
      <c r="B6" s="5">
        <f>COUNTA('Backlog do startu'!$A$2:$A$104)</f>
        <v/>
      </c>
    </row>
    <row r="7">
      <c r="A7" s="4" t="inlineStr">
        <is>
          <t>Godzin w planie</t>
        </is>
      </c>
      <c r="B7" s="5">
        <f>SUM('Backlog do startu'!$F$2:$F$104)</f>
        <v/>
      </c>
    </row>
    <row r="8">
      <c r="A8" s="4" t="inlineStr">
        <is>
          <t>Pojemność</t>
        </is>
      </c>
      <c r="B8" s="5" t="n">
        <v>630</v>
      </c>
    </row>
    <row r="9">
      <c r="A9" s="4" t="inlineStr">
        <is>
          <t>Zapas</t>
        </is>
      </c>
      <c r="B9" s="5">
        <f>B7-B6</f>
        <v/>
      </c>
    </row>
    <row r="10">
      <c r="A10" s="6" t="inlineStr">
        <is>
          <t>Blokerów</t>
        </is>
      </c>
      <c r="B10" s="7">
        <f>COUNTIF('Backlog do startu'!$E$2:$E$104,"BLOKER STARTU")+COUNTIF('Backlog do startu'!$E$2:$E$104,"BLOKER BIZNESOWY")</f>
        <v/>
      </c>
    </row>
    <row r="11">
      <c r="A11" s="4" t="inlineStr">
        <is>
          <t>Zadań zrobionych</t>
        </is>
      </c>
      <c r="B11" s="5">
        <f>COUNTIF('Backlog do startu'!$P$2:$P$104,"zrobione")</f>
        <v/>
      </c>
    </row>
    <row r="12">
      <c r="A12" s="4" t="inlineStr">
        <is>
          <t>Godzin zrobionych</t>
        </is>
      </c>
      <c r="B12" s="5">
        <f>SUMIF('Backlog do startu'!$P$2:$P$104,"zrobione",'Backlog do startu'!$F$2:$F$104)</f>
        <v/>
      </c>
    </row>
    <row r="13">
      <c r="A13" s="4" t="inlineStr">
        <is>
          <t>Postęp</t>
        </is>
      </c>
      <c r="B13" s="8">
        <f>IFERROR(B12/B6,0)</f>
        <v/>
      </c>
    </row>
    <row r="15">
      <c r="A15" s="3" t="inlineStr">
        <is>
          <t>Praca poza planem sprintów</t>
        </is>
      </c>
    </row>
    <row r="16">
      <c r="A16" s="4" t="inlineStr">
        <is>
          <t>Pozycji w roadmapie po starcie</t>
        </is>
      </c>
      <c r="B16" s="5" t="n">
        <v>145</v>
      </c>
    </row>
    <row r="17">
      <c r="A17" s="4" t="inlineStr">
        <is>
          <t>Godzin</t>
        </is>
      </c>
      <c r="B17" s="5" t="n">
        <v>2364</v>
      </c>
    </row>
    <row r="18">
      <c r="A18" s="4" t="inlineStr">
        <is>
          <t>Sprintów po tyle godzin</t>
        </is>
      </c>
      <c r="B18" s="5" t="n">
        <v>78.8</v>
      </c>
    </row>
    <row r="19">
      <c r="A19" s="4" t="inlineStr">
        <is>
          <t>Pozycji poza zakresem</t>
        </is>
      </c>
      <c r="B19" s="5" t="n">
        <v>12</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0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CZĘŚCIOWE</t>
        </is>
      </c>
      <c r="L4" s="11" t="inlineStr">
        <is>
          <t>.github/workflows/deploy.yml — job test-gate (typecheck + pnpm --filter api test), build-push ma needs: test-gate</t>
        </is>
      </c>
      <c r="M4" s="11" t="inlineStr">
        <is>
          <t>—</t>
        </is>
      </c>
      <c r="N4" s="11" t="inlineStr">
        <is>
          <t>Ograniczenie opisane w uwagach macierzy zniknęło; test potwierdza zachowanie także w scenariuszu awaryjnym.</t>
        </is>
      </c>
      <c r="O4" s="11" t="inlineStr">
        <is>
          <t>Ścieżka automatyczna (push → build → deploy) od 2026-08-21 nie przepuszcza czerwonych testów. Ścieżka ręczna ops/scripts/prod-deploy-ghcr.sh nadal nie uruchamia żadnych testów — dlatego CZĘŚCIOWE, nie DZIAŁA.</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CZĘŚCIOWE</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Ograniczenie opisane w uwagach macierzy zniknęło; test potwierdza zachowanie także w scenariuszu awaryjnym.</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docs/zadania/X-29-obserwowalnosc-nie-docierala-na-produkcje.md</t>
        </is>
      </c>
      <c r="P25" s="10" t="inlineStr">
        <is>
          <t>do zrobienia</t>
        </is>
      </c>
    </row>
    <row r="26">
      <c r="A26" s="10" t="inlineStr">
        <is>
          <t>H-20</t>
        </is>
      </c>
      <c r="B26" s="11" t="inlineStr">
        <is>
          <t>Test odtworzeniowy z datą ostatniego wykonania</t>
        </is>
      </c>
      <c r="C26" s="10" t="inlineStr">
        <is>
          <t>audyt</t>
        </is>
      </c>
      <c r="D26" s="10" t="inlineStr">
        <is>
          <t>H — Backup i odtwarzanie</t>
        </is>
      </c>
      <c r="E26" s="10" t="inlineStr">
        <is>
          <t>—</t>
        </is>
      </c>
      <c r="F26" s="10" t="n">
        <v>16</v>
      </c>
      <c r="G26" s="10" t="n">
        <v>2</v>
      </c>
      <c r="H26" s="10" t="inlineStr">
        <is>
          <t>Faza 0 — Zatrzymać krwawienie</t>
        </is>
      </c>
      <c r="I26" s="10" t="inlineStr">
        <is>
          <t>2026-09-07</t>
        </is>
      </c>
      <c r="J26" s="10" t="inlineStr">
        <is>
          <t>2026-09-11</t>
        </is>
      </c>
      <c r="K26" s="10" t="inlineStr">
        <is>
          <t>DZIAŁA</t>
        </is>
      </c>
      <c r="L26"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M26" s="11" t="inlineStr">
        <is>
          <t>PB-02 (drill wykonujemy na węźle #1)</t>
        </is>
      </c>
      <c r="N26" s="11" t="inlineStr">
        <is>
          <t>Funkcja dostępna z panelu klienta bez wychodzenia do DirectAdmina; test uruchamiany w CI.</t>
        </is>
      </c>
      <c r="O26"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c r="P26" s="10" t="inlineStr">
        <is>
          <t>do zrobienia</t>
        </is>
      </c>
    </row>
    <row r="27">
      <c r="A27" s="10" t="inlineStr">
        <is>
          <t>X-30</t>
        </is>
      </c>
      <c r="B27" s="11" t="inlineStr">
        <is>
          <t>Reguły alertowe nie tylko są wczytane, ale się liczą</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7" s="11" t="inlineStr">
        <is>
          <t>—</t>
        </is>
      </c>
      <c r="N27" s="11" t="inlineStr">
        <is>
          <t>Funkcja dostępna z panelu klienta bez wychodzenia do DirectAdmina; test uruchamiany w CI.</t>
        </is>
      </c>
      <c r="O27"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7" s="10" t="inlineStr">
        <is>
          <t>do zrobienia</t>
        </is>
      </c>
    </row>
    <row r="28">
      <c r="A28" s="10" t="inlineStr">
        <is>
          <t>X-31</t>
        </is>
      </c>
      <c r="B28" s="11" t="inlineStr">
        <is>
          <t>Kanał alertów daje znak życia (dead man's switch)</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CZĘŚCIOWE</t>
        </is>
      </c>
      <c r="L28"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8" s="11" t="inlineStr">
        <is>
          <t>—</t>
        </is>
      </c>
      <c r="N28" s="11" t="inlineStr">
        <is>
          <t>Ograniczenie opisane w uwagach macierzy zniknęło; test potwierdza zachowanie także w scenariuszu awaryjnym.</t>
        </is>
      </c>
      <c r="O28"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docs/zadania/X-31-znak-zycia-kanalu-alertow.md</t>
        </is>
      </c>
      <c r="P28" s="10" t="inlineStr">
        <is>
          <t>do zrobienia</t>
        </is>
      </c>
    </row>
    <row r="29">
      <c r="A29" s="10" t="inlineStr">
        <is>
          <t>Z-18</t>
        </is>
      </c>
      <c r="B29" s="11" t="inlineStr">
        <is>
          <t>Prawdziwa przyczyna błędu provisioningu nie ginie po drodze</t>
        </is>
      </c>
      <c r="C29" s="10" t="inlineStr">
        <is>
          <t>audyt</t>
        </is>
      </c>
      <c r="D29" s="10" t="inlineStr">
        <is>
          <t>Z — Pass adwersaryjny</t>
        </is>
      </c>
      <c r="E29" s="10" t="inlineStr">
        <is>
          <t>BLOKER STARTU</t>
        </is>
      </c>
      <c r="F29" s="10" t="n">
        <v>6</v>
      </c>
      <c r="G29" s="10" t="n">
        <v>2</v>
      </c>
      <c r="H29" s="10" t="inlineStr">
        <is>
          <t>Faza 0 — Zatrzymać krwawienie</t>
        </is>
      </c>
      <c r="I29" s="10" t="inlineStr">
        <is>
          <t>2026-09-07</t>
        </is>
      </c>
      <c r="J29" s="10" t="inlineStr">
        <is>
          <t>2026-09-11</t>
        </is>
      </c>
      <c r="K29" s="10" t="inlineStr">
        <is>
          <t>CZĘŚCIOWE</t>
        </is>
      </c>
      <c r="L29"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29" s="11" t="inlineStr">
        <is>
          <t>—</t>
        </is>
      </c>
      <c r="N29" s="11" t="inlineStr">
        <is>
          <t>Ograniczenie opisane w uwagach macierzy zniknęło; test potwierdza zachowanie także w scenariuszu awaryjnym.</t>
        </is>
      </c>
      <c r="O29" s="11" t="inlineStr">
        <is>
          <t>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docs/zadania/Z-18-blad-provisioningu-nie-klamie.md</t>
        </is>
      </c>
      <c r="P29" s="10" t="inlineStr">
        <is>
          <t>do zrobienia</t>
        </is>
      </c>
    </row>
    <row r="30">
      <c r="A30" s="10" t="inlineStr">
        <is>
          <t>X-32</t>
        </is>
      </c>
      <c r="B30" s="11" t="inlineStr">
        <is>
          <t>Martwy job da się odrzucić z panelu, ze śladem w audycie</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CZĘŚCIOWE</t>
        </is>
      </c>
      <c r="L30"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30" s="11" t="inlineStr">
        <is>
          <t>—</t>
        </is>
      </c>
      <c r="N30" s="11" t="inlineStr">
        <is>
          <t>Ograniczenie opisane w uwagach macierzy zniknęło; test potwierdza zachowanie także w scenariuszu awaryjnym.</t>
        </is>
      </c>
      <c r="O30"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docs/zadania/X-32-odrzucenie-martwego-joba.md</t>
        </is>
      </c>
      <c r="P30" s="10" t="inlineStr">
        <is>
          <t>do zrobienia</t>
        </is>
      </c>
    </row>
    <row r="31">
      <c r="A31" s="10" t="inlineStr">
        <is>
          <t>X-33</t>
        </is>
      </c>
      <c r="B31" s="11" t="inlineStr">
        <is>
          <t>Bramka alertów odróżnia „nie ma" od „jeszcze nie ma"</t>
        </is>
      </c>
      <c r="C31" s="10" t="inlineStr">
        <is>
          <t>audyt</t>
        </is>
      </c>
      <c r="D31" s="10" t="inlineStr">
        <is>
          <t>X — Infrastruktura jakości</t>
        </is>
      </c>
      <c r="E31" s="10" t="inlineStr">
        <is>
          <t>—</t>
        </is>
      </c>
      <c r="F31" s="10" t="n">
        <v>6</v>
      </c>
      <c r="G31" s="10" t="n">
        <v>2</v>
      </c>
      <c r="H31" s="10" t="inlineStr">
        <is>
          <t>Faza 0 — Zatrzymać krwawienie</t>
        </is>
      </c>
      <c r="I31" s="10" t="inlineStr">
        <is>
          <t>2026-09-07</t>
        </is>
      </c>
      <c r="J31" s="10" t="inlineStr">
        <is>
          <t>2026-09-11</t>
        </is>
      </c>
      <c r="K31" s="10" t="inlineStr">
        <is>
          <t>DZIAŁA</t>
        </is>
      </c>
      <c r="L31"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31" s="11" t="inlineStr">
        <is>
          <t>—</t>
        </is>
      </c>
      <c r="N31" s="11" t="inlineStr">
        <is>
          <t>Funkcja dostępna z panelu klienta bez wychodzenia do DirectAdmina; test uruchamiany w CI.</t>
        </is>
      </c>
      <c r="O31"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docs/zadania/X-33-bramka-mierzyla-szybkosc-startu.md</t>
        </is>
      </c>
      <c r="P31" s="10" t="inlineStr">
        <is>
          <t>do zrobienia</t>
        </is>
      </c>
    </row>
    <row r="32">
      <c r="A32" s="10" t="inlineStr">
        <is>
          <t>X-34</t>
        </is>
      </c>
      <c r="B32" s="11" t="inlineStr">
        <is>
          <t>Bramka alertów czyta metryki bez potoku (SIGPIPE + pipefail)</t>
        </is>
      </c>
      <c r="C32" s="10" t="inlineStr">
        <is>
          <t>audyt</t>
        </is>
      </c>
      <c r="D32" s="10" t="inlineStr">
        <is>
          <t>X — Infrastruktura jakości</t>
        </is>
      </c>
      <c r="E32" s="10" t="inlineStr">
        <is>
          <t>—</t>
        </is>
      </c>
      <c r="F32" s="10" t="n">
        <v>6</v>
      </c>
      <c r="G32" s="10" t="n">
        <v>2</v>
      </c>
      <c r="H32" s="10" t="inlineStr">
        <is>
          <t>Faza 0 — Zatrzymać krwawienie</t>
        </is>
      </c>
      <c r="I32" s="10" t="inlineStr">
        <is>
          <t>2026-09-07</t>
        </is>
      </c>
      <c r="J32" s="10" t="inlineStr">
        <is>
          <t>2026-09-11</t>
        </is>
      </c>
      <c r="K32" s="10" t="inlineStr">
        <is>
          <t>DZIAŁA</t>
        </is>
      </c>
      <c r="L32"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2" s="11" t="inlineStr">
        <is>
          <t>—</t>
        </is>
      </c>
      <c r="N32" s="11" t="inlineStr">
        <is>
          <t>Funkcja dostępna z panelu klienta bez wychodzenia do DirectAdmina; test uruchamiany w CI.</t>
        </is>
      </c>
      <c r="O32"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docs/zadania/X-34-bramka-klamala-o-wlasnym-odczycie.md</t>
        </is>
      </c>
      <c r="P32" s="10" t="inlineStr">
        <is>
          <t>do zrobienia</t>
        </is>
      </c>
    </row>
    <row r="33">
      <c r="A33" s="10" t="inlineStr">
        <is>
          <t>Z-12</t>
        </is>
      </c>
      <c r="B33" s="11" t="inlineStr">
        <is>
          <t>Placement kont nadsubskrybuje zasoby węzła zamiast rezerwować pełne limity planu</t>
        </is>
      </c>
      <c r="C33" s="10" t="inlineStr">
        <is>
          <t>audyt</t>
        </is>
      </c>
      <c r="D33" s="10" t="inlineStr">
        <is>
          <t>K — Statystyki, logi, limity</t>
        </is>
      </c>
      <c r="E33" s="10" t="inlineStr">
        <is>
          <t>—</t>
        </is>
      </c>
      <c r="F33" s="10" t="n">
        <v>16</v>
      </c>
      <c r="G33" s="10" t="n">
        <v>3</v>
      </c>
      <c r="H33" s="10" t="inlineStr">
        <is>
          <t>Faza 0 — Zatrzymać krwawienie</t>
        </is>
      </c>
      <c r="I33" s="10" t="inlineStr">
        <is>
          <t>2026-09-14</t>
        </is>
      </c>
      <c r="J33" s="10" t="inlineStr">
        <is>
          <t>2026-09-18</t>
        </is>
      </c>
      <c r="K33" s="10" t="inlineStr">
        <is>
          <t>DZIAŁA</t>
        </is>
      </c>
      <c r="L33"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3" s="11" t="inlineStr">
        <is>
          <t>—</t>
        </is>
      </c>
      <c r="N33" s="11" t="inlineStr">
        <is>
          <t>Funkcja dostępna z panelu klienta bez wychodzenia do DirectAdmina; test uruchamiany w CI.</t>
        </is>
      </c>
      <c r="O33"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docs/zadania/Z-12-nadsubskrypcja-pojemnosci-wezla.md</t>
        </is>
      </c>
      <c r="P33" s="10" t="inlineStr">
        <is>
          <t>do zrobienia</t>
        </is>
      </c>
    </row>
    <row r="34">
      <c r="A34" s="10" t="inlineStr">
        <is>
          <t>Z-13</t>
        </is>
      </c>
      <c r="B34" s="11" t="inlineStr">
        <is>
          <t>Pakiet sprzedawany na stronie istnieje jako plan w bazie</t>
        </is>
      </c>
      <c r="C34" s="10" t="inlineStr">
        <is>
          <t>audyt</t>
        </is>
      </c>
      <c r="D34" s="10" t="inlineStr">
        <is>
          <t>M — Rozliczenia</t>
        </is>
      </c>
      <c r="E34" s="10" t="inlineStr">
        <is>
          <t>—</t>
        </is>
      </c>
      <c r="F34" s="10" t="n">
        <v>6</v>
      </c>
      <c r="G34" s="10" t="n">
        <v>3</v>
      </c>
      <c r="H34" s="10" t="inlineStr">
        <is>
          <t>Faza 0 — Zatrzymać krwawienie</t>
        </is>
      </c>
      <c r="I34" s="10" t="inlineStr">
        <is>
          <t>2026-09-14</t>
        </is>
      </c>
      <c r="J34" s="10" t="inlineStr">
        <is>
          <t>2026-09-18</t>
        </is>
      </c>
      <c r="K34" s="10" t="inlineStr">
        <is>
          <t>DZIAŁA</t>
        </is>
      </c>
      <c r="L34"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4" s="11" t="inlineStr">
        <is>
          <t>—</t>
        </is>
      </c>
      <c r="N34" s="11" t="inlineStr">
        <is>
          <t>Funkcja dostępna z panelu klienta bez wychodzenia do DirectAdmina; test uruchamiany w CI.</t>
        </is>
      </c>
      <c r="O34"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docs/zadania/Z-13-plan-produkcyjny-w-bazie.md</t>
        </is>
      </c>
      <c r="P34" s="10" t="inlineStr">
        <is>
          <t>do zrobienia</t>
        </is>
      </c>
    </row>
    <row r="35">
      <c r="A35" s="10" t="inlineStr">
        <is>
          <t>Z-16</t>
        </is>
      </c>
      <c r="B35" s="11" t="inlineStr">
        <is>
          <t>Autoskalowanie pyta węzeł o pojemność i dowozi sufit obiecany w ofercie</t>
        </is>
      </c>
      <c r="C35" s="10" t="inlineStr">
        <is>
          <t>audyt</t>
        </is>
      </c>
      <c r="D35" s="10" t="inlineStr">
        <is>
          <t>J — Wydajność i cache</t>
        </is>
      </c>
      <c r="E35" s="10" t="inlineStr">
        <is>
          <t>—</t>
        </is>
      </c>
      <c r="F35" s="10" t="n">
        <v>16</v>
      </c>
      <c r="G35" s="10" t="n">
        <v>3</v>
      </c>
      <c r="H35" s="10" t="inlineStr">
        <is>
          <t>Faza 0 — Zatrzymać krwawienie</t>
        </is>
      </c>
      <c r="I35" s="10" t="inlineStr">
        <is>
          <t>2026-09-14</t>
        </is>
      </c>
      <c r="J35" s="10" t="inlineStr">
        <is>
          <t>2026-09-18</t>
        </is>
      </c>
      <c r="K35" s="10" t="inlineStr">
        <is>
          <t>DZIAŁA</t>
        </is>
      </c>
      <c r="L35"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5" s="11" t="inlineStr">
        <is>
          <t>—</t>
        </is>
      </c>
      <c r="N35" s="11" t="inlineStr">
        <is>
          <t>Funkcja dostępna z panelu klienta bez wychodzenia do DirectAdmina; test uruchamiany w CI.</t>
        </is>
      </c>
      <c r="O35"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docs/zadania/Z-16-autoskalowanie-pyta-wezel.md</t>
        </is>
      </c>
      <c r="P35" s="10" t="inlineStr">
        <is>
          <t>do zrobienia</t>
        </is>
      </c>
    </row>
    <row r="36">
      <c r="A36" s="10" t="inlineStr">
        <is>
          <t>PB-14</t>
        </is>
      </c>
      <c r="B36" s="11" t="inlineStr">
        <is>
          <t>Wybór dostawcy i lokalizacji węzła produkcyjnego #1</t>
        </is>
      </c>
      <c r="C36" s="10" t="inlineStr">
        <is>
          <t>poza audytem</t>
        </is>
      </c>
      <c r="D36" s="10" t="inlineStr">
        <is>
          <t>Praca spoza audytu</t>
        </is>
      </c>
      <c r="E36" s="10" t="inlineStr">
        <is>
          <t>WYSOKI</t>
        </is>
      </c>
      <c r="F36" s="10" t="n">
        <v>6</v>
      </c>
      <c r="G36" s="10" t="n">
        <v>3</v>
      </c>
      <c r="H36" s="10" t="inlineStr">
        <is>
          <t>Faza 0 — Zatrzymać krwawienie</t>
        </is>
      </c>
      <c r="I36" s="10" t="inlineStr">
        <is>
          <t>2026-09-14</t>
        </is>
      </c>
      <c r="J36" s="10" t="inlineStr">
        <is>
          <t>2026-09-18</t>
        </is>
      </c>
      <c r="K36" s="10" t="inlineStr">
        <is>
          <t>—</t>
        </is>
      </c>
      <c r="L36" s="11" t="inlineStr">
        <is>
          <t>—</t>
        </is>
      </c>
      <c r="M36" s="11" t="inlineStr">
        <is>
          <t>—</t>
        </is>
      </c>
      <c r="N36" s="11" t="inlineStr">
        <is>
          <t>Decyzja zapisana w repo z datą, przed zamówieniem serwera. Jeśli wybrany dostawca spoza Polski — polityka prywatności i DPA opisują lokalizację przetwarzania przed startem sprzedaży.</t>
        </is>
      </c>
      <c r="O36"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6" s="10" t="inlineStr">
        <is>
          <t>do zrobienia</t>
        </is>
      </c>
    </row>
    <row r="37">
      <c r="A37" s="10" t="inlineStr">
        <is>
          <t>DEV-01</t>
        </is>
      </c>
      <c r="B37" s="11" t="inlineStr">
        <is>
          <t>Baza deweloperska jest nieosiągalna, a `docker-compose.yml` opisuje stan, którego nie ma</t>
        </is>
      </c>
      <c r="C37" s="10" t="inlineStr">
        <is>
          <t>audyt</t>
        </is>
      </c>
      <c r="D37" s="10" t="inlineStr">
        <is>
          <t>X — Infrastruktura jakości</t>
        </is>
      </c>
      <c r="E37" s="10" t="inlineStr">
        <is>
          <t>WYSOKA</t>
        </is>
      </c>
      <c r="F37" s="10" t="n">
        <v>6</v>
      </c>
      <c r="G37" s="10" t="n">
        <v>4</v>
      </c>
      <c r="H37" s="10" t="inlineStr">
        <is>
          <t>Faza 1 — Rozliczenia i dowód odtworzenia</t>
        </is>
      </c>
      <c r="I37" s="10" t="inlineStr">
        <is>
          <t>2026-09-21</t>
        </is>
      </c>
      <c r="J37" s="10" t="inlineStr">
        <is>
          <t>2026-09-25</t>
        </is>
      </c>
      <c r="K37" s="10" t="inlineStr">
        <is>
          <t>BRAK</t>
        </is>
      </c>
      <c r="L37" s="11" t="inlineStr">
        <is>
          <t>D3 (maszyna deweloperska): `FATAL: role "verris" does not exist` oraz `role "postgres" does not exist` przy połączeniu po gnieździe wewnątrz kontenera; `docker inspect` potwierdza `POSTGRES_USER=verris` w konfiguracji</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7" s="10" t="inlineStr">
        <is>
          <t>do zrobienia</t>
        </is>
      </c>
    </row>
    <row r="38">
      <c r="A38" s="10" t="inlineStr">
        <is>
          <t>DEP-01</t>
        </is>
      </c>
      <c r="B38" s="11" t="inlineStr">
        <is>
          <t>Osiem otwartych pull requestów Dependabota, żaden niescalony</t>
        </is>
      </c>
      <c r="C38" s="10" t="inlineStr">
        <is>
          <t>audyt</t>
        </is>
      </c>
      <c r="D38" s="10" t="inlineStr">
        <is>
          <t>X — Infrastruktura jakości</t>
        </is>
      </c>
      <c r="E38" s="10" t="inlineStr">
        <is>
          <t>WYSOKA</t>
        </is>
      </c>
      <c r="F38" s="10" t="n">
        <v>6</v>
      </c>
      <c r="G38" s="10" t="n">
        <v>4</v>
      </c>
      <c r="H38" s="10" t="inlineStr">
        <is>
          <t>Faza 1 — Rozliczenia i dowód odtworzenia</t>
        </is>
      </c>
      <c r="I38" s="10" t="inlineStr">
        <is>
          <t>2026-09-21</t>
        </is>
      </c>
      <c r="J38" s="10" t="inlineStr">
        <is>
          <t>2026-09-25</t>
        </is>
      </c>
      <c r="K38" s="10" t="inlineStr">
        <is>
          <t>BRAK</t>
        </is>
      </c>
      <c r="L38" s="11" t="inlineStr">
        <is>
          <t>GitHub: 8 otwartych PR-ów, przebiegi CI #147–#150 od `dependabot[bot]`, 2026-08-28</t>
        </is>
      </c>
      <c r="M38" s="11" t="inlineStr">
        <is>
          <t>—</t>
        </is>
      </c>
      <c r="N38" s="11" t="inlineStr">
        <is>
          <t>Funkcja dostępna z panelu klienta bez wychodzenia do DirectAdmina; test uruchamiany w CI.</t>
        </is>
      </c>
      <c r="O38"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t>
        </is>
      </c>
      <c r="P38" s="10" t="inlineStr">
        <is>
          <t>do zrobienia</t>
        </is>
      </c>
    </row>
    <row r="39">
      <c r="A39" s="10" t="inlineStr">
        <is>
          <t>ENV-01</t>
        </is>
      </c>
      <c r="B39" s="11" t="inlineStr">
        <is>
          <t>Bramka lokalna biegnie na Node 20, CI na Node 22</t>
        </is>
      </c>
      <c r="C39" s="10" t="inlineStr">
        <is>
          <t>audyt</t>
        </is>
      </c>
      <c r="D39" s="10" t="inlineStr">
        <is>
          <t>X — Infrastruktura jakości</t>
        </is>
      </c>
      <c r="E39" s="10" t="inlineStr">
        <is>
          <t>ŚREDNIA</t>
        </is>
      </c>
      <c r="F39" s="10" t="n">
        <v>6</v>
      </c>
      <c r="G39" s="10" t="n">
        <v>4</v>
      </c>
      <c r="H39" s="10" t="inlineStr">
        <is>
          <t>Faza 1 — Rozliczenia i dowód odtworzenia</t>
        </is>
      </c>
      <c r="I39" s="10" t="inlineStr">
        <is>
          <t>2026-09-21</t>
        </is>
      </c>
      <c r="J39" s="10" t="inlineStr">
        <is>
          <t>2026-09-25</t>
        </is>
      </c>
      <c r="K39" s="10" t="inlineStr">
        <is>
          <t>CZĘŚCIOWE</t>
        </is>
      </c>
      <c r="L39"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9" s="11" t="inlineStr">
        <is>
          <t>—</t>
        </is>
      </c>
      <c r="N39" s="11" t="inlineStr">
        <is>
          <t>Ograniczenie opisane w uwagach macierzy zniknęło; test potwierdza zachowanie także w scenariuszu awaryjnym.</t>
        </is>
      </c>
      <c r="O39"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t>
        </is>
      </c>
      <c r="P39" s="10" t="inlineStr">
        <is>
          <t>do zrobienia</t>
        </is>
      </c>
    </row>
    <row r="40">
      <c r="A40" s="10" t="inlineStr">
        <is>
          <t>P-15</t>
        </is>
      </c>
      <c r="B40" s="11" t="inlineStr">
        <is>
          <t>Podpisane DPA z subprocesorami</t>
        </is>
      </c>
      <c r="C40" s="10" t="inlineStr">
        <is>
          <t>audyt</t>
        </is>
      </c>
      <c r="D40" s="10" t="inlineStr">
        <is>
          <t>P — Zgodność</t>
        </is>
      </c>
      <c r="E40" s="10" t="inlineStr">
        <is>
          <t>BLOKER STARTU</t>
        </is>
      </c>
      <c r="F40" s="10" t="n">
        <v>6</v>
      </c>
      <c r="G40" s="10" t="n">
        <v>4</v>
      </c>
      <c r="H40" s="10" t="inlineStr">
        <is>
          <t>Faza 1 — Rozliczenia i dowód odtworzenia</t>
        </is>
      </c>
      <c r="I40" s="10" t="inlineStr">
        <is>
          <t>2026-09-21</t>
        </is>
      </c>
      <c r="J40" s="10" t="inlineStr">
        <is>
          <t>2026-09-25</t>
        </is>
      </c>
      <c r="K40" s="10" t="inlineStr">
        <is>
          <t>BRAK</t>
        </is>
      </c>
      <c r="L40" s="11" t="inlineStr">
        <is>
          <t>docs/legal/dpa-subprocessors-tracking.md — tabela statusow po korekcie 2026-09-19. Stripe i AWS: DPA obowiazuje z mocy umowy glownej. Hetzner i Openprovider: akceptacja w panelu, jeszcze nie wykonana. Cloudflare: mechanizm do potwierdzenia.</t>
        </is>
      </c>
      <c r="M40" s="11" t="inlineStr">
        <is>
          <t>—</t>
        </is>
      </c>
      <c r="N40" s="11" t="inlineStr">
        <is>
          <t>Funkcja dostępna z panelu klienta bez wychodzenia do DirectAdmina; test uruchamiany w CI.</t>
        </is>
      </c>
      <c r="O40"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t>
        </is>
      </c>
      <c r="P40" s="10" t="inlineStr">
        <is>
          <t>do zrobienia</t>
        </is>
      </c>
    </row>
    <row r="41">
      <c r="A41" s="10" t="inlineStr">
        <is>
          <t>X-50</t>
        </is>
      </c>
      <c r="B41" s="11" t="inlineStr">
        <is>
          <t>Bramka podatnosci zatrzymuje cokolwiek — jest wymagana do merge i wolana przez wdrozenie</t>
        </is>
      </c>
      <c r="C41" s="10" t="inlineStr">
        <is>
          <t>audyt</t>
        </is>
      </c>
      <c r="D41" s="10" t="inlineStr">
        <is>
          <t>X — Infrastruktura jakości</t>
        </is>
      </c>
      <c r="E41" s="10" t="inlineStr">
        <is>
          <t>WYSOKA</t>
        </is>
      </c>
      <c r="F41" s="10" t="n">
        <v>6</v>
      </c>
      <c r="G41" s="10" t="n">
        <v>4</v>
      </c>
      <c r="H41" s="10" t="inlineStr">
        <is>
          <t>Faza 1 — Rozliczenia i dowód odtworzenia</t>
        </is>
      </c>
      <c r="I41" s="10" t="inlineStr">
        <is>
          <t>2026-09-21</t>
        </is>
      </c>
      <c r="J41" s="10" t="inlineStr">
        <is>
          <t>2026-09-25</t>
        </is>
      </c>
      <c r="K41" s="10" t="inlineStr">
        <is>
          <t>DZIAŁA</t>
        </is>
      </c>
      <c r="L41" s="11"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M41" s="11" t="inlineStr">
        <is>
          <t>—</t>
        </is>
      </c>
      <c r="N41" s="11" t="inlineStr">
        <is>
          <t>Funkcja dostępna z panelu klienta bez wychodzenia do DirectAdmina; test uruchamiany w CI.</t>
        </is>
      </c>
      <c r="O41"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c r="P41" s="10" t="inlineStr">
        <is>
          <t>do zrobienia</t>
        </is>
      </c>
    </row>
    <row r="42">
      <c r="A42" s="10" t="inlineStr">
        <is>
          <t>X-51</t>
        </is>
      </c>
      <c r="B42" s="11" t="inlineStr">
        <is>
          <t>Etykiety z dependabot.yml istnieja w repozytorium</t>
        </is>
      </c>
      <c r="C42" s="10" t="inlineStr">
        <is>
          <t>audyt</t>
        </is>
      </c>
      <c r="D42" s="10" t="inlineStr">
        <is>
          <t>X — Infrastruktura jakości</t>
        </is>
      </c>
      <c r="E42" s="10" t="inlineStr">
        <is>
          <t>NISKA</t>
        </is>
      </c>
      <c r="F42" s="10" t="n">
        <v>6</v>
      </c>
      <c r="G42" s="10" t="n">
        <v>4</v>
      </c>
      <c r="H42" s="10" t="inlineStr">
        <is>
          <t>Faza 1 — Rozliczenia i dowód odtworzenia</t>
        </is>
      </c>
      <c r="I42" s="10" t="inlineStr">
        <is>
          <t>2026-09-21</t>
        </is>
      </c>
      <c r="J42" s="10" t="inlineStr">
        <is>
          <t>2026-09-25</t>
        </is>
      </c>
      <c r="K42" s="10" t="inlineStr">
        <is>
          <t>DZIAŁA</t>
        </is>
      </c>
      <c r="L42" s="11" t="inlineStr">
        <is>
          <t>D2 2026-09-19: utworzone etykiety dependencies, security, docker, ci — 9 -&gt; 13 etykiet w repozytorium; pokrywaja wszystkie trzy sekcje labels: w .github/dependabot.yml.</t>
        </is>
      </c>
      <c r="M42" s="11" t="inlineStr">
        <is>
          <t>—</t>
        </is>
      </c>
      <c r="N42" s="11" t="inlineStr">
        <is>
          <t>Funkcja dostępna z panelu klienta bez wychodzenia do DirectAdmina; test uruchamiany w CI.</t>
        </is>
      </c>
      <c r="O42"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42" s="10" t="inlineStr">
        <is>
          <t>do zrobienia</t>
        </is>
      </c>
    </row>
    <row r="43">
      <c r="A43" s="10" t="inlineStr">
        <is>
          <t>SEC-07</t>
        </is>
      </c>
      <c r="B43" s="11" t="inlineStr">
        <is>
          <t>Trzy podatnosci HIGH w multerze — zdalny DoS bez uwierzytelnienia na sciezce uploadu</t>
        </is>
      </c>
      <c r="C43" s="10" t="inlineStr">
        <is>
          <t>audyt</t>
        </is>
      </c>
      <c r="D43" s="10" t="inlineStr">
        <is>
          <t>G — SSL i bezpieczeństwo</t>
        </is>
      </c>
      <c r="E43" s="10" t="inlineStr">
        <is>
          <t>WYSOKA</t>
        </is>
      </c>
      <c r="F43" s="10" t="n">
        <v>16</v>
      </c>
      <c r="G43" s="10" t="n">
        <v>4</v>
      </c>
      <c r="H43" s="10" t="inlineStr">
        <is>
          <t>Faza 1 — Rozliczenia i dowód odtworzenia</t>
        </is>
      </c>
      <c r="I43" s="10" t="inlineStr">
        <is>
          <t>2026-09-21</t>
        </is>
      </c>
      <c r="J43" s="10" t="inlineStr">
        <is>
          <t>2026-09-25</t>
        </is>
      </c>
      <c r="K43" s="10" t="inlineStr">
        <is>
          <t>DZIAŁA</t>
        </is>
      </c>
      <c r="L43" s="11"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M43" s="11" t="inlineStr">
        <is>
          <t>—</t>
        </is>
      </c>
      <c r="N43" s="11" t="inlineStr">
        <is>
          <t>Funkcja dostępna z panelu klienta bez wychodzenia do DirectAdmina; test uruchamiany w CI.</t>
        </is>
      </c>
      <c r="O43"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c r="P43" s="10" t="inlineStr">
        <is>
          <t>do zrobienia</t>
        </is>
      </c>
    </row>
    <row r="44">
      <c r="A44" s="10" t="inlineStr">
        <is>
          <t>SEC-08</t>
        </is>
      </c>
      <c r="B44" s="11" t="inlineStr">
        <is>
          <t>Dwa niezauwierzytelnione RCE w Next.js lezaly w drzewie 22 dni</t>
        </is>
      </c>
      <c r="C44" s="10" t="inlineStr">
        <is>
          <t>audyt</t>
        </is>
      </c>
      <c r="D44" s="10" t="inlineStr">
        <is>
          <t>G — SSL i bezpieczeństwo</t>
        </is>
      </c>
      <c r="E44" s="10" t="inlineStr">
        <is>
          <t>WYSOKA</t>
        </is>
      </c>
      <c r="F44" s="10" t="n">
        <v>6</v>
      </c>
      <c r="G44" s="10" t="n">
        <v>4</v>
      </c>
      <c r="H44" s="10" t="inlineStr">
        <is>
          <t>Faza 1 — Rozliczenia i dowód odtworzenia</t>
        </is>
      </c>
      <c r="I44" s="10" t="inlineStr">
        <is>
          <t>2026-09-21</t>
        </is>
      </c>
      <c r="J44" s="10" t="inlineStr">
        <is>
          <t>2026-09-25</t>
        </is>
      </c>
      <c r="K44" s="10" t="inlineStr">
        <is>
          <t>DZIAŁA</t>
        </is>
      </c>
      <c r="L44" s="11"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M44" s="11" t="inlineStr">
        <is>
          <t>—</t>
        </is>
      </c>
      <c r="N44" s="11" t="inlineStr">
        <is>
          <t>Funkcja dostępna z panelu klienta bez wychodzenia do DirectAdmina; test uruchamiany w CI.</t>
        </is>
      </c>
      <c r="O44" s="11"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c r="P44" s="10" t="inlineStr">
        <is>
          <t>do zrobienia</t>
        </is>
      </c>
    </row>
    <row r="45">
      <c r="A45" s="10" t="inlineStr">
        <is>
          <t>X-03</t>
        </is>
      </c>
      <c r="B45" s="11" t="inlineStr">
        <is>
          <t>Testy uruchamiane przed wdrożeniem</t>
        </is>
      </c>
      <c r="C45" s="10" t="inlineStr">
        <is>
          <t>audyt</t>
        </is>
      </c>
      <c r="D45" s="10" t="inlineStr">
        <is>
          <t>X — Infrastruktura jakości</t>
        </is>
      </c>
      <c r="E45" s="10" t="inlineStr">
        <is>
          <t>WYSOKA</t>
        </is>
      </c>
      <c r="F45" s="10" t="n">
        <v>6</v>
      </c>
      <c r="G45" s="10" t="n">
        <v>5</v>
      </c>
      <c r="H45" s="10" t="inlineStr">
        <is>
          <t>Faza 1 — Rozliczenia i dowód odtworzenia</t>
        </is>
      </c>
      <c r="I45" s="10" t="inlineStr">
        <is>
          <t>2026-09-28</t>
        </is>
      </c>
      <c r="J45" s="10" t="inlineStr">
        <is>
          <t>2026-10-02</t>
        </is>
      </c>
      <c r="K45" s="10" t="inlineStr">
        <is>
          <t>CZĘŚCIOWE</t>
        </is>
      </c>
      <c r="L45" s="11" t="inlineStr">
        <is>
          <t>.github/workflows/deploy.yml — job test-gate (typecheck + pnpm --filter api test), build-push ma needs: test-gate</t>
        </is>
      </c>
      <c r="M45" s="11" t="inlineStr">
        <is>
          <t>—</t>
        </is>
      </c>
      <c r="N45" s="11" t="inlineStr">
        <is>
          <t>Ograniczenie opisane w uwagach macierzy zniknęło; test potwierdza zachowanie także w scenariuszu awaryjnym.</t>
        </is>
      </c>
      <c r="O45" s="11" t="inlineStr">
        <is>
          <t>Ścieżka automatyczna (push → build → deploy) od 2026-08-21 nie przepuszcza czerwonych testów. Ścieżka ręczna ops/scripts/prod-deploy-ghcr.sh nadal nie uruchamia żadnych testów — dlatego CZĘŚCIOWE, nie DZIAŁA.</t>
        </is>
      </c>
      <c r="P45" s="10" t="inlineStr">
        <is>
          <t>do zrobienia</t>
        </is>
      </c>
    </row>
    <row r="46">
      <c r="A46" s="10" t="inlineStr">
        <is>
          <t>PB-13</t>
        </is>
      </c>
      <c r="B46" s="11" t="inlineStr">
        <is>
          <t>Decyzja: własny KSeF czy integracja z programem księgowym</t>
        </is>
      </c>
      <c r="C46" s="10" t="inlineStr">
        <is>
          <t>poza audytem</t>
        </is>
      </c>
      <c r="D46" s="10" t="inlineStr">
        <is>
          <t>Praca spoza audytu</t>
        </is>
      </c>
      <c r="E46" s="10" t="inlineStr">
        <is>
          <t>BLOKER BIZNESOWY</t>
        </is>
      </c>
      <c r="F46" s="10" t="n">
        <v>6</v>
      </c>
      <c r="G46" s="10" t="n">
        <v>5</v>
      </c>
      <c r="H46" s="10" t="inlineStr">
        <is>
          <t>Faza 1 — Rozliczenia i dowód odtworzenia</t>
        </is>
      </c>
      <c r="I46" s="10" t="inlineStr">
        <is>
          <t>2026-09-28</t>
        </is>
      </c>
      <c r="J46" s="10" t="inlineStr">
        <is>
          <t>2026-10-02</t>
        </is>
      </c>
      <c r="K46" s="10" t="inlineStr">
        <is>
          <t>—</t>
        </is>
      </c>
      <c r="L46" s="11" t="inlineStr">
        <is>
          <t>—</t>
        </is>
      </c>
      <c r="M46" s="11" t="inlineStr">
        <is>
          <t>—</t>
        </is>
      </c>
      <c r="N46" s="11" t="inlineStr">
        <is>
          <t>Decyzja zapisana w repo z uzasadnieniem i datą. Jeśli wybrana integracja — sprint 18 zmienia zakres z dokończenia modułu na wdrożenie eksportu do programu księgowego. Decyzja musi zapaść przed sprintem 18, inaczej blokuje start.</t>
        </is>
      </c>
      <c r="O46"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6" s="10" t="inlineStr">
        <is>
          <t>do zrobienia</t>
        </is>
      </c>
    </row>
    <row r="47">
      <c r="A47" s="10" t="inlineStr">
        <is>
          <t>PB-14</t>
        </is>
      </c>
      <c r="B47" s="11" t="inlineStr">
        <is>
          <t>Wybór dostawcy i lokalizacji węzła produkcyjnego #1</t>
        </is>
      </c>
      <c r="C47" s="10" t="inlineStr">
        <is>
          <t>poza audytem</t>
        </is>
      </c>
      <c r="D47" s="10" t="inlineStr">
        <is>
          <t>Praca spoza audytu</t>
        </is>
      </c>
      <c r="E47" s="10" t="inlineStr">
        <is>
          <t>WYSOKI</t>
        </is>
      </c>
      <c r="F47" s="10" t="n">
        <v>6</v>
      </c>
      <c r="G47" s="10" t="n">
        <v>5</v>
      </c>
      <c r="H47" s="10" t="inlineStr">
        <is>
          <t>Faza 1 — Rozliczenia i dowód odtworzenia</t>
        </is>
      </c>
      <c r="I47" s="10" t="inlineStr">
        <is>
          <t>2026-09-28</t>
        </is>
      </c>
      <c r="J47" s="10" t="inlineStr">
        <is>
          <t>2026-10-02</t>
        </is>
      </c>
      <c r="K47" s="10" t="inlineStr">
        <is>
          <t>—</t>
        </is>
      </c>
      <c r="L47" s="11" t="inlineStr">
        <is>
          <t>—</t>
        </is>
      </c>
      <c r="M47" s="11" t="inlineStr">
        <is>
          <t>—</t>
        </is>
      </c>
      <c r="N47" s="11" t="inlineStr">
        <is>
          <t>Decyzja zapisana w repo z datą, przed zamówieniem serwera. Jeśli wybrany dostawca spoza Polski — polityka prywatności i DPA opisują lokalizację przetwarzania przed startem sprzedaży.</t>
        </is>
      </c>
      <c r="O47"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7" s="10" t="inlineStr">
        <is>
          <t>do zrobienia</t>
        </is>
      </c>
    </row>
    <row r="48">
      <c r="A48" s="10" t="inlineStr">
        <is>
          <t>Z-18</t>
        </is>
      </c>
      <c r="B48" s="11" t="inlineStr">
        <is>
          <t>Prawdziwa przyczyna błędu provisioningu nie ginie po drodze (część)</t>
        </is>
      </c>
      <c r="C48" s="10" t="inlineStr">
        <is>
          <t>audyt</t>
        </is>
      </c>
      <c r="D48" s="10" t="inlineStr">
        <is>
          <t>Z — Pass adwersaryjny</t>
        </is>
      </c>
      <c r="E48" s="10" t="inlineStr">
        <is>
          <t>BLOKER STARTU</t>
        </is>
      </c>
      <c r="F48" s="10" t="n">
        <v>2</v>
      </c>
      <c r="G48" s="10" t="n">
        <v>6</v>
      </c>
      <c r="H48" s="10" t="inlineStr">
        <is>
          <t>Faza 1 — Rozliczenia i dowód odtworzenia</t>
        </is>
      </c>
      <c r="I48" s="10" t="inlineStr">
        <is>
          <t>2026-10-05</t>
        </is>
      </c>
      <c r="J48" s="10" t="inlineStr">
        <is>
          <t>2026-10-09</t>
        </is>
      </c>
      <c r="K48" s="10" t="inlineStr">
        <is>
          <t>CZĘŚCIOWE</t>
        </is>
      </c>
      <c r="L48"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48" s="11" t="inlineStr">
        <is>
          <t>—</t>
        </is>
      </c>
      <c r="N48" s="11" t="inlineStr">
        <is>
          <t>Ograniczenie opisane w uwagach macierzy zniknęło; test potwierdza zachowanie także w scenariuszu awaryjnym.</t>
        </is>
      </c>
      <c r="O48" s="11" t="inlineStr">
        <is>
          <t>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docs/zadania/Z-18-blad-provisioningu-nie-klamie.md</t>
        </is>
      </c>
      <c r="P48" s="10" t="inlineStr">
        <is>
          <t>do zrobienia</t>
        </is>
      </c>
    </row>
    <row r="49">
      <c r="A49" s="10" t="inlineStr">
        <is>
          <t>NODE-02</t>
        </is>
      </c>
      <c r="B49" s="11" t="inlineStr">
        <is>
          <t>`main()` nie sprawdza kodów powrotu</t>
        </is>
      </c>
      <c r="C49" s="10" t="inlineStr">
        <is>
          <t>audyt</t>
        </is>
      </c>
      <c r="D49" s="10" t="inlineStr">
        <is>
          <t>Q — Przewaga</t>
        </is>
      </c>
      <c r="E49" s="10" t="inlineStr">
        <is>
          <t>WYSOKA</t>
        </is>
      </c>
      <c r="F49" s="10" t="n">
        <v>6</v>
      </c>
      <c r="G49" s="10" t="n">
        <v>6</v>
      </c>
      <c r="H49" s="10" t="inlineStr">
        <is>
          <t>Faza 1 — Rozliczenia i dowód odtworzenia</t>
        </is>
      </c>
      <c r="I49" s="10" t="inlineStr">
        <is>
          <t>2026-10-05</t>
        </is>
      </c>
      <c r="J49" s="10" t="inlineStr">
        <is>
          <t>2026-10-09</t>
        </is>
      </c>
      <c r="K49" s="10" t="inlineStr">
        <is>
          <t>BRAK</t>
        </is>
      </c>
      <c r="L49" s="11" t="inlineStr">
        <is>
          <t>odczyt obu skryptów — `log_fail` ustawia `FAIL=1`, brak sprawdzenia returnów w `main`</t>
        </is>
      </c>
      <c r="M49" s="11" t="inlineStr">
        <is>
          <t>—</t>
        </is>
      </c>
      <c r="N49" s="11" t="inlineStr">
        <is>
          <t>Funkcja dostępna z panelu klienta bez wychodzenia do DirectAdmina; test uruchamiany w CI.</t>
        </is>
      </c>
      <c r="O49"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t>
        </is>
      </c>
      <c r="P49" s="10" t="inlineStr">
        <is>
          <t>do zrobienia</t>
        </is>
      </c>
    </row>
    <row r="50">
      <c r="A50" s="10" t="inlineStr">
        <is>
          <t>J-01</t>
        </is>
      </c>
      <c r="B50" s="11" t="inlineStr">
        <is>
          <t>LiteSpeed / serwer o wysokiej wydajności</t>
        </is>
      </c>
      <c r="C50" s="10" t="inlineStr">
        <is>
          <t>audyt</t>
        </is>
      </c>
      <c r="D50" s="10" t="inlineStr">
        <is>
          <t>J — Wydajność i cache</t>
        </is>
      </c>
      <c r="E50" s="10" t="inlineStr">
        <is>
          <t>WYSOKA</t>
        </is>
      </c>
      <c r="F50" s="10" t="n">
        <v>6</v>
      </c>
      <c r="G50" s="10" t="n">
        <v>6</v>
      </c>
      <c r="H50" s="10" t="inlineStr">
        <is>
          <t>Faza 1 — Rozliczenia i dowód odtworzenia</t>
        </is>
      </c>
      <c r="I50" s="10" t="inlineStr">
        <is>
          <t>2026-10-05</t>
        </is>
      </c>
      <c r="J50" s="10" t="inlineStr">
        <is>
          <t>2026-10-09</t>
        </is>
      </c>
      <c r="K50" s="10" t="inlineStr">
        <is>
          <t>b.d.</t>
        </is>
      </c>
      <c r="L50" s="11" t="inlineStr">
        <is>
          <t>decyzja infrastrukturalna, poza kodem panelu</t>
        </is>
      </c>
      <c r="M50" s="11" t="inlineStr">
        <is>
          <t>—</t>
        </is>
      </c>
      <c r="N50" s="11" t="inlineStr">
        <is>
          <t>Stan zweryfikowany na produkcji z timestampem (poziom D3), wynik zapisany w repo.</t>
        </is>
      </c>
      <c r="O50"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t>
        </is>
      </c>
      <c r="P50" s="10" t="inlineStr">
        <is>
          <t>do zrobienia</t>
        </is>
      </c>
    </row>
    <row r="51">
      <c r="A51" s="10" t="inlineStr">
        <is>
          <t>PB-02</t>
        </is>
      </c>
      <c r="B51" s="11" t="inlineStr">
        <is>
          <t>Onboarding produkcyjnego węzła #1 (EX63)</t>
        </is>
      </c>
      <c r="C51" s="10" t="inlineStr">
        <is>
          <t>poza audytem</t>
        </is>
      </c>
      <c r="D51" s="10" t="inlineStr">
        <is>
          <t>Praca spoza audytu</t>
        </is>
      </c>
      <c r="E51" s="10" t="inlineStr">
        <is>
          <t>WYSOKI</t>
        </is>
      </c>
      <c r="F51" s="10" t="n">
        <v>16</v>
      </c>
      <c r="G51" s="10" t="n">
        <v>6</v>
      </c>
      <c r="H51" s="10" t="inlineStr">
        <is>
          <t>Faza 1 — Rozliczenia i dowód odtworzenia</t>
        </is>
      </c>
      <c r="I51" s="10" t="inlineStr">
        <is>
          <t>2026-10-05</t>
        </is>
      </c>
      <c r="J51" s="10" t="inlineStr">
        <is>
          <t>2026-10-09</t>
        </is>
      </c>
      <c r="K51" s="10" t="inlineStr">
        <is>
          <t>—</t>
        </is>
      </c>
      <c r="L51" s="11" t="inlineStr">
        <is>
          <t>—</t>
        </is>
      </c>
      <c r="M51" s="11" t="inlineStr">
        <is>
          <t>—</t>
        </is>
      </c>
      <c r="N51" s="11" t="inlineStr">
        <is>
          <t>Węzeł przechodzi wszystkie 14 checków live-readiness. /etc/verris-backup.conf istnieje, pierwszy backup off-site wykonany i zaraportowany do control-plane.</t>
        </is>
      </c>
      <c r="O51" s="11" t="inlineStr">
        <is>
          <t>Pełny przebieg node-onboard-live.sh na docelowym serwerze, z konfiguracją backupu off-site jako krokiem obowiązkowym.</t>
        </is>
      </c>
      <c r="P51" s="10" t="inlineStr">
        <is>
          <t>do zrobienia</t>
        </is>
      </c>
    </row>
    <row r="52">
      <c r="A52" s="10" t="inlineStr">
        <is>
          <t>SEC-05</t>
        </is>
      </c>
      <c r="B52" s="11" t="inlineStr">
        <is>
          <t>Log egressu jest próbką, nie zapisem</t>
        </is>
      </c>
      <c r="C52" s="10" t="inlineStr">
        <is>
          <t>audyt</t>
        </is>
      </c>
      <c r="D52" s="10" t="inlineStr">
        <is>
          <t>G — SSL i bezpieczeństwo</t>
        </is>
      </c>
      <c r="E52" s="10" t="inlineStr">
        <is>
          <t>WYSOKA</t>
        </is>
      </c>
      <c r="F52" s="10" t="n">
        <v>6</v>
      </c>
      <c r="G52" s="10" t="n">
        <v>7</v>
      </c>
      <c r="H52" s="10" t="inlineStr">
        <is>
          <t>Faza 1 — Rozliczenia i dowód odtworzenia</t>
        </is>
      </c>
      <c r="I52" s="10" t="inlineStr">
        <is>
          <t>2026-10-12</t>
        </is>
      </c>
      <c r="J52" s="10" t="inlineStr">
        <is>
          <t>2026-10-16</t>
        </is>
      </c>
      <c r="K52" s="10" t="inlineStr">
        <is>
          <t>BRAK</t>
        </is>
      </c>
      <c r="L52" s="11" t="inlineStr">
        <is>
          <t>1 814 000 pakietów (RETURN) wobec 1796 wpisów w journalctl</t>
        </is>
      </c>
      <c r="M52" s="11" t="inlineStr">
        <is>
          <t>—</t>
        </is>
      </c>
      <c r="N52" s="11" t="inlineStr">
        <is>
          <t>Funkcja dostępna z panelu klienta bez wychodzenia do DirectAdmina; test uruchamiany w CI.</t>
        </is>
      </c>
      <c r="O52"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t>
        </is>
      </c>
      <c r="P52" s="10" t="inlineStr">
        <is>
          <t>do zrobienia</t>
        </is>
      </c>
    </row>
    <row r="53">
      <c r="A53" s="10" t="inlineStr">
        <is>
          <t>SEC-04</t>
        </is>
      </c>
      <c r="B53" s="11" t="inlineStr">
        <is>
          <t>Host rozmawia z kontenerami przez OUTPUT — ruch wewnętrzny liczony jako egress</t>
        </is>
      </c>
      <c r="C53" s="10" t="inlineStr">
        <is>
          <t>audyt</t>
        </is>
      </c>
      <c r="D53" s="10" t="inlineStr">
        <is>
          <t>G — SSL i bezpieczeństwo</t>
        </is>
      </c>
      <c r="E53" s="10" t="inlineStr">
        <is>
          <t>WYSOKA</t>
        </is>
      </c>
      <c r="F53" s="10" t="n">
        <v>6</v>
      </c>
      <c r="G53" s="10" t="n">
        <v>7</v>
      </c>
      <c r="H53" s="10" t="inlineStr">
        <is>
          <t>Faza 1 — Rozliczenia i dowód odtworzenia</t>
        </is>
      </c>
      <c r="I53" s="10" t="inlineStr">
        <is>
          <t>2026-10-12</t>
        </is>
      </c>
      <c r="J53" s="10" t="inlineStr">
        <is>
          <t>2026-10-16</t>
        </is>
      </c>
      <c r="K53" s="10" t="inlineStr">
        <is>
          <t>BRAK</t>
        </is>
      </c>
      <c r="L53" s="11" t="inlineStr">
        <is>
          <t>journalctl -k, 48 h: 15 wpisów DPT=443 + 5 wpisów DPT=80 na 172.19.0.3</t>
        </is>
      </c>
      <c r="M53" s="11" t="inlineStr">
        <is>
          <t>—</t>
        </is>
      </c>
      <c r="N53" s="11" t="inlineStr">
        <is>
          <t>Funkcja dostępna z panelu klienta bez wychodzenia do DirectAdmina; test uruchamiany w CI.</t>
        </is>
      </c>
      <c r="O53"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t>
        </is>
      </c>
      <c r="P53" s="10" t="inlineStr">
        <is>
          <t>do zrobienia</t>
        </is>
      </c>
    </row>
    <row r="54">
      <c r="A54" s="10" t="inlineStr">
        <is>
          <t>SEC-01</t>
        </is>
      </c>
      <c r="B54" s="11" t="inlineStr">
        <is>
          <t>Tryb `--strict` jest atrapą</t>
        </is>
      </c>
      <c r="C54" s="10" t="inlineStr">
        <is>
          <t>audyt</t>
        </is>
      </c>
      <c r="D54" s="10" t="inlineStr">
        <is>
          <t>G — SSL i bezpieczeństwo</t>
        </is>
      </c>
      <c r="E54" s="10" t="inlineStr">
        <is>
          <t>WYSOKA</t>
        </is>
      </c>
      <c r="F54" s="10" t="n">
        <v>16</v>
      </c>
      <c r="G54" s="10" t="n">
        <v>7</v>
      </c>
      <c r="H54" s="10" t="inlineStr">
        <is>
          <t>Faza 1 — Rozliczenia i dowód odtworzenia</t>
        </is>
      </c>
      <c r="I54" s="10" t="inlineStr">
        <is>
          <t>2026-10-12</t>
        </is>
      </c>
      <c r="J54" s="10" t="inlineStr">
        <is>
          <t>2026-10-16</t>
        </is>
      </c>
      <c r="K54" s="10" t="inlineStr">
        <is>
          <t>BRAK</t>
        </is>
      </c>
      <c r="L54" s="11" t="inlineStr">
        <is>
          <t>Panel: łańcuch = 2× RETURN, bez DROP; 1 814 000 pakietów przeszło ostatnim RETURN-em; `cgroup --path: NIEDOSTEPNE`</t>
        </is>
      </c>
      <c r="M54" s="11" t="inlineStr">
        <is>
          <t>—</t>
        </is>
      </c>
      <c r="N54" s="11" t="inlineStr">
        <is>
          <t>Funkcja dostępna z panelu klienta bez wychodzenia do DirectAdmina; test uruchamiany w CI.</t>
        </is>
      </c>
      <c r="O54"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t>
        </is>
      </c>
      <c r="P54" s="10" t="inlineStr">
        <is>
          <t>do zrobienia</t>
        </is>
      </c>
    </row>
    <row r="55">
      <c r="A55" s="10" t="inlineStr">
        <is>
          <t>X-41</t>
        </is>
      </c>
      <c r="B55" s="11" t="inlineStr">
        <is>
          <t>Hardening egressu wisi w łańcuchu OUTPUT, a ruch kontenerów idzie przez FORWARD</t>
        </is>
      </c>
      <c r="C55" s="10" t="inlineStr">
        <is>
          <t>audyt</t>
        </is>
      </c>
      <c r="D55" s="10" t="inlineStr">
        <is>
          <t>X — Infrastruktura jakości</t>
        </is>
      </c>
      <c r="E55" s="10" t="inlineStr">
        <is>
          <t>WYSOKA</t>
        </is>
      </c>
      <c r="F55" s="10" t="n">
        <v>16</v>
      </c>
      <c r="G55" s="10" t="n">
        <v>8</v>
      </c>
      <c r="H55" s="10" t="inlineStr">
        <is>
          <t>Faza 1 — Rozliczenia i dowód odtworzenia</t>
        </is>
      </c>
      <c r="I55" s="10" t="inlineStr">
        <is>
          <t>2026-10-19</t>
        </is>
      </c>
      <c r="J55" s="10" t="inlineStr">
        <is>
          <t>2026-10-23</t>
        </is>
      </c>
      <c r="K55" s="10" t="inlineStr">
        <is>
          <t>CZĘŚCIOWE</t>
        </is>
      </c>
      <c r="L55" s="11" t="inlineStr">
        <is>
          <t>obserwacja wpięta w DOCKER-USER, 1674 pakiety zliczone, 0 DROP/REJECT</t>
        </is>
      </c>
      <c r="M55" s="11" t="inlineStr">
        <is>
          <t>—</t>
        </is>
      </c>
      <c r="N55" s="11" t="inlineStr">
        <is>
          <t>Ograniczenie opisane w uwagach macierzy zniknęło; test potwierdza zachowanie także w scenariuszu awaryjnym.</t>
        </is>
      </c>
      <c r="O55"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c r="P55" s="10" t="inlineStr">
        <is>
          <t>do zrobienia</t>
        </is>
      </c>
    </row>
    <row r="56">
      <c r="A56" s="10" t="inlineStr">
        <is>
          <t>SEC-03</t>
        </is>
      </c>
      <c r="B56" s="11" t="inlineStr">
        <is>
          <t>Ruch poza TCP/80 i TCP/443 — DNS (UDP/53), SMTP — nie jest objęty ani obserwacją z X-41, ani trybem strict</t>
        </is>
      </c>
      <c r="C56" s="10" t="inlineStr">
        <is>
          <t>audyt</t>
        </is>
      </c>
      <c r="D56" s="10" t="inlineStr">
        <is>
          <t>G — SSL i bezpieczeństwo</t>
        </is>
      </c>
      <c r="E56" s="10" t="inlineStr">
        <is>
          <t>WYSOKA</t>
        </is>
      </c>
      <c r="F56" s="10" t="n">
        <v>16</v>
      </c>
      <c r="G56" s="10" t="n">
        <v>8</v>
      </c>
      <c r="H56" s="10" t="inlineStr">
        <is>
          <t>Faza 1 — Rozliczenia i dowód odtworzenia</t>
        </is>
      </c>
      <c r="I56" s="10" t="inlineStr">
        <is>
          <t>2026-10-19</t>
        </is>
      </c>
      <c r="J56" s="10" t="inlineStr">
        <is>
          <t>2026-10-23</t>
        </is>
      </c>
      <c r="K56" s="10" t="inlineStr">
        <is>
          <t>BRAK</t>
        </is>
      </c>
      <c r="L56" s="11" t="inlineStr">
        <is>
          <t>zakres reguł w `security-control-plane-egress.sh`</t>
        </is>
      </c>
      <c r="M56" s="11" t="inlineStr">
        <is>
          <t>—</t>
        </is>
      </c>
      <c r="N56" s="11" t="inlineStr">
        <is>
          <t>Funkcja dostępna z panelu klienta bez wychodzenia do DirectAdmina; test uruchamiany w CI.</t>
        </is>
      </c>
      <c r="O56"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t>
        </is>
      </c>
      <c r="P56" s="10" t="inlineStr">
        <is>
          <t>do zrobienia</t>
        </is>
      </c>
    </row>
    <row r="57">
      <c r="A57" s="10" t="inlineStr">
        <is>
          <t>SEC-06</t>
        </is>
      </c>
      <c r="B57" s="11" t="inlineStr">
        <is>
          <t>Allowlista pokrywa to, o czym ktoś pomyślał, nie to, co host robi</t>
        </is>
      </c>
      <c r="C57" s="10" t="inlineStr">
        <is>
          <t>audyt</t>
        </is>
      </c>
      <c r="D57" s="10" t="inlineStr">
        <is>
          <t>G — SSL i bezpieczeństwo</t>
        </is>
      </c>
      <c r="E57" s="10" t="inlineStr">
        <is>
          <t>WYSOKA</t>
        </is>
      </c>
      <c r="F57" s="10" t="n">
        <v>16</v>
      </c>
      <c r="G57" s="10" t="n">
        <v>9</v>
      </c>
      <c r="H57" s="10" t="inlineStr">
        <is>
          <t>Faza 2 — Odzyskanie funkcji-widm i luki pierwszego tygodnia</t>
        </is>
      </c>
      <c r="I57" s="10" t="inlineStr">
        <is>
          <t>2026-10-26</t>
        </is>
      </c>
      <c r="J57" s="10" t="inlineStr">
        <is>
          <t>2026-10-30</t>
        </is>
      </c>
      <c r="K57" s="10" t="inlineStr">
        <is>
          <t>BRAK</t>
        </is>
      </c>
      <c r="L57" s="11" t="inlineStr">
        <is>
          <t>ipset test verris_egress_https na 4 celach z logu egressu</t>
        </is>
      </c>
      <c r="M57" s="11" t="inlineStr">
        <is>
          <t>—</t>
        </is>
      </c>
      <c r="N57" s="11" t="inlineStr">
        <is>
          <t>Funkcja dostępna z panelu klienta bez wychodzenia do DirectAdmina; test uruchamiany w CI.</t>
        </is>
      </c>
      <c r="O57"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t>
        </is>
      </c>
      <c r="P57" s="10" t="inlineStr">
        <is>
          <t>do zrobienia</t>
        </is>
      </c>
    </row>
    <row r="58">
      <c r="A58" s="10" t="inlineStr">
        <is>
          <t>SEC-02</t>
        </is>
      </c>
      <c r="B58" s="11" t="inlineStr">
        <is>
          <t>Stripe jest w allowliście wyłącznie po nazwie, a ipset powstaje z rozwiązania nazw</t>
        </is>
      </c>
      <c r="C58" s="10" t="inlineStr">
        <is>
          <t>audyt</t>
        </is>
      </c>
      <c r="D58" s="10" t="inlineStr">
        <is>
          <t>G — SSL i bezpieczeństwo</t>
        </is>
      </c>
      <c r="E58" s="10" t="inlineStr">
        <is>
          <t>ŚREDNIA</t>
        </is>
      </c>
      <c r="F58" s="10" t="n">
        <v>6</v>
      </c>
      <c r="G58" s="10" t="n">
        <v>9</v>
      </c>
      <c r="H58" s="10" t="inlineStr">
        <is>
          <t>Faza 2 — Odzyskanie funkcji-widm i luki pierwszego tygodnia</t>
        </is>
      </c>
      <c r="I58" s="10" t="inlineStr">
        <is>
          <t>2026-10-26</t>
        </is>
      </c>
      <c r="J58" s="10" t="inlineStr">
        <is>
          <t>2026-10-30</t>
        </is>
      </c>
      <c r="K58" s="10" t="inlineStr">
        <is>
          <t>BRAK</t>
        </is>
      </c>
      <c r="L58" s="11" t="inlineStr">
        <is>
          <t>`egress-allow-hostnames.txt`; ipset `verris_egress_https` = 65 wpisów</t>
        </is>
      </c>
      <c r="M58" s="11" t="inlineStr">
        <is>
          <t>—</t>
        </is>
      </c>
      <c r="N58" s="11" t="inlineStr">
        <is>
          <t>Funkcja dostępna z panelu klienta bez wychodzenia do DirectAdmina; test uruchamiany w CI.</t>
        </is>
      </c>
      <c r="O58"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t>
        </is>
      </c>
      <c r="P58" s="10" t="inlineStr">
        <is>
          <t>do zrobienia</t>
        </is>
      </c>
    </row>
    <row r="59">
      <c r="A59" s="10" t="inlineStr">
        <is>
          <t>NODE-03</t>
        </is>
      </c>
      <c r="B59" s="11" t="inlineStr">
        <is>
          <t>Pojemność węzła nigdy się nie odświeża</t>
        </is>
      </c>
      <c r="C59" s="10" t="inlineStr">
        <is>
          <t>audyt</t>
        </is>
      </c>
      <c r="D59" s="10" t="inlineStr">
        <is>
          <t>Q — Przewaga</t>
        </is>
      </c>
      <c r="E59" s="10" t="inlineStr">
        <is>
          <t>ŚREDNIA</t>
        </is>
      </c>
      <c r="F59" s="10" t="n">
        <v>6</v>
      </c>
      <c r="G59" s="10" t="n">
        <v>9</v>
      </c>
      <c r="H59" s="10" t="inlineStr">
        <is>
          <t>Faza 2 — Odzyskanie funkcji-widm i luki pierwszego tygodnia</t>
        </is>
      </c>
      <c r="I59" s="10" t="inlineStr">
        <is>
          <t>2026-10-26</t>
        </is>
      </c>
      <c r="J59" s="10" t="inlineStr">
        <is>
          <t>2026-10-30</t>
        </is>
      </c>
      <c r="K59" s="10" t="inlineStr">
        <is>
          <t>BRAK</t>
        </is>
      </c>
      <c r="L59" s="11" t="inlineStr">
        <is>
          <t>`schema.prisma:454` wobec `telemetry.service.ts:48-72`</t>
        </is>
      </c>
      <c r="M59" s="11" t="inlineStr">
        <is>
          <t>—</t>
        </is>
      </c>
      <c r="N59" s="11" t="inlineStr">
        <is>
          <t>Funkcja dostępna z panelu klienta bez wychodzenia do DirectAdmina; test uruchamiany w CI.</t>
        </is>
      </c>
      <c r="O59"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t>
        </is>
      </c>
      <c r="P59" s="10" t="inlineStr">
        <is>
          <t>do zrobienia</t>
        </is>
      </c>
    </row>
    <row r="60">
      <c r="A60" s="10" t="inlineStr">
        <is>
          <t>X-31</t>
        </is>
      </c>
      <c r="B60" s="11" t="inlineStr">
        <is>
          <t>Kanał alertów daje znak życia (dead man's switch)</t>
        </is>
      </c>
      <c r="C60" s="10" t="inlineStr">
        <is>
          <t>audyt</t>
        </is>
      </c>
      <c r="D60" s="10" t="inlineStr">
        <is>
          <t>X — Infrastruktura jakości</t>
        </is>
      </c>
      <c r="E60" s="10" t="inlineStr">
        <is>
          <t>—</t>
        </is>
      </c>
      <c r="F60" s="10" t="n">
        <v>6</v>
      </c>
      <c r="G60" s="10" t="n">
        <v>10</v>
      </c>
      <c r="H60" s="10" t="inlineStr">
        <is>
          <t>Faza 2 — Odzyskanie funkcji-widm i luki pierwszego tygodnia</t>
        </is>
      </c>
      <c r="I60" s="10" t="inlineStr">
        <is>
          <t>2026-11-02</t>
        </is>
      </c>
      <c r="J60" s="10" t="inlineStr">
        <is>
          <t>2026-11-06</t>
        </is>
      </c>
      <c r="K60" s="10" t="inlineStr">
        <is>
          <t>CZĘŚCIOWE</t>
        </is>
      </c>
      <c r="L60"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60" s="11" t="inlineStr">
        <is>
          <t>—</t>
        </is>
      </c>
      <c r="N60" s="11" t="inlineStr">
        <is>
          <t>Ograniczenie opisane w uwagach macierzy zniknęło; test potwierdza zachowanie także w scenariuszu awaryjnym.</t>
        </is>
      </c>
      <c r="O60"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docs/zadania/X-31-znak-zycia-kanalu-alertow.md</t>
        </is>
      </c>
      <c r="P60" s="10" t="inlineStr">
        <is>
          <t>do zrobienia</t>
        </is>
      </c>
    </row>
    <row r="61">
      <c r="A61" s="10" t="inlineStr">
        <is>
          <t>X-32</t>
        </is>
      </c>
      <c r="B61" s="11" t="inlineStr">
        <is>
          <t>Martwy job da się odrzucić z panelu, ze śladem w audycie</t>
        </is>
      </c>
      <c r="C61" s="10" t="inlineStr">
        <is>
          <t>audyt</t>
        </is>
      </c>
      <c r="D61" s="10" t="inlineStr">
        <is>
          <t>X — Infrastruktura jakości</t>
        </is>
      </c>
      <c r="E61" s="10" t="inlineStr">
        <is>
          <t>—</t>
        </is>
      </c>
      <c r="F61" s="10" t="n">
        <v>6</v>
      </c>
      <c r="G61" s="10" t="n">
        <v>10</v>
      </c>
      <c r="H61" s="10" t="inlineStr">
        <is>
          <t>Faza 2 — Odzyskanie funkcji-widm i luki pierwszego tygodnia</t>
        </is>
      </c>
      <c r="I61" s="10" t="inlineStr">
        <is>
          <t>2026-11-02</t>
        </is>
      </c>
      <c r="J61" s="10" t="inlineStr">
        <is>
          <t>2026-11-06</t>
        </is>
      </c>
      <c r="K61" s="10" t="inlineStr">
        <is>
          <t>CZĘŚCIOWE</t>
        </is>
      </c>
      <c r="L61"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61" s="11" t="inlineStr">
        <is>
          <t>—</t>
        </is>
      </c>
      <c r="N61" s="11" t="inlineStr">
        <is>
          <t>Ograniczenie opisane w uwagach macierzy zniknęło; test potwierdza zachowanie także w scenariuszu awaryjnym.</t>
        </is>
      </c>
      <c r="O61"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docs/zadania/X-32-odrzucenie-martwego-joba.md</t>
        </is>
      </c>
      <c r="P61" s="10" t="inlineStr">
        <is>
          <t>do zrobienia</t>
        </is>
      </c>
    </row>
    <row r="62">
      <c r="A62" s="10" t="inlineStr">
        <is>
          <t>DEP-02</t>
        </is>
      </c>
      <c r="B62" s="11" t="inlineStr">
        <is>
          <t>W drzewie stoją dwa majory ESLinta naraz</t>
        </is>
      </c>
      <c r="C62" s="10" t="inlineStr">
        <is>
          <t>audyt</t>
        </is>
      </c>
      <c r="D62" s="10" t="inlineStr">
        <is>
          <t>X — Infrastruktura jakości</t>
        </is>
      </c>
      <c r="E62" s="10" t="inlineStr">
        <is>
          <t>ŚREDNIA</t>
        </is>
      </c>
      <c r="F62" s="10" t="n">
        <v>6</v>
      </c>
      <c r="G62" s="10" t="n">
        <v>10</v>
      </c>
      <c r="H62" s="10" t="inlineStr">
        <is>
          <t>Faza 2 — Odzyskanie funkcji-widm i luki pierwszego tygodnia</t>
        </is>
      </c>
      <c r="I62" s="10" t="inlineStr">
        <is>
          <t>2026-11-02</t>
        </is>
      </c>
      <c r="J62" s="10" t="inlineStr">
        <is>
          <t>2026-11-06</t>
        </is>
      </c>
      <c r="K62" s="10" t="inlineStr">
        <is>
          <t>BRAK</t>
        </is>
      </c>
      <c r="L62" s="11" t="inlineStr">
        <is>
          <t>package.json (korzeń) — @eslint/js ^10.0.1 przy braku jakiegokolwiek eslint.config.* w korzeniu; libs/eslint-config/node_modules: eslint 10.9.0 obok @eslint/js 9.39.5; apps/api, apps/www, apps/client-panel, apps/status-page, libs/directadmin-sdk — eslint 9.39.5</t>
        </is>
      </c>
      <c r="M62" s="11" t="inlineStr">
        <is>
          <t>—</t>
        </is>
      </c>
      <c r="N62" s="11" t="inlineStr">
        <is>
          <t>Funkcja dostępna z panelu klienta bez wychodzenia do DirectAdmina; test uruchamiany w CI.</t>
        </is>
      </c>
      <c r="O62"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t>
        </is>
      </c>
      <c r="P62" s="10" t="inlineStr">
        <is>
          <t>do zrobienia</t>
        </is>
      </c>
    </row>
    <row r="63">
      <c r="A63" s="10" t="inlineStr">
        <is>
          <t>X-51</t>
        </is>
      </c>
      <c r="B63" s="11" t="inlineStr">
        <is>
          <t>Etykiety z dependabot.yml istnieja w repozytorium</t>
        </is>
      </c>
      <c r="C63" s="10" t="inlineStr">
        <is>
          <t>audyt</t>
        </is>
      </c>
      <c r="D63" s="10" t="inlineStr">
        <is>
          <t>X — Infrastruktura jakości</t>
        </is>
      </c>
      <c r="E63" s="10" t="inlineStr">
        <is>
          <t>NISKA</t>
        </is>
      </c>
      <c r="F63" s="10" t="n">
        <v>6</v>
      </c>
      <c r="G63" s="10" t="n">
        <v>10</v>
      </c>
      <c r="H63" s="10" t="inlineStr">
        <is>
          <t>Faza 2 — Odzyskanie funkcji-widm i luki pierwszego tygodnia</t>
        </is>
      </c>
      <c r="I63" s="10" t="inlineStr">
        <is>
          <t>2026-11-02</t>
        </is>
      </c>
      <c r="J63" s="10" t="inlineStr">
        <is>
          <t>2026-11-06</t>
        </is>
      </c>
      <c r="K63" s="10" t="inlineStr">
        <is>
          <t>DZIAŁA</t>
        </is>
      </c>
      <c r="L63" s="11" t="inlineStr">
        <is>
          <t>D2 2026-09-19: utworzone etykiety dependencies, security, docker, ci — 9 -&gt; 13 etykiet w repozytorium; pokrywaja wszystkie trzy sekcje labels: w .github/dependabot.yml.</t>
        </is>
      </c>
      <c r="M63" s="11" t="inlineStr">
        <is>
          <t>—</t>
        </is>
      </c>
      <c r="N63" s="11" t="inlineStr">
        <is>
          <t>Funkcja dostępna z panelu klienta bez wychodzenia do DirectAdmina; test uruchamiany w CI.</t>
        </is>
      </c>
      <c r="O63"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63" s="10" t="inlineStr">
        <is>
          <t>do zrobienia</t>
        </is>
      </c>
    </row>
    <row r="64">
      <c r="A64" s="10" t="inlineStr">
        <is>
          <t>PB-04</t>
        </is>
      </c>
      <c r="B64" s="11" t="inlineStr">
        <is>
          <t>Procedura obsługi nadużyć (abuse) — dokument</t>
        </is>
      </c>
      <c r="C64" s="10" t="inlineStr">
        <is>
          <t>poza audytem</t>
        </is>
      </c>
      <c r="D64" s="10" t="inlineStr">
        <is>
          <t>Praca spoza audytu</t>
        </is>
      </c>
      <c r="E64" s="10" t="inlineStr">
        <is>
          <t>WYSOKI</t>
        </is>
      </c>
      <c r="F64" s="10" t="n">
        <v>8</v>
      </c>
      <c r="G64" s="10" t="n">
        <v>10</v>
      </c>
      <c r="H64" s="10" t="inlineStr">
        <is>
          <t>Faza 2 — Odzyskanie funkcji-widm i luki pierwszego tygodnia</t>
        </is>
      </c>
      <c r="I64" s="10" t="inlineStr">
        <is>
          <t>2026-11-02</t>
        </is>
      </c>
      <c r="J64" s="10" t="inlineStr">
        <is>
          <t>2026-11-06</t>
        </is>
      </c>
      <c r="K64" s="10" t="inlineStr">
        <is>
          <t>—</t>
        </is>
      </c>
      <c r="L64" s="11" t="inlineStr">
        <is>
          <t>—</t>
        </is>
      </c>
      <c r="M64" s="11" t="inlineStr">
        <is>
          <t>—</t>
        </is>
      </c>
      <c r="N64" s="11" t="inlineStr">
        <is>
          <t>Dokument w ops/docs z właścicielem i czasami reakcji. Test: zgłoszenie wysłane na abuse@ trafia do kogoś i ma odpowiedź w deklarowanym czasie.</t>
        </is>
      </c>
      <c r="O64" s="11" t="inlineStr">
        <is>
          <t>Adres abuse@ obsługiwany, ścieżka od zgłoszenia do reakcji, czasy reakcji, kto decyduje o zawieszeniu, wzory odpowiedzi do CERT i rejestratorów.</t>
        </is>
      </c>
      <c r="P64" s="10" t="inlineStr">
        <is>
          <t>do zrobienia</t>
        </is>
      </c>
    </row>
    <row r="65">
      <c r="A65" s="10" t="inlineStr">
        <is>
          <t>M-08</t>
        </is>
      </c>
      <c r="B65" s="11" t="inlineStr">
        <is>
          <t>Anulowanie faktury (VOID) z panelu</t>
        </is>
      </c>
      <c r="C65" s="10" t="inlineStr">
        <is>
          <t>audyt</t>
        </is>
      </c>
      <c r="D65" s="10" t="inlineStr">
        <is>
          <t>M — Rozliczenia</t>
        </is>
      </c>
      <c r="E65" s="10" t="inlineStr">
        <is>
          <t>WYSOKA</t>
        </is>
      </c>
      <c r="F65" s="10" t="n">
        <v>6</v>
      </c>
      <c r="G65" s="10" t="n">
        <v>11</v>
      </c>
      <c r="H65" s="10" t="inlineStr">
        <is>
          <t>Faza 2 — Odzyskanie funkcji-widm i luki pierwszego tygodnia</t>
        </is>
      </c>
      <c r="I65" s="10" t="inlineStr">
        <is>
          <t>2026-11-09</t>
        </is>
      </c>
      <c r="J65" s="10" t="inlineStr">
        <is>
          <t>2026-11-13</t>
        </is>
      </c>
      <c r="K65" s="10" t="inlineStr">
        <is>
          <t>BRAK</t>
        </is>
      </c>
      <c r="L65" s="11" t="inlineStr">
        <is>
          <t>InvoiceStatus.VOID w schema.prisma:1354 nigdy nie ustawiany</t>
        </is>
      </c>
      <c r="M65" s="11" t="inlineStr">
        <is>
          <t>—</t>
        </is>
      </c>
      <c r="N65" s="11" t="inlineStr">
        <is>
          <t>Funkcja dostępna z panelu klienta bez wychodzenia do DirectAdmina; test uruchamiany w CI.</t>
        </is>
      </c>
      <c r="O65" s="11" t="inlineStr"/>
      <c r="P65" s="10" t="inlineStr">
        <is>
          <t>do zrobienia</t>
        </is>
      </c>
    </row>
    <row r="66">
      <c r="A66" s="10" t="inlineStr">
        <is>
          <t>C-18</t>
        </is>
      </c>
      <c r="B66" s="11" t="inlineStr">
        <is>
          <t>Konto FTP — zmiana hasła</t>
        </is>
      </c>
      <c r="C66" s="10" t="inlineStr">
        <is>
          <t>audyt</t>
        </is>
      </c>
      <c r="D66" s="10" t="inlineStr">
        <is>
          <t>C — Pliki, FTP, SSH, Git</t>
        </is>
      </c>
      <c r="E66" s="10" t="inlineStr">
        <is>
          <t>WYSOKA</t>
        </is>
      </c>
      <c r="F66" s="10" t="n">
        <v>6</v>
      </c>
      <c r="G66" s="10" t="n">
        <v>11</v>
      </c>
      <c r="H66" s="10" t="inlineStr">
        <is>
          <t>Faza 2 — Odzyskanie funkcji-widm i luki pierwszego tygodnia</t>
        </is>
      </c>
      <c r="I66" s="10" t="inlineStr">
        <is>
          <t>2026-11-09</t>
        </is>
      </c>
      <c r="J66" s="10" t="inlineStr">
        <is>
          <t>2026-11-13</t>
        </is>
      </c>
      <c r="K66" s="10" t="inlineStr">
        <is>
          <t>BRAK</t>
        </is>
      </c>
      <c r="L66" s="11" t="inlineStr">
        <is>
          <t>—</t>
        </is>
      </c>
      <c r="M66" s="11" t="inlineStr">
        <is>
          <t>—</t>
        </is>
      </c>
      <c r="N66" s="11" t="inlineStr">
        <is>
          <t>Funkcja dostępna z panelu klienta bez wychodzenia do DirectAdmina; test uruchamiany w CI.</t>
        </is>
      </c>
      <c r="O66" s="11" t="inlineStr">
        <is>
          <t>brak jakiejkolwiek ścieżki edycji istniejącego konta</t>
        </is>
      </c>
      <c r="P66" s="10" t="inlineStr">
        <is>
          <t>do zrobienia</t>
        </is>
      </c>
    </row>
    <row r="67">
      <c r="A67" s="10" t="inlineStr">
        <is>
          <t>B-01</t>
        </is>
      </c>
      <c r="B67" s="11" t="inlineStr">
        <is>
          <t>Zmiana wersji PHP dla całego konta</t>
        </is>
      </c>
      <c r="C67" s="10" t="inlineStr">
        <is>
          <t>audyt</t>
        </is>
      </c>
      <c r="D67" s="10" t="inlineStr">
        <is>
          <t>B — Runtime WWW</t>
        </is>
      </c>
      <c r="E67" s="10" t="inlineStr">
        <is>
          <t>WYSOKA</t>
        </is>
      </c>
      <c r="F67" s="10" t="n">
        <v>6</v>
      </c>
      <c r="G67" s="10" t="n">
        <v>11</v>
      </c>
      <c r="H67" s="10" t="inlineStr">
        <is>
          <t>Faza 2 — Odzyskanie funkcji-widm i luki pierwszego tygodnia</t>
        </is>
      </c>
      <c r="I67" s="10" t="inlineStr">
        <is>
          <t>2026-11-09</t>
        </is>
      </c>
      <c r="J67" s="10" t="inlineStr">
        <is>
          <t>2026-11-13</t>
        </is>
      </c>
      <c r="K67" s="10" t="inlineStr">
        <is>
          <t>CZĘŚCIOWE</t>
        </is>
      </c>
      <c r="L67" s="11" t="inlineStr">
        <is>
          <t>services.controller.ts:125</t>
        </is>
      </c>
      <c r="M67" s="11" t="inlineStr">
        <is>
          <t>—</t>
        </is>
      </c>
      <c r="N67" s="11" t="inlineStr">
        <is>
          <t>Ograniczenie opisane w uwagach macierzy zniknęło; test potwierdza zachowanie także w scenariuszu awaryjnym.</t>
        </is>
      </c>
      <c r="O67"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t>
        </is>
      </c>
      <c r="P67" s="10" t="inlineStr">
        <is>
          <t>do zrobienia</t>
        </is>
      </c>
    </row>
    <row r="68">
      <c r="A68" s="10" t="inlineStr">
        <is>
          <t>J-04</t>
        </is>
      </c>
      <c r="B68" s="11" t="inlineStr">
        <is>
          <t>HTTP/3</t>
        </is>
      </c>
      <c r="C68" s="10" t="inlineStr">
        <is>
          <t>audyt</t>
        </is>
      </c>
      <c r="D68" s="10" t="inlineStr">
        <is>
          <t>J — Wydajność i cache</t>
        </is>
      </c>
      <c r="E68" s="10" t="inlineStr">
        <is>
          <t>ŚREDNIA</t>
        </is>
      </c>
      <c r="F68" s="10" t="n">
        <v>6</v>
      </c>
      <c r="G68" s="10" t="n">
        <v>11</v>
      </c>
      <c r="H68" s="10" t="inlineStr">
        <is>
          <t>Faza 2 — Odzyskanie funkcji-widm i luki pierwszego tygodnia</t>
        </is>
      </c>
      <c r="I68" s="10" t="inlineStr">
        <is>
          <t>2026-11-09</t>
        </is>
      </c>
      <c r="J68" s="10" t="inlineStr">
        <is>
          <t>2026-11-13</t>
        </is>
      </c>
      <c r="K68" s="10" t="inlineStr">
        <is>
          <t>b.d.</t>
        </is>
      </c>
      <c r="L68" s="11" t="inlineStr">
        <is>
          <t>poza kodem panelu</t>
        </is>
      </c>
      <c r="M68" s="11" t="inlineStr">
        <is>
          <t>—</t>
        </is>
      </c>
      <c r="N68" s="11" t="inlineStr">
        <is>
          <t>Stan zweryfikowany na produkcji z timestampem (poziom D3), wynik zapisany w repo.</t>
        </is>
      </c>
      <c r="O68"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68" s="10" t="inlineStr">
        <is>
          <t>do zrobienia</t>
        </is>
      </c>
    </row>
    <row r="69">
      <c r="A69" s="10" t="inlineStr">
        <is>
          <t>F-01</t>
        </is>
      </c>
      <c r="B69" s="11" t="inlineStr">
        <is>
          <t>Edytor rekordów DNS (A/CNAME/MX/TXT)</t>
        </is>
      </c>
      <c r="C69" s="10" t="inlineStr">
        <is>
          <t>audyt</t>
        </is>
      </c>
      <c r="D69" s="10" t="inlineStr">
        <is>
          <t>F — DNS</t>
        </is>
      </c>
      <c r="E69" s="10" t="inlineStr">
        <is>
          <t>WYSOKA</t>
        </is>
      </c>
      <c r="F69" s="10" t="n">
        <v>6</v>
      </c>
      <c r="G69" s="10" t="n">
        <v>12</v>
      </c>
      <c r="H69" s="10" t="inlineStr">
        <is>
          <t>Faza 2 — Odzyskanie funkcji-widm i luki pierwszego tygodnia</t>
        </is>
      </c>
      <c r="I69" s="10" t="inlineStr">
        <is>
          <t>2026-11-16</t>
        </is>
      </c>
      <c r="J69" s="10" t="inlineStr">
        <is>
          <t>2026-11-20</t>
        </is>
      </c>
      <c r="K69" s="10" t="inlineStr">
        <is>
          <t>ATRAPA</t>
        </is>
      </c>
      <c r="L69" s="11" t="inlineStr">
        <is>
          <t>dns-manager.tsx:79,91 — komponent osierocony; dns/page.tsx:15 przekierowuje gdzie indziej</t>
        </is>
      </c>
      <c r="M69" s="11" t="inlineStr">
        <is>
          <t>—</t>
        </is>
      </c>
      <c r="N69" s="11" t="inlineStr">
        <is>
          <t>Kontroler rejestruje trasę, którą woła panel; kliknięcie kończy się realnym efektem, nie 404. Test pokrywa ścieżkę UI→API→zasób.</t>
        </is>
      </c>
      <c r="O69" s="11" t="inlineStr">
        <is>
          <t>Skorygowane: obejściem jest link do DirectAdmina (services.controller.ts:350) z poświadczeniami z „dane dostępowe”. Uwaga — SSO nie działa, trasa hosting-sso-url nie istnieje w API, więc klient trafia do obcego panelu i loguje się ręcznie.</t>
        </is>
      </c>
      <c r="P69" s="10" t="inlineStr">
        <is>
          <t>do zrobienia</t>
        </is>
      </c>
    </row>
    <row r="70">
      <c r="A70" s="10" t="inlineStr">
        <is>
          <t>F-02</t>
        </is>
      </c>
      <c r="B70" s="11" t="inlineStr">
        <is>
          <t>Rekordy SRV / CAA</t>
        </is>
      </c>
      <c r="C70" s="10" t="inlineStr">
        <is>
          <t>audyt</t>
        </is>
      </c>
      <c r="D70" s="10" t="inlineStr">
        <is>
          <t>F — DNS</t>
        </is>
      </c>
      <c r="E70" s="10" t="inlineStr">
        <is>
          <t>WYSOKA</t>
        </is>
      </c>
      <c r="F70" s="10" t="n">
        <v>6</v>
      </c>
      <c r="G70" s="10" t="n">
        <v>12</v>
      </c>
      <c r="H70" s="10" t="inlineStr">
        <is>
          <t>Faza 2 — Odzyskanie funkcji-widm i luki pierwszego tygodnia</t>
        </is>
      </c>
      <c r="I70" s="10" t="inlineStr">
        <is>
          <t>2026-11-16</t>
        </is>
      </c>
      <c r="J70" s="10" t="inlineStr">
        <is>
          <t>2026-11-20</t>
        </is>
      </c>
      <c r="K70" s="10" t="inlineStr">
        <is>
          <t>ATRAPA</t>
        </is>
      </c>
      <c r="L70" s="11" t="inlineStr">
        <is>
          <t>j.w.</t>
        </is>
      </c>
      <c r="M70" s="11" t="inlineStr">
        <is>
          <t>F-01 (ten sam edytor)</t>
        </is>
      </c>
      <c r="N70" s="11" t="inlineStr">
        <is>
          <t>Kontroler rejestruje trasę, którą woła panel; kliknięcie kończy się realnym efektem, nie 404. Test pokrywa ścieżkę UI→API→zasób.</t>
        </is>
      </c>
      <c r="O70" s="11" t="inlineStr"/>
      <c r="P70" s="10" t="inlineStr">
        <is>
          <t>do zrobienia</t>
        </is>
      </c>
    </row>
    <row r="71">
      <c r="A71" s="10" t="inlineStr">
        <is>
          <t>E-15</t>
        </is>
      </c>
      <c r="B71" s="11" t="inlineStr">
        <is>
          <t>Rekordy SPF — kreator</t>
        </is>
      </c>
      <c r="C71" s="10" t="inlineStr">
        <is>
          <t>audyt</t>
        </is>
      </c>
      <c r="D71" s="10" t="inlineStr">
        <is>
          <t>E — Poczta</t>
        </is>
      </c>
      <c r="E71" s="10" t="inlineStr">
        <is>
          <t>WYSOKA</t>
        </is>
      </c>
      <c r="F71" s="10" t="n">
        <v>6</v>
      </c>
      <c r="G71" s="10" t="n">
        <v>12</v>
      </c>
      <c r="H71" s="10" t="inlineStr">
        <is>
          <t>Faza 2 — Odzyskanie funkcji-widm i luki pierwszego tygodnia</t>
        </is>
      </c>
      <c r="I71" s="10" t="inlineStr">
        <is>
          <t>2026-11-16</t>
        </is>
      </c>
      <c r="J71" s="10" t="inlineStr">
        <is>
          <t>2026-11-20</t>
        </is>
      </c>
      <c r="K71" s="10" t="inlineStr">
        <is>
          <t>ENDPOINT BEZ UI</t>
        </is>
      </c>
      <c r="L71" s="11" t="inlineStr">
        <is>
          <t>services.controller.ts:114</t>
        </is>
      </c>
      <c r="M71" s="11" t="inlineStr">
        <is>
          <t>—</t>
        </is>
      </c>
      <c r="N71" s="11" t="inlineStr">
        <is>
          <t>Panel wywołuje istniejący endpoint; akcja zostawia wpis w logu audytu. Test potwierdza, że guard nadal blokuje nieuprawnionych.</t>
        </is>
      </c>
      <c r="O71" s="11" t="inlineStr">
        <is>
          <t>deliverability-panel.tsx:26 to komponent osierocony — nikt go nie importuje</t>
        </is>
      </c>
      <c r="P71" s="10" t="inlineStr">
        <is>
          <t>do zrobienia</t>
        </is>
      </c>
    </row>
    <row r="72">
      <c r="A72" s="10" t="inlineStr">
        <is>
          <t>E-16</t>
        </is>
      </c>
      <c r="B72" s="11" t="inlineStr">
        <is>
          <t>Rekordy DKIM — konfiguracja</t>
        </is>
      </c>
      <c r="C72" s="10" t="inlineStr">
        <is>
          <t>audyt</t>
        </is>
      </c>
      <c r="D72" s="10" t="inlineStr">
        <is>
          <t>E — Poczta</t>
        </is>
      </c>
      <c r="E72" s="10" t="inlineStr">
        <is>
          <t>WYSOKA</t>
        </is>
      </c>
      <c r="F72" s="10" t="n">
        <v>6</v>
      </c>
      <c r="G72" s="10" t="n">
        <v>12</v>
      </c>
      <c r="H72" s="10" t="inlineStr">
        <is>
          <t>Faza 2 — Odzyskanie funkcji-widm i luki pierwszego tygodnia</t>
        </is>
      </c>
      <c r="I72" s="10" t="inlineStr">
        <is>
          <t>2026-11-16</t>
        </is>
      </c>
      <c r="J72" s="10" t="inlineStr">
        <is>
          <t>2026-11-20</t>
        </is>
      </c>
      <c r="K72" s="10" t="inlineStr">
        <is>
          <t>ENDPOINT BEZ UI</t>
        </is>
      </c>
      <c r="L72" s="11" t="inlineStr">
        <is>
          <t>services.controller.ts:114</t>
        </is>
      </c>
      <c r="M72" s="11" t="inlineStr">
        <is>
          <t>E-15 (ten sam panel dostarczalności)</t>
        </is>
      </c>
      <c r="N72" s="11" t="inlineStr">
        <is>
          <t>Panel wywołuje istniejący endpoint; akcja zostawia wpis w logu audytu. Test potwierdza, że guard nadal blokuje nieuprawnionych.</t>
        </is>
      </c>
      <c r="O72" s="11" t="inlineStr">
        <is>
          <t>j.w.</t>
        </is>
      </c>
      <c r="P72" s="10" t="inlineStr">
        <is>
          <t>do zrobienia</t>
        </is>
      </c>
    </row>
    <row r="73">
      <c r="A73" s="10" t="inlineStr">
        <is>
          <t>E-17</t>
        </is>
      </c>
      <c r="B73" s="11" t="inlineStr">
        <is>
          <t>Rekord DMARC — konfiguracja</t>
        </is>
      </c>
      <c r="C73" s="10" t="inlineStr">
        <is>
          <t>audyt</t>
        </is>
      </c>
      <c r="D73" s="10" t="inlineStr">
        <is>
          <t>E — Poczta</t>
        </is>
      </c>
      <c r="E73" s="10" t="inlineStr">
        <is>
          <t>WYSOKA</t>
        </is>
      </c>
      <c r="F73" s="10" t="n">
        <v>6</v>
      </c>
      <c r="G73" s="10" t="n">
        <v>12</v>
      </c>
      <c r="H73" s="10" t="inlineStr">
        <is>
          <t>Faza 2 — Odzyskanie funkcji-widm i luki pierwszego tygodnia</t>
        </is>
      </c>
      <c r="I73" s="10" t="inlineStr">
        <is>
          <t>2026-11-16</t>
        </is>
      </c>
      <c r="J73" s="10" t="inlineStr">
        <is>
          <t>2026-11-20</t>
        </is>
      </c>
      <c r="K73" s="10" t="inlineStr">
        <is>
          <t>ENDPOINT BEZ UI</t>
        </is>
      </c>
      <c r="L73" s="11" t="inlineStr">
        <is>
          <t>services.controller.ts:114</t>
        </is>
      </c>
      <c r="M73" s="11" t="inlineStr">
        <is>
          <t>E-15</t>
        </is>
      </c>
      <c r="N73" s="11" t="inlineStr">
        <is>
          <t>Panel wywołuje istniejący endpoint; akcja zostawia wpis w logu audytu. Test potwierdza, że guard nadal blokuje nieuprawnionych.</t>
        </is>
      </c>
      <c r="O73" s="11" t="inlineStr">
        <is>
          <t>j.w.</t>
        </is>
      </c>
      <c r="P73" s="10" t="inlineStr">
        <is>
          <t>do zrobienia</t>
        </is>
      </c>
    </row>
    <row r="74">
      <c r="A74" s="10" t="inlineStr">
        <is>
          <t>E-05</t>
        </is>
      </c>
      <c r="B74" s="11" t="inlineStr">
        <is>
          <t>Zmiana quoty ISTNIEJĄCEJ skrzynki</t>
        </is>
      </c>
      <c r="C74" s="10" t="inlineStr">
        <is>
          <t>audyt</t>
        </is>
      </c>
      <c r="D74" s="10" t="inlineStr">
        <is>
          <t>E — Poczta</t>
        </is>
      </c>
      <c r="E74" s="10" t="inlineStr">
        <is>
          <t>WYSOKA</t>
        </is>
      </c>
      <c r="F74" s="10" t="n">
        <v>6</v>
      </c>
      <c r="G74" s="10" t="n">
        <v>13</v>
      </c>
      <c r="H74" s="10" t="inlineStr">
        <is>
          <t>Faza 2 — Odzyskanie funkcji-widm i luki pierwszego tygodnia</t>
        </is>
      </c>
      <c r="I74" s="10" t="inlineStr">
        <is>
          <t>2026-11-23</t>
        </is>
      </c>
      <c r="J74" s="10" t="inlineStr">
        <is>
          <t>2026-11-27</t>
        </is>
      </c>
      <c r="K74" s="10" t="inlineStr">
        <is>
          <t>BRAK</t>
        </is>
      </c>
      <c r="L74" s="11" t="inlineStr">
        <is>
          <t>hosting-email-actions.ts:41 zachowuje starą quotę</t>
        </is>
      </c>
      <c r="M74" s="11" t="inlineStr">
        <is>
          <t>—</t>
        </is>
      </c>
      <c r="N74" s="11" t="inlineStr">
        <is>
          <t>Funkcja dostępna z panelu klienta bez wychodzenia do DirectAdmina; test uruchamiany w CI.</t>
        </is>
      </c>
      <c r="O74" s="11" t="inlineStr">
        <is>
          <t>brak jakiejkolwiek ścieżki edycji — klient musi usunąć i odtworzyć skrzynkę</t>
        </is>
      </c>
      <c r="P74" s="10" t="inlineStr">
        <is>
          <t>do zrobienia</t>
        </is>
      </c>
    </row>
    <row r="75">
      <c r="A75" s="10" t="inlineStr">
        <is>
          <t>M-26</t>
        </is>
      </c>
      <c r="B75" s="11" t="inlineStr">
        <is>
          <t>Usunięcie zapisanej karty przez klienta</t>
        </is>
      </c>
      <c r="C75" s="10" t="inlineStr">
        <is>
          <t>audyt</t>
        </is>
      </c>
      <c r="D75" s="10" t="inlineStr">
        <is>
          <t>M — Rozliczenia</t>
        </is>
      </c>
      <c r="E75" s="10" t="inlineStr">
        <is>
          <t>WYSOKA</t>
        </is>
      </c>
      <c r="F75" s="10" t="n">
        <v>6</v>
      </c>
      <c r="G75" s="10" t="n">
        <v>13</v>
      </c>
      <c r="H75" s="10" t="inlineStr">
        <is>
          <t>Faza 2 — Odzyskanie funkcji-widm i luki pierwszego tygodnia</t>
        </is>
      </c>
      <c r="I75" s="10" t="inlineStr">
        <is>
          <t>2026-11-23</t>
        </is>
      </c>
      <c r="J75" s="10" t="inlineStr">
        <is>
          <t>2026-11-27</t>
        </is>
      </c>
      <c r="K75" s="10" t="inlineStr">
        <is>
          <t>BRAK</t>
        </is>
      </c>
      <c r="L75" s="11" t="inlineStr">
        <is>
          <t>billing.controller.ts:38 tylko GET, brak DELETE</t>
        </is>
      </c>
      <c r="M75" s="11" t="inlineStr">
        <is>
          <t>—</t>
        </is>
      </c>
      <c r="N75" s="11" t="inlineStr">
        <is>
          <t>Funkcja dostępna z panelu klienta bez wychodzenia do DirectAdmina; test uruchamiany w CI.</t>
        </is>
      </c>
      <c r="O75" s="11" t="inlineStr">
        <is>
          <t>wymóg konsumencki</t>
        </is>
      </c>
      <c r="P75" s="10" t="inlineStr">
        <is>
          <t>do zrobienia</t>
        </is>
      </c>
    </row>
    <row r="76">
      <c r="A76" s="10" t="inlineStr">
        <is>
          <t>A-25</t>
        </is>
      </c>
      <c r="B76" s="11" t="inlineStr">
        <is>
          <t>Ręczne zawieszenie usługi przez operatora</t>
        </is>
      </c>
      <c r="C76" s="10" t="inlineStr">
        <is>
          <t>audyt</t>
        </is>
      </c>
      <c r="D76" s="10" t="inlineStr">
        <is>
          <t>A — Domeny i konta</t>
        </is>
      </c>
      <c r="E76" s="10" t="inlineStr">
        <is>
          <t>WYSOKA</t>
        </is>
      </c>
      <c r="F76" s="10" t="n">
        <v>6</v>
      </c>
      <c r="G76" s="10" t="n">
        <v>13</v>
      </c>
      <c r="H76" s="10" t="inlineStr">
        <is>
          <t>Faza 2 — Odzyskanie funkcji-widm i luki pierwszego tygodnia</t>
        </is>
      </c>
      <c r="I76" s="10" t="inlineStr">
        <is>
          <t>2026-11-23</t>
        </is>
      </c>
      <c r="J76" s="10" t="inlineStr">
        <is>
          <t>2026-11-27</t>
        </is>
      </c>
      <c r="K76" s="10" t="inlineStr">
        <is>
          <t>ENDPOINT BEZ UI</t>
        </is>
      </c>
      <c r="L76" s="11" t="inlineStr">
        <is>
          <t>subscriptions.admin.controller.ts:192</t>
        </is>
      </c>
      <c r="M76" s="11" t="inlineStr">
        <is>
          <t>—</t>
        </is>
      </c>
      <c r="N76" s="11" t="inlineStr">
        <is>
          <t>Panel wywołuje istniejący endpoint; akcja zostawia wpis w logu audytu. Test potwierdza, że guard nadal blokuje nieuprawnionych.</t>
        </is>
      </c>
      <c r="O76" s="11" t="inlineStr">
        <is>
          <t>Skorygowane: endpoint działa i jest osiągalny (curl + DirectAdmin), auto-suspend za brak płatności działa. Brakuje UI, nie możliwości zatrzymania szkody.</t>
        </is>
      </c>
      <c r="P76" s="10" t="inlineStr">
        <is>
          <t>do zrobienia</t>
        </is>
      </c>
    </row>
    <row r="77">
      <c r="A77" s="10" t="inlineStr">
        <is>
          <t>A-26</t>
        </is>
      </c>
      <c r="B77" s="11" t="inlineStr">
        <is>
          <t>Ręczne odwieszenie usługi przez operatora</t>
        </is>
      </c>
      <c r="C77" s="10" t="inlineStr">
        <is>
          <t>audyt</t>
        </is>
      </c>
      <c r="D77" s="10" t="inlineStr">
        <is>
          <t>A — Domeny i konta</t>
        </is>
      </c>
      <c r="E77" s="10" t="inlineStr">
        <is>
          <t>WYSOKA</t>
        </is>
      </c>
      <c r="F77" s="10" t="n">
        <v>6</v>
      </c>
      <c r="G77" s="10" t="n">
        <v>13</v>
      </c>
      <c r="H77" s="10" t="inlineStr">
        <is>
          <t>Faza 2 — Odzyskanie funkcji-widm i luki pierwszego tygodnia</t>
        </is>
      </c>
      <c r="I77" s="10" t="inlineStr">
        <is>
          <t>2026-11-23</t>
        </is>
      </c>
      <c r="J77" s="10" t="inlineStr">
        <is>
          <t>2026-11-27</t>
        </is>
      </c>
      <c r="K77" s="10" t="inlineStr">
        <is>
          <t>ENDPOINT BEZ UI</t>
        </is>
      </c>
      <c r="L77" s="11" t="inlineStr">
        <is>
          <t>subscriptions.admin.controller.ts:210</t>
        </is>
      </c>
      <c r="M77" s="11" t="inlineStr">
        <is>
          <t>A-25 (ten sam widok)</t>
        </is>
      </c>
      <c r="N77" s="11" t="inlineStr">
        <is>
          <t>Panel wywołuje istniejący endpoint; akcja zostawia wpis w logu audytu. Test potwierdza, że guard nadal blokuje nieuprawnionych.</t>
        </is>
      </c>
      <c r="O77" s="11" t="inlineStr">
        <is>
          <t>Skorygowane: jak A-25, endpoint subscriptions.admin.controller.ts:210 działa z chargeRenewal.</t>
        </is>
      </c>
      <c r="P77" s="10" t="inlineStr">
        <is>
          <t>do zrobienia</t>
        </is>
      </c>
    </row>
    <row r="78">
      <c r="A78" s="10" t="inlineStr">
        <is>
          <t>N-07</t>
        </is>
      </c>
      <c r="B78" s="11" t="inlineStr">
        <is>
          <t>Ręczne tworzenie incydentu na status page</t>
        </is>
      </c>
      <c r="C78" s="10" t="inlineStr">
        <is>
          <t>audyt</t>
        </is>
      </c>
      <c r="D78" s="10" t="inlineStr">
        <is>
          <t>N — Wsparcie i ops</t>
        </is>
      </c>
      <c r="E78" s="10" t="inlineStr">
        <is>
          <t>WYSOKA</t>
        </is>
      </c>
      <c r="F78" s="10" t="n">
        <v>6</v>
      </c>
      <c r="G78" s="10" t="n">
        <v>13</v>
      </c>
      <c r="H78" s="10" t="inlineStr">
        <is>
          <t>Faza 2 — Odzyskanie funkcji-widm i luki pierwszego tygodnia</t>
        </is>
      </c>
      <c r="I78" s="10" t="inlineStr">
        <is>
          <t>2026-11-23</t>
        </is>
      </c>
      <c r="J78" s="10" t="inlineStr">
        <is>
          <t>2026-11-27</t>
        </is>
      </c>
      <c r="K78" s="10" t="inlineStr">
        <is>
          <t>ENDPOINT BEZ UI</t>
        </is>
      </c>
      <c r="L78" s="11" t="inlineStr">
        <is>
          <t>product-ops.admin.controller.ts:371; brak UI tworzenia</t>
        </is>
      </c>
      <c r="M78" s="11" t="inlineStr">
        <is>
          <t>—</t>
        </is>
      </c>
      <c r="N78" s="11" t="inlineStr">
        <is>
          <t>Panel wywołuje istniejący endpoint; akcja zostawia wpis w logu audytu. Test potwierdza, że guard nadal blokuje nieuprawnionych.</t>
        </is>
      </c>
      <c r="O78" s="11" t="inlineStr">
        <is>
          <t>w kryzysie nie ma jak zakomunikować awarii</t>
        </is>
      </c>
      <c r="P78" s="10" t="inlineStr">
        <is>
          <t>do zrobienia</t>
        </is>
      </c>
    </row>
    <row r="79">
      <c r="A79" s="10" t="inlineStr">
        <is>
          <t>N-14</t>
        </is>
      </c>
      <c r="B79" s="11" t="inlineStr">
        <is>
          <t>Cordon wysyłki poczty (auto-blokada spamu)</t>
        </is>
      </c>
      <c r="C79" s="10" t="inlineStr">
        <is>
          <t>audyt</t>
        </is>
      </c>
      <c r="D79" s="10" t="inlineStr">
        <is>
          <t>N — Wsparcie i ops</t>
        </is>
      </c>
      <c r="E79" s="10" t="inlineStr">
        <is>
          <t>WYSOKA</t>
        </is>
      </c>
      <c r="F79" s="10" t="n">
        <v>6</v>
      </c>
      <c r="G79" s="10" t="n">
        <v>14</v>
      </c>
      <c r="H79" s="10" t="inlineStr">
        <is>
          <t>Faza 2 — Odzyskanie funkcji-widm i luki pierwszego tygodnia</t>
        </is>
      </c>
      <c r="I79" s="10" t="inlineStr">
        <is>
          <t>2026-11-30</t>
        </is>
      </c>
      <c r="J79" s="10" t="inlineStr">
        <is>
          <t>2026-12-04</t>
        </is>
      </c>
      <c r="K79" s="10" t="inlineStr">
        <is>
          <t>ENDPOINT BEZ UI</t>
        </is>
      </c>
      <c r="L79" s="11" t="inlineStr">
        <is>
          <t>outbound-cordon.admin.controller.ts:20,25,32; zero „cordon” w admin-panel</t>
        </is>
      </c>
      <c r="M79" s="11" t="inlineStr">
        <is>
          <t>—</t>
        </is>
      </c>
      <c r="N79" s="11" t="inlineStr">
        <is>
          <t>Panel wywołuje istniejący endpoint; akcja zostawia wpis w logu audytu. Test potwierdza, że guard nadal blokuje nieuprawnionych.</t>
        </is>
      </c>
      <c r="O79" s="11" t="inlineStr">
        <is>
          <t>mechanizm działa, operator nie może go zobaczyć ani zdjąć</t>
        </is>
      </c>
      <c r="P79" s="10" t="inlineStr">
        <is>
          <t>do zrobienia</t>
        </is>
      </c>
    </row>
    <row r="80">
      <c r="A80" s="10" t="inlineStr">
        <is>
          <t>H-22</t>
        </is>
      </c>
      <c r="B80" s="11" t="inlineStr">
        <is>
          <t>Panel odtwarzania w widocznym miejscu</t>
        </is>
      </c>
      <c r="C80" s="10" t="inlineStr">
        <is>
          <t>audyt</t>
        </is>
      </c>
      <c r="D80" s="10" t="inlineStr">
        <is>
          <t>H — Backup i odtwarzanie</t>
        </is>
      </c>
      <c r="E80" s="10" t="inlineStr">
        <is>
          <t>WYSOKA</t>
        </is>
      </c>
      <c r="F80" s="10" t="n">
        <v>6</v>
      </c>
      <c r="G80" s="10" t="n">
        <v>14</v>
      </c>
      <c r="H80" s="10" t="inlineStr">
        <is>
          <t>Faza 2 — Odzyskanie funkcji-widm i luki pierwszego tygodnia</t>
        </is>
      </c>
      <c r="I80" s="10" t="inlineStr">
        <is>
          <t>2026-11-30</t>
        </is>
      </c>
      <c r="J80" s="10" t="inlineStr">
        <is>
          <t>2026-12-04</t>
        </is>
      </c>
      <c r="K80" s="10" t="inlineStr">
        <is>
          <t>CZĘŚCIOWE</t>
        </is>
      </c>
      <c r="L80" s="11" t="inlineStr">
        <is>
          <t>panel off-site siedzi w zakładce „Usage”, nie „Kopie zapasowe” (page.tsx:74,128,313,319)</t>
        </is>
      </c>
      <c r="M80" s="11" t="inlineStr">
        <is>
          <t>—</t>
        </is>
      </c>
      <c r="N80" s="11" t="inlineStr">
        <is>
          <t>Ograniczenie opisane w uwagach macierzy zniknęło; test potwierdza zachowanie także w scenariuszu awaryjnym.</t>
        </is>
      </c>
      <c r="O80" s="11" t="inlineStr">
        <is>
          <t>klient w kryzysie tego nie znajdzie</t>
        </is>
      </c>
      <c r="P80" s="10" t="inlineStr">
        <is>
          <t>do zrobienia</t>
        </is>
      </c>
    </row>
    <row r="81">
      <c r="A81" s="10" t="inlineStr">
        <is>
          <t>H-09</t>
        </is>
      </c>
      <c r="B81" s="11" t="inlineStr">
        <is>
          <t>Kopia bezpieczeństwa przed odtworzeniem</t>
        </is>
      </c>
      <c r="C81" s="10" t="inlineStr">
        <is>
          <t>audyt</t>
        </is>
      </c>
      <c r="D81" s="10" t="inlineStr">
        <is>
          <t>H — Backup i odtwarzanie</t>
        </is>
      </c>
      <c r="E81" s="10" t="inlineStr">
        <is>
          <t>WYSOKA</t>
        </is>
      </c>
      <c r="F81" s="10" t="n">
        <v>6</v>
      </c>
      <c r="G81" s="10" t="n">
        <v>14</v>
      </c>
      <c r="H81" s="10" t="inlineStr">
        <is>
          <t>Faza 2 — Odzyskanie funkcji-widm i luki pierwszego tygodnia</t>
        </is>
      </c>
      <c r="I81" s="10" t="inlineStr">
        <is>
          <t>2026-11-30</t>
        </is>
      </c>
      <c r="J81" s="10" t="inlineStr">
        <is>
          <t>2026-12-04</t>
        </is>
      </c>
      <c r="K81" s="10" t="inlineStr">
        <is>
          <t>CZĘŚCIOWE</t>
        </is>
      </c>
      <c r="L81" s="11" t="inlineStr">
        <is>
          <t>hosting-restore.service.ts:167</t>
        </is>
      </c>
      <c r="M81" s="11" t="inlineStr">
        <is>
          <t>—</t>
        </is>
      </c>
      <c r="N81" s="11" t="inlineStr">
        <is>
          <t>Ograniczenie opisane w uwagach macierzy zniknęło; test potwierdza zachowanie także w scenariuszu awaryjnym.</t>
        </is>
      </c>
      <c r="O81" s="11" t="inlineStr">
        <is>
          <t>OSŁABIONE: hosting-restore.service.ts:167 tylko KOLEJKUJE backup w DA i nie czeka na wynik — destrukcyjne odtworzenie rusza mimo nieudanej kopii. Job dostaje COMPLETED (:182) w chwili przyjęcia zadania, nie po odtworzeniu.</t>
        </is>
      </c>
      <c r="P81" s="10" t="inlineStr">
        <is>
          <t>do zrobienia</t>
        </is>
      </c>
    </row>
    <row r="82">
      <c r="A82" s="10" t="inlineStr">
        <is>
          <t>H-17</t>
        </is>
      </c>
      <c r="B82" s="11" t="inlineStr">
        <is>
          <t>Tryb restore skryptu odtwarzającego osiągalny z produktu</t>
        </is>
      </c>
      <c r="C82" s="10" t="inlineStr">
        <is>
          <t>audyt</t>
        </is>
      </c>
      <c r="D82" s="10" t="inlineStr">
        <is>
          <t>H — Backup i odtwarzanie</t>
        </is>
      </c>
      <c r="E82" s="10" t="inlineStr">
        <is>
          <t>WYSOKA</t>
        </is>
      </c>
      <c r="F82" s="10" t="n">
        <v>6</v>
      </c>
      <c r="G82" s="10" t="n">
        <v>14</v>
      </c>
      <c r="H82" s="10" t="inlineStr">
        <is>
          <t>Faza 2 — Odzyskanie funkcji-widm i luki pierwszego tygodnia</t>
        </is>
      </c>
      <c r="I82" s="10" t="inlineStr">
        <is>
          <t>2026-11-30</t>
        </is>
      </c>
      <c r="J82" s="10" t="inlineStr">
        <is>
          <t>2026-12-04</t>
        </is>
      </c>
      <c r="K82" s="10" t="inlineStr">
        <is>
          <t>BRAK</t>
        </is>
      </c>
      <c r="L82" s="11" t="inlineStr">
        <is>
          <t>node-account-restore.sh:82-99 ma tryb restore; offsite-restore.service.ts:94 przyjmuje wyłącznie list|fetch</t>
        </is>
      </c>
      <c r="M82" s="11" t="inlineStr">
        <is>
          <t>H-20 (najpierw potwierdzone odtworzenie, potem wystawienie trybu w produkcie)</t>
        </is>
      </c>
      <c r="N82" s="11" t="inlineStr">
        <is>
          <t>Funkcja dostępna z panelu klienta bez wychodzenia do DirectAdmina; test uruchamiany w CI.</t>
        </is>
      </c>
      <c r="O82" s="11" t="inlineStr">
        <is>
          <t>Skorygowane: tryb restore jest martwy z poziomu produktu, ale żywy z CLI (node-account-restore.sh:120-124) i udokumentowany w runbooku.</t>
        </is>
      </c>
      <c r="P82" s="10" t="inlineStr">
        <is>
          <t>do zrobienia</t>
        </is>
      </c>
    </row>
    <row r="83">
      <c r="A83" s="10" t="inlineStr">
        <is>
          <t>G-20</t>
        </is>
      </c>
      <c r="B83" s="11" t="inlineStr">
        <is>
          <t>Ochrona przed atakiem słownikowym na panel</t>
        </is>
      </c>
      <c r="C83" s="10" t="inlineStr">
        <is>
          <t>audyt</t>
        </is>
      </c>
      <c r="D83" s="10" t="inlineStr">
        <is>
          <t>G — SSL i bezpieczeństwo</t>
        </is>
      </c>
      <c r="E83" s="10" t="inlineStr">
        <is>
          <t>WYSOKA</t>
        </is>
      </c>
      <c r="F83" s="10" t="n">
        <v>6</v>
      </c>
      <c r="G83" s="10" t="n">
        <v>14</v>
      </c>
      <c r="H83" s="10" t="inlineStr">
        <is>
          <t>Faza 2 — Odzyskanie funkcji-widm i luki pierwszego tygodnia</t>
        </is>
      </c>
      <c r="I83" s="10" t="inlineStr">
        <is>
          <t>2026-11-30</t>
        </is>
      </c>
      <c r="J83" s="10" t="inlineStr">
        <is>
          <t>2026-12-04</t>
        </is>
      </c>
      <c r="K83" s="10" t="inlineStr">
        <is>
          <t>CZĘŚCIOWE</t>
        </is>
      </c>
      <c r="L83" s="11" t="inlineStr">
        <is>
          <t>rate-limit.guard.ts — ZERO testów</t>
        </is>
      </c>
      <c r="M83" s="11" t="inlineStr">
        <is>
          <t>—</t>
        </is>
      </c>
      <c r="N83" s="11" t="inlineStr">
        <is>
          <t>Ograniczenie opisane w uwagach macierzy zniknęło; test potwierdza zachowanie także w scenariuszu awaryjnym.</t>
        </is>
      </c>
      <c r="O83" s="11" t="inlineStr">
        <is>
          <t>brak dowodu D2 na krytycznym guardzie</t>
        </is>
      </c>
      <c r="P83" s="10" t="inlineStr">
        <is>
          <t>do zrobienia</t>
        </is>
      </c>
    </row>
    <row r="84">
      <c r="A84" s="10" t="inlineStr">
        <is>
          <t>I-11</t>
        </is>
      </c>
      <c r="B84" s="11" t="inlineStr">
        <is>
          <t>Staging — publikacja na produkcję</t>
        </is>
      </c>
      <c r="C84" s="10" t="inlineStr">
        <is>
          <t>audyt</t>
        </is>
      </c>
      <c r="D84" s="10" t="inlineStr">
        <is>
          <t>I — Aplikacje i WordPress</t>
        </is>
      </c>
      <c r="E84" s="10" t="inlineStr">
        <is>
          <t>WYSOKA</t>
        </is>
      </c>
      <c r="F84" s="10" t="n">
        <v>6</v>
      </c>
      <c r="G84" s="10" t="n">
        <v>15</v>
      </c>
      <c r="H84" s="10" t="inlineStr">
        <is>
          <t>Faza 3 — Wejście na rynek</t>
        </is>
      </c>
      <c r="I84" s="10" t="inlineStr">
        <is>
          <t>2026-12-07</t>
        </is>
      </c>
      <c r="J84" s="10" t="inlineStr">
        <is>
          <t>2026-12-11</t>
        </is>
      </c>
      <c r="K84" s="10" t="inlineStr">
        <is>
          <t>CZĘŚCIOWE</t>
        </is>
      </c>
      <c r="L84" s="11" t="inlineStr">
        <is>
          <t>services.controller.ts:187</t>
        </is>
      </c>
      <c r="M84" s="11" t="inlineStr">
        <is>
          <t>—</t>
        </is>
      </c>
      <c r="N84" s="11" t="inlineStr">
        <is>
          <t>Ograniczenie opisane w uwagach macierzy zniknęło; test potwierdza zachowanie także w scenariuszu awaryjnym.</t>
        </is>
      </c>
      <c r="O84" s="11" t="inlineStr">
        <is>
          <t>OSŁABIONE: node-staging-sync.sh:141-142 backup plików jest twardą bramką, ale :152-153 backup bazy LIVE jest best-effort — linia 158 robi wp db import na produkcji mimo braku kopii.</t>
        </is>
      </c>
      <c r="P84" s="10" t="inlineStr">
        <is>
          <t>do zrobienia</t>
        </is>
      </c>
    </row>
    <row r="85">
      <c r="A85" s="10" t="inlineStr">
        <is>
          <t>PB-03</t>
        </is>
      </c>
      <c r="B85" s="11" t="inlineStr">
        <is>
          <t>Finalizacja dokumentów prawnych 1.0.0</t>
        </is>
      </c>
      <c r="C85" s="10" t="inlineStr">
        <is>
          <t>poza audytem</t>
        </is>
      </c>
      <c r="D85" s="10" t="inlineStr">
        <is>
          <t>Praca spoza audytu</t>
        </is>
      </c>
      <c r="E85" s="10" t="inlineStr">
        <is>
          <t>BLOKER BIZNESOWY</t>
        </is>
      </c>
      <c r="F85" s="10" t="n">
        <v>16</v>
      </c>
      <c r="G85" s="10" t="n">
        <v>15</v>
      </c>
      <c r="H85" s="10" t="inlineStr">
        <is>
          <t>Faza 3 — Wejście na rynek</t>
        </is>
      </c>
      <c r="I85" s="10" t="inlineStr">
        <is>
          <t>2026-12-07</t>
        </is>
      </c>
      <c r="J85" s="10" t="inlineStr">
        <is>
          <t>2026-12-11</t>
        </is>
      </c>
      <c r="K85" s="10" t="inlineStr">
        <is>
          <t>—</t>
        </is>
      </c>
      <c r="L85" s="11" t="inlineStr">
        <is>
          <t>—</t>
        </is>
      </c>
      <c r="M85" s="11" t="inlineStr">
        <is>
          <t>—</t>
        </is>
      </c>
      <c r="N85" s="11" t="inlineStr">
        <is>
          <t>Wszystkie dokumenty w statusie opublikowanym z numerem wersji i datą. Panel /legal nie pokazuje ani jednego „Dokument w przygotowaniu”.</t>
        </is>
      </c>
      <c r="O85" s="11" t="inlineStr">
        <is>
          <t>Regulamin, polityka prywatności, SLA, DPA, polityka cookies — wyjście z DRAFT-u, wersjonowanie i publikacja w panelu.</t>
        </is>
      </c>
      <c r="P85" s="10" t="inlineStr">
        <is>
          <t>do zrobienia</t>
        </is>
      </c>
    </row>
    <row r="86">
      <c r="A86" s="10" t="inlineStr">
        <is>
          <t>PB-11</t>
        </is>
      </c>
      <c r="B86" s="11" t="inlineStr">
        <is>
          <t>Bus factor: drugi kanał alertów i procedura zastępstwa</t>
        </is>
      </c>
      <c r="C86" s="10" t="inlineStr">
        <is>
          <t>poza audytem</t>
        </is>
      </c>
      <c r="D86" s="10" t="inlineStr">
        <is>
          <t>Praca spoza audytu</t>
        </is>
      </c>
      <c r="E86" s="10" t="inlineStr">
        <is>
          <t>WYSOKI</t>
        </is>
      </c>
      <c r="F86" s="10" t="n">
        <v>8</v>
      </c>
      <c r="G86" s="10" t="n">
        <v>15</v>
      </c>
      <c r="H86" s="10" t="inlineStr">
        <is>
          <t>Faza 3 — Wejście na rynek</t>
        </is>
      </c>
      <c r="I86" s="10" t="inlineStr">
        <is>
          <t>2026-12-07</t>
        </is>
      </c>
      <c r="J86" s="10" t="inlineStr">
        <is>
          <t>2026-12-11</t>
        </is>
      </c>
      <c r="K86" s="10" t="inlineStr">
        <is>
          <t>—</t>
        </is>
      </c>
      <c r="L86" s="11" t="inlineStr">
        <is>
          <t>—</t>
        </is>
      </c>
      <c r="M86" s="11" t="inlineStr">
        <is>
          <t>—</t>
        </is>
      </c>
      <c r="N86" s="11" t="inlineStr">
        <is>
          <t>Alert testowy dociera dwoma kanałami. Dokument zastępstwa zawiera dostęp awaryjny i listę rzeczy, które muszą się dziać codziennie.</t>
        </is>
      </c>
      <c r="O86" s="11" t="inlineStr">
        <is>
          <t>Alerty na więcej niż jeden adres, przetestowane. Dokument: co robi ktoś inny, gdy Ciebie nie ma przez tydzień.</t>
        </is>
      </c>
      <c r="P86" s="10" t="inlineStr">
        <is>
          <t>do zrobienia</t>
        </is>
      </c>
    </row>
    <row r="87">
      <c r="A87" s="10" t="inlineStr">
        <is>
          <t>N-16</t>
        </is>
      </c>
      <c r="B87" s="11" t="inlineStr">
        <is>
          <t>SLA z zapisanymi kredytami</t>
        </is>
      </c>
      <c r="C87" s="10" t="inlineStr">
        <is>
          <t>audyt</t>
        </is>
      </c>
      <c r="D87" s="10" t="inlineStr">
        <is>
          <t>N — Wsparcie i ops</t>
        </is>
      </c>
      <c r="E87" s="10" t="inlineStr">
        <is>
          <t>WYSOKA</t>
        </is>
      </c>
      <c r="F87" s="10" t="n">
        <v>6</v>
      </c>
      <c r="G87" s="10" t="n">
        <v>16</v>
      </c>
      <c r="H87" s="10" t="inlineStr">
        <is>
          <t>Faza 3 — Wejście na rynek</t>
        </is>
      </c>
      <c r="I87" s="10" t="inlineStr">
        <is>
          <t>2026-12-14</t>
        </is>
      </c>
      <c r="J87" s="10" t="inlineStr">
        <is>
          <t>2026-12-18</t>
        </is>
      </c>
      <c r="K87" s="10" t="inlineStr">
        <is>
          <t>FLAGA</t>
        </is>
      </c>
      <c r="L87" s="11" t="inlineStr">
        <is>
          <t>sla-credit.scheduler.ts:79 — if (!policy.enabled) return; SLA_CREDITS_ENABLED default '0' (platform-settings.keys.ts:116)</t>
        </is>
      </c>
      <c r="M87" s="11" t="inlineStr">
        <is>
          <t>PB-03 (kredyty SLA muszą być zgodne z opublikowanym regulaminem)</t>
        </is>
      </c>
      <c r="N87" s="11" t="inlineStr">
        <is>
          <t>Wartość domyślna włączona albo check w live-readiness pilnuje konfiguracji — flaga nie może po cichu wyłączyć funkcji.</t>
        </is>
      </c>
      <c r="O87" s="11" t="inlineStr">
        <is>
          <t>OSŁABIONE: funkcja jest domyślnie martwa, a live-readiness nie ma checka SLA — flaga może zostać wyłączona bez żadnego sygnału. Regulamin obiecuje kredyty, kod ich nie nalicza.</t>
        </is>
      </c>
      <c r="P87" s="10" t="inlineStr">
        <is>
          <t>do zrobienia</t>
        </is>
      </c>
    </row>
    <row r="88">
      <c r="A88" s="10" t="inlineStr">
        <is>
          <t>A-11</t>
        </is>
      </c>
      <c r="B88" s="11" t="inlineStr">
        <is>
          <t>Wyszukiwarka wolnych domen</t>
        </is>
      </c>
      <c r="C88" s="10" t="inlineStr">
        <is>
          <t>audyt</t>
        </is>
      </c>
      <c r="D88" s="10" t="inlineStr">
        <is>
          <t>A — Domeny i konta</t>
        </is>
      </c>
      <c r="E88" s="10" t="inlineStr">
        <is>
          <t>WYSOKA</t>
        </is>
      </c>
      <c r="F88" s="10" t="n">
        <v>6</v>
      </c>
      <c r="G88" s="10" t="n">
        <v>16</v>
      </c>
      <c r="H88" s="10" t="inlineStr">
        <is>
          <t>Faza 3 — Wejście na rynek</t>
        </is>
      </c>
      <c r="I88" s="10" t="inlineStr">
        <is>
          <t>2026-12-14</t>
        </is>
      </c>
      <c r="J88" s="10" t="inlineStr">
        <is>
          <t>2026-12-18</t>
        </is>
      </c>
      <c r="K88" s="10" t="inlineStr">
        <is>
          <t>FLAGA</t>
        </is>
      </c>
      <c r="L88" s="11" t="inlineStr">
        <is>
          <t>domains.controller.ts:54</t>
        </is>
      </c>
      <c r="M88" s="11" t="inlineStr">
        <is>
          <t>—</t>
        </is>
      </c>
      <c r="N88" s="11" t="inlineStr">
        <is>
          <t>Wartość domyślna włączona albo check w live-readiness pilnuje konfiguracji — flaga nie może po cichu wyłączyć funkcji.</t>
        </is>
      </c>
      <c r="O88" s="11" t="inlineStr"/>
      <c r="P88" s="10" t="inlineStr">
        <is>
          <t>do zrobienia</t>
        </is>
      </c>
    </row>
    <row r="89">
      <c r="A89" s="10" t="inlineStr">
        <is>
          <t>C-11</t>
        </is>
      </c>
      <c r="B89" s="11" t="inlineStr">
        <is>
          <t>Spakowanie do archiwum</t>
        </is>
      </c>
      <c r="C89" s="10" t="inlineStr">
        <is>
          <t>audyt</t>
        </is>
      </c>
      <c r="D89" s="10" t="inlineStr">
        <is>
          <t>C — Pliki, FTP, SSH, Git</t>
        </is>
      </c>
      <c r="E89" s="10" t="inlineStr">
        <is>
          <t>ŚREDNIA</t>
        </is>
      </c>
      <c r="F89" s="10" t="n">
        <v>6</v>
      </c>
      <c r="G89" s="10" t="n">
        <v>16</v>
      </c>
      <c r="H89" s="10" t="inlineStr">
        <is>
          <t>Faza 3 — Wejście na rynek</t>
        </is>
      </c>
      <c r="I89" s="10" t="inlineStr">
        <is>
          <t>2026-12-14</t>
        </is>
      </c>
      <c r="J89" s="10" t="inlineStr">
        <is>
          <t>2026-12-18</t>
        </is>
      </c>
      <c r="K89" s="10" t="inlineStr">
        <is>
          <t>BRAK</t>
        </is>
      </c>
      <c r="L89" s="11" t="inlineStr">
        <is>
          <t>files.service.ts:320 — tylko extract</t>
        </is>
      </c>
      <c r="M89" s="11" t="inlineStr">
        <is>
          <t>—</t>
        </is>
      </c>
      <c r="N89" s="11" t="inlineStr">
        <is>
          <t>Funkcja dostępna z panelu klienta bez wychodzenia do DirectAdmina; test uruchamiany w CI.</t>
        </is>
      </c>
      <c r="O89" s="11" t="inlineStr">
        <is>
          <t>standard we wszystkich panelach</t>
        </is>
      </c>
      <c r="P89" s="10" t="inlineStr">
        <is>
          <t>do zrobienia</t>
        </is>
      </c>
    </row>
    <row r="90">
      <c r="A90" s="10" t="inlineStr">
        <is>
          <t>PB-07</t>
        </is>
      </c>
      <c r="B90" s="11" t="inlineStr">
        <is>
          <t>Treści i cennik na verris.pl</t>
        </is>
      </c>
      <c r="C90" s="10" t="inlineStr">
        <is>
          <t>poza audytem</t>
        </is>
      </c>
      <c r="D90" s="10" t="inlineStr">
        <is>
          <t>Praca spoza audytu</t>
        </is>
      </c>
      <c r="E90" s="10" t="inlineStr">
        <is>
          <t>WYSOKI</t>
        </is>
      </c>
      <c r="F90" s="10" t="n">
        <v>16</v>
      </c>
      <c r="G90" s="10" t="n">
        <v>16</v>
      </c>
      <c r="H90" s="10" t="inlineStr">
        <is>
          <t>Faza 3 — Wejście na rynek</t>
        </is>
      </c>
      <c r="I90" s="10" t="inlineStr">
        <is>
          <t>2026-12-14</t>
        </is>
      </c>
      <c r="J90" s="10" t="inlineStr">
        <is>
          <t>2026-12-18</t>
        </is>
      </c>
      <c r="K90" s="10" t="inlineStr">
        <is>
          <t>—</t>
        </is>
      </c>
      <c r="L90" s="11" t="inlineStr">
        <is>
          <t>—</t>
        </is>
      </c>
      <c r="M90" s="11" t="inlineStr">
        <is>
          <t>PB-01 (cennik zależy od unit economics)</t>
        </is>
      </c>
      <c r="N90" s="11" t="inlineStr">
        <is>
          <t>Cennik zgodny z wynikiem PB-01. Specyfikacja techniczna publiczna, jak u cyber_Folks — to jest element zaufania, którego rynek oczekuje.</t>
        </is>
      </c>
      <c r="O90" s="11" t="inlineStr">
        <is>
          <t>Strona główna, cennik, specyfikacja techniczna pakietu, strona SLA. Narracja: cena stała, bez skoku po roku.</t>
        </is>
      </c>
      <c r="P90" s="10" t="inlineStr">
        <is>
          <t>do zrobienia</t>
        </is>
      </c>
    </row>
    <row r="91">
      <c r="A91" s="10" t="inlineStr">
        <is>
          <t>PB-06</t>
        </is>
      </c>
      <c r="B91" s="11" t="inlineStr">
        <is>
          <t>Landing /przenies-strone</t>
        </is>
      </c>
      <c r="C91" s="10" t="inlineStr">
        <is>
          <t>poza audytem</t>
        </is>
      </c>
      <c r="D91" s="10" t="inlineStr">
        <is>
          <t>Praca spoza audytu</t>
        </is>
      </c>
      <c r="E91" s="10" t="inlineStr">
        <is>
          <t>WYSOKI</t>
        </is>
      </c>
      <c r="F91" s="10" t="n">
        <v>16</v>
      </c>
      <c r="G91" s="10" t="n">
        <v>17</v>
      </c>
      <c r="H91" s="10" t="inlineStr">
        <is>
          <t>Faza 3 — Wejście na rynek</t>
        </is>
      </c>
      <c r="I91" s="10" t="inlineStr">
        <is>
          <t>2026-12-21</t>
        </is>
      </c>
      <c r="J91" s="10" t="inlineStr">
        <is>
          <t>2026-12-25</t>
        </is>
      </c>
      <c r="K91" s="10" t="inlineStr">
        <is>
          <t>—</t>
        </is>
      </c>
      <c r="L91" s="11" t="inlineStr">
        <is>
          <t>—</t>
        </is>
      </c>
      <c r="M91" s="11" t="inlineStr">
        <is>
          <t>PB-07 (landing korzysta z ustalonego cennika)</t>
        </is>
      </c>
      <c r="N91" s="11" t="inlineStr">
        <is>
          <t>Strona opublikowana, pomiar działa, formularz i CTA prowadzą do rejestracji. Żadne twierdzenie na stronie nie jest oznaczone w macierzy jako LUKA lub ATRAPA.</t>
        </is>
      </c>
      <c r="O91" s="11" t="inlineStr">
        <is>
          <t>Strona docelowa kampanii Google Ads na osi migracji. Treść oparta na realnych przewagach z audytu, nie na obietnicach.</t>
        </is>
      </c>
      <c r="P91" s="10" t="inlineStr">
        <is>
          <t>do zrobienia</t>
        </is>
      </c>
    </row>
    <row r="92">
      <c r="A92" s="10" t="inlineStr">
        <is>
          <t>PB-08</t>
        </is>
      </c>
      <c r="B92" s="11" t="inlineStr">
        <is>
          <t>Pomiar: Consent Mode v2 + GTM + dedup event_id</t>
        </is>
      </c>
      <c r="C92" s="10" t="inlineStr">
        <is>
          <t>poza audytem</t>
        </is>
      </c>
      <c r="D92" s="10" t="inlineStr">
        <is>
          <t>Praca spoza audytu</t>
        </is>
      </c>
      <c r="E92" s="10" t="inlineStr">
        <is>
          <t>ŚREDNI</t>
        </is>
      </c>
      <c r="F92" s="10" t="n">
        <v>16</v>
      </c>
      <c r="G92" s="10" t="n">
        <v>17</v>
      </c>
      <c r="H92" s="10" t="inlineStr">
        <is>
          <t>Faza 3 — Wejście na rynek</t>
        </is>
      </c>
      <c r="I92" s="10" t="inlineStr">
        <is>
          <t>2026-12-21</t>
        </is>
      </c>
      <c r="J92" s="10" t="inlineStr">
        <is>
          <t>2026-12-25</t>
        </is>
      </c>
      <c r="K92" s="10" t="inlineStr">
        <is>
          <t>—</t>
        </is>
      </c>
      <c r="L92" s="11" t="inlineStr">
        <is>
          <t>—</t>
        </is>
      </c>
      <c r="M92" s="11" t="inlineStr">
        <is>
          <t>—</t>
        </is>
      </c>
      <c r="N92" s="11" t="inlineStr">
        <is>
          <t>Zdarzenie zakupu dociera raz, nie dwa. Consent Mode nie blokuje pomiaru po zgodzie. Zweryfikowane w GTM Preview i w raporcie.</t>
        </is>
      </c>
      <c r="O92" s="11" t="inlineStr">
        <is>
          <t>Wdrożenie ustaleń z audytu pomiaru: www linkuje, panel działa, deduplikacja po event_id, cookie Domain=.verris.pl.</t>
        </is>
      </c>
      <c r="P92" s="10" t="inlineStr">
        <is>
          <t>do zrobienia</t>
        </is>
      </c>
    </row>
    <row r="93">
      <c r="A93" s="10" t="inlineStr">
        <is>
          <t>M-16</t>
        </is>
      </c>
      <c r="B93" s="11" t="inlineStr">
        <is>
          <t>KSeF — tryb offline/awaryjny</t>
        </is>
      </c>
      <c r="C93" s="10" t="inlineStr">
        <is>
          <t>audyt</t>
        </is>
      </c>
      <c r="D93" s="10" t="inlineStr">
        <is>
          <t>M — Rozliczenia</t>
        </is>
      </c>
      <c r="E93" s="10" t="inlineStr">
        <is>
          <t>BLOKER STARTU</t>
        </is>
      </c>
      <c r="F93" s="10" t="n">
        <v>16</v>
      </c>
      <c r="G93" s="10" t="n">
        <v>18</v>
      </c>
      <c r="H93" s="10" t="inlineStr">
        <is>
          <t>Faza 3 — Wejście na rynek</t>
        </is>
      </c>
      <c r="I93" s="10" t="inlineStr">
        <is>
          <t>2026-12-28</t>
        </is>
      </c>
      <c r="J93" s="10" t="inlineStr">
        <is>
          <t>2027-01-01</t>
        </is>
      </c>
      <c r="K93" s="10" t="inlineStr">
        <is>
          <t>BRAK</t>
        </is>
      </c>
      <c r="L93" s="11" t="inlineStr">
        <is>
          <t>KsefStatus.OFFLINE w schema.prisma:1432 nigdy nie ustawiany</t>
        </is>
      </c>
      <c r="M93" s="11" t="inlineStr">
        <is>
          <t>PB-13 (zakres zależy od kierunku fakturowania)</t>
        </is>
      </c>
      <c r="N93" s="11" t="inlineStr">
        <is>
          <t>Funkcja dostępna z panelu klienta bez wychodzenia do DirectAdmina; test uruchamiany w CI.</t>
        </is>
      </c>
      <c r="O93" s="11" t="inlineStr">
        <is>
          <t>awaria KSeF zostawia fakturę w PENDING, bez kodu QR offline</t>
        </is>
      </c>
      <c r="P93" s="10" t="inlineStr">
        <is>
          <t>do zrobienia</t>
        </is>
      </c>
    </row>
    <row r="94">
      <c r="A94" s="10" t="inlineStr">
        <is>
          <t>KSEF-02</t>
        </is>
      </c>
      <c r="B94" s="11" t="inlineStr">
        <is>
          <t>`KsefStatus.OFFLINE` istnieje w schemacie i nie jest ustawiany nigdy</t>
        </is>
      </c>
      <c r="C94" s="10" t="inlineStr">
        <is>
          <t>audyt</t>
        </is>
      </c>
      <c r="D94" s="10" t="inlineStr">
        <is>
          <t>M — Rozliczenia</t>
        </is>
      </c>
      <c r="E94" s="10" t="inlineStr">
        <is>
          <t>ŚREDNIA</t>
        </is>
      </c>
      <c r="F94" s="10" t="n">
        <v>6</v>
      </c>
      <c r="G94" s="10" t="n">
        <v>18</v>
      </c>
      <c r="H94" s="10" t="inlineStr">
        <is>
          <t>Faza 3 — Wejście na rynek</t>
        </is>
      </c>
      <c r="I94" s="10" t="inlineStr">
        <is>
          <t>2026-12-28</t>
        </is>
      </c>
      <c r="J94" s="10" t="inlineStr">
        <is>
          <t>2027-01-01</t>
        </is>
      </c>
      <c r="K94" s="10" t="inlineStr">
        <is>
          <t>CZĘŚCIOWE</t>
        </is>
      </c>
      <c r="L94" s="11"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M94" s="11" t="inlineStr">
        <is>
          <t>—</t>
        </is>
      </c>
      <c r="N94" s="11" t="inlineStr">
        <is>
          <t>Ograniczenie opisane w uwagach macierzy zniknęło; test potwierdza zachowanie także w scenariuszu awaryjnym.</t>
        </is>
      </c>
      <c r="O94"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t>
        </is>
      </c>
      <c r="P94" s="10" t="inlineStr">
        <is>
          <t>do zrobienia</t>
        </is>
      </c>
    </row>
    <row r="95">
      <c r="A95" s="10" t="inlineStr">
        <is>
          <t>KSEF-01</t>
        </is>
      </c>
      <c r="B95" s="11" t="inlineStr">
        <is>
          <t>Obowiązek KSeF działa od 1 kwietnia 2026 — od pięciu miesięcy</t>
        </is>
      </c>
      <c r="C95" s="10" t="inlineStr">
        <is>
          <t>audyt</t>
        </is>
      </c>
      <c r="D95" s="10" t="inlineStr">
        <is>
          <t>M — Rozliczenia</t>
        </is>
      </c>
      <c r="E95" s="10" t="inlineStr">
        <is>
          <t>WYSOKA</t>
        </is>
      </c>
      <c r="F95" s="10" t="n">
        <v>6</v>
      </c>
      <c r="G95" s="10" t="n">
        <v>18</v>
      </c>
      <c r="H95" s="10" t="inlineStr">
        <is>
          <t>Faza 3 — Wejście na rynek</t>
        </is>
      </c>
      <c r="I95" s="10" t="inlineStr">
        <is>
          <t>2026-12-28</t>
        </is>
      </c>
      <c r="J95" s="10" t="inlineStr">
        <is>
          <t>2027-01-01</t>
        </is>
      </c>
      <c r="K95" s="10" t="inlineStr">
        <is>
          <t>BRAK</t>
        </is>
      </c>
      <c r="L95" s="11" t="inlineStr">
        <is>
          <t>harmonogram MF: 1.02.2026 (&gt;200 mln), 1.04.2026 (pozostali), 1.01.2027 (do 10 tys./mies.)</t>
        </is>
      </c>
      <c r="M95" s="11" t="inlineStr">
        <is>
          <t>—</t>
        </is>
      </c>
      <c r="N95" s="11" t="inlineStr">
        <is>
          <t>Funkcja dostępna z panelu klienta bez wychodzenia do DirectAdmina; test uruchamiany w CI.</t>
        </is>
      </c>
      <c r="O95"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t>
        </is>
      </c>
      <c r="P95" s="10" t="inlineStr">
        <is>
          <t>do zrobienia</t>
        </is>
      </c>
    </row>
    <row r="96">
      <c r="A96" s="10" t="inlineStr">
        <is>
          <t>M-17</t>
        </is>
      </c>
      <c r="B96" s="11" t="inlineStr">
        <is>
          <t>KSeF — walidacja XSD przed wysyłką</t>
        </is>
      </c>
      <c r="C96" s="10" t="inlineStr">
        <is>
          <t>audyt</t>
        </is>
      </c>
      <c r="D96" s="10" t="inlineStr">
        <is>
          <t>M — Rozliczenia</t>
        </is>
      </c>
      <c r="E96" s="10" t="inlineStr">
        <is>
          <t>BLOKER STARTU</t>
        </is>
      </c>
      <c r="F96" s="10" t="n">
        <v>6</v>
      </c>
      <c r="G96" s="10" t="n">
        <v>19</v>
      </c>
      <c r="H96" s="10" t="inlineStr">
        <is>
          <t>Faza 3 — Wejście na rynek</t>
        </is>
      </c>
      <c r="I96" s="10" t="inlineStr">
        <is>
          <t>2027-01-04</t>
        </is>
      </c>
      <c r="J96" s="10" t="inlineStr">
        <is>
          <t>2027-01-08</t>
        </is>
      </c>
      <c r="K96" s="10" t="inlineStr">
        <is>
          <t>BRAK</t>
        </is>
      </c>
      <c r="L96" s="11" t="inlineStr">
        <is>
          <t>fa3-xml.builder.ts składa XML stringowo; komentarz ksef-v2.client.ts:61-62 sam to wskazuje</t>
        </is>
      </c>
      <c r="M96" s="11" t="inlineStr">
        <is>
          <t>M-16 (najpierw obsługa awarii, potem walidacja schematu)</t>
        </is>
      </c>
      <c r="N96" s="11" t="inlineStr">
        <is>
          <t>Funkcja dostępna z panelu klienta bez wychodzenia do DirectAdmina; test uruchamiany w CI.</t>
        </is>
      </c>
      <c r="O96" s="11" t="inlineStr">
        <is>
          <t>smoke na api-test MF nie został wykonany</t>
        </is>
      </c>
      <c r="P96" s="10" t="inlineStr">
        <is>
          <t>do zrobienia</t>
        </is>
      </c>
    </row>
    <row r="97">
      <c r="A97" s="10" t="inlineStr">
        <is>
          <t>KSEF-03</t>
        </is>
      </c>
      <c r="B97" s="11" t="inlineStr">
        <is>
          <t>Brak kodów QR na fakturze offline</t>
        </is>
      </c>
      <c r="C97" s="10" t="inlineStr">
        <is>
          <t>audyt</t>
        </is>
      </c>
      <c r="D97" s="10" t="inlineStr">
        <is>
          <t>M — Rozliczenia</t>
        </is>
      </c>
      <c r="E97" s="10" t="inlineStr">
        <is>
          <t>WYSOKA</t>
        </is>
      </c>
      <c r="F97" s="10" t="n">
        <v>16</v>
      </c>
      <c r="G97" s="10" t="n">
        <v>19</v>
      </c>
      <c r="H97" s="10" t="inlineStr">
        <is>
          <t>Faza 3 — Wejście na rynek</t>
        </is>
      </c>
      <c r="I97" s="10" t="inlineStr">
        <is>
          <t>2027-01-04</t>
        </is>
      </c>
      <c r="J97" s="10" t="inlineStr">
        <is>
          <t>2027-01-08</t>
        </is>
      </c>
      <c r="K97" s="10" t="inlineStr">
        <is>
          <t>BRAK</t>
        </is>
      </c>
      <c r="L97" s="11" t="inlineStr">
        <is>
          <t>zero trafień `qrcode|QRCode|kodQR` w `apps/api/src` i `apps/client-panel/src`</t>
        </is>
      </c>
      <c r="M97" s="11" t="inlineStr">
        <is>
          <t>—</t>
        </is>
      </c>
      <c r="N97" s="11" t="inlineStr">
        <is>
          <t>Funkcja dostępna z panelu klienta bez wychodzenia do DirectAdmina; test uruchamiany w CI.</t>
        </is>
      </c>
      <c r="O97"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t>
        </is>
      </c>
      <c r="P97" s="10" t="inlineStr">
        <is>
          <t>do zrobienia</t>
        </is>
      </c>
    </row>
    <row r="98">
      <c r="A98" s="10" t="inlineStr">
        <is>
          <t>M-15</t>
        </is>
      </c>
      <c r="B98" s="11" t="inlineStr">
        <is>
          <t>KSeF — pobranie UPO przez operatora</t>
        </is>
      </c>
      <c r="C98" s="10" t="inlineStr">
        <is>
          <t>audyt</t>
        </is>
      </c>
      <c r="D98" s="10" t="inlineStr">
        <is>
          <t>M — Rozliczenia</t>
        </is>
      </c>
      <c r="E98" s="10" t="inlineStr">
        <is>
          <t>ŚREDNIA</t>
        </is>
      </c>
      <c r="F98" s="10" t="n">
        <v>6</v>
      </c>
      <c r="G98" s="10" t="n">
        <v>19</v>
      </c>
      <c r="H98" s="10" t="inlineStr">
        <is>
          <t>Faza 3 — Wejście na rynek</t>
        </is>
      </c>
      <c r="I98" s="10" t="inlineStr">
        <is>
          <t>2027-01-04</t>
        </is>
      </c>
      <c r="J98" s="10" t="inlineStr">
        <is>
          <t>2027-01-08</t>
        </is>
      </c>
      <c r="K98" s="10" t="inlineStr">
        <is>
          <t>ENDPOINT BEZ UI</t>
        </is>
      </c>
      <c r="L98" s="11" t="inlineStr">
        <is>
          <t>ksef.admin.controller.ts:38; zero wystąpień UPO w admin-panel</t>
        </is>
      </c>
      <c r="M98" s="11" t="inlineStr">
        <is>
          <t>PB-13</t>
        </is>
      </c>
      <c r="N98" s="11" t="inlineStr">
        <is>
          <t>Panel wywołuje istniejący endpoint; akcja zostawia wpis w logu audytu. Test potwierdza, że guard nadal blokuje nieuprawnionych.</t>
        </is>
      </c>
      <c r="O98" s="11" t="inlineStr">
        <is>
          <t>Skorygowane: UPO jest dostępne w portalu MF, więc warunek dokumentu księgowego nie jest naruszony. Brakuje wygody.</t>
        </is>
      </c>
      <c r="P98" s="10" t="inlineStr">
        <is>
          <t>do zrobienia</t>
        </is>
      </c>
    </row>
    <row r="99">
      <c r="A99" s="10" t="inlineStr">
        <is>
          <t>M-11</t>
        </is>
      </c>
      <c r="B99" s="11" t="inlineStr">
        <is>
          <t>KSeF — wysyłka faktury</t>
        </is>
      </c>
      <c r="C99" s="10" t="inlineStr">
        <is>
          <t>audyt</t>
        </is>
      </c>
      <c r="D99" s="10" t="inlineStr">
        <is>
          <t>M — Rozliczenia</t>
        </is>
      </c>
      <c r="E99" s="10" t="inlineStr">
        <is>
          <t>ŚREDNIA</t>
        </is>
      </c>
      <c r="F99" s="10" t="n">
        <v>6</v>
      </c>
      <c r="G99" s="10" t="n">
        <v>19</v>
      </c>
      <c r="H99" s="10" t="inlineStr">
        <is>
          <t>Faza 3 — Wejście na rynek</t>
        </is>
      </c>
      <c r="I99" s="10" t="inlineStr">
        <is>
          <t>2027-01-04</t>
        </is>
      </c>
      <c r="J99" s="10" t="inlineStr">
        <is>
          <t>2027-01-08</t>
        </is>
      </c>
      <c r="K99" s="10" t="inlineStr">
        <is>
          <t>FLAGA</t>
        </is>
      </c>
      <c r="L99" s="11" t="inlineStr">
        <is>
          <t>ksef-v2.client.ts:138-165; FA(3) 1-0E; API v2</t>
        </is>
      </c>
      <c r="M99" s="11" t="inlineStr">
        <is>
          <t>—</t>
        </is>
      </c>
      <c r="N99" s="11" t="inlineStr">
        <is>
          <t>Wartość domyślna włączona albo check w live-readiness pilnuje konfiguracji — flaga nie może po cichu wyłączyć funkcji.</t>
        </is>
      </c>
      <c r="O99" s="11"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t>
        </is>
      </c>
      <c r="P99" s="10" t="inlineStr">
        <is>
          <t>do zrobienia</t>
        </is>
      </c>
    </row>
    <row r="100">
      <c r="A100" s="10" t="inlineStr">
        <is>
          <t>M-14</t>
        </is>
      </c>
      <c r="B100" s="11" t="inlineStr">
        <is>
          <t>KSeF — numer i UPO widoczne dla klienta</t>
        </is>
      </c>
      <c r="C100" s="10" t="inlineStr">
        <is>
          <t>audyt</t>
        </is>
      </c>
      <c r="D100" s="10" t="inlineStr">
        <is>
          <t>M — Rozliczenia</t>
        </is>
      </c>
      <c r="E100" s="10" t="inlineStr">
        <is>
          <t>WYSOKA</t>
        </is>
      </c>
      <c r="F100" s="10" t="n">
        <v>6</v>
      </c>
      <c r="G100" s="10" t="n">
        <v>20</v>
      </c>
      <c r="H100" s="10" t="inlineStr"/>
      <c r="I100" s="10" t="inlineStr">
        <is>
          <t>2027-01-11</t>
        </is>
      </c>
      <c r="J100" s="10" t="inlineStr">
        <is>
          <t>2027-01-15</t>
        </is>
      </c>
      <c r="K100" s="10" t="inlineStr">
        <is>
          <t>BRAK</t>
        </is>
      </c>
      <c r="L100" s="11" t="inlineStr">
        <is>
          <t>zero wystąpień „ksef” w apps/client-panel</t>
        </is>
      </c>
      <c r="M100" s="11" t="inlineStr">
        <is>
          <t>M-17 (numer KSeF pokazujemy dopiero po potwierdzonej wysyłce)</t>
        </is>
      </c>
      <c r="N100" s="11" t="inlineStr">
        <is>
          <t>Funkcja dostępna z panelu klienta bez wychodzenia do DirectAdmina; test uruchamiany w CI.</t>
        </is>
      </c>
      <c r="O100" s="11" t="inlineStr">
        <is>
          <t>dhosting pokazuje numer KSeF i QR na fakturze</t>
        </is>
      </c>
      <c r="P100" s="10" t="inlineStr">
        <is>
          <t>do zrobienia</t>
        </is>
      </c>
    </row>
    <row r="101">
      <c r="A101" s="10" t="inlineStr">
        <is>
          <t>PB-09</t>
        </is>
      </c>
      <c r="B101" s="11" t="inlineStr">
        <is>
          <t>Baza wiedzy — 20 artykułów startowych</t>
        </is>
      </c>
      <c r="C101" s="10" t="inlineStr">
        <is>
          <t>poza audytem</t>
        </is>
      </c>
      <c r="D101" s="10" t="inlineStr">
        <is>
          <t>Praca spoza audytu</t>
        </is>
      </c>
      <c r="E101" s="10" t="inlineStr">
        <is>
          <t>ŚREDNI</t>
        </is>
      </c>
      <c r="F101" s="10" t="n">
        <v>16</v>
      </c>
      <c r="G101" s="10" t="n">
        <v>20</v>
      </c>
      <c r="H101" s="10" t="inlineStr"/>
      <c r="I101" s="10" t="inlineStr">
        <is>
          <t>2027-01-11</t>
        </is>
      </c>
      <c r="J101" s="10" t="inlineStr">
        <is>
          <t>2027-01-15</t>
        </is>
      </c>
      <c r="K101" s="10" t="inlineStr">
        <is>
          <t>—</t>
        </is>
      </c>
      <c r="L101" s="11" t="inlineStr">
        <is>
          <t>—</t>
        </is>
      </c>
      <c r="M101" s="11" t="inlineStr">
        <is>
          <t>—</t>
        </is>
      </c>
      <c r="N101" s="11" t="inlineStr">
        <is>
          <t>20 artykułów opublikowanych i zaindeksowanych do asystenta AI. Każdy opisuje funkcję, która w macierzy ma status DZIAŁA.</t>
        </is>
      </c>
      <c r="O101" s="11" t="inlineStr">
        <is>
          <t>Artykuły pokrywające najczęstsze pytania pierwszego tygodnia: skierowanie domeny, SSL, poczta, FTP, backup, migracja, faktury.</t>
        </is>
      </c>
      <c r="P101" s="10" t="inlineStr">
        <is>
          <t>do zrobienia</t>
        </is>
      </c>
    </row>
    <row r="102">
      <c r="A102" s="10" t="inlineStr">
        <is>
          <t>PB-10</t>
        </is>
      </c>
      <c r="B102" s="11" t="inlineStr">
        <is>
          <t>Kampania gads-search-hosting-202607 — uruchomienie</t>
        </is>
      </c>
      <c r="C102" s="10" t="inlineStr">
        <is>
          <t>poza audytem</t>
        </is>
      </c>
      <c r="D102" s="10" t="inlineStr">
        <is>
          <t>Praca spoza audytu</t>
        </is>
      </c>
      <c r="E102" s="10" t="inlineStr">
        <is>
          <t>ŚREDNI</t>
        </is>
      </c>
      <c r="F102" s="10" t="n">
        <v>8</v>
      </c>
      <c r="G102" s="10" t="n">
        <v>20</v>
      </c>
      <c r="H102" s="10" t="inlineStr"/>
      <c r="I102" s="10" t="inlineStr">
        <is>
          <t>2027-01-11</t>
        </is>
      </c>
      <c r="J102" s="10" t="inlineStr">
        <is>
          <t>2027-01-15</t>
        </is>
      </c>
      <c r="K102" s="10" t="inlineStr">
        <is>
          <t>—</t>
        </is>
      </c>
      <c r="L102" s="11" t="inlineStr">
        <is>
          <t>—</t>
        </is>
      </c>
      <c r="M102" s="11" t="inlineStr">
        <is>
          <t>PB-06 (kampania kieruje na landing)</t>
        </is>
      </c>
      <c r="N102" s="11" t="inlineStr">
        <is>
          <t>Kampania utworzona wstrzymana, konwersje podpięte, budżet i stawki ustawione. Start dopiero po PB-05.</t>
        </is>
      </c>
      <c r="O102" s="11" t="inlineStr">
        <is>
          <t>Konfiguracja kampanii wyszukiwarkowej, budżet 500–1000 zł/mies., oś przekazu: migracja bez przestoju.</t>
        </is>
      </c>
      <c r="P102" s="10" t="inlineStr">
        <is>
          <t>do zrobienia</t>
        </is>
      </c>
    </row>
    <row r="103">
      <c r="A103" s="10" t="inlineStr">
        <is>
          <t>PB-05</t>
        </is>
      </c>
      <c r="B103" s="11" t="inlineStr">
        <is>
          <t>Test end-to-end „pierwszy klient”</t>
        </is>
      </c>
      <c r="C103" s="10" t="inlineStr">
        <is>
          <t>poza audytem</t>
        </is>
      </c>
      <c r="D103" s="10" t="inlineStr">
        <is>
          <t>Praca spoza audytu</t>
        </is>
      </c>
      <c r="E103" s="10" t="inlineStr">
        <is>
          <t>BLOKER BIZNESOWY</t>
        </is>
      </c>
      <c r="F103" s="10" t="n">
        <v>16</v>
      </c>
      <c r="G103" s="10" t="n">
        <v>21</v>
      </c>
      <c r="H103" s="10" t="inlineStr"/>
      <c r="I103" s="10" t="inlineStr">
        <is>
          <t>2027-01-18</t>
        </is>
      </c>
      <c r="J103" s="10" t="inlineStr">
        <is>
          <t>2027-01-22</t>
        </is>
      </c>
      <c r="K103" s="10" t="inlineStr">
        <is>
          <t>—</t>
        </is>
      </c>
      <c r="L103" s="11" t="inlineStr">
        <is>
          <t>—</t>
        </is>
      </c>
      <c r="M103" s="11" t="inlineStr">
        <is>
          <t>wszystkie blokery zamknięte (sprint 8)</t>
        </is>
      </c>
      <c r="N103" s="11" t="inlineStr">
        <is>
          <t>Zapisany przebieg z timestampami dla każdego kroku — to jest dowód poziomu D3, jedyny w całym projekcie. Każdy nieudany krok wraca do backlogu jako bloker.</t>
        </is>
      </c>
      <c r="O103" s="11" t="inlineStr">
        <is>
          <t>Przejście całej ścieżki na produkcji jako realny klient: rejestracja, zakup, płatność, provisioning, migracja strony, wystawienie faktury, KSeF, backup, odtworzenie.</t>
        </is>
      </c>
      <c r="P103" s="10" t="inlineStr">
        <is>
          <t>do zrobienia</t>
        </is>
      </c>
    </row>
    <row r="104">
      <c r="A104" s="10" t="inlineStr">
        <is>
          <t>PB-12</t>
        </is>
      </c>
      <c r="B104" s="11" t="inlineStr">
        <is>
          <t>Runbook startu i decyzja GO</t>
        </is>
      </c>
      <c r="C104" s="10" t="inlineStr">
        <is>
          <t>poza audytem</t>
        </is>
      </c>
      <c r="D104" s="10" t="inlineStr">
        <is>
          <t>Praca spoza audytu</t>
        </is>
      </c>
      <c r="E104" s="10" t="inlineStr">
        <is>
          <t>BLOKER BIZNESOWY</t>
        </is>
      </c>
      <c r="F104" s="10" t="n">
        <v>8</v>
      </c>
      <c r="G104" s="10" t="n">
        <v>21</v>
      </c>
      <c r="H104" s="10" t="inlineStr"/>
      <c r="I104" s="10" t="inlineStr">
        <is>
          <t>2027-01-18</t>
        </is>
      </c>
      <c r="J104" s="10" t="inlineStr">
        <is>
          <t>2027-01-22</t>
        </is>
      </c>
      <c r="K104" s="10" t="inlineStr">
        <is>
          <t>—</t>
        </is>
      </c>
      <c r="L104" s="11" t="inlineStr">
        <is>
          <t>—</t>
        </is>
      </c>
      <c r="M104" s="11" t="inlineStr">
        <is>
          <t>PB-05 (decyzja GO po przejściu ścieżki na produkcji)</t>
        </is>
      </c>
      <c r="N104" s="11" t="inlineStr">
        <is>
          <t>Każdy z 11 blokerów ma wpis: co zrobiono, gdzie jest dowód, kto potwierdził. Bez formuły „warunkowe GO”.</t>
        </is>
      </c>
      <c r="O104" s="11" t="inlineStr">
        <is>
          <t>Domknięcie: przegląd wszystkich blokerów z dowodem zamknięcia, decyzja GO/NO-GO zapisana z datą.</t>
        </is>
      </c>
      <c r="P104" s="10" t="inlineStr">
        <is>
          <t>do zrobienia</t>
        </is>
      </c>
    </row>
  </sheetData>
  <autoFilter ref="A1:P104"/>
  <conditionalFormatting sqref="E2:E104">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04">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2"/>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startu'!$G$2:$G$104,A2)</f>
        <v/>
      </c>
      <c r="G2" s="10">
        <f>SUMIF('Backlog do startu'!$G$2:$G$104,A2,'Backlog do startu'!$F$2:$F$104)</f>
        <v/>
      </c>
      <c r="H2" s="10" t="n">
        <v>30</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startu'!$G$2:$G$104,A3)</f>
        <v/>
      </c>
      <c r="G3" s="10">
        <f>SUMIF('Backlog do startu'!$G$2:$G$104,A3,'Backlog do startu'!$F$2:$F$104)</f>
        <v/>
      </c>
      <c r="H3" s="10" t="n">
        <v>30</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startu'!$G$2:$G$104,A4)</f>
        <v/>
      </c>
      <c r="G4" s="10">
        <f>SUMIF('Backlog do startu'!$G$2:$G$104,A4,'Backlog do startu'!$F$2:$F$104)</f>
        <v/>
      </c>
      <c r="H4" s="10" t="n">
        <v>30</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startu'!$G$2:$G$104,A5)</f>
        <v/>
      </c>
      <c r="G5" s="10">
        <f>SUMIF('Backlog do startu'!$G$2:$G$104,A5,'Backlog do startu'!$F$2:$F$104)</f>
        <v/>
      </c>
      <c r="H5" s="10" t="n">
        <v>30</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 | DOLOZONE W TRAKCIE 2026-09-19: X-51 (etykiety) i SEC-08 (dwa CRITICAL RCE w Next.js, odkryte przy pierwszym uruchomieniu bramki podatnosci po przerwie). SEC-07 przeniesione tu ze sprintu 5 — zamkniete tego samego dnia.</t>
        </is>
      </c>
    </row>
    <row r="6">
      <c r="A6" s="10" t="n">
        <v>5</v>
      </c>
      <c r="B6" s="10" t="inlineStr">
        <is>
          <t>2026-09-28</t>
        </is>
      </c>
      <c r="C6" s="10" t="inlineStr">
        <is>
          <t>2026-10-02</t>
        </is>
      </c>
      <c r="D6" s="11" t="inlineStr">
        <is>
          <t>Faza 1 — Rozliczenia i dowód odtworzenia</t>
        </is>
      </c>
      <c r="E6" s="11" t="inlineStr">
        <is>
          <t>Kierunek fakturowania i bramka wdrozenia</t>
        </is>
      </c>
      <c r="F6" s="10">
        <f>COUNTIF('Backlog do startu'!$G$2:$G$104,A6)</f>
        <v/>
      </c>
      <c r="G6" s="10">
        <f>SUMIF('Backlog do startu'!$G$2:$G$104,A6,'Backlog do startu'!$F$2:$F$104)</f>
        <v/>
      </c>
      <c r="H6" s="10" t="n">
        <v>30</v>
      </c>
      <c r="I6" s="12">
        <f>IFERROR(G6/H6,0)</f>
        <v/>
      </c>
      <c r="J6" s="11" t="inlineStr">
        <is>
          <t>SEC-07 na poczatku sprintu: trzy podatnosci HIGH w multerze, CVSS 7.5, zdalny DoS bez uwierzytelnienia — jedno zadanie multipart konczy proces API. UWAGA, ZEBY NIE ZAMKNAC TEGO ZA WCZESNIE: merge PR #37 podnosi multer do 2.3.0 i bedzie WYGLADAL na naprawe, ale @nestjs/platform-express@11.2.1 pinuje 2.2.0 dokladnie, wiec kopia obslugujaca multipart zostanie podatna; do tego GHSA-535w wymaga jeszcze konfiguracji limits.fieldArrayIndexLimit, czyli zmiany w kodzie. Dowod zamkniecia to zielona bramka podatnosci po zmianie, nie numer wersji w package.json. X-03 przeniesione tu ze sprintu 4. PB-13 PRZESUNIETE TUTAJ z pierwotnego sprintu 14, decyzja wlasciciela 2026-09-19. Powod: obowiazek KSeF dziala od 2026-04-01, a od tej decyzji zalezy zakres sprintow 17-18 (34 h pozycji, w tym dwa blokery startu). Trzymanie jej na grudzien bylo jedynym sposobem, zeby KSeF stal sie blokerem w ostatnim tygodniu. PB-14 musi zapasc przed zamowieniem serwera w sprincie 6. X-31 i X-32 to ostatnie CZESCIOWE z passu adwersaryjnego — obie zostaly na poziomie D1/D2 i domykaja sie tanio.</t>
        </is>
      </c>
    </row>
    <row r="7">
      <c r="A7" s="10" t="n">
        <v>6</v>
      </c>
      <c r="B7" s="10" t="inlineStr">
        <is>
          <t>2026-10-05</t>
        </is>
      </c>
      <c r="C7" s="10" t="inlineStr">
        <is>
          <t>2026-10-09</t>
        </is>
      </c>
      <c r="D7" s="11" t="inlineStr">
        <is>
          <t>Faza 1 — Rozliczenia i dowód odtworzenia</t>
        </is>
      </c>
      <c r="E7" s="11" t="inlineStr">
        <is>
          <t>Wezel produkcyjny #1</t>
        </is>
      </c>
      <c r="F7" s="10">
        <f>COUNTIF('Backlog do startu'!$G$2:$G$104,A7)</f>
        <v/>
      </c>
      <c r="G7" s="10">
        <f>SUMIF('Backlog do startu'!$G$2:$G$104,A7,'Backlog do startu'!$F$2:$F$104)</f>
        <v/>
      </c>
      <c r="H7" s="10" t="n">
        <v>30</v>
      </c>
      <c r="I7" s="12">
        <f>IFERROR(G7/H7,0)</f>
        <v/>
      </c>
      <c r="J7" s="11" t="inlineStr">
        <is>
          <t>NODE-02 idzie PRZED PB-02, nie po: main() w node-onboard-live.sh i node-live-readiness.sh nie sprawdza kodow powrotu, wiec instalacja kontynuuje po nieudanym preflighcie. Uruchamianie pierwszego produkcyjnego wezla instalatorem, ktory nie zatrzymuje sie na bledzie, to ta sama rodzina co SEC-01: kontrola wykrywa problem i nie zatrzymuje procesu. Z-18 dostaje tu dowod D3 (provisioning z przerwanym polaczeniem do DirectAdmina) i przestaje byc blokerem. J-01 ma stan b.d. — definicja ukonczenia dla b.d. to weryfikacja na produkcji z timestampem, a nie implementacja; wezel #1 jest pierwszym miejscem, gdzie da sie to zrobic.</t>
        </is>
      </c>
    </row>
    <row r="8">
      <c r="A8" s="10" t="n">
        <v>7</v>
      </c>
      <c r="B8" s="10" t="inlineStr">
        <is>
          <t>2026-10-12</t>
        </is>
      </c>
      <c r="C8" s="10" t="inlineStr">
        <is>
          <t>2026-10-16</t>
        </is>
      </c>
      <c r="D8" s="11" t="inlineStr">
        <is>
          <t>Faza 1 — Rozliczenia i dowód odtworzenia</t>
        </is>
      </c>
      <c r="E8" s="11" t="inlineStr">
        <is>
          <t>Egress: najpierw pomiar, ktory nie klamie</t>
        </is>
      </c>
      <c r="F8" s="10">
        <f>COUNTIF('Backlog do startu'!$G$2:$G$104,A8)</f>
        <v/>
      </c>
      <c r="G8" s="10">
        <f>SUMIF('Backlog do startu'!$G$2:$G$104,A8,'Backlog do startu'!$F$2:$F$104)</f>
        <v/>
      </c>
      <c r="H8" s="10" t="n">
        <v>30</v>
      </c>
      <c r="I8" s="12">
        <f>IFERROR(G8/H8,0)</f>
        <v/>
      </c>
      <c r="J8" s="11" t="inlineStr">
        <is>
          <t>NOWY SPRINT, decyzja wlasciciela 2026-09-19 (blok egressu osobnym sprintem zaraz po wezle #1). Kolejnosc jest wymuszona logicznie, nie preferencja. SEC-05 pierwsze: log egressu ma ogranicznik czestotliwosci — 1796 wpisow w journalu wobec 1,81 mln pakietow na liczniku iptables. Kazda allowlista zbudowana na tym odczycie jest niepelna Z DEFINICJI, wiec dopoki log jest probka, reszta bloku opiera sie na zgadywaniu. SEC-04 drugie, bo bez wyjatku dla 172.16.0.0/12 wlaczenie strict zrywa polaczenie host-kontener i nie da sie go przetestowac. SEC-01 trzecie: dopiero wtedy DROP moze realnie obowiazywac. Strażnik na wzor X-34 — atrapa wielkosci produkcyjnej i te same flagi powloki co skrypt wdrozeniowy.</t>
        </is>
      </c>
    </row>
    <row r="9">
      <c r="A9" s="10" t="n">
        <v>8</v>
      </c>
      <c r="B9" s="10" t="inlineStr">
        <is>
          <t>2026-10-19</t>
        </is>
      </c>
      <c r="C9" s="10" t="inlineStr">
        <is>
          <t>2026-10-23</t>
        </is>
      </c>
      <c r="D9" s="11" t="inlineStr">
        <is>
          <t>Faza 1 — Rozliczenia i dowód odtworzenia</t>
        </is>
      </c>
      <c r="E9" s="11" t="inlineStr">
        <is>
          <t>Egress: pelne pokrycie ruchu</t>
        </is>
      </c>
      <c r="F9" s="10">
        <f>COUNTIF('Backlog do startu'!$G$2:$G$104,A9)</f>
        <v/>
      </c>
      <c r="G9" s="10">
        <f>SUMIF('Backlog do startu'!$G$2:$G$104,A9,'Backlog do startu'!$F$2:$F$104)</f>
        <v/>
      </c>
      <c r="H9" s="10" t="n">
        <v>30</v>
      </c>
      <c r="I9" s="12">
        <f>IFERROR(G9/H9,0)</f>
        <v/>
      </c>
      <c r="J9"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t>
        </is>
      </c>
    </row>
    <row r="10">
      <c r="A10" s="10" t="n">
        <v>9</v>
      </c>
      <c r="B10" s="10" t="inlineStr">
        <is>
          <t>2026-10-26</t>
        </is>
      </c>
      <c r="C10" s="10" t="inlineStr">
        <is>
          <t>2026-10-30</t>
        </is>
      </c>
      <c r="D10" s="11" t="inlineStr">
        <is>
          <t>Faza 2 — Odzyskanie funkcji-widm i luki pierwszego tygodnia</t>
        </is>
      </c>
      <c r="E10" s="11" t="inlineStr">
        <is>
          <t>Allowlista z obserwacji i porzadek w wezle</t>
        </is>
      </c>
      <c r="F10" s="10">
        <f>COUNTIF('Backlog do startu'!$G$2:$G$104,A10)</f>
        <v/>
      </c>
      <c r="G10" s="10">
        <f>SUMIF('Backlog do startu'!$G$2:$G$104,A10,'Backlog do startu'!$F$2:$F$104)</f>
        <v/>
      </c>
      <c r="H10" s="10" t="n">
        <v>30</v>
      </c>
      <c r="I10" s="12">
        <f>IFERROR(G10/H10,0)</f>
        <v/>
      </c>
      <c r="J10" s="11" t="inlineStr">
        <is>
          <t>SEC-06 dopiero tutaj, bo wymaga okresu obserwacji na PELNYM logu z SEC-05. Koszt tej pozycji to glownie czas obserwacji, nie kod — dlatego stoi po dwoch sprintach zbierania danych, a nie obok SEC-01. Test ipset na celach z rzeczywistego ruchu pokazal juz dwa trafienia poza allowlista (sogo-repo.alinto.org i nierozpoznany host Hetznera, 120 pakietow), wiec wlaczenie --strict przed tym sprintem odcieloby repozytorium pakietow SOGo. SEC-02: adresy Stripe rotuja, wiec wpis po nazwie starzeje sie miedzy uruchomieniami — potrzebne odswiezanie z opublikowanej listy plus check w live-readiness.</t>
        </is>
      </c>
    </row>
    <row r="11">
      <c r="A11" s="10" t="n">
        <v>10</v>
      </c>
      <c r="B11" s="10" t="inlineStr">
        <is>
          <t>2026-11-02</t>
        </is>
      </c>
      <c r="C11" s="10" t="inlineStr">
        <is>
          <t>2026-11-06</t>
        </is>
      </c>
      <c r="D11" s="11" t="inlineStr">
        <is>
          <t>Faza 2 — Odzyskanie funkcji-widm i luki pierwszego tygodnia</t>
        </is>
      </c>
      <c r="E11" s="11" t="inlineStr">
        <is>
          <t>Obsluga naduzyc i porzadek w zaleznosciach</t>
        </is>
      </c>
      <c r="F11" s="10">
        <f>COUNTIF('Backlog do startu'!$G$2:$G$104,A11)</f>
        <v/>
      </c>
      <c r="G11" s="10">
        <f>SUMIF('Backlog do startu'!$G$2:$G$104,A11,'Backlog do startu'!$F$2:$F$104)</f>
        <v/>
      </c>
      <c r="H11" s="10" t="n">
        <v>30</v>
      </c>
      <c r="I11" s="12">
        <f>IFERROR(G11/H11,0)</f>
        <v/>
      </c>
      <c r="J11" s="11" t="inlineStr">
        <is>
          <t>DEP-02 tutaj, a nie w sprincie 4: wyciszenie majorow ESLinta z DEP-03 ma termin przegladu 2026-11-15, a ten sprint zaczyna sie 2026-11-02 — czyli dokladnie wtedy, kiedy ta pozycja ma o sobie przypomniec. Zmiana rusza lockfile, wiec osobny commit z pelna bramka. P-15 WYPADLO Z TEGO SPRINTU do sprintu 4 (patrz korekta 2026-09-19 w docs/legal/dpa-subprocessors-tracking.md). PB-04: adres abuse@ jest punktem kontaktowym DSA i musi istniec przed publikacja dokumentow legal. | X-31 i X-32 przeniesione tu ze sprintu 5, ktory musial zrobic miejsce dla SEC-07. X-51 (rozjazd konfiguracji GitHuba z repozytorium: nieistniejace etykiety Dependabota, ruleset celujacy w wycofana galaz) idzie razem z DEP-02, bo to ta sama robota w tym samym miejscu.</t>
        </is>
      </c>
    </row>
    <row r="12">
      <c r="A12" s="10" t="n">
        <v>11</v>
      </c>
      <c r="B12" s="10" t="inlineStr">
        <is>
          <t>2026-11-09</t>
        </is>
      </c>
      <c r="C12" s="10" t="inlineStr">
        <is>
          <t>2026-11-13</t>
        </is>
      </c>
      <c r="D12" s="11" t="inlineStr">
        <is>
          <t>Faza 2 — Odzyskanie funkcji-widm i luki pierwszego tygodnia</t>
        </is>
      </c>
      <c r="E12" s="11" t="inlineStr">
        <is>
          <t>Ogony produktowe: faktury, FTP, PHP</t>
        </is>
      </c>
      <c r="F12" s="10">
        <f>COUNTIF('Backlog do startu'!$G$2:$G$104,A12)</f>
        <v/>
      </c>
      <c r="G12" s="10">
        <f>SUMIF('Backlog do startu'!$G$2:$G$104,A12,'Backlog do startu'!$F$2:$F$104)</f>
        <v/>
      </c>
      <c r="H12" s="10" t="n">
        <v>30</v>
      </c>
      <c r="I12" s="12">
        <f>IFERROR(G12/H12,0)</f>
        <v/>
      </c>
      <c r="J12" s="11" t="inlineStr">
        <is>
          <t>SPRINT DOLOZONY 2026-09-19. Powod zapisany wprost, zeby nie czytalo sie tego jako poslizgu bez przyczyny: przeglad kolejki Dependabota odslonil 28 h pracy, ktorej nie bylo w planie — SEC-07 (16 h, trzy podatnosci HIGH w multerze), X-50 (6 h, bramka podatnosci nie blokuje ani merge, ani wdrozenia) i X-51 (6 h, konfiguracja GitHuba rozjechana z repozytorium). Tej pracy nie dalo sie wcisnac w istniejace sprinty bez robienia z pojemnosci fikcji, wiec plan urosl o tydzien, a nie o przeciazenie. | Zawartosc to pozycje wypchniete z sprintow 5, 10 i 11: M-08 (anulowanie faktury VOID), C-18 (zmiana hasla FTP), B-01 (wersja PHP dla calego konta), J-04 (HTTP/3, weryfikacja na wezle #1 z poziomu b.d.). Zadna nie blokuje niczego innego, dlatego to one ustapily miejsca, a nie prace bezpieczenstwa.</t>
        </is>
      </c>
    </row>
    <row r="13">
      <c r="A13" s="10" t="n">
        <v>12</v>
      </c>
      <c r="B13" s="10" t="inlineStr">
        <is>
          <t>2026-11-16</t>
        </is>
      </c>
      <c r="C13" s="10" t="inlineStr">
        <is>
          <t>2026-11-20</t>
        </is>
      </c>
      <c r="D13" s="11" t="inlineStr">
        <is>
          <t>Faza 2 — Odzyskanie funkcji-widm i luki pierwszego tygodnia</t>
        </is>
      </c>
      <c r="E13" s="11" t="inlineStr">
        <is>
          <t>DNS, SSO i dostarczalnosc poczty</t>
        </is>
      </c>
      <c r="F13" s="10">
        <f>COUNTIF('Backlog do startu'!$G$2:$G$104,A13)</f>
        <v/>
      </c>
      <c r="G13" s="10">
        <f>SUMIF('Backlog do startu'!$G$2:$G$104,A13,'Backlog do startu'!$F$2:$F$104)</f>
        <v/>
      </c>
      <c r="H13" s="10" t="n">
        <v>30</v>
      </c>
      <c r="I13" s="12">
        <f>IFERROR(G13/H13,0)</f>
        <v/>
      </c>
      <c r="J13" s="11" t="inlineStr">
        <is>
          <t>Trasa hosting-sso-url nie istnieje w API — to nowy endpoint, nie podpięcie istniejącego. Nie mylić z SSO admina do węzłów, które działa. Import i eksport bazy świadomie zostaje w epiku E-01 po starcie — phpMyAdmin z działającym SSO załatwia ten scenariusz na start. Brak SPF/DKIM w panelu to najczęstsza przyczyna „moja poczta trafia do spamu”. Backend działa — to jest wyłącznie podpięcie osieroconego komponentu.</t>
        </is>
      </c>
    </row>
    <row r="14">
      <c r="A14" s="10" t="n">
        <v>13</v>
      </c>
      <c r="B14" s="10" t="inlineStr">
        <is>
          <t>2026-11-23</t>
        </is>
      </c>
      <c r="C14" s="10" t="inlineStr">
        <is>
          <t>2026-11-27</t>
        </is>
      </c>
      <c r="D14" s="11" t="inlineStr">
        <is>
          <t>Faza 2 — Odzyskanie funkcji-widm i luki pierwszego tygodnia</t>
        </is>
      </c>
      <c r="E14" s="11" t="inlineStr">
        <is>
          <t>Poczta: skrzynki i warstwa operatorska, czesc 1</t>
        </is>
      </c>
      <c r="F14" s="10">
        <f>COUNTIF('Backlog do startu'!$G$2:$G$104,A14)</f>
        <v/>
      </c>
      <c r="G14" s="10">
        <f>SUMIF('Backlog do startu'!$G$2:$G$104,A14,'Backlog do startu'!$F$2:$F$104)</f>
        <v/>
      </c>
      <c r="H14" s="10" t="n">
        <v>30</v>
      </c>
      <c r="I14" s="12">
        <f>IFERROR(G14/H14,0)</f>
        <v/>
      </c>
      <c r="J14" s="11" t="inlineStr">
        <is>
          <t>Polaczone resztki pierwotnych sprintow 12 i 13. Bez tego pierwszy incydent obsługujesz curlem o drugiej w nocy. Wszystkie cztery pierwsze pozycje to endpointy, które już działają.</t>
        </is>
      </c>
    </row>
    <row r="15">
      <c r="A15" s="10" t="n">
        <v>14</v>
      </c>
      <c r="B15" s="10" t="inlineStr">
        <is>
          <t>2026-11-30</t>
        </is>
      </c>
      <c r="C15" s="10" t="inlineStr">
        <is>
          <t>2026-12-04</t>
        </is>
      </c>
      <c r="D15" s="11" t="inlineStr">
        <is>
          <t>Faza 2 — Odzyskanie funkcji-widm i luki pierwszego tygodnia</t>
        </is>
      </c>
      <c r="E15" s="11" t="inlineStr">
        <is>
          <t>Warstwa operatorska, czesc 2 i backup</t>
        </is>
      </c>
      <c r="F15" s="10">
        <f>COUNTIF('Backlog do startu'!$G$2:$G$104,A15)</f>
        <v/>
      </c>
      <c r="G15" s="10">
        <f>SUMIF('Backlog do startu'!$G$2:$G$104,A15,'Backlog do startu'!$F$2:$F$104)</f>
        <v/>
      </c>
      <c r="H15" s="10" t="n">
        <v>30</v>
      </c>
      <c r="I15" s="12">
        <f>IFERROR(G15/H15,0)</f>
        <v/>
      </c>
      <c r="J15" s="11" t="inlineStr">
        <is>
          <t>H-17 bylo zalezne od H-20 (potwierdzone odtworzenie z kopii) — H-20 zamkniete 2026-08-23 dowodem D4, wiec zaleznosc jest spelniona i pozycja moze wejsc tutaj.</t>
        </is>
      </c>
    </row>
    <row r="16">
      <c r="A16" s="10" t="n">
        <v>15</v>
      </c>
      <c r="B16" s="10" t="inlineStr">
        <is>
          <t>2026-12-07</t>
        </is>
      </c>
      <c r="C16" s="10" t="inlineStr">
        <is>
          <t>2026-12-11</t>
        </is>
      </c>
      <c r="D16" s="11" t="inlineStr">
        <is>
          <t>Faza 3 — Wejście na rynek</t>
        </is>
      </c>
      <c r="E16" s="11" t="inlineStr">
        <is>
          <t>Dokumenty prawne i bus factor</t>
        </is>
      </c>
      <c r="F16" s="10">
        <f>COUNTIF('Backlog do startu'!$G$2:$G$104,A16)</f>
        <v/>
      </c>
      <c r="G16" s="10">
        <f>SUMIF('Backlog do startu'!$G$2:$G$104,A16,'Backlog do startu'!$F$2:$F$104)</f>
        <v/>
      </c>
      <c r="H16" s="10" t="n">
        <v>30</v>
      </c>
      <c r="I16" s="12">
        <f>IFERROR(G16/H16,0)</f>
        <v/>
      </c>
      <c r="J16" s="11" t="inlineStr">
        <is>
          <t>PB-03 PRZESUNIETE DO PRZODU wzgledem pierwotnego planu, bo N-16 (kredyty SLA, sprint 15) zalezy od opublikowanego regulaminu. W pierwotnej kolejnosci ta zaleznosc byla odwrocona. Cennik musi być zgodny z wynikiem PB-01. Jeśli unit economics wyszło źle, ten sprint jest momentem korekty ceny — nie później.</t>
        </is>
      </c>
    </row>
    <row r="17">
      <c r="A17" s="10" t="n">
        <v>16</v>
      </c>
      <c r="B17" s="10" t="inlineStr">
        <is>
          <t>2026-12-14</t>
        </is>
      </c>
      <c r="C17" s="10" t="inlineStr">
        <is>
          <t>2026-12-18</t>
        </is>
      </c>
      <c r="D17" s="11" t="inlineStr">
        <is>
          <t>Faza 3 — Wejście na rynek</t>
        </is>
      </c>
      <c r="E17" s="11" t="inlineStr">
        <is>
          <t>Rozliczenia od strony klienta i cennik</t>
        </is>
      </c>
      <c r="F17" s="10">
        <f>COUNTIF('Backlog do startu'!$G$2:$G$104,A17)</f>
        <v/>
      </c>
      <c r="G17" s="10">
        <f>SUMIF('Backlog do startu'!$G$2:$G$104,A17,'Backlog do startu'!$F$2:$F$104)</f>
        <v/>
      </c>
      <c r="H17" s="10" t="n">
        <v>30</v>
      </c>
      <c r="I17" s="12">
        <f>IFERROR(G17/H17,0)</f>
        <v/>
      </c>
      <c r="J17" s="11" t="inlineStr">
        <is>
          <t>N-16 to włączenie flagi plus check w live-readiness — ale regulamin obiecuje kredyty, więc najpierw przeliczyć je na realnych danych z probe'ów. Cennik musi byc zgodny z wynikiem PB-01 (zamkniete 2026-08-22, cena 45 zl/mies brutto i 399 zl/rok).</t>
        </is>
      </c>
    </row>
    <row r="18">
      <c r="A18" s="10" t="n">
        <v>17</v>
      </c>
      <c r="B18" s="10" t="inlineStr">
        <is>
          <t>2026-12-21</t>
        </is>
      </c>
      <c r="C18" s="10" t="inlineStr">
        <is>
          <t>2026-12-25</t>
        </is>
      </c>
      <c r="D18" s="11" t="inlineStr">
        <is>
          <t>Faza 3 — Wejście na rynek</t>
        </is>
      </c>
      <c r="E18" s="11" t="inlineStr">
        <is>
          <t>Landing migracyjny i pomiar</t>
        </is>
      </c>
      <c r="F18" s="10">
        <f>COUNTIF('Backlog do startu'!$G$2:$G$104,A18)</f>
        <v/>
      </c>
      <c r="G18" s="10">
        <f>SUMIF('Backlog do startu'!$G$2:$G$104,A18,'Backlog do startu'!$F$2:$F$104)</f>
        <v/>
      </c>
      <c r="H18" s="10" t="n">
        <v>30</v>
      </c>
      <c r="I18" s="12">
        <f>IFERROR(G18/H18,0)</f>
        <v/>
      </c>
      <c r="J18" s="11" t="inlineStr">
        <is>
          <t>Landing nie może obiecywać funkcji ze statusem LUKA lub ATRAPA. Każde zdanie sprawdzić wobec macierzy — to jest dokładnie ten błąd, który audyt wykrył w oferta.md.</t>
        </is>
      </c>
    </row>
    <row r="19">
      <c r="A19" s="10" t="n">
        <v>18</v>
      </c>
      <c r="B19" s="10" t="inlineStr">
        <is>
          <t>2026-12-28</t>
        </is>
      </c>
      <c r="C19" s="10" t="inlineStr">
        <is>
          <t>2027-01-01</t>
        </is>
      </c>
      <c r="D19" s="11" t="inlineStr">
        <is>
          <t>Faza 3 — Wejście na rynek</t>
        </is>
      </c>
      <c r="E19" s="11" t="inlineStr">
        <is>
          <t>KSeF, czesc 1: tryb offline i stan prawny</t>
        </is>
      </c>
      <c r="F19" s="10">
        <f>COUNTIF('Backlog do startu'!$G$2:$G$104,A19)</f>
        <v/>
      </c>
      <c r="G19" s="10">
        <f>SUMIF('Backlog do startu'!$G$2:$G$104,A19,'Backlog do startu'!$F$2:$F$104)</f>
        <v/>
      </c>
      <c r="H19" s="10" t="n">
        <v>30</v>
      </c>
      <c r="I19" s="12">
        <f>IFERROR(G19/H19,0)</f>
        <v/>
      </c>
      <c r="J19" s="11" t="inlineStr">
        <is>
          <t>KOLIZJA KALENDARZOWA: sprinty 18 i 19 wypadaja na tygodnie 28.12 i 04.01. Planowanie 62 h pracy na swieta i Nowy Rok jest fikcja, a KSeF to najgorszy mozliwy kandydat na prace robiona miedzy jednym a drugim — smoke na srodowisku MF wymaga, zeby po drugiej stronie tez ktos byl. Zakladamy DWA TYGODNIE PRZERWY i przesuniecie decyzji GO z 2027-01-22 na okolice 2027-02-05. To jest zalozenie planu, nie oplata za opoznienie. Zakres tego sprintu ustala PB-13 ze sprintu 5. Jesli wybrana zostala integracja z programem ksiegowym, M-16 zamienia sie na wdrozenie eksportu i sprint bedzie krotszy. KSEF-02: KsefStatus.OFFLINE istnieje w schemacie i nie jest ustawiany nigdy — trzeci raz ten sam wzorzec w projekcie, po ServerStatus.OFFLINE (OPS-01) i regule alertowej z X-35. Wartosc w enumie wyglada jak zaimplementowana funkcja, a jest zapisana intencja. Smoke na api-test MF wykonac w PONIEDZIALEK, nie w czwartek: rozbieznosc schematu ujawnia sie dopiero na srodowisku MF.</t>
        </is>
      </c>
    </row>
    <row r="20">
      <c r="A20" s="10" t="n">
        <v>19</v>
      </c>
      <c r="B20" s="10" t="inlineStr">
        <is>
          <t>2027-01-04</t>
        </is>
      </c>
      <c r="C20" s="10" t="inlineStr">
        <is>
          <t>2027-01-08</t>
        </is>
      </c>
      <c r="D20" s="11" t="inlineStr">
        <is>
          <t>Faza 3 — Wejście na rynek</t>
        </is>
      </c>
      <c r="E20" s="11" t="inlineStr">
        <is>
          <t>KSeF, czesc 2: walidacja, kody QR i wysylka</t>
        </is>
      </c>
      <c r="F20" s="10">
        <f>COUNTIF('Backlog do startu'!$G$2:$G$104,A20)</f>
        <v/>
      </c>
      <c r="G20" s="10">
        <f>SUMIF('Backlog do startu'!$G$2:$G$104,A20,'Backlog do startu'!$F$2:$F$104)</f>
        <v/>
      </c>
      <c r="H20" s="10" t="n">
        <v>30</v>
      </c>
      <c r="I20" s="12">
        <f>IFERROR(G20/H20,0)</f>
        <v/>
      </c>
      <c r="J20" s="11" t="inlineStr">
        <is>
          <t>KSEF-03 to warunek, bez ktorego tryb offline jest dla nas NIEDOSTEPNY WCALE: faktura przekazana nabywcy poza KSeF musi niesc KOD I (OFFLINE) i KOD II (CERTYFIKAT). KOD I jest w zasiegu, bo builder XML mamy. KOD II wymaga certyfikatu KSeF typu 2 z portalu MF — to sprawa formalna, nie kod, wiec WNIOSEK O CERTYFIKAT SKLADAMY W SPRINCIE 17, nie tutaj. M-11 to domyslna wartosc flagi plus check w live-readiness, zeby flaga nie wylaczyla wysylki po cichu.</t>
        </is>
      </c>
    </row>
    <row r="21">
      <c r="A21" s="10" t="n">
        <v>20</v>
      </c>
      <c r="B21" s="10" t="inlineStr">
        <is>
          <t>2027-01-11</t>
        </is>
      </c>
      <c r="C21" s="10" t="inlineStr">
        <is>
          <t>2027-01-15</t>
        </is>
      </c>
      <c r="D21" s="11" t="inlineStr"/>
      <c r="E21" s="11" t="inlineStr">
        <is>
          <t>Baza wiedzy, KSeF od strony klienta, kampania</t>
        </is>
      </c>
      <c r="F21" s="10">
        <f>COUNTIF('Backlog do startu'!$G$2:$G$104,A21)</f>
        <v/>
      </c>
      <c r="G21" s="10">
        <f>SUMIF('Backlog do startu'!$G$2:$G$104,A21,'Backlog do startu'!$F$2:$F$104)</f>
        <v/>
      </c>
      <c r="H21" s="10" t="n">
        <v>30</v>
      </c>
      <c r="I21" s="12">
        <f>IFERROR(G21/H21,0)</f>
        <v/>
      </c>
      <c r="J21" s="11" t="inlineStr">
        <is>
          <t>Kampania powstaje wstrzymana. Uruchomienie dopiero po PB-05 w sprincie 19.</t>
        </is>
      </c>
    </row>
    <row r="22">
      <c r="A22" s="10" t="n">
        <v>21</v>
      </c>
      <c r="B22" s="10" t="inlineStr">
        <is>
          <t>2027-01-18</t>
        </is>
      </c>
      <c r="C22" s="10" t="inlineStr">
        <is>
          <t>2027-01-22</t>
        </is>
      </c>
      <c r="D22" s="11" t="inlineStr"/>
      <c r="E22" s="11" t="inlineStr">
        <is>
          <t>Sciezka pierwszego klienta na produkcji i decyzja GO</t>
        </is>
      </c>
      <c r="F22" s="10">
        <f>COUNTIF('Backlog do startu'!$G$2:$G$104,A22)</f>
        <v/>
      </c>
      <c r="G22" s="10">
        <f>SUMIF('Backlog do startu'!$G$2:$G$104,A22,'Backlog do startu'!$F$2:$F$104)</f>
        <v/>
      </c>
      <c r="H22" s="10" t="n">
        <v>30</v>
      </c>
      <c r="I22" s="12">
        <f>IFERROR(G22/H22,0)</f>
        <v/>
      </c>
      <c r="J22" s="11" t="inlineStr">
        <is>
          <t>Jedyny moment w całym planie, w którym powstaje dowód poziomu D3. Każdy nieudany krok wraca do backlogu jako bloker i przesuwa start. Zaplanowane 24 h zostawiają zapas na to, co wyjdzie.</t>
        </is>
      </c>
    </row>
  </sheetData>
  <autoFilter ref="A1:J22"/>
  <conditionalFormatting sqref="G2:G22">
    <cfRule type="dataBar" priority="1">
      <dataBar>
        <cfvo type="num" val="0"/>
        <cfvo type="num" val="30"/>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46"/>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B-03</t>
        </is>
      </c>
      <c r="B2" s="10" t="inlineStr">
        <is>
          <t>E-01</t>
        </is>
      </c>
      <c r="C2" s="11" t="inlineStr">
        <is>
          <t>Runtime, pliki i diagnostyka</t>
        </is>
      </c>
      <c r="D2" s="10" t="inlineStr">
        <is>
          <t>Q1 2027</t>
        </is>
      </c>
      <c r="E2" s="10" t="inlineStr">
        <is>
          <t>WYSOKI</t>
        </is>
      </c>
      <c r="F2" s="11" t="inlineStr">
        <is>
          <t>Zmiana wersji PHP per katalog</t>
        </is>
      </c>
      <c r="G2" s="10" t="inlineStr">
        <is>
          <t>B — Runtime WWW</t>
        </is>
      </c>
      <c r="H2" s="10" t="inlineStr">
        <is>
          <t>NISKA</t>
        </is>
      </c>
      <c r="I2" s="10" t="n">
        <v>16</v>
      </c>
      <c r="J2" s="10" t="inlineStr">
        <is>
          <t>BRAK</t>
        </is>
      </c>
      <c r="K2" s="11" t="inlineStr"/>
    </row>
    <row r="3">
      <c r="A3" s="10" t="inlineStr">
        <is>
          <t>B-04</t>
        </is>
      </c>
      <c r="B3" s="10" t="inlineStr">
        <is>
          <t>E-01</t>
        </is>
      </c>
      <c r="C3" s="11" t="inlineStr">
        <is>
          <t>Runtime, pliki i diagnostyka</t>
        </is>
      </c>
      <c r="D3" s="10" t="inlineStr">
        <is>
          <t>Q1 2027</t>
        </is>
      </c>
      <c r="E3" s="10" t="inlineStr">
        <is>
          <t>WYSOKI</t>
        </is>
      </c>
      <c r="F3" s="11" t="inlineStr">
        <is>
          <t>Włączanie/wyłączanie rozszerzeń PHP</t>
        </is>
      </c>
      <c r="G3" s="10" t="inlineStr">
        <is>
          <t>B — Runtime WWW</t>
        </is>
      </c>
      <c r="H3" s="10" t="inlineStr">
        <is>
          <t>ŚREDNIA</t>
        </is>
      </c>
      <c r="I3" s="10" t="n">
        <v>16</v>
      </c>
      <c r="J3" s="10" t="inlineStr">
        <is>
          <t>BRAK</t>
        </is>
      </c>
      <c r="K3" s="11" t="inlineStr"/>
    </row>
    <row r="4">
      <c r="A4" s="10" t="inlineStr">
        <is>
          <t>B-05</t>
        </is>
      </c>
      <c r="B4" s="10" t="inlineStr">
        <is>
          <t>E-01</t>
        </is>
      </c>
      <c r="C4" s="11" t="inlineStr">
        <is>
          <t>Runtime, pliki i diagnostyka</t>
        </is>
      </c>
      <c r="D4" s="10" t="inlineStr">
        <is>
          <t>Q1 2027</t>
        </is>
      </c>
      <c r="E4" s="10" t="inlineStr">
        <is>
          <t>WYSOKI</t>
        </is>
      </c>
      <c r="F4" s="11" t="inlineStr">
        <is>
          <t>Edycja dyrektyw php.ini z panelu</t>
        </is>
      </c>
      <c r="G4" s="10" t="inlineStr">
        <is>
          <t>B — Runtime WWW</t>
        </is>
      </c>
      <c r="H4" s="10" t="inlineStr">
        <is>
          <t>WYSOKA</t>
        </is>
      </c>
      <c r="I4" s="10" t="n">
        <v>16</v>
      </c>
      <c r="J4" s="10" t="inlineStr">
        <is>
          <t>BRAK</t>
        </is>
      </c>
      <c r="K4" s="11" t="inlineStr">
        <is>
          <t>4 z 5 hostingów PL to ma</t>
        </is>
      </c>
    </row>
    <row r="5">
      <c r="A5" s="10" t="inlineStr">
        <is>
          <t>B-06</t>
        </is>
      </c>
      <c r="B5" s="10" t="inlineStr">
        <is>
          <t>E-01</t>
        </is>
      </c>
      <c r="C5" s="11" t="inlineStr">
        <is>
          <t>Runtime, pliki i diagnostyka</t>
        </is>
      </c>
      <c r="D5" s="10" t="inlineStr">
        <is>
          <t>Q1 2027</t>
        </is>
      </c>
      <c r="E5" s="10" t="inlineStr">
        <is>
          <t>WYSOKI</t>
        </is>
      </c>
      <c r="F5" s="11" t="inlineStr">
        <is>
          <t>Podgląd aktualnej konfiguracji PHP (phpinfo)</t>
        </is>
      </c>
      <c r="G5" s="10" t="inlineStr">
        <is>
          <t>B — Runtime WWW</t>
        </is>
      </c>
      <c r="H5" s="10" t="inlineStr">
        <is>
          <t>NISKA</t>
        </is>
      </c>
      <c r="I5" s="10" t="n">
        <v>6</v>
      </c>
      <c r="J5" s="10" t="inlineStr">
        <is>
          <t>BRAK</t>
        </is>
      </c>
      <c r="K5" s="11" t="inlineStr"/>
    </row>
    <row r="6">
      <c r="A6" s="10" t="inlineStr">
        <is>
          <t>B-08</t>
        </is>
      </c>
      <c r="B6" s="10" t="inlineStr">
        <is>
          <t>E-01</t>
        </is>
      </c>
      <c r="C6" s="11" t="inlineStr">
        <is>
          <t>Runtime, pliki i diagnostyka</t>
        </is>
      </c>
      <c r="D6" s="10" t="inlineStr">
        <is>
          <t>Q1 2027</t>
        </is>
      </c>
      <c r="E6" s="10" t="inlineStr">
        <is>
          <t>WYSOKI</t>
        </is>
      </c>
      <c r="F6" s="11" t="inlineStr">
        <is>
          <t>Aplikacje Node.js</t>
        </is>
      </c>
      <c r="G6" s="10" t="inlineStr">
        <is>
          <t>B — Runtime WWW</t>
        </is>
      </c>
      <c r="H6" s="10" t="inlineStr">
        <is>
          <t>NISKA</t>
        </is>
      </c>
      <c r="I6" s="10" t="n">
        <v>40</v>
      </c>
      <c r="J6" s="10" t="inlineStr">
        <is>
          <t>BRAK</t>
        </is>
      </c>
      <c r="K6" s="11" t="inlineStr">
        <is>
          <t>żaden z 5 hostingów PL tego nie ma</t>
        </is>
      </c>
    </row>
    <row r="7">
      <c r="A7" s="10" t="inlineStr">
        <is>
          <t>B-09</t>
        </is>
      </c>
      <c r="B7" s="10" t="inlineStr">
        <is>
          <t>E-01</t>
        </is>
      </c>
      <c r="C7" s="11" t="inlineStr">
        <is>
          <t>Runtime, pliki i diagnostyka</t>
        </is>
      </c>
      <c r="D7" s="10" t="inlineStr">
        <is>
          <t>Q1 2027</t>
        </is>
      </c>
      <c r="E7" s="10" t="inlineStr">
        <is>
          <t>WYSOKI</t>
        </is>
      </c>
      <c r="F7" s="11" t="inlineStr">
        <is>
          <t>Aplikacje Python</t>
        </is>
      </c>
      <c r="G7" s="10" t="inlineStr">
        <is>
          <t>B — Runtime WWW</t>
        </is>
      </c>
      <c r="H7" s="10" t="inlineStr">
        <is>
          <t>NISKA</t>
        </is>
      </c>
      <c r="I7" s="10" t="n">
        <v>40</v>
      </c>
      <c r="J7" s="10" t="inlineStr">
        <is>
          <t>BRAK</t>
        </is>
      </c>
      <c r="K7" s="11" t="inlineStr"/>
    </row>
    <row r="8">
      <c r="A8" s="10" t="inlineStr">
        <is>
          <t>B-17</t>
        </is>
      </c>
      <c r="B8" s="10" t="inlineStr">
        <is>
          <t>E-01</t>
        </is>
      </c>
      <c r="C8" s="11" t="inlineStr">
        <is>
          <t>Runtime, pliki i diagnostyka</t>
        </is>
      </c>
      <c r="D8" s="10" t="inlineStr">
        <is>
          <t>Q1 2027</t>
        </is>
      </c>
      <c r="E8" s="10" t="inlineStr">
        <is>
          <t>WYSOKI</t>
        </is>
      </c>
      <c r="F8" s="11" t="inlineStr">
        <is>
          <t>Własne strony błędów</t>
        </is>
      </c>
      <c r="G8" s="10" t="inlineStr">
        <is>
          <t>B — Runtime WWW</t>
        </is>
      </c>
      <c r="H8" s="10" t="inlineStr">
        <is>
          <t>NISKA</t>
        </is>
      </c>
      <c r="I8" s="10" t="n">
        <v>6</v>
      </c>
      <c r="J8" s="10" t="inlineStr">
        <is>
          <t>BRAK</t>
        </is>
      </c>
      <c r="K8" s="11" t="inlineStr"/>
    </row>
    <row r="9">
      <c r="A9" s="10" t="inlineStr">
        <is>
          <t>B-18</t>
        </is>
      </c>
      <c r="B9" s="10" t="inlineStr">
        <is>
          <t>E-01</t>
        </is>
      </c>
      <c r="C9" s="11" t="inlineStr">
        <is>
          <t>Runtime, pliki i diagnostyka</t>
        </is>
      </c>
      <c r="D9" s="10" t="inlineStr">
        <is>
          <t>Q1 2027</t>
        </is>
      </c>
      <c r="E9" s="10" t="inlineStr">
        <is>
          <t>WYSOKI</t>
        </is>
      </c>
      <c r="F9" s="11" t="inlineStr">
        <is>
          <t>Menedżer indeksowania katalogu</t>
        </is>
      </c>
      <c r="G9" s="10" t="inlineStr">
        <is>
          <t>B — Runtime WWW</t>
        </is>
      </c>
      <c r="H9" s="10" t="inlineStr">
        <is>
          <t>NISKA</t>
        </is>
      </c>
      <c r="I9" s="10" t="n">
        <v>6</v>
      </c>
      <c r="J9" s="10" t="inlineStr">
        <is>
          <t>BRAK</t>
        </is>
      </c>
      <c r="K9" s="11" t="inlineStr"/>
    </row>
    <row r="10">
      <c r="A10" s="10" t="inlineStr">
        <is>
          <t>B-19</t>
        </is>
      </c>
      <c r="B10" s="10" t="inlineStr">
        <is>
          <t>E-01</t>
        </is>
      </c>
      <c r="C10" s="11" t="inlineStr">
        <is>
          <t>Runtime, pliki i diagnostyka</t>
        </is>
      </c>
      <c r="D10" s="10" t="inlineStr">
        <is>
          <t>Q1 2027</t>
        </is>
      </c>
      <c r="E10" s="10" t="inlineStr">
        <is>
          <t>WYSOKI</t>
        </is>
      </c>
      <c r="F10" s="11" t="inlineStr">
        <is>
          <t>Kreator stron WWW</t>
        </is>
      </c>
      <c r="G10" s="10" t="inlineStr">
        <is>
          <t>B — Runtime WWW</t>
        </is>
      </c>
      <c r="H10" s="10" t="inlineStr">
        <is>
          <t>NISKA</t>
        </is>
      </c>
      <c r="I10" s="10" t="n">
        <v>16</v>
      </c>
      <c r="J10" s="10" t="inlineStr">
        <is>
          <t>ATRAPA</t>
        </is>
      </c>
      <c r="K10" s="11" t="inlineStr">
        <is>
          <t>SiteBuilderTab.tsx (1612 l.) wyłączony w page.tsx:65,296</t>
        </is>
      </c>
    </row>
    <row r="11">
      <c r="A11" s="10" t="inlineStr">
        <is>
          <t>C-14</t>
        </is>
      </c>
      <c r="B11" s="10" t="inlineStr">
        <is>
          <t>E-01</t>
        </is>
      </c>
      <c r="C11" s="11" t="inlineStr">
        <is>
          <t>Runtime, pliki i diagnostyka</t>
        </is>
      </c>
      <c r="D11" s="10" t="inlineStr">
        <is>
          <t>Q1 2027</t>
        </is>
      </c>
      <c r="E11" s="10" t="inlineStr">
        <is>
          <t>WYSOKI</t>
        </is>
      </c>
      <c r="F11" s="11" t="inlineStr">
        <is>
          <t>Wyszukiwanie plików</t>
        </is>
      </c>
      <c r="G11" s="10" t="inlineStr">
        <is>
          <t>C — Pliki, FTP, SSH, Git</t>
        </is>
      </c>
      <c r="H11" s="10" t="inlineStr">
        <is>
          <t>NISKA</t>
        </is>
      </c>
      <c r="I11" s="10" t="n">
        <v>6</v>
      </c>
      <c r="J11" s="10" t="inlineStr">
        <is>
          <t>BRAK</t>
        </is>
      </c>
      <c r="K11" s="11" t="inlineStr"/>
    </row>
    <row r="12">
      <c r="A12" s="10" t="inlineStr">
        <is>
          <t>C-15</t>
        </is>
      </c>
      <c r="B12" s="10" t="inlineStr">
        <is>
          <t>E-01</t>
        </is>
      </c>
      <c r="C12" s="11" t="inlineStr">
        <is>
          <t>Runtime, pliki i diagnostyka</t>
        </is>
      </c>
      <c r="D12" s="10" t="inlineStr">
        <is>
          <t>Q1 2027</t>
        </is>
      </c>
      <c r="E12" s="10" t="inlineStr">
        <is>
          <t>WYSOKI</t>
        </is>
      </c>
      <c r="F12" s="11" t="inlineStr">
        <is>
          <t>Podgląd zajętości katalogów (disk usage)</t>
        </is>
      </c>
      <c r="G12" s="10" t="inlineStr">
        <is>
          <t>C — Pliki, FTP, SSH, Git</t>
        </is>
      </c>
      <c r="H12" s="10" t="inlineStr">
        <is>
          <t>ŚREDNIA</t>
        </is>
      </c>
      <c r="I12" s="10" t="n">
        <v>6</v>
      </c>
      <c r="J12" s="10" t="inlineStr">
        <is>
          <t>BRAK</t>
        </is>
      </c>
      <c r="K12" s="11" t="inlineStr">
        <is>
          <t>częste źródło ticketów „skończyło się miejsce”</t>
        </is>
      </c>
    </row>
    <row r="13">
      <c r="A13" s="10" t="inlineStr">
        <is>
          <t>C-19</t>
        </is>
      </c>
      <c r="B13" s="10" t="inlineStr">
        <is>
          <t>E-01</t>
        </is>
      </c>
      <c r="C13" s="11" t="inlineStr">
        <is>
          <t>Runtime, pliki i diagnostyka</t>
        </is>
      </c>
      <c r="D13" s="10" t="inlineStr">
        <is>
          <t>Q1 2027</t>
        </is>
      </c>
      <c r="E13" s="10" t="inlineStr">
        <is>
          <t>WYSOKI</t>
        </is>
      </c>
      <c r="F13" s="11" t="inlineStr">
        <is>
          <t>Konto FTP — limit powierzchni (quota)</t>
        </is>
      </c>
      <c r="G13" s="10" t="inlineStr">
        <is>
          <t>C — Pliki, FTP, SSH, Git</t>
        </is>
      </c>
      <c r="H13" s="10" t="inlineStr">
        <is>
          <t>NISKA</t>
        </is>
      </c>
      <c r="I13" s="10" t="n">
        <v>6</v>
      </c>
      <c r="J13" s="10" t="inlineStr">
        <is>
          <t>BRAK</t>
        </is>
      </c>
      <c r="K13" s="11" t="inlineStr"/>
    </row>
    <row r="14">
      <c r="A14" s="10" t="inlineStr">
        <is>
          <t>C-21</t>
        </is>
      </c>
      <c r="B14" s="10" t="inlineStr">
        <is>
          <t>E-01</t>
        </is>
      </c>
      <c r="C14" s="11" t="inlineStr">
        <is>
          <t>Runtime, pliki i diagnostyka</t>
        </is>
      </c>
      <c r="D14" s="10" t="inlineStr">
        <is>
          <t>Q1 2027</t>
        </is>
      </c>
      <c r="E14" s="10" t="inlineStr">
        <is>
          <t>WYSOKI</t>
        </is>
      </c>
      <c r="F14" s="11" t="inlineStr">
        <is>
          <t>Dostęp SSH</t>
        </is>
      </c>
      <c r="G14" s="10" t="inlineStr">
        <is>
          <t>C — Pliki, FTP, SSH, Git</t>
        </is>
      </c>
      <c r="H14" s="10" t="inlineStr">
        <is>
          <t>WYSOKA</t>
        </is>
      </c>
      <c r="I14" s="10" t="n">
        <v>16</v>
      </c>
      <c r="J14" s="10" t="inlineStr">
        <is>
          <t>CZĘŚCIOWE</t>
        </is>
      </c>
      <c r="K14" s="11" t="inlineStr">
        <is>
          <t>ServiceConnectionCard.tsx:235 — tylko odczyt flagi</t>
        </is>
      </c>
    </row>
    <row r="15">
      <c r="A15" s="10" t="inlineStr">
        <is>
          <t>C-22</t>
        </is>
      </c>
      <c r="B15" s="10" t="inlineStr">
        <is>
          <t>E-01</t>
        </is>
      </c>
      <c r="C15" s="11" t="inlineStr">
        <is>
          <t>Runtime, pliki i diagnostyka</t>
        </is>
      </c>
      <c r="D15" s="10" t="inlineStr">
        <is>
          <t>Q1 2027</t>
        </is>
      </c>
      <c r="E15" s="10" t="inlineStr">
        <is>
          <t>WYSOKI</t>
        </is>
      </c>
      <c r="F15" s="11" t="inlineStr">
        <is>
          <t>Zarządzanie kluczami SSH konta hostingowego</t>
        </is>
      </c>
      <c r="G15" s="10" t="inlineStr">
        <is>
          <t>C — Pliki, FTP, SSH, Git</t>
        </is>
      </c>
      <c r="H15" s="10" t="inlineStr">
        <is>
          <t>WYSOKA</t>
        </is>
      </c>
      <c r="I15" s="10" t="n">
        <v>16</v>
      </c>
      <c r="J15" s="10" t="inlineStr">
        <is>
          <t>BRAK</t>
        </is>
      </c>
      <c r="K15" s="11" t="inlineStr">
        <is>
          <t>klucze są tylko dla VPS, nie dla hostingu</t>
        </is>
      </c>
    </row>
    <row r="16">
      <c r="A16" s="10" t="inlineStr">
        <is>
          <t>C-25</t>
        </is>
      </c>
      <c r="B16" s="10" t="inlineStr">
        <is>
          <t>E-01</t>
        </is>
      </c>
      <c r="C16" s="11" t="inlineStr">
        <is>
          <t>Runtime, pliki i diagnostyka</t>
        </is>
      </c>
      <c r="D16" s="10" t="inlineStr">
        <is>
          <t>Q1 2027</t>
        </is>
      </c>
      <c r="E16" s="10" t="inlineStr">
        <is>
          <t>WYSOKI</t>
        </is>
      </c>
      <c r="F16" s="11" t="inlineStr">
        <is>
          <t>Klonowanie repozytorium Git z panelu</t>
        </is>
      </c>
      <c r="G16" s="10" t="inlineStr">
        <is>
          <t>C — Pliki, FTP, SSH, Git</t>
        </is>
      </c>
      <c r="H16" s="10" t="inlineStr">
        <is>
          <t>ŚREDNIA</t>
        </is>
      </c>
      <c r="I16" s="10" t="n">
        <v>16</v>
      </c>
      <c r="J16" s="10" t="inlineStr">
        <is>
          <t>BRAK</t>
        </is>
      </c>
      <c r="K16" s="11" t="inlineStr">
        <is>
          <t>DeployTab.tsx:192 przyznaje brak</t>
        </is>
      </c>
    </row>
    <row r="17">
      <c r="A17" s="10" t="inlineStr">
        <is>
          <t>C-26</t>
        </is>
      </c>
      <c r="B17" s="10" t="inlineStr">
        <is>
          <t>E-01</t>
        </is>
      </c>
      <c r="C17" s="11" t="inlineStr">
        <is>
          <t>Runtime, pliki i diagnostyka</t>
        </is>
      </c>
      <c r="D17" s="10" t="inlineStr">
        <is>
          <t>Q1 2027</t>
        </is>
      </c>
      <c r="E17" s="10" t="inlineStr">
        <is>
          <t>WYSOKI</t>
        </is>
      </c>
      <c r="F17" s="11" t="inlineStr">
        <is>
          <t>Deploy z repozytorium (pull na żądanie)</t>
        </is>
      </c>
      <c r="G17" s="10" t="inlineStr">
        <is>
          <t>C — Pliki, FTP, SSH, Git</t>
        </is>
      </c>
      <c r="H17" s="10" t="inlineStr">
        <is>
          <t>ŚREDNIA</t>
        </is>
      </c>
      <c r="I17" s="10" t="n">
        <v>16</v>
      </c>
      <c r="J17" s="10" t="inlineStr">
        <is>
          <t>CZĘŚCIOWE</t>
        </is>
      </c>
      <c r="K17" s="11" t="inlineStr">
        <is>
          <t>services.controller.ts:717; directadmin.service.ts:2450</t>
        </is>
      </c>
    </row>
    <row r="18">
      <c r="A18" s="10" t="inlineStr">
        <is>
          <t>C-27</t>
        </is>
      </c>
      <c r="B18" s="10" t="inlineStr">
        <is>
          <t>E-01</t>
        </is>
      </c>
      <c r="C18" s="11" t="inlineStr">
        <is>
          <t>Runtime, pliki i diagnostyka</t>
        </is>
      </c>
      <c r="D18" s="10" t="inlineStr">
        <is>
          <t>Q1 2027</t>
        </is>
      </c>
      <c r="E18" s="10" t="inlineStr">
        <is>
          <t>WYSOKI</t>
        </is>
      </c>
      <c r="F18" s="11" t="inlineStr">
        <is>
          <t>Webhook deploy z GitHuba</t>
        </is>
      </c>
      <c r="G18" s="10" t="inlineStr">
        <is>
          <t>C — Pliki, FTP, SSH, Git</t>
        </is>
      </c>
      <c r="H18" s="10" t="inlineStr">
        <is>
          <t>NISKA</t>
        </is>
      </c>
      <c r="I18" s="10" t="n">
        <v>16</v>
      </c>
      <c r="J18" s="10" t="inlineStr">
        <is>
          <t>BRAK</t>
        </is>
      </c>
      <c r="K18" s="11" t="inlineStr"/>
    </row>
    <row r="19">
      <c r="A19" s="10" t="inlineStr">
        <is>
          <t>C-28</t>
        </is>
      </c>
      <c r="B19" s="10" t="inlineStr">
        <is>
          <t>E-01</t>
        </is>
      </c>
      <c r="C19" s="11" t="inlineStr">
        <is>
          <t>Runtime, pliki i diagnostyka</t>
        </is>
      </c>
      <c r="D19" s="10" t="inlineStr">
        <is>
          <t>Q1 2027</t>
        </is>
      </c>
      <c r="E19" s="10" t="inlineStr">
        <is>
          <t>WYSOKI</t>
        </is>
      </c>
      <c r="F19" s="11" t="inlineStr">
        <is>
          <t>Composer / narzędzia CLI przez SSH</t>
        </is>
      </c>
      <c r="G19" s="10" t="inlineStr">
        <is>
          <t>C — Pliki, FTP, SSH, Git</t>
        </is>
      </c>
      <c r="H19" s="10" t="inlineStr">
        <is>
          <t>ŚREDNIA</t>
        </is>
      </c>
      <c r="I19" s="10" t="n">
        <v>16</v>
      </c>
      <c r="J19" s="10" t="inlineStr">
        <is>
          <t>CZĘŚCIOWE</t>
        </is>
      </c>
      <c r="K19" s="11" t="inlineStr">
        <is>
          <t>zależne od C-21</t>
        </is>
      </c>
    </row>
    <row r="20">
      <c r="A20" s="10" t="inlineStr">
        <is>
          <t>D-08</t>
        </is>
      </c>
      <c r="B20" s="10" t="inlineStr">
        <is>
          <t>E-01</t>
        </is>
      </c>
      <c r="C20" s="11" t="inlineStr">
        <is>
          <t>Runtime, pliki i diagnostyka</t>
        </is>
      </c>
      <c r="D20" s="10" t="inlineStr">
        <is>
          <t>Q1 2027</t>
        </is>
      </c>
      <c r="E20" s="10" t="inlineStr">
        <is>
          <t>WYSOKI</t>
        </is>
      </c>
      <c r="F20" s="11" t="inlineStr">
        <is>
          <t>Nadawanie uprawnień użytkownikowi bazy</t>
        </is>
      </c>
      <c r="G20" s="10" t="inlineStr">
        <is>
          <t>D — Bazy danych</t>
        </is>
      </c>
      <c r="H20" s="10" t="inlineStr">
        <is>
          <t>ŚREDNIA</t>
        </is>
      </c>
      <c r="I20" s="10" t="n">
        <v>6</v>
      </c>
      <c r="J20" s="10" t="inlineStr">
        <is>
          <t>BRAK</t>
        </is>
      </c>
      <c r="K20" s="11" t="inlineStr"/>
    </row>
    <row r="21">
      <c r="A21" s="10" t="inlineStr">
        <is>
          <t>D-10</t>
        </is>
      </c>
      <c r="B21" s="10" t="inlineStr">
        <is>
          <t>E-01</t>
        </is>
      </c>
      <c r="C21" s="11" t="inlineStr">
        <is>
          <t>Runtime, pliki i diagnostyka</t>
        </is>
      </c>
      <c r="D21" s="10" t="inlineStr">
        <is>
          <t>Q1 2027</t>
        </is>
      </c>
      <c r="E21" s="10" t="inlineStr">
        <is>
          <t>WYSOKI</t>
        </is>
      </c>
      <c r="F21" s="11" t="inlineStr">
        <is>
          <t>phpMyAdmin — dostęp</t>
        </is>
      </c>
      <c r="G21" s="10" t="inlineStr">
        <is>
          <t>D — Bazy danych</t>
        </is>
      </c>
      <c r="H21" s="10" t="inlineStr">
        <is>
          <t>ŚREDNIA</t>
        </is>
      </c>
      <c r="I21" s="10" t="n">
        <v>6</v>
      </c>
      <c r="J21" s="10" t="inlineStr">
        <is>
          <t>CZĘŚCIOWE</t>
        </is>
      </c>
      <c r="K21" s="11" t="inlineStr">
        <is>
          <t>link do DA zamiast SSO</t>
        </is>
      </c>
    </row>
    <row r="22">
      <c r="A22" s="10" t="inlineStr">
        <is>
          <t>D-12</t>
        </is>
      </c>
      <c r="B22" s="10" t="inlineStr">
        <is>
          <t>E-01</t>
        </is>
      </c>
      <c r="C22" s="11" t="inlineStr">
        <is>
          <t>Runtime, pliki i diagnostyka</t>
        </is>
      </c>
      <c r="D22" s="10" t="inlineStr">
        <is>
          <t>Q1 2027</t>
        </is>
      </c>
      <c r="E22" s="10" t="inlineStr">
        <is>
          <t>WYSOKI</t>
        </is>
      </c>
      <c r="F22" s="11" t="inlineStr">
        <is>
          <t>Import / eksport bazy z panelu</t>
        </is>
      </c>
      <c r="G22" s="10" t="inlineStr">
        <is>
          <t>D — Bazy danych</t>
        </is>
      </c>
      <c r="H22" s="10" t="inlineStr">
        <is>
          <t>WYSOKA</t>
        </is>
      </c>
      <c r="I22" s="10" t="n">
        <v>16</v>
      </c>
      <c r="J22" s="10" t="inlineStr">
        <is>
          <t>BRAK</t>
        </is>
      </c>
      <c r="K22" s="11" t="inlineStr">
        <is>
          <t>standard u wszystkich 5 hostingów PL</t>
        </is>
      </c>
    </row>
    <row r="23">
      <c r="A23" s="10" t="inlineStr">
        <is>
          <t>D-13</t>
        </is>
      </c>
      <c r="B23" s="10" t="inlineStr">
        <is>
          <t>E-01</t>
        </is>
      </c>
      <c r="C23" s="11" t="inlineStr">
        <is>
          <t>Runtime, pliki i diagnostyka</t>
        </is>
      </c>
      <c r="D23" s="10" t="inlineStr">
        <is>
          <t>Q1 2027</t>
        </is>
      </c>
      <c r="E23" s="10" t="inlineStr">
        <is>
          <t>WYSOKI</t>
        </is>
      </c>
      <c r="F23" s="11" t="inlineStr">
        <is>
          <t>Kopia bazy na żądanie</t>
        </is>
      </c>
      <c r="G23" s="10" t="inlineStr">
        <is>
          <t>D — Bazy danych</t>
        </is>
      </c>
      <c r="H23" s="10" t="inlineStr">
        <is>
          <t>ŚREDNIA</t>
        </is>
      </c>
      <c r="I23" s="10" t="n">
        <v>6</v>
      </c>
      <c r="J23" s="10" t="inlineStr">
        <is>
          <t>CZĘŚCIOWE</t>
        </is>
      </c>
      <c r="K23" s="11" t="inlineStr">
        <is>
          <t>w ramach backupu konta</t>
        </is>
      </c>
    </row>
    <row r="24">
      <c r="A24" s="10" t="inlineStr">
        <is>
          <t>D-14</t>
        </is>
      </c>
      <c r="B24" s="10" t="inlineStr">
        <is>
          <t>E-01</t>
        </is>
      </c>
      <c r="C24" s="11" t="inlineStr">
        <is>
          <t>Runtime, pliki i diagnostyka</t>
        </is>
      </c>
      <c r="D24" s="10" t="inlineStr">
        <is>
          <t>Q1 2027</t>
        </is>
      </c>
      <c r="E24" s="10" t="inlineStr">
        <is>
          <t>WYSOKI</t>
        </is>
      </c>
      <c r="F24" s="11" t="inlineStr">
        <is>
          <t>PostgreSQL</t>
        </is>
      </c>
      <c r="G24" s="10" t="inlineStr">
        <is>
          <t>D — Bazy danych</t>
        </is>
      </c>
      <c r="H24" s="10" t="inlineStr">
        <is>
          <t>NISKA</t>
        </is>
      </c>
      <c r="I24" s="10" t="n">
        <v>40</v>
      </c>
      <c r="J24" s="10" t="inlineStr">
        <is>
          <t>BRAK</t>
        </is>
      </c>
      <c r="K24" s="11" t="inlineStr">
        <is>
          <t>2 z 5 hostingów PL</t>
        </is>
      </c>
    </row>
    <row r="25">
      <c r="A25" s="10" t="inlineStr">
        <is>
          <t>D-17</t>
        </is>
      </c>
      <c r="B25" s="10" t="inlineStr">
        <is>
          <t>E-01</t>
        </is>
      </c>
      <c r="C25" s="11" t="inlineStr">
        <is>
          <t>Runtime, pliki i diagnostyka</t>
        </is>
      </c>
      <c r="D25" s="10" t="inlineStr">
        <is>
          <t>Q1 2027</t>
        </is>
      </c>
      <c r="E25" s="10" t="inlineStr">
        <is>
          <t>WYSOKI</t>
        </is>
      </c>
      <c r="F25" s="11" t="inlineStr">
        <is>
          <t>Podgląd rozmiaru bazy</t>
        </is>
      </c>
      <c r="G25" s="10" t="inlineStr">
        <is>
          <t>D — Bazy danych</t>
        </is>
      </c>
      <c r="H25" s="10" t="inlineStr">
        <is>
          <t>NISKA</t>
        </is>
      </c>
      <c r="I25" s="10" t="n">
        <v>6</v>
      </c>
      <c r="J25" s="10" t="inlineStr">
        <is>
          <t>CZĘŚCIOWE</t>
        </is>
      </c>
      <c r="K25" s="11" t="inlineStr">
        <is>
          <t>w statystykach konta</t>
        </is>
      </c>
    </row>
    <row r="26">
      <c r="A26" s="10" t="inlineStr">
        <is>
          <t>D-18</t>
        </is>
      </c>
      <c r="B26" s="10" t="inlineStr">
        <is>
          <t>E-01</t>
        </is>
      </c>
      <c r="C26" s="11" t="inlineStr">
        <is>
          <t>Runtime, pliki i diagnostyka</t>
        </is>
      </c>
      <c r="D26" s="10" t="inlineStr">
        <is>
          <t>Q1 2027</t>
        </is>
      </c>
      <c r="E26" s="10" t="inlineStr">
        <is>
          <t>WYSOKI</t>
        </is>
      </c>
      <c r="F26" s="11" t="inlineStr">
        <is>
          <t>Naprawa / optymalizacja tabel</t>
        </is>
      </c>
      <c r="G26" s="10" t="inlineStr">
        <is>
          <t>D — Bazy danych</t>
        </is>
      </c>
      <c r="H26" s="10" t="inlineStr">
        <is>
          <t>NISKA</t>
        </is>
      </c>
      <c r="I26" s="10" t="n">
        <v>6</v>
      </c>
      <c r="J26" s="10" t="inlineStr">
        <is>
          <t>BRAK</t>
        </is>
      </c>
      <c r="K26" s="11" t="inlineStr"/>
    </row>
    <row r="27">
      <c r="A27" s="10" t="inlineStr">
        <is>
          <t>K-03</t>
        </is>
      </c>
      <c r="B27" s="10" t="inlineStr">
        <is>
          <t>E-01</t>
        </is>
      </c>
      <c r="C27" s="11" t="inlineStr">
        <is>
          <t>Runtime, pliki i diagnostyka</t>
        </is>
      </c>
      <c r="D27" s="10" t="inlineStr">
        <is>
          <t>Q1 2027</t>
        </is>
      </c>
      <c r="E27" s="10" t="inlineStr">
        <is>
          <t>WYSOKI</t>
        </is>
      </c>
      <c r="F27" s="11" t="inlineStr">
        <is>
          <t>Licznik inodów</t>
        </is>
      </c>
      <c r="G27" s="10" t="inlineStr">
        <is>
          <t>K — Statystyki, logi, limity</t>
        </is>
      </c>
      <c r="H27" s="10" t="inlineStr">
        <is>
          <t>ŚREDNIA</t>
        </is>
      </c>
      <c r="I27" s="10" t="n">
        <v>6</v>
      </c>
      <c r="J27" s="10" t="inlineStr">
        <is>
          <t>BRAK</t>
        </is>
      </c>
      <c r="K27" s="11" t="inlineStr">
        <is>
          <t>żaden hosting PL nie publikuje — okazja na transparentność</t>
        </is>
      </c>
    </row>
    <row r="28">
      <c r="A28" s="10" t="inlineStr">
        <is>
          <t>K-04</t>
        </is>
      </c>
      <c r="B28" s="10" t="inlineStr">
        <is>
          <t>E-01</t>
        </is>
      </c>
      <c r="C28" s="11" t="inlineStr">
        <is>
          <t>Runtime, pliki i diagnostyka</t>
        </is>
      </c>
      <c r="D28" s="10" t="inlineStr">
        <is>
          <t>Q1 2027</t>
        </is>
      </c>
      <c r="E28" s="10" t="inlineStr">
        <is>
          <t>WYSOKI</t>
        </is>
      </c>
      <c r="F28" s="11" t="inlineStr">
        <is>
          <t>Logi dostępu WWW (access log)</t>
        </is>
      </c>
      <c r="G28" s="10" t="inlineStr">
        <is>
          <t>K — Statystyki, logi, limity</t>
        </is>
      </c>
      <c r="H28" s="10" t="inlineStr">
        <is>
          <t>WYSOKA</t>
        </is>
      </c>
      <c r="I28" s="10" t="n">
        <v>16</v>
      </c>
      <c r="J28" s="10" t="inlineStr">
        <is>
          <t>BRAK</t>
        </is>
      </c>
      <c r="K28" s="11" t="inlineStr">
        <is>
          <t>wszystkie 5 hostingów PL to ma; seohost reklamuje jako darmowe</t>
        </is>
      </c>
    </row>
    <row r="29">
      <c r="A29" s="10" t="inlineStr">
        <is>
          <t>K-05</t>
        </is>
      </c>
      <c r="B29" s="10" t="inlineStr">
        <is>
          <t>E-01</t>
        </is>
      </c>
      <c r="C29" s="11" t="inlineStr">
        <is>
          <t>Runtime, pliki i diagnostyka</t>
        </is>
      </c>
      <c r="D29" s="10" t="inlineStr">
        <is>
          <t>Q1 2027</t>
        </is>
      </c>
      <c r="E29" s="10" t="inlineStr">
        <is>
          <t>WYSOKI</t>
        </is>
      </c>
      <c r="F29" s="11" t="inlineStr">
        <is>
          <t>Logi błędów PHP</t>
        </is>
      </c>
      <c r="G29" s="10" t="inlineStr">
        <is>
          <t>K — Statystyki, logi, limity</t>
        </is>
      </c>
      <c r="H29" s="10" t="inlineStr">
        <is>
          <t>WYSOKA</t>
        </is>
      </c>
      <c r="I29" s="10" t="n">
        <v>16</v>
      </c>
      <c r="J29" s="10" t="inlineStr">
        <is>
          <t>BRAK</t>
        </is>
      </c>
      <c r="K29" s="11" t="inlineStr">
        <is>
          <t>j.w. — bez tego klient nie zdiagnozuje własnej strony</t>
        </is>
      </c>
    </row>
    <row r="30">
      <c r="A30" s="10" t="inlineStr">
        <is>
          <t>K-06</t>
        </is>
      </c>
      <c r="B30" s="10" t="inlineStr">
        <is>
          <t>E-01</t>
        </is>
      </c>
      <c r="C30" s="11" t="inlineStr">
        <is>
          <t>Runtime, pliki i diagnostyka</t>
        </is>
      </c>
      <c r="D30" s="10" t="inlineStr">
        <is>
          <t>Q1 2027</t>
        </is>
      </c>
      <c r="E30" s="10" t="inlineStr">
        <is>
          <t>WYSOKI</t>
        </is>
      </c>
      <c r="F30" s="11" t="inlineStr">
        <is>
          <t>Surowe logi do pobrania</t>
        </is>
      </c>
      <c r="G30" s="10" t="inlineStr">
        <is>
          <t>K — Statystyki, logi, limity</t>
        </is>
      </c>
      <c r="H30" s="10" t="inlineStr">
        <is>
          <t>ŚREDNIA</t>
        </is>
      </c>
      <c r="I30" s="10" t="n">
        <v>6</v>
      </c>
      <c r="J30" s="10" t="inlineStr">
        <is>
          <t>BRAK</t>
        </is>
      </c>
      <c r="K30" s="11" t="inlineStr"/>
    </row>
    <row r="31">
      <c r="A31" s="10" t="inlineStr">
        <is>
          <t>K-08</t>
        </is>
      </c>
      <c r="B31" s="10" t="inlineStr">
        <is>
          <t>E-01</t>
        </is>
      </c>
      <c r="C31" s="11" t="inlineStr">
        <is>
          <t>Runtime, pliki i diagnostyka</t>
        </is>
      </c>
      <c r="D31" s="10" t="inlineStr">
        <is>
          <t>Q1 2027</t>
        </is>
      </c>
      <c r="E31" s="10" t="inlineStr">
        <is>
          <t>WYSOKI</t>
        </is>
      </c>
      <c r="F31" s="11" t="inlineStr">
        <is>
          <t>Powiadomienia o przekroczeniu limitów</t>
        </is>
      </c>
      <c r="G31" s="10" t="inlineStr">
        <is>
          <t>K — Statystyki, logi, limity</t>
        </is>
      </c>
      <c r="H31" s="10" t="inlineStr">
        <is>
          <t>ŚREDNIA</t>
        </is>
      </c>
      <c r="I31" s="10" t="n">
        <v>6</v>
      </c>
      <c r="J31" s="10" t="inlineStr">
        <is>
          <t>CZĘŚCIOWE</t>
        </is>
      </c>
      <c r="K31" s="11" t="inlineStr">
        <is>
          <t>monitoring dostępności działa; brak alertów o limitach zasobów</t>
        </is>
      </c>
    </row>
    <row r="32">
      <c r="A32" s="10" t="inlineStr">
        <is>
          <t>K-14</t>
        </is>
      </c>
      <c r="B32" s="10" t="inlineStr">
        <is>
          <t>E-01</t>
        </is>
      </c>
      <c r="C32" s="11" t="inlineStr">
        <is>
          <t>Runtime, pliki i diagnostyka</t>
        </is>
      </c>
      <c r="D32" s="10" t="inlineStr">
        <is>
          <t>Q1 2027</t>
        </is>
      </c>
      <c r="E32" s="10" t="inlineStr">
        <is>
          <t>WYSOKI</t>
        </is>
      </c>
      <c r="F32" s="11" t="inlineStr">
        <is>
          <t>Wolne zapytania SQL</t>
        </is>
      </c>
      <c r="G32" s="10" t="inlineStr">
        <is>
          <t>K — Statystyki, logi, limity</t>
        </is>
      </c>
      <c r="H32" s="10" t="inlineStr">
        <is>
          <t>NISKA</t>
        </is>
      </c>
      <c r="I32" s="10" t="n">
        <v>16</v>
      </c>
      <c r="J32" s="10" t="inlineStr">
        <is>
          <t>BRAK</t>
        </is>
      </c>
      <c r="K32" s="11" t="inlineStr"/>
    </row>
    <row r="33">
      <c r="A33" s="10" t="inlineStr">
        <is>
          <t>Z-15</t>
        </is>
      </c>
      <c r="B33" s="10" t="inlineStr">
        <is>
          <t>E-01</t>
        </is>
      </c>
      <c r="C33" s="11" t="inlineStr">
        <is>
          <t>Runtime, pliki i diagnostyka</t>
        </is>
      </c>
      <c r="D33" s="10" t="inlineStr">
        <is>
          <t>Q1 2027</t>
        </is>
      </c>
      <c r="E33" s="10" t="inlineStr">
        <is>
          <t>WYSOKI</t>
        </is>
      </c>
      <c r="F33" s="11" t="inlineStr">
        <is>
          <t>Alert wyprzedzający, gdy realne zużycie węzła zbliża się do progu</t>
        </is>
      </c>
      <c r="G33" s="10" t="inlineStr">
        <is>
          <t>K — Statystyki, logi, limity</t>
        </is>
      </c>
      <c r="H33" s="10" t="inlineStr">
        <is>
          <t>ŚREDNIA</t>
        </is>
      </c>
      <c r="I33" s="10" t="n">
        <v>6</v>
      </c>
      <c r="J33" s="10" t="inlineStr">
        <is>
          <t>BRAK</t>
        </is>
      </c>
      <c r="K33" s="11" t="inlineStr">
        <is>
          <t>node-capacity.ts — bramka fizyczna odmawia po przekroczeniu progu, nie przed</t>
        </is>
      </c>
    </row>
    <row r="34">
      <c r="A34" s="10" t="inlineStr">
        <is>
          <t>D-15</t>
        </is>
      </c>
      <c r="B34" s="10" t="inlineStr">
        <is>
          <t>E-02</t>
        </is>
      </c>
      <c r="C34" s="11" t="inlineStr">
        <is>
          <t>Wydajność: cache i skalowanie</t>
        </is>
      </c>
      <c r="D34" s="10" t="inlineStr">
        <is>
          <t>Q1 2027</t>
        </is>
      </c>
      <c r="E34" s="10" t="inlineStr">
        <is>
          <t>WYSOKI</t>
        </is>
      </c>
      <c r="F34" s="11" t="inlineStr">
        <is>
          <t>Redis / cache obiektowy dla klienta</t>
        </is>
      </c>
      <c r="G34" s="10" t="inlineStr">
        <is>
          <t>D — Bazy danych</t>
        </is>
      </c>
      <c r="H34" s="10" t="inlineStr">
        <is>
          <t>WYSOKA</t>
        </is>
      </c>
      <c r="I34" s="10" t="n">
        <v>16</v>
      </c>
      <c r="J34" s="10" t="inlineStr">
        <is>
          <t>BRAK</t>
        </is>
      </c>
      <c r="K34" s="11" t="inlineStr">
        <is>
          <t>3 z 5 hostingów PL ma w cenie — realny wyróżnik dla WordPressa</t>
        </is>
      </c>
    </row>
    <row r="35">
      <c r="A35" s="10" t="inlineStr">
        <is>
          <t>D-16</t>
        </is>
      </c>
      <c r="B35" s="10" t="inlineStr">
        <is>
          <t>E-02</t>
        </is>
      </c>
      <c r="C35" s="11" t="inlineStr">
        <is>
          <t>Wydajność: cache i skalowanie</t>
        </is>
      </c>
      <c r="D35" s="10" t="inlineStr">
        <is>
          <t>Q1 2027</t>
        </is>
      </c>
      <c r="E35" s="10" t="inlineStr">
        <is>
          <t>WYSOKI</t>
        </is>
      </c>
      <c r="F35" s="11" t="inlineStr">
        <is>
          <t>Memcached</t>
        </is>
      </c>
      <c r="G35" s="10" t="inlineStr">
        <is>
          <t>D — Bazy danych</t>
        </is>
      </c>
      <c r="H35" s="10" t="inlineStr">
        <is>
          <t>NISKA</t>
        </is>
      </c>
      <c r="I35" s="10" t="n">
        <v>16</v>
      </c>
      <c r="J35" s="10" t="inlineStr">
        <is>
          <t>BRAK</t>
        </is>
      </c>
      <c r="K35" s="11" t="inlineStr"/>
    </row>
    <row r="36">
      <c r="A36" s="10" t="inlineStr">
        <is>
          <t>J-02</t>
        </is>
      </c>
      <c r="B36" s="10" t="inlineStr">
        <is>
          <t>E-02</t>
        </is>
      </c>
      <c r="C36" s="11" t="inlineStr">
        <is>
          <t>Wydajność: cache i skalowanie</t>
        </is>
      </c>
      <c r="D36" s="10" t="inlineStr">
        <is>
          <t>Q1 2027</t>
        </is>
      </c>
      <c r="E36" s="10" t="inlineStr">
        <is>
          <t>WYSOKI</t>
        </is>
      </c>
      <c r="F36" s="11" t="inlineStr">
        <is>
          <t>Cache stron (LSCache) sterowany z panelu</t>
        </is>
      </c>
      <c r="G36" s="10" t="inlineStr">
        <is>
          <t>J — Wydajność i cache</t>
        </is>
      </c>
      <c r="H36" s="10" t="inlineStr">
        <is>
          <t>WYSOKA</t>
        </is>
      </c>
      <c r="I36" s="10" t="n">
        <v>16</v>
      </c>
      <c r="J36" s="10" t="inlineStr">
        <is>
          <t>BRAK</t>
        </is>
      </c>
      <c r="K36" s="11" t="inlineStr"/>
    </row>
    <row r="37">
      <c r="A37" s="10" t="inlineStr">
        <is>
          <t>J-03</t>
        </is>
      </c>
      <c r="B37" s="10" t="inlineStr">
        <is>
          <t>E-02</t>
        </is>
      </c>
      <c r="C37" s="11" t="inlineStr">
        <is>
          <t>Wydajność: cache i skalowanie</t>
        </is>
      </c>
      <c r="D37" s="10" t="inlineStr">
        <is>
          <t>Q1 2027</t>
        </is>
      </c>
      <c r="E37" s="10" t="inlineStr">
        <is>
          <t>WYSOKI</t>
        </is>
      </c>
      <c r="F37" s="11" t="inlineStr">
        <is>
          <t>Cache obiektowy (Redis) dla WordPressa</t>
        </is>
      </c>
      <c r="G37" s="10" t="inlineStr">
        <is>
          <t>J — Wydajność i cache</t>
        </is>
      </c>
      <c r="H37" s="10" t="inlineStr">
        <is>
          <t>WYSOKA</t>
        </is>
      </c>
      <c r="I37" s="10" t="n">
        <v>16</v>
      </c>
      <c r="J37" s="10" t="inlineStr">
        <is>
          <t>BRAK</t>
        </is>
      </c>
      <c r="K37" s="11" t="inlineStr">
        <is>
          <t>patrz D-15</t>
        </is>
      </c>
    </row>
    <row r="38">
      <c r="A38" s="10" t="inlineStr">
        <is>
          <t>J-05</t>
        </is>
      </c>
      <c r="B38" s="10" t="inlineStr">
        <is>
          <t>E-02</t>
        </is>
      </c>
      <c r="C38" s="11" t="inlineStr">
        <is>
          <t>Wydajność: cache i skalowanie</t>
        </is>
      </c>
      <c r="D38" s="10" t="inlineStr">
        <is>
          <t>Q1 2027</t>
        </is>
      </c>
      <c r="E38" s="10" t="inlineStr">
        <is>
          <t>WYSOKI</t>
        </is>
      </c>
      <c r="F38" s="11" t="inlineStr">
        <is>
          <t>CDN</t>
        </is>
      </c>
      <c r="G38" s="10" t="inlineStr">
        <is>
          <t>J — Wydajność i cache</t>
        </is>
      </c>
      <c r="H38" s="10" t="inlineStr">
        <is>
          <t>NISKA</t>
        </is>
      </c>
      <c r="I38" s="10" t="n">
        <v>40</v>
      </c>
      <c r="J38" s="10" t="inlineStr">
        <is>
          <t>BRAK</t>
        </is>
      </c>
      <c r="K38" s="11" t="inlineStr">
        <is>
          <t>na rynku PL płatny dodatek</t>
        </is>
      </c>
    </row>
    <row r="39">
      <c r="A39" s="10" t="inlineStr">
        <is>
          <t>J-06</t>
        </is>
      </c>
      <c r="B39" s="10" t="inlineStr">
        <is>
          <t>E-02</t>
        </is>
      </c>
      <c r="C39" s="11" t="inlineStr">
        <is>
          <t>Wydajność: cache i skalowanie</t>
        </is>
      </c>
      <c r="D39" s="10" t="inlineStr">
        <is>
          <t>Q1 2027</t>
        </is>
      </c>
      <c r="E39" s="10" t="inlineStr">
        <is>
          <t>WYSOKI</t>
        </is>
      </c>
      <c r="F39" s="11" t="inlineStr">
        <is>
          <t>Optymalizacja obrazów</t>
        </is>
      </c>
      <c r="G39" s="10" t="inlineStr">
        <is>
          <t>J — Wydajność i cache</t>
        </is>
      </c>
      <c r="H39" s="10" t="inlineStr">
        <is>
          <t>NISKA</t>
        </is>
      </c>
      <c r="I39" s="10" t="n">
        <v>16</v>
      </c>
      <c r="J39" s="10" t="inlineStr">
        <is>
          <t>BRAK</t>
        </is>
      </c>
      <c r="K39" s="11" t="inlineStr"/>
    </row>
    <row r="40">
      <c r="A40" s="10" t="inlineStr">
        <is>
          <t>J-07</t>
        </is>
      </c>
      <c r="B40" s="10" t="inlineStr">
        <is>
          <t>E-02</t>
        </is>
      </c>
      <c r="C40" s="11" t="inlineStr">
        <is>
          <t>Wydajność: cache i skalowanie</t>
        </is>
      </c>
      <c r="D40" s="10" t="inlineStr">
        <is>
          <t>Q1 2027</t>
        </is>
      </c>
      <c r="E40" s="10" t="inlineStr">
        <is>
          <t>WYSOKI</t>
        </is>
      </c>
      <c r="F40" s="11" t="inlineStr">
        <is>
          <t>Dedykowany adres IP</t>
        </is>
      </c>
      <c r="G40" s="10" t="inlineStr">
        <is>
          <t>J — Wydajność i cache</t>
        </is>
      </c>
      <c r="H40" s="10" t="inlineStr">
        <is>
          <t>ŚREDNIA</t>
        </is>
      </c>
      <c r="I40" s="10" t="n">
        <v>6</v>
      </c>
      <c r="J40" s="10" t="inlineStr">
        <is>
          <t>CZĘŚCIOWE</t>
        </is>
      </c>
      <c r="K40" s="11" t="inlineStr">
        <is>
          <t>addons — jako dodatek typu workorder</t>
        </is>
      </c>
    </row>
    <row r="41">
      <c r="A41" s="10" t="inlineStr">
        <is>
          <t>Z-17</t>
        </is>
      </c>
      <c r="B41" s="10" t="inlineStr">
        <is>
          <t>E-02</t>
        </is>
      </c>
      <c r="C41" s="11" t="inlineStr">
        <is>
          <t>Wydajność: cache i skalowanie</t>
        </is>
      </c>
      <c r="D41" s="10" t="inlineStr">
        <is>
          <t>Q1 2027</t>
        </is>
      </c>
      <c r="E41" s="10" t="inlineStr">
        <is>
          <t>WYSOKI</t>
        </is>
      </c>
      <c r="F41" s="11" t="inlineStr">
        <is>
          <t>Klient widzi, że autoskalowanie dało mu mniej, niż potrzebował</t>
        </is>
      </c>
      <c r="G41" s="10" t="inlineStr">
        <is>
          <t>J — Wydajność i cache</t>
        </is>
      </c>
      <c r="H41" s="10" t="inlineStr">
        <is>
          <t>ŚREDNIA</t>
        </is>
      </c>
      <c r="I41" s="10" t="n">
        <v>6</v>
      </c>
      <c r="J41" s="10" t="inlineStr">
        <is>
          <t>BRAK</t>
        </is>
      </c>
      <c r="K41" s="11" t="inlineStr">
        <is>
          <t>autoscaling-engine.service.ts — obcięcie zostawia wpis w dzienniku audytu i warn w logu, ale panel klienta nie pokazuje niczego</t>
        </is>
      </c>
    </row>
    <row r="42">
      <c r="A42" s="10" t="inlineStr">
        <is>
          <t>H-04</t>
        </is>
      </c>
      <c r="B42" s="10" t="inlineStr">
        <is>
          <t>E-12</t>
        </is>
      </c>
      <c r="C42" s="11" t="inlineStr">
        <is>
          <t>Backup: granularność i retencja</t>
        </is>
      </c>
      <c r="D42" s="10" t="inlineStr">
        <is>
          <t>Q1 2027</t>
        </is>
      </c>
      <c r="E42" s="10" t="inlineStr">
        <is>
          <t>WYSOKI</t>
        </is>
      </c>
      <c r="F42" s="11" t="inlineStr">
        <is>
          <t>Retencja co najmniej 28 dni w cenie</t>
        </is>
      </c>
      <c r="G42" s="10" t="inlineStr">
        <is>
          <t>H — Backup i odtwarzanie</t>
        </is>
      </c>
      <c r="H42" s="10" t="inlineStr">
        <is>
          <t>WYSOKA</t>
        </is>
      </c>
      <c r="I42" s="10" t="n">
        <v>16</v>
      </c>
      <c r="J42" s="10" t="inlineStr">
        <is>
          <t>CZĘŚCIOWE</t>
        </is>
      </c>
      <c r="K42" s="11" t="inlineStr">
        <is>
          <t>off-site: 30 dni (node-offsite-backup.sh:101)</t>
        </is>
      </c>
    </row>
    <row r="43">
      <c r="A43" s="10" t="inlineStr">
        <is>
          <t>H-10</t>
        </is>
      </c>
      <c r="B43" s="10" t="inlineStr">
        <is>
          <t>E-12</t>
        </is>
      </c>
      <c r="C43" s="11" t="inlineStr">
        <is>
          <t>Backup: granularność i retencja</t>
        </is>
      </c>
      <c r="D43" s="10" t="inlineStr">
        <is>
          <t>Q1 2027</t>
        </is>
      </c>
      <c r="E43" s="10" t="inlineStr">
        <is>
          <t>WYSOKI</t>
        </is>
      </c>
      <c r="F43" s="11" t="inlineStr">
        <is>
          <t>Odtworzenie pojedynczego pliku</t>
        </is>
      </c>
      <c r="G43" s="10" t="inlineStr">
        <is>
          <t>H — Backup i odtwarzanie</t>
        </is>
      </c>
      <c r="H43" s="10" t="inlineStr">
        <is>
          <t>WYSOKA</t>
        </is>
      </c>
      <c r="I43" s="10" t="n">
        <v>16</v>
      </c>
      <c r="J43" s="10" t="inlineStr">
        <is>
          <t>BRAK</t>
        </is>
      </c>
      <c r="K43" s="11" t="inlineStr">
        <is>
          <t>JetBackup/Plesk to mają; seohost i dhosting też</t>
        </is>
      </c>
    </row>
    <row r="44">
      <c r="A44" s="10" t="inlineStr">
        <is>
          <t>H-11</t>
        </is>
      </c>
      <c r="B44" s="10" t="inlineStr">
        <is>
          <t>E-12</t>
        </is>
      </c>
      <c r="C44" s="11" t="inlineStr">
        <is>
          <t>Backup: granularność i retencja</t>
        </is>
      </c>
      <c r="D44" s="10" t="inlineStr">
        <is>
          <t>Q1 2027</t>
        </is>
      </c>
      <c r="E44" s="10" t="inlineStr">
        <is>
          <t>WYSOKI</t>
        </is>
      </c>
      <c r="F44" s="11" t="inlineStr">
        <is>
          <t>Podgląd zawartości archiwum przed odtworzeniem</t>
        </is>
      </c>
      <c r="G44" s="10" t="inlineStr">
        <is>
          <t>H — Backup i odtwarzanie</t>
        </is>
      </c>
      <c r="H44" s="10" t="inlineStr">
        <is>
          <t>WYSOKA</t>
        </is>
      </c>
      <c r="I44" s="10" t="n">
        <v>16</v>
      </c>
      <c r="J44" s="10" t="inlineStr">
        <is>
          <t>ATRAPA</t>
        </is>
      </c>
      <c r="K44" s="11" t="inlineStr">
        <is>
          <t>services.controller.ts:788-793 — buduje z BIEŻĄCEGO inwentarza konta, nie z archiwum</t>
        </is>
      </c>
    </row>
    <row r="45">
      <c r="A45" s="10" t="inlineStr">
        <is>
          <t>H-13</t>
        </is>
      </c>
      <c r="B45" s="10" t="inlineStr">
        <is>
          <t>E-12</t>
        </is>
      </c>
      <c r="C45" s="11" t="inlineStr">
        <is>
          <t>Backup: granularność i retencja</t>
        </is>
      </c>
      <c r="D45" s="10" t="inlineStr">
        <is>
          <t>Q1 2027</t>
        </is>
      </c>
      <c r="E45" s="10" t="inlineStr">
        <is>
          <t>WYSOKI</t>
        </is>
      </c>
      <c r="F45" s="11" t="inlineStr">
        <is>
          <t>Pobranie archiwum kopii lokalnie</t>
        </is>
      </c>
      <c r="G45" s="10" t="inlineStr">
        <is>
          <t>H — Backup i odtwarzanie</t>
        </is>
      </c>
      <c r="H45" s="10" t="inlineStr">
        <is>
          <t>ŚREDNIA</t>
        </is>
      </c>
      <c r="I45" s="10" t="n">
        <v>6</v>
      </c>
      <c r="J45" s="10" t="inlineStr">
        <is>
          <t>CZĘŚCIOWE</t>
        </is>
      </c>
      <c r="K45" s="11" t="inlineStr">
        <is>
          <t>services.controller.ts:855 — kopiuje na konto, nie do przeglądarki</t>
        </is>
      </c>
    </row>
    <row r="46">
      <c r="A46" s="10" t="inlineStr">
        <is>
          <t>H-16</t>
        </is>
      </c>
      <c r="B46" s="10" t="inlineStr">
        <is>
          <t>E-12</t>
        </is>
      </c>
      <c r="C46" s="11" t="inlineStr">
        <is>
          <t>Backup: granularność i retencja</t>
        </is>
      </c>
      <c r="D46" s="10" t="inlineStr">
        <is>
          <t>Q1 2027</t>
        </is>
      </c>
      <c r="E46" s="10" t="inlineStr">
        <is>
          <t>WYSOKI</t>
        </is>
      </c>
      <c r="F46" s="11" t="inlineStr">
        <is>
          <t>ODTWORZENIE KONTA NA INNY WĘZEŁ</t>
        </is>
      </c>
      <c r="G46" s="10" t="inlineStr">
        <is>
          <t>H — Backup i odtwarzanie</t>
        </is>
      </c>
      <c r="H46" s="10" t="inlineStr">
        <is>
          <t>WYSOKA</t>
        </is>
      </c>
      <c r="I46" s="10" t="n">
        <v>40</v>
      </c>
      <c r="J46" s="10" t="inlineStr">
        <is>
          <t>BRAK</t>
        </is>
      </c>
      <c r="K46" s="11" t="inlineStr">
        <is>
          <t>offsite-restore.service.ts:125 kieruje zadanie na account.serverId; node-account-restore.sh:76 przerywa gdy brak katalogu</t>
        </is>
      </c>
    </row>
    <row r="47">
      <c r="A47" s="10" t="inlineStr">
        <is>
          <t>H-18</t>
        </is>
      </c>
      <c r="B47" s="10" t="inlineStr">
        <is>
          <t>E-12</t>
        </is>
      </c>
      <c r="C47" s="11" t="inlineStr">
        <is>
          <t>Backup: granularność i retencja</t>
        </is>
      </c>
      <c r="D47" s="10" t="inlineStr">
        <is>
          <t>Q1 2027</t>
        </is>
      </c>
      <c r="E47" s="10" t="inlineStr">
        <is>
          <t>WYSOKI</t>
        </is>
      </c>
      <c r="F47" s="11" t="inlineStr">
        <is>
          <t>Odtworzenie konta przez operatora z panelu</t>
        </is>
      </c>
      <c r="G47" s="10" t="inlineStr">
        <is>
          <t>H — Backup i odtwarzanie</t>
        </is>
      </c>
      <c r="H47" s="10" t="inlineStr">
        <is>
          <t>ŚREDNIA</t>
        </is>
      </c>
      <c r="I47" s="10" t="n">
        <v>6</v>
      </c>
      <c r="J47" s="10" t="inlineStr">
        <is>
          <t>ENDPOINT BEZ UI</t>
        </is>
      </c>
      <c r="K47" s="11" t="inlineStr">
        <is>
          <t>subscriptions.admin.controller.ts:69,86 — zero wywołań w admin-panel</t>
        </is>
      </c>
    </row>
    <row r="48">
      <c r="A48" s="10" t="inlineStr">
        <is>
          <t>H-19</t>
        </is>
      </c>
      <c r="B48" s="10" t="inlineStr">
        <is>
          <t>E-12</t>
        </is>
      </c>
      <c r="C48" s="11" t="inlineStr">
        <is>
          <t>Backup: granularność i retencja</t>
        </is>
      </c>
      <c r="D48" s="10" t="inlineStr">
        <is>
          <t>Q1 2027</t>
        </is>
      </c>
      <c r="E48" s="10" t="inlineStr">
        <is>
          <t>WYSOKI</t>
        </is>
      </c>
      <c r="F48" s="11" t="inlineStr">
        <is>
          <t>Automatyczna konfiguracja backupu przy wdrożeniu węzła</t>
        </is>
      </c>
      <c r="G48" s="10" t="inlineStr">
        <is>
          <t>H — Backup i odtwarzanie</t>
        </is>
      </c>
      <c r="H48" s="10" t="inlineStr">
        <is>
          <t>WYSOKA</t>
        </is>
      </c>
      <c r="I48" s="10" t="n">
        <v>16</v>
      </c>
      <c r="J48" s="10" t="inlineStr">
        <is>
          <t>BRAK</t>
        </is>
      </c>
      <c r="K48" s="11" t="inlineStr">
        <is>
          <t>node-onboard-live.sh:240-244 tylko log_warn; wizard węzła (wizard-content.ts:21-40) nie ma kroku backupu</t>
        </is>
      </c>
    </row>
    <row r="49">
      <c r="A49" s="10" t="inlineStr">
        <is>
          <t>M-07</t>
        </is>
      </c>
      <c r="B49" s="10" t="inlineStr">
        <is>
          <t>E-14</t>
        </is>
      </c>
      <c r="C49" s="11" t="inlineStr">
        <is>
          <t>Rozliczenia: dokończenie</t>
        </is>
      </c>
      <c r="D49" s="10" t="inlineStr">
        <is>
          <t>Q1 2027</t>
        </is>
      </c>
      <c r="E49" s="10" t="inlineStr">
        <is>
          <t>WYSOKI</t>
        </is>
      </c>
      <c r="F49" s="11" t="inlineStr">
        <is>
          <t>DUPLIKAT FAKTURY</t>
        </is>
      </c>
      <c r="G49" s="10" t="inlineStr">
        <is>
          <t>M — Rozliczenia</t>
        </is>
      </c>
      <c r="H49" s="10" t="inlineStr">
        <is>
          <t>ŚREDNIA</t>
        </is>
      </c>
      <c r="I49" s="10" t="n">
        <v>16</v>
      </c>
      <c r="J49" s="10" t="inlineStr">
        <is>
          <t>BRAK</t>
        </is>
      </c>
      <c r="K49" s="11" t="inlineStr">
        <is>
          <t>brak flagi isDuplicate, brak endpointu</t>
        </is>
      </c>
    </row>
    <row r="50">
      <c r="A50" s="10" t="inlineStr">
        <is>
          <t>M-09</t>
        </is>
      </c>
      <c r="B50" s="10" t="inlineStr">
        <is>
          <t>E-14</t>
        </is>
      </c>
      <c r="C50" s="11" t="inlineStr">
        <is>
          <t>Rozliczenia: dokończenie</t>
        </is>
      </c>
      <c r="D50" s="10" t="inlineStr">
        <is>
          <t>Q1 2027</t>
        </is>
      </c>
      <c r="E50" s="10" t="inlineStr">
        <is>
          <t>WYSOKI</t>
        </is>
      </c>
      <c r="F50" s="11" t="inlineStr">
        <is>
          <t>Stawki VAT inne niż 23%</t>
        </is>
      </c>
      <c r="G50" s="10" t="inlineStr">
        <is>
          <t>M — Rozliczenia</t>
        </is>
      </c>
      <c r="H50" s="10" t="inlineStr">
        <is>
          <t>WYSOKA</t>
        </is>
      </c>
      <c r="I50" s="10" t="n">
        <v>16</v>
      </c>
      <c r="J50" s="10" t="inlineStr">
        <is>
          <t>BRAK</t>
        </is>
      </c>
      <c r="K50" s="11" t="inlineStr">
        <is>
          <t>invoices.service.ts:17 — DEFAULT_VAT_RATE = 23 na sztywno</t>
        </is>
      </c>
    </row>
    <row r="51">
      <c r="A51" s="10" t="inlineStr">
        <is>
          <t>M-10</t>
        </is>
      </c>
      <c r="B51" s="10" t="inlineStr">
        <is>
          <t>E-14</t>
        </is>
      </c>
      <c r="C51" s="11" t="inlineStr">
        <is>
          <t>Rozliczenia: dokończenie</t>
        </is>
      </c>
      <c r="D51" s="10" t="inlineStr">
        <is>
          <t>Q1 2027</t>
        </is>
      </c>
      <c r="E51" s="10" t="inlineStr">
        <is>
          <t>WYSOKI</t>
        </is>
      </c>
      <c r="F51" s="11" t="inlineStr">
        <is>
          <t>Faktury w walucie obcej z przeliczeniem VAT</t>
        </is>
      </c>
      <c r="G51" s="10" t="inlineStr">
        <is>
          <t>M — Rozliczenia</t>
        </is>
      </c>
      <c r="H51" s="10" t="inlineStr">
        <is>
          <t>WYSOKA</t>
        </is>
      </c>
      <c r="I51" s="10" t="n">
        <v>16</v>
      </c>
      <c r="J51" s="10" t="inlineStr">
        <is>
          <t>CZĘŚCIOWE</t>
        </is>
      </c>
      <c r="K51" s="11" t="inlineStr">
        <is>
          <t>invoice-pdf.service.ts:61 formatuje PLN/EUR/USD; brak kursu i przeliczenia (art. 31a)</t>
        </is>
      </c>
    </row>
    <row r="52">
      <c r="A52" s="10" t="inlineStr">
        <is>
          <t>M-24</t>
        </is>
      </c>
      <c r="B52" s="10" t="inlineStr">
        <is>
          <t>E-14</t>
        </is>
      </c>
      <c r="C52" s="11" t="inlineStr">
        <is>
          <t>Rozliczenia: dokończenie</t>
        </is>
      </c>
      <c r="D52" s="10" t="inlineStr">
        <is>
          <t>Q1 2027</t>
        </is>
      </c>
      <c r="E52" s="10" t="inlineStr">
        <is>
          <t>WYSOKI</t>
        </is>
      </c>
      <c r="F52" s="11" t="inlineStr">
        <is>
          <t>Proforma przed odnowieniem</t>
        </is>
      </c>
      <c r="G52" s="10" t="inlineStr">
        <is>
          <t>M — Rozliczenia</t>
        </is>
      </c>
      <c r="H52" s="10" t="inlineStr">
        <is>
          <t>ŚREDNIA</t>
        </is>
      </c>
      <c r="I52" s="10" t="n">
        <v>6</v>
      </c>
      <c r="J52" s="10" t="inlineStr">
        <is>
          <t>CZĘŚCIOWE</t>
        </is>
      </c>
      <c r="K52" s="11" t="inlineStr">
        <is>
          <t>renewal-reminder.scheduler.ts — przypomnienie, nie proforma</t>
        </is>
      </c>
    </row>
    <row r="53">
      <c r="A53" s="10" t="inlineStr">
        <is>
          <t>M-27</t>
        </is>
      </c>
      <c r="B53" s="10" t="inlineStr">
        <is>
          <t>E-14</t>
        </is>
      </c>
      <c r="C53" s="11" t="inlineStr">
        <is>
          <t>Rozliczenia: dokończenie</t>
        </is>
      </c>
      <c r="D53" s="10" t="inlineStr">
        <is>
          <t>Q1 2027</t>
        </is>
      </c>
      <c r="E53" s="10" t="inlineStr">
        <is>
          <t>WYSOKI</t>
        </is>
      </c>
      <c r="F53" s="11" t="inlineStr">
        <is>
          <t>Dodanie karty niezależnie od zakupu</t>
        </is>
      </c>
      <c r="G53" s="10" t="inlineStr">
        <is>
          <t>M — Rozliczenia</t>
        </is>
      </c>
      <c r="H53" s="10" t="inlineStr">
        <is>
          <t>ŚREDNIA</t>
        </is>
      </c>
      <c r="I53" s="10" t="n">
        <v>6</v>
      </c>
      <c r="J53" s="10" t="inlineStr">
        <is>
          <t>BRAK</t>
        </is>
      </c>
      <c r="K53" s="11" t="inlineStr">
        <is>
          <t>karta zapisuje się tylko przy okazji Stripe Checkout</t>
        </is>
      </c>
    </row>
    <row r="54">
      <c r="A54" s="10" t="inlineStr">
        <is>
          <t>M-28</t>
        </is>
      </c>
      <c r="B54" s="10" t="inlineStr">
        <is>
          <t>E-14</t>
        </is>
      </c>
      <c r="C54" s="11" t="inlineStr">
        <is>
          <t>Rozliczenia: dokończenie</t>
        </is>
      </c>
      <c r="D54" s="10" t="inlineStr">
        <is>
          <t>Q1 2027</t>
        </is>
      </c>
      <c r="E54" s="10" t="inlineStr">
        <is>
          <t>WYSOKI</t>
        </is>
      </c>
      <c r="F54" s="11" t="inlineStr">
        <is>
          <t>Eksport historii transakcji do CSV</t>
        </is>
      </c>
      <c r="G54" s="10" t="inlineStr">
        <is>
          <t>M — Rozliczenia</t>
        </is>
      </c>
      <c r="H54" s="10" t="inlineStr">
        <is>
          <t>NISKA</t>
        </is>
      </c>
      <c r="I54" s="10" t="n">
        <v>6</v>
      </c>
      <c r="J54" s="10" t="inlineStr">
        <is>
          <t>ENDPOINT BEZ UI</t>
        </is>
      </c>
      <c r="K54" s="11" t="inlineStr">
        <is>
          <t>billing.controller.ts:70 — zero odwołań w panelu</t>
        </is>
      </c>
    </row>
    <row r="55">
      <c r="A55" s="10" t="inlineStr">
        <is>
          <t>M-33</t>
        </is>
      </c>
      <c r="B55" s="10" t="inlineStr">
        <is>
          <t>E-14</t>
        </is>
      </c>
      <c r="C55" s="11" t="inlineStr">
        <is>
          <t>Rozliczenia: dokończenie</t>
        </is>
      </c>
      <c r="D55" s="10" t="inlineStr">
        <is>
          <t>Q1 2027</t>
        </is>
      </c>
      <c r="E55" s="10" t="inlineStr">
        <is>
          <t>WYSOKI</t>
        </is>
      </c>
      <c r="F55" s="11" t="inlineStr">
        <is>
          <t>Dodatki płatne (IP, wsparcie priorytetowe)</t>
        </is>
      </c>
      <c r="G55" s="10" t="inlineStr">
        <is>
          <t>M — Rozliczenia</t>
        </is>
      </c>
      <c r="H55" s="10" t="inlineStr">
        <is>
          <t>NISKA</t>
        </is>
      </c>
      <c r="I55" s="10" t="n">
        <v>16</v>
      </c>
      <c r="J55" s="10" t="inlineStr">
        <is>
          <t>CZĘŚCIOWE</t>
        </is>
      </c>
      <c r="K55" s="11" t="inlineStr">
        <is>
          <t>addon.service.ts:120 — 2 z 3 to workorder do BOK</t>
        </is>
      </c>
    </row>
    <row r="56">
      <c r="A56" s="10" t="inlineStr">
        <is>
          <t>M-34</t>
        </is>
      </c>
      <c r="B56" s="10" t="inlineStr">
        <is>
          <t>E-14</t>
        </is>
      </c>
      <c r="C56" s="11" t="inlineStr">
        <is>
          <t>Rozliczenia: dokończenie</t>
        </is>
      </c>
      <c r="D56" s="10" t="inlineStr">
        <is>
          <t>Q1 2027</t>
        </is>
      </c>
      <c r="E56" s="10" t="inlineStr">
        <is>
          <t>WYSOKI</t>
        </is>
      </c>
      <c r="F56" s="11" t="inlineStr">
        <is>
          <t>Model prepaid potwierdzony z księgową — doładowanie bez faktury zaliczkowej</t>
        </is>
      </c>
      <c r="G56" s="10" t="inlineStr">
        <is>
          <t>M — Rozliczenia</t>
        </is>
      </c>
      <c r="H56" s="10" t="inlineStr">
        <is>
          <t>WYSOKA</t>
        </is>
      </c>
      <c r="I56" s="10" t="n">
        <v>6</v>
      </c>
      <c r="J56" s="10" t="inlineStr">
        <is>
          <t>b.d.</t>
        </is>
      </c>
      <c r="K56" s="11" t="inlineStr">
        <is>
          <t>faktura-za-portfel.ts — TYPY_SPRZEDAZY nie obejmuje TOPUP; billing.service.ts:handleCheckoutCompleted — doładowanie kredytuje portfel i nie tworzy dokumentu</t>
        </is>
      </c>
    </row>
    <row r="57">
      <c r="A57" s="10" t="inlineStr">
        <is>
          <t>Z-07</t>
        </is>
      </c>
      <c r="B57" s="10" t="inlineStr">
        <is>
          <t>E-14</t>
        </is>
      </c>
      <c r="C57" s="11" t="inlineStr">
        <is>
          <t>Rozliczenia: dokończenie</t>
        </is>
      </c>
      <c r="D57" s="10" t="inlineStr">
        <is>
          <t>Q1 2027</t>
        </is>
      </c>
      <c r="E57" s="10" t="inlineStr">
        <is>
          <t>WYSOKI</t>
        </is>
      </c>
      <c r="F57" s="11" t="inlineStr">
        <is>
          <t>Ponowienie płatności portfelem w okresie karencji</t>
        </is>
      </c>
      <c r="G57" s="10" t="inlineStr">
        <is>
          <t>M — Rozliczenia</t>
        </is>
      </c>
      <c r="H57" s="10" t="inlineStr">
        <is>
          <t>WYSOKA</t>
        </is>
      </c>
      <c r="I57" s="10" t="n">
        <v>16</v>
      </c>
      <c r="J57" s="10" t="inlineStr">
        <is>
          <t>BRAK</t>
        </is>
      </c>
      <c r="K57" s="11" t="inlineStr">
        <is>
          <t>renewal.scheduler.ts:74-78 wybiera wyłącznie status ACTIVE — subskrypcja w PAST_DUE (:236-241) nie jest ponawiana; getPaymentRetryUrl (subscriptions.service.ts:1509-1516) odrzuca wszystko poza STRIPE_CARD</t>
        </is>
      </c>
    </row>
    <row r="58">
      <c r="A58" s="10" t="inlineStr">
        <is>
          <t>Z-08</t>
        </is>
      </c>
      <c r="B58" s="10" t="inlineStr">
        <is>
          <t>E-14</t>
        </is>
      </c>
      <c r="C58" s="11" t="inlineStr">
        <is>
          <t>Rozliczenia: dokończenie</t>
        </is>
      </c>
      <c r="D58" s="10" t="inlineStr">
        <is>
          <t>Q1 2027</t>
        </is>
      </c>
      <c r="E58" s="10" t="inlineStr">
        <is>
          <t>WYSOKI</t>
        </is>
      </c>
      <c r="F58" s="11" t="inlineStr">
        <is>
          <t>Przegląd istniejących subskrypcji MANUAL założonych przez klientów</t>
        </is>
      </c>
      <c r="G58" s="10" t="inlineStr">
        <is>
          <t>M — Rozliczenia</t>
        </is>
      </c>
      <c r="H58" s="10" t="inlineStr">
        <is>
          <t>ŚREDNIA</t>
        </is>
      </c>
      <c r="I58" s="10" t="n">
        <v>6</v>
      </c>
      <c r="J58" s="10" t="inlineStr">
        <is>
          <t>BRAK</t>
        </is>
      </c>
      <c r="K58" s="11" t="inlineStr">
        <is>
          <t>brak jakiegokolwiek zapytania/raportu; luka Z-02 była otwarta do 2026-08-21</t>
        </is>
      </c>
    </row>
    <row r="59">
      <c r="A59" s="10" t="inlineStr">
        <is>
          <t>Z-11</t>
        </is>
      </c>
      <c r="B59" s="10" t="inlineStr">
        <is>
          <t>E-14</t>
        </is>
      </c>
      <c r="C59" s="11" t="inlineStr">
        <is>
          <t>Rozliczenia: dokończenie</t>
        </is>
      </c>
      <c r="D59" s="10" t="inlineStr">
        <is>
          <t>Q1 2027</t>
        </is>
      </c>
      <c r="E59" s="10" t="inlineStr">
        <is>
          <t>WYSOKI</t>
        </is>
      </c>
      <c r="F59" s="11" t="inlineStr">
        <is>
          <t>Przegląd wszystkich kluczy idempotencji pod kątem poprawności</t>
        </is>
      </c>
      <c r="G59" s="10" t="inlineStr">
        <is>
          <t>M — Rozliczenia</t>
        </is>
      </c>
      <c r="H59" s="10" t="inlineStr">
        <is>
          <t>ŚREDNIA</t>
        </is>
      </c>
      <c r="I59" s="10" t="n">
        <v>16</v>
      </c>
      <c r="J59" s="10" t="inlineStr">
        <is>
          <t>b.d.</t>
        </is>
      </c>
      <c r="K59" s="11" t="inlineStr">
        <is>
          <t>brak przeglądu; sprawdzone tylko wystąpienia Date.now() w kluczach</t>
        </is>
      </c>
    </row>
    <row r="60">
      <c r="A60" s="10" t="inlineStr">
        <is>
          <t>N-05</t>
        </is>
      </c>
      <c r="B60" s="10" t="inlineStr">
        <is>
          <t>E-15</t>
        </is>
      </c>
      <c r="C60" s="11" t="inlineStr">
        <is>
          <t>Wsparcie i ops: kolejka abuse</t>
        </is>
      </c>
      <c r="D60" s="10" t="inlineStr">
        <is>
          <t>Q1 2027</t>
        </is>
      </c>
      <c r="E60" s="10" t="inlineStr">
        <is>
          <t>WYSOKI</t>
        </is>
      </c>
      <c r="F60" s="11" t="inlineStr">
        <is>
          <t>Podpowiedzi artykułów przy zgłoszeniu</t>
        </is>
      </c>
      <c r="G60" s="10" t="inlineStr">
        <is>
          <t>N — Wsparcie i ops</t>
        </is>
      </c>
      <c r="H60" s="10" t="inlineStr">
        <is>
          <t>NISKA</t>
        </is>
      </c>
      <c r="I60" s="10" t="n">
        <v>6</v>
      </c>
      <c r="J60" s="10" t="inlineStr">
        <is>
          <t>FLAGA</t>
        </is>
      </c>
      <c r="K60" s="11" t="inlineStr">
        <is>
          <t>ai.controller.ts:53 — AI_API_KEY</t>
        </is>
      </c>
    </row>
    <row r="61">
      <c r="A61" s="10" t="inlineStr">
        <is>
          <t>N-10</t>
        </is>
      </c>
      <c r="B61" s="10" t="inlineStr">
        <is>
          <t>E-15</t>
        </is>
      </c>
      <c r="C61" s="11" t="inlineStr">
        <is>
          <t>Wsparcie i ops: kolejka abuse</t>
        </is>
      </c>
      <c r="D61" s="10" t="inlineStr">
        <is>
          <t>Q1 2027</t>
        </is>
      </c>
      <c r="E61" s="10" t="inlineStr">
        <is>
          <t>WYSOKI</t>
        </is>
      </c>
      <c r="F61" s="11" t="inlineStr">
        <is>
          <t>Preferencje powiadomień e-mail</t>
        </is>
      </c>
      <c r="G61" s="10" t="inlineStr">
        <is>
          <t>N — Wsparcie i ops</t>
        </is>
      </c>
      <c r="H61" s="10" t="inlineStr">
        <is>
          <t>ŚREDNIA</t>
        </is>
      </c>
      <c r="I61" s="10" t="n">
        <v>6</v>
      </c>
      <c r="J61" s="10" t="inlineStr">
        <is>
          <t>CZĘŚCIOWE</t>
        </is>
      </c>
      <c r="K61" s="11" t="inlineStr">
        <is>
          <t>notifications-tab.tsx:70 — sekcja „Zawsze włączone” to statyczny tekst bez backendu</t>
        </is>
      </c>
    </row>
    <row r="62">
      <c r="A62" s="10" t="inlineStr">
        <is>
          <t>N-11</t>
        </is>
      </c>
      <c r="B62" s="10" t="inlineStr">
        <is>
          <t>E-15</t>
        </is>
      </c>
      <c r="C62" s="11" t="inlineStr">
        <is>
          <t>Wsparcie i ops: kolejka abuse</t>
        </is>
      </c>
      <c r="D62" s="10" t="inlineStr">
        <is>
          <t>Q1 2027</t>
        </is>
      </c>
      <c r="E62" s="10" t="inlineStr">
        <is>
          <t>WYSOKI</t>
        </is>
      </c>
      <c r="F62" s="11" t="inlineStr">
        <is>
          <t>Ogłoszenia i okna serwisowe</t>
        </is>
      </c>
      <c r="G62" s="10" t="inlineStr">
        <is>
          <t>N — Wsparcie i ops</t>
        </is>
      </c>
      <c r="H62" s="10" t="inlineStr">
        <is>
          <t>WYSOKA</t>
        </is>
      </c>
      <c r="I62" s="10" t="n">
        <v>16</v>
      </c>
      <c r="J62" s="10" t="inlineStr">
        <is>
          <t>ENDPOINT BEZ UI</t>
        </is>
      </c>
      <c r="K62" s="11" t="inlineStr">
        <is>
          <t>product-ops.admin.controller.ts:281,307,342,427; product-ops/data.ts:78-85 to same GET-y</t>
        </is>
      </c>
    </row>
    <row r="63">
      <c r="A63" s="10" t="inlineStr">
        <is>
          <t>N-12</t>
        </is>
      </c>
      <c r="B63" s="10" t="inlineStr">
        <is>
          <t>E-15</t>
        </is>
      </c>
      <c r="C63" s="11" t="inlineStr">
        <is>
          <t>Wsparcie i ops: kolejka abuse</t>
        </is>
      </c>
      <c r="D63" s="10" t="inlineStr">
        <is>
          <t>Q1 2027</t>
        </is>
      </c>
      <c r="E63" s="10" t="inlineStr">
        <is>
          <t>WYSOKI</t>
        </is>
      </c>
      <c r="F63" s="11" t="inlineStr">
        <is>
          <t>Feature flagi z panelu operatora</t>
        </is>
      </c>
      <c r="G63" s="10" t="inlineStr">
        <is>
          <t>N — Wsparcie i ops</t>
        </is>
      </c>
      <c r="H63" s="10" t="inlineStr">
        <is>
          <t>ŚREDNIA</t>
        </is>
      </c>
      <c r="I63" s="10" t="n">
        <v>6</v>
      </c>
      <c r="J63" s="10" t="inlineStr">
        <is>
          <t>ENDPOINT BEZ UI</t>
        </is>
      </c>
      <c r="K63" s="11" t="inlineStr">
        <is>
          <t>product-ops.admin.controller.ts:342</t>
        </is>
      </c>
    </row>
    <row r="64">
      <c r="A64" s="10" t="inlineStr">
        <is>
          <t>N-13</t>
        </is>
      </c>
      <c r="B64" s="10" t="inlineStr">
        <is>
          <t>E-15</t>
        </is>
      </c>
      <c r="C64" s="11" t="inlineStr">
        <is>
          <t>Wsparcie i ops: kolejka abuse</t>
        </is>
      </c>
      <c r="D64" s="10" t="inlineStr">
        <is>
          <t>Q1 2027</t>
        </is>
      </c>
      <c r="E64" s="10" t="inlineStr">
        <is>
          <t>WYSOKI</t>
        </is>
      </c>
      <c r="F64" s="11" t="inlineStr">
        <is>
          <t>KOLEJKA OBSŁUGI NADUŻYĆ (ABUSE)</t>
        </is>
      </c>
      <c r="G64" s="10" t="inlineStr">
        <is>
          <t>N — Wsparcie i ops</t>
        </is>
      </c>
      <c r="H64" s="10" t="inlineStr">
        <is>
          <t>WYSOKA</t>
        </is>
      </c>
      <c r="I64" s="10" t="n">
        <v>40</v>
      </c>
      <c r="J64" s="10" t="inlineStr">
        <is>
          <t>BRAK</t>
        </is>
      </c>
      <c r="K64" s="11" t="inlineStr">
        <is>
          <t>brak modułu, encji i trasy; jest tylko outbound-abuse.guard.ts:7-18 bez UI</t>
        </is>
      </c>
    </row>
    <row r="65">
      <c r="A65" s="10" t="inlineStr">
        <is>
          <t>N-20</t>
        </is>
      </c>
      <c r="B65" s="10" t="inlineStr">
        <is>
          <t>E-15</t>
        </is>
      </c>
      <c r="C65" s="11" t="inlineStr">
        <is>
          <t>Wsparcie i ops: kolejka abuse</t>
        </is>
      </c>
      <c r="D65" s="10" t="inlineStr">
        <is>
          <t>Q1 2027</t>
        </is>
      </c>
      <c r="E65" s="10" t="inlineStr">
        <is>
          <t>WYSOKI</t>
        </is>
      </c>
      <c r="F65" s="11" t="inlineStr">
        <is>
          <t>Link ze zgłoszenia do szczegółu (admin)</t>
        </is>
      </c>
      <c r="G65" s="10" t="inlineStr">
        <is>
          <t>N — Wsparcie i ops</t>
        </is>
      </c>
      <c r="H65" s="10" t="inlineStr">
        <is>
          <t>ŚREDNIA</t>
        </is>
      </c>
      <c r="I65" s="10" t="n">
        <v>6</v>
      </c>
      <c r="J65" s="10" t="inlineStr">
        <is>
          <t>ATRAPA</t>
        </is>
      </c>
      <c r="K65" s="11" t="inlineStr">
        <is>
          <t>tickets/page.tsx:24 → /tickets/${id}; trasa nie istnieje w admin-panel</t>
        </is>
      </c>
    </row>
    <row r="66">
      <c r="A66" s="10" t="inlineStr">
        <is>
          <t>N-21</t>
        </is>
      </c>
      <c r="B66" s="10" t="inlineStr">
        <is>
          <t>E-15</t>
        </is>
      </c>
      <c r="C66" s="11" t="inlineStr">
        <is>
          <t>Wsparcie i ops: kolejka abuse</t>
        </is>
      </c>
      <c r="D66" s="10" t="inlineStr">
        <is>
          <t>Q1 2027</t>
        </is>
      </c>
      <c r="E66" s="10" t="inlineStr">
        <is>
          <t>WYSOKI</t>
        </is>
      </c>
      <c r="F66" s="11" t="inlineStr">
        <is>
          <t>Wsparcie telefoniczne</t>
        </is>
      </c>
      <c r="G66" s="10" t="inlineStr">
        <is>
          <t>N — Wsparcie i ops</t>
        </is>
      </c>
      <c r="H66" s="10" t="inlineStr">
        <is>
          <t>ŚREDNIA</t>
        </is>
      </c>
      <c r="I66" s="10" t="n">
        <v>6</v>
      </c>
      <c r="J66" s="10" t="inlineStr">
        <is>
          <t>BRAK</t>
        </is>
      </c>
      <c r="K66" s="11" t="inlineStr">
        <is>
          <t>poza produktem</t>
        </is>
      </c>
    </row>
    <row r="67">
      <c r="A67" s="10" t="inlineStr">
        <is>
          <t>I-04</t>
        </is>
      </c>
      <c r="B67" s="10" t="inlineStr">
        <is>
          <t>E-03</t>
        </is>
      </c>
      <c r="C67" s="11" t="inlineStr">
        <is>
          <t>WordPress Toolkit</t>
        </is>
      </c>
      <c r="D67" s="10" t="inlineStr">
        <is>
          <t>Q2 2027</t>
        </is>
      </c>
      <c r="E67" s="10" t="inlineStr">
        <is>
          <t>WYSOKI</t>
        </is>
      </c>
      <c r="F67" s="11" t="inlineStr">
        <is>
          <t>Automatyczne aktualizacje WordPressa</t>
        </is>
      </c>
      <c r="G67" s="10" t="inlineStr">
        <is>
          <t>I — Aplikacje i WordPress</t>
        </is>
      </c>
      <c r="H67" s="10" t="inlineStr">
        <is>
          <t>WYSOKA</t>
        </is>
      </c>
      <c r="I67" s="10" t="n">
        <v>16</v>
      </c>
      <c r="J67" s="10" t="inlineStr">
        <is>
          <t>BRAK</t>
        </is>
      </c>
      <c r="K67" s="11" t="inlineStr">
        <is>
          <t>4 z 5 hostingów PL to ma</t>
        </is>
      </c>
    </row>
    <row r="68">
      <c r="A68" s="10" t="inlineStr">
        <is>
          <t>I-05</t>
        </is>
      </c>
      <c r="B68" s="10" t="inlineStr">
        <is>
          <t>E-03</t>
        </is>
      </c>
      <c r="C68" s="11" t="inlineStr">
        <is>
          <t>WordPress Toolkit</t>
        </is>
      </c>
      <c r="D68" s="10" t="inlineStr">
        <is>
          <t>Q2 2027</t>
        </is>
      </c>
      <c r="E68" s="10" t="inlineStr">
        <is>
          <t>WYSOKI</t>
        </is>
      </c>
      <c r="F68" s="11" t="inlineStr">
        <is>
          <t>Aktualizacje wtyczek i motywów z panelu</t>
        </is>
      </c>
      <c r="G68" s="10" t="inlineStr">
        <is>
          <t>I — Aplikacje i WordPress</t>
        </is>
      </c>
      <c r="H68" s="10" t="inlineStr">
        <is>
          <t>ŚREDNIA</t>
        </is>
      </c>
      <c r="I68" s="10" t="n">
        <v>16</v>
      </c>
      <c r="J68" s="10" t="inlineStr">
        <is>
          <t>BRAK</t>
        </is>
      </c>
      <c r="K68" s="11" t="inlineStr"/>
    </row>
    <row r="69">
      <c r="A69" s="10" t="inlineStr">
        <is>
          <t>I-07</t>
        </is>
      </c>
      <c r="B69" s="10" t="inlineStr">
        <is>
          <t>E-03</t>
        </is>
      </c>
      <c r="C69" s="11" t="inlineStr">
        <is>
          <t>WordPress Toolkit</t>
        </is>
      </c>
      <c r="D69" s="10" t="inlineStr">
        <is>
          <t>Q2 2027</t>
        </is>
      </c>
      <c r="E69" s="10" t="inlineStr">
        <is>
          <t>WYSOKI</t>
        </is>
      </c>
      <c r="F69" s="11" t="inlineStr">
        <is>
          <t>Skanowanie podatności WordPressa</t>
        </is>
      </c>
      <c r="G69" s="10" t="inlineStr">
        <is>
          <t>I — Aplikacje i WordPress</t>
        </is>
      </c>
      <c r="H69" s="10" t="inlineStr">
        <is>
          <t>ŚREDNIA</t>
        </is>
      </c>
      <c r="I69" s="10" t="n">
        <v>40</v>
      </c>
      <c r="J69" s="10" t="inlineStr">
        <is>
          <t>BRAK</t>
        </is>
      </c>
      <c r="K69" s="11" t="inlineStr">
        <is>
          <t>Plesk używa Patchstack</t>
        </is>
      </c>
    </row>
    <row r="70">
      <c r="A70" s="10" t="inlineStr">
        <is>
          <t>I-08</t>
        </is>
      </c>
      <c r="B70" s="10" t="inlineStr">
        <is>
          <t>E-03</t>
        </is>
      </c>
      <c r="C70" s="11" t="inlineStr">
        <is>
          <t>WordPress Toolkit</t>
        </is>
      </c>
      <c r="D70" s="10" t="inlineStr">
        <is>
          <t>Q2 2027</t>
        </is>
      </c>
      <c r="E70" s="10" t="inlineStr">
        <is>
          <t>WYSOKI</t>
        </is>
      </c>
      <c r="F70" s="11" t="inlineStr">
        <is>
          <t>Hardening WordPressa (checklist)</t>
        </is>
      </c>
      <c r="G70" s="10" t="inlineStr">
        <is>
          <t>I — Aplikacje i WordPress</t>
        </is>
      </c>
      <c r="H70" s="10" t="inlineStr">
        <is>
          <t>ŚREDNIA</t>
        </is>
      </c>
      <c r="I70" s="10" t="n">
        <v>16</v>
      </c>
      <c r="J70" s="10" t="inlineStr">
        <is>
          <t>BRAK</t>
        </is>
      </c>
      <c r="K70" s="11" t="inlineStr"/>
    </row>
    <row r="71">
      <c r="A71" s="10" t="inlineStr">
        <is>
          <t>I-13</t>
        </is>
      </c>
      <c r="B71" s="10" t="inlineStr">
        <is>
          <t>E-03</t>
        </is>
      </c>
      <c r="C71" s="11" t="inlineStr">
        <is>
          <t>WordPress Toolkit</t>
        </is>
      </c>
      <c r="D71" s="10" t="inlineStr">
        <is>
          <t>Q2 2027</t>
        </is>
      </c>
      <c r="E71" s="10" t="inlineStr">
        <is>
          <t>WYSOKI</t>
        </is>
      </c>
      <c r="F71" s="11" t="inlineStr">
        <is>
          <t>Klonowanie strony między domenami</t>
        </is>
      </c>
      <c r="G71" s="10" t="inlineStr">
        <is>
          <t>I — Aplikacje i WordPress</t>
        </is>
      </c>
      <c r="H71" s="10" t="inlineStr">
        <is>
          <t>ŚREDNIA</t>
        </is>
      </c>
      <c r="I71" s="10" t="n">
        <v>16</v>
      </c>
      <c r="J71" s="10" t="inlineStr">
        <is>
          <t>BRAK</t>
        </is>
      </c>
      <c r="K71" s="11" t="inlineStr"/>
    </row>
    <row r="72">
      <c r="A72" s="10" t="inlineStr">
        <is>
          <t>I-14</t>
        </is>
      </c>
      <c r="B72" s="10" t="inlineStr">
        <is>
          <t>E-03</t>
        </is>
      </c>
      <c r="C72" s="11" t="inlineStr">
        <is>
          <t>WordPress Toolkit</t>
        </is>
      </c>
      <c r="D72" s="10" t="inlineStr">
        <is>
          <t>Q2 2027</t>
        </is>
      </c>
      <c r="E72" s="10" t="inlineStr">
        <is>
          <t>WYSOKI</t>
        </is>
      </c>
      <c r="F72" s="11" t="inlineStr">
        <is>
          <t>Masowe zarządzanie wieloma instalacjami WP</t>
        </is>
      </c>
      <c r="G72" s="10" t="inlineStr">
        <is>
          <t>I — Aplikacje i WordPress</t>
        </is>
      </c>
      <c r="H72" s="10" t="inlineStr">
        <is>
          <t>NISKA</t>
        </is>
      </c>
      <c r="I72" s="10" t="n">
        <v>40</v>
      </c>
      <c r="J72" s="10" t="inlineStr">
        <is>
          <t>BRAK</t>
        </is>
      </c>
      <c r="K72" s="11" t="inlineStr">
        <is>
          <t>realna przewaga dla agencji</t>
        </is>
      </c>
    </row>
    <row r="73">
      <c r="A73" s="10" t="inlineStr">
        <is>
          <t>I-15</t>
        </is>
      </c>
      <c r="B73" s="10" t="inlineStr">
        <is>
          <t>E-03</t>
        </is>
      </c>
      <c r="C73" s="11" t="inlineStr">
        <is>
          <t>WordPress Toolkit</t>
        </is>
      </c>
      <c r="D73" s="10" t="inlineStr">
        <is>
          <t>Q2 2027</t>
        </is>
      </c>
      <c r="E73" s="10" t="inlineStr">
        <is>
          <t>WYSOKI</t>
        </is>
      </c>
      <c r="F73" s="11" t="inlineStr">
        <is>
          <t>Tryb konserwacji WordPressa</t>
        </is>
      </c>
      <c r="G73" s="10" t="inlineStr">
        <is>
          <t>I — Aplikacje i WordPress</t>
        </is>
      </c>
      <c r="H73" s="10" t="inlineStr">
        <is>
          <t>NISKA</t>
        </is>
      </c>
      <c r="I73" s="10" t="n">
        <v>6</v>
      </c>
      <c r="J73" s="10" t="inlineStr">
        <is>
          <t>BRAK</t>
        </is>
      </c>
      <c r="K73" s="11" t="inlineStr"/>
    </row>
    <row r="74">
      <c r="A74" s="10" t="inlineStr">
        <is>
          <t>I-16</t>
        </is>
      </c>
      <c r="B74" s="10" t="inlineStr">
        <is>
          <t>E-03</t>
        </is>
      </c>
      <c r="C74" s="11" t="inlineStr">
        <is>
          <t>WordPress Toolkit</t>
        </is>
      </c>
      <c r="D74" s="10" t="inlineStr">
        <is>
          <t>Q2 2027</t>
        </is>
      </c>
      <c r="E74" s="10" t="inlineStr">
        <is>
          <t>WYSOKI</t>
        </is>
      </c>
      <c r="F74" s="11" t="inlineStr">
        <is>
          <t>WP-CLI</t>
        </is>
      </c>
      <c r="G74" s="10" t="inlineStr">
        <is>
          <t>I — Aplikacje i WordPress</t>
        </is>
      </c>
      <c r="H74" s="10" t="inlineStr">
        <is>
          <t>ŚREDNIA</t>
        </is>
      </c>
      <c r="I74" s="10" t="n">
        <v>6</v>
      </c>
      <c r="J74" s="10" t="inlineStr">
        <is>
          <t>CZĘŚCIOWE</t>
        </is>
      </c>
      <c r="K74" s="11" t="inlineStr">
        <is>
          <t>używane wewnętrznie przy WP_INSTALL</t>
        </is>
      </c>
    </row>
    <row r="75">
      <c r="A75" s="10" t="inlineStr">
        <is>
          <t>I-18</t>
        </is>
      </c>
      <c r="B75" s="10" t="inlineStr">
        <is>
          <t>E-03</t>
        </is>
      </c>
      <c r="C75" s="11" t="inlineStr">
        <is>
          <t>WordPress Toolkit</t>
        </is>
      </c>
      <c r="D75" s="10" t="inlineStr">
        <is>
          <t>Q2 2027</t>
        </is>
      </c>
      <c r="E75" s="10" t="inlineStr">
        <is>
          <t>WYSOKI</t>
        </is>
      </c>
      <c r="F75" s="11" t="inlineStr">
        <is>
          <t>Migracja — test poświadczeń (preflight)</t>
        </is>
      </c>
      <c r="G75" s="10" t="inlineStr">
        <is>
          <t>I — Aplikacje i WordPress</t>
        </is>
      </c>
      <c r="H75" s="10" t="inlineStr">
        <is>
          <t>ŚREDNIA</t>
        </is>
      </c>
      <c r="I75" s="10" t="n">
        <v>6</v>
      </c>
      <c r="J75" s="10" t="inlineStr">
        <is>
          <t>CZĘŚCIOWE</t>
        </is>
      </c>
      <c r="K75" s="11" t="inlineStr">
        <is>
          <t>services.controller.ts:1001</t>
        </is>
      </c>
    </row>
    <row r="76">
      <c r="A76" s="10" t="inlineStr">
        <is>
          <t>I-22</t>
        </is>
      </c>
      <c r="B76" s="10" t="inlineStr">
        <is>
          <t>E-03</t>
        </is>
      </c>
      <c r="C76" s="11" t="inlineStr">
        <is>
          <t>WordPress Toolkit</t>
        </is>
      </c>
      <c r="D76" s="10" t="inlineStr">
        <is>
          <t>Q2 2027</t>
        </is>
      </c>
      <c r="E76" s="10" t="inlineStr">
        <is>
          <t>WYSOKI</t>
        </is>
      </c>
      <c r="F76" s="11" t="inlineStr">
        <is>
          <t>Migracja — cockpit operatora</t>
        </is>
      </c>
      <c r="G76" s="10" t="inlineStr">
        <is>
          <t>I — Aplikacje i WordPress</t>
        </is>
      </c>
      <c r="H76" s="10" t="inlineStr">
        <is>
          <t>ŚREDNIA</t>
        </is>
      </c>
      <c r="I76" s="10" t="n">
        <v>6</v>
      </c>
      <c r="J76" s="10" t="inlineStr">
        <is>
          <t>CZĘŚCIOWE</t>
        </is>
      </c>
      <c r="K76" s="11" t="inlineStr">
        <is>
          <t>migrations.staff.controller.ts:75,90,126</t>
        </is>
      </c>
    </row>
    <row r="77">
      <c r="A77" s="10" t="inlineStr">
        <is>
          <t>A-06</t>
        </is>
      </c>
      <c r="B77" s="10" t="inlineStr">
        <is>
          <t>E-04</t>
        </is>
      </c>
      <c r="C77" s="11" t="inlineStr">
        <is>
          <t>Domeny jako produkt</t>
        </is>
      </c>
      <c r="D77" s="10" t="inlineStr">
        <is>
          <t>Q2 2027</t>
        </is>
      </c>
      <c r="E77" s="10" t="inlineStr">
        <is>
          <t>WYSOKI</t>
        </is>
      </c>
      <c r="F77" s="11" t="inlineStr">
        <is>
          <t>Zmiana document root domeny</t>
        </is>
      </c>
      <c r="G77" s="10" t="inlineStr">
        <is>
          <t>A — Domeny i konta</t>
        </is>
      </c>
      <c r="H77" s="10" t="inlineStr">
        <is>
          <t>NISKA</t>
        </is>
      </c>
      <c r="I77" s="10" t="n">
        <v>6</v>
      </c>
      <c r="J77" s="10" t="inlineStr">
        <is>
          <t>BRAK</t>
        </is>
      </c>
      <c r="K77" s="11" t="inlineStr">
        <is>
          <t>DA to potrafi; brak UI</t>
        </is>
      </c>
    </row>
    <row r="78">
      <c r="A78" s="10" t="inlineStr">
        <is>
          <t>A-08</t>
        </is>
      </c>
      <c r="B78" s="10" t="inlineStr">
        <is>
          <t>E-04</t>
        </is>
      </c>
      <c r="C78" s="11" t="inlineStr">
        <is>
          <t>Domeny jako produkt</t>
        </is>
      </c>
      <c r="D78" s="10" t="inlineStr">
        <is>
          <t>Q2 2027</t>
        </is>
      </c>
      <c r="E78" s="10" t="inlineStr">
        <is>
          <t>WYSOKI</t>
        </is>
      </c>
      <c r="F78" s="11" t="inlineStr">
        <is>
          <t>Rejestracja domeny z panelu</t>
        </is>
      </c>
      <c r="G78" s="10" t="inlineStr">
        <is>
          <t>A — Domeny i konta</t>
        </is>
      </c>
      <c r="H78" s="10" t="inlineStr">
        <is>
          <t>ŚREDNIA</t>
        </is>
      </c>
      <c r="I78" s="10" t="n">
        <v>16</v>
      </c>
      <c r="J78" s="10" t="inlineStr">
        <is>
          <t>FLAGA</t>
        </is>
      </c>
      <c r="K78" s="11" t="inlineStr">
        <is>
          <t>domains.controller.ts:118</t>
        </is>
      </c>
    </row>
    <row r="79">
      <c r="A79" s="10" t="inlineStr">
        <is>
          <t>A-09</t>
        </is>
      </c>
      <c r="B79" s="10" t="inlineStr">
        <is>
          <t>E-04</t>
        </is>
      </c>
      <c r="C79" s="11" t="inlineStr">
        <is>
          <t>Domeny jako produkt</t>
        </is>
      </c>
      <c r="D79" s="10" t="inlineStr">
        <is>
          <t>Q2 2027</t>
        </is>
      </c>
      <c r="E79" s="10" t="inlineStr">
        <is>
          <t>WYSOKI</t>
        </is>
      </c>
      <c r="F79" s="11" t="inlineStr">
        <is>
          <t>Transfer domeny (kod authinfo)</t>
        </is>
      </c>
      <c r="G79" s="10" t="inlineStr">
        <is>
          <t>A — Domeny i konta</t>
        </is>
      </c>
      <c r="H79" s="10" t="inlineStr">
        <is>
          <t>WYSOKA</t>
        </is>
      </c>
      <c r="I79" s="10" t="n">
        <v>16</v>
      </c>
      <c r="J79" s="10" t="inlineStr">
        <is>
          <t>FLAGA</t>
        </is>
      </c>
      <c r="K79" s="11" t="inlineStr">
        <is>
          <t>domains.controller.ts:123</t>
        </is>
      </c>
    </row>
    <row r="80">
      <c r="A80" s="10" t="inlineStr">
        <is>
          <t>A-10</t>
        </is>
      </c>
      <c r="B80" s="10" t="inlineStr">
        <is>
          <t>E-04</t>
        </is>
      </c>
      <c r="C80" s="11" t="inlineStr">
        <is>
          <t>Domeny jako produkt</t>
        </is>
      </c>
      <c r="D80" s="10" t="inlineStr">
        <is>
          <t>Q2 2027</t>
        </is>
      </c>
      <c r="E80" s="10" t="inlineStr">
        <is>
          <t>WYSOKI</t>
        </is>
      </c>
      <c r="F80" s="11" t="inlineStr">
        <is>
          <t>Odnowienie domeny przez klienta</t>
        </is>
      </c>
      <c r="G80" s="10" t="inlineStr">
        <is>
          <t>A — Domeny i konta</t>
        </is>
      </c>
      <c r="H80" s="10" t="inlineStr">
        <is>
          <t>ŚREDNIA</t>
        </is>
      </c>
      <c r="I80" s="10" t="n">
        <v>6</v>
      </c>
      <c r="J80" s="10" t="inlineStr">
        <is>
          <t>ENDPOINT BEZ UI</t>
        </is>
      </c>
      <c r="K80" s="11" t="inlineStr">
        <is>
          <t>domains.controller.ts:133</t>
        </is>
      </c>
    </row>
    <row r="81">
      <c r="A81" s="10" t="inlineStr">
        <is>
          <t>A-12</t>
        </is>
      </c>
      <c r="B81" s="10" t="inlineStr">
        <is>
          <t>E-04</t>
        </is>
      </c>
      <c r="C81" s="11" t="inlineStr">
        <is>
          <t>Domeny jako produkt</t>
        </is>
      </c>
      <c r="D81" s="10" t="inlineStr">
        <is>
          <t>Q2 2027</t>
        </is>
      </c>
      <c r="E81" s="10" t="inlineStr">
        <is>
          <t>WYSOKI</t>
        </is>
      </c>
      <c r="F81" s="11" t="inlineStr">
        <is>
          <t>Cennik rejestracji na 1–10 lat</t>
        </is>
      </c>
      <c r="G81" s="10" t="inlineStr">
        <is>
          <t>A — Domeny i konta</t>
        </is>
      </c>
      <c r="H81" s="10" t="inlineStr">
        <is>
          <t>ŚREDNIA</t>
        </is>
      </c>
      <c r="I81" s="10" t="n">
        <v>6</v>
      </c>
      <c r="J81" s="10" t="inlineStr">
        <is>
          <t>FLAGA</t>
        </is>
      </c>
      <c r="K81" s="11" t="inlineStr">
        <is>
          <t>domains.controller.ts:59</t>
        </is>
      </c>
    </row>
    <row r="82">
      <c r="A82" s="10" t="inlineStr">
        <is>
          <t>A-13</t>
        </is>
      </c>
      <c r="B82" s="10" t="inlineStr">
        <is>
          <t>E-04</t>
        </is>
      </c>
      <c r="C82" s="11" t="inlineStr">
        <is>
          <t>Domeny jako produkt</t>
        </is>
      </c>
      <c r="D82" s="10" t="inlineStr">
        <is>
          <t>Q2 2027</t>
        </is>
      </c>
      <c r="E82" s="10" t="inlineStr">
        <is>
          <t>WYSOKI</t>
        </is>
      </c>
      <c r="F82" s="11" t="inlineStr">
        <is>
          <t>Zmiana danych abonenta domeny</t>
        </is>
      </c>
      <c r="G82" s="10" t="inlineStr">
        <is>
          <t>A — Domeny i konta</t>
        </is>
      </c>
      <c r="H82" s="10" t="inlineStr">
        <is>
          <t>WYSOKA</t>
        </is>
      </c>
      <c r="I82" s="10" t="n">
        <v>16</v>
      </c>
      <c r="J82" s="10" t="inlineStr">
        <is>
          <t>BRAK</t>
        </is>
      </c>
      <c r="K82" s="11" t="inlineStr">
        <is>
          <t>wymóg operatorski przy własnej rejestracji</t>
        </is>
      </c>
    </row>
    <row r="83">
      <c r="A83" s="10" t="inlineStr">
        <is>
          <t>A-14</t>
        </is>
      </c>
      <c r="B83" s="10" t="inlineStr">
        <is>
          <t>E-04</t>
        </is>
      </c>
      <c r="C83" s="11" t="inlineStr">
        <is>
          <t>Domeny jako produkt</t>
        </is>
      </c>
      <c r="D83" s="10" t="inlineStr">
        <is>
          <t>Q2 2027</t>
        </is>
      </c>
      <c r="E83" s="10" t="inlineStr">
        <is>
          <t>WYSOKI</t>
        </is>
      </c>
      <c r="F83" s="11" t="inlineStr">
        <is>
          <t>Ukrycie danych WHOIS / domain privacy</t>
        </is>
      </c>
      <c r="G83" s="10" t="inlineStr">
        <is>
          <t>A — Domeny i konta</t>
        </is>
      </c>
      <c r="H83" s="10" t="inlineStr">
        <is>
          <t>NISKA</t>
        </is>
      </c>
      <c r="I83" s="10" t="n">
        <v>6</v>
      </c>
      <c r="J83" s="10" t="inlineStr">
        <is>
          <t>BRAK</t>
        </is>
      </c>
      <c r="K83" s="11" t="inlineStr"/>
    </row>
    <row r="84">
      <c r="A84" s="10" t="inlineStr">
        <is>
          <t>A-15</t>
        </is>
      </c>
      <c r="B84" s="10" t="inlineStr">
        <is>
          <t>E-04</t>
        </is>
      </c>
      <c r="C84" s="11" t="inlineStr">
        <is>
          <t>Domeny jako produkt</t>
        </is>
      </c>
      <c r="D84" s="10" t="inlineStr">
        <is>
          <t>Q2 2027</t>
        </is>
      </c>
      <c r="E84" s="10" t="inlineStr">
        <is>
          <t>WYSOKI</t>
        </is>
      </c>
      <c r="F84" s="11" t="inlineStr">
        <is>
          <t>Blokada transferu domeny (transfer lock)</t>
        </is>
      </c>
      <c r="G84" s="10" t="inlineStr">
        <is>
          <t>A — Domeny i konta</t>
        </is>
      </c>
      <c r="H84" s="10" t="inlineStr">
        <is>
          <t>ŚREDNIA</t>
        </is>
      </c>
      <c r="I84" s="10" t="n">
        <v>6</v>
      </c>
      <c r="J84" s="10" t="inlineStr">
        <is>
          <t>BRAK</t>
        </is>
      </c>
      <c r="K84" s="11" t="inlineStr"/>
    </row>
    <row r="85">
      <c r="A85" s="10" t="inlineStr">
        <is>
          <t>A-16</t>
        </is>
      </c>
      <c r="B85" s="10" t="inlineStr">
        <is>
          <t>E-04</t>
        </is>
      </c>
      <c r="C85" s="11" t="inlineStr">
        <is>
          <t>Domeny jako produkt</t>
        </is>
      </c>
      <c r="D85" s="10" t="inlineStr">
        <is>
          <t>Q2 2027</t>
        </is>
      </c>
      <c r="E85" s="10" t="inlineStr">
        <is>
          <t>WYSOKI</t>
        </is>
      </c>
      <c r="F85" s="11" t="inlineStr">
        <is>
          <t>Weryfikacja własności domeny</t>
        </is>
      </c>
      <c r="G85" s="10" t="inlineStr">
        <is>
          <t>A — Domeny i konta</t>
        </is>
      </c>
      <c r="H85" s="10" t="inlineStr">
        <is>
          <t>WYSOKA</t>
        </is>
      </c>
      <c r="I85" s="10" t="n">
        <v>16</v>
      </c>
      <c r="J85" s="10" t="inlineStr">
        <is>
          <t>CZĘŚCIOWE</t>
        </is>
      </c>
      <c r="K85" s="11" t="inlineStr">
        <is>
          <t>domains.service.ts:92-153 — runChecklist robi resolve4/resolve6/resolveNs + handshake TLS</t>
        </is>
      </c>
    </row>
    <row r="86">
      <c r="A86" s="10" t="inlineStr">
        <is>
          <t>A-24</t>
        </is>
      </c>
      <c r="B86" s="10" t="inlineStr">
        <is>
          <t>E-04</t>
        </is>
      </c>
      <c r="C86" s="11" t="inlineStr">
        <is>
          <t>Domeny jako produkt</t>
        </is>
      </c>
      <c r="D86" s="10" t="inlineStr">
        <is>
          <t>Q2 2027</t>
        </is>
      </c>
      <c r="E86" s="10" t="inlineStr">
        <is>
          <t>WYSOKI</t>
        </is>
      </c>
      <c r="F86" s="11" t="inlineStr">
        <is>
          <t>Zakładanie konta klienta przez operatora</t>
        </is>
      </c>
      <c r="G86" s="10" t="inlineStr">
        <is>
          <t>A — Domeny i konta</t>
        </is>
      </c>
      <c r="H86" s="10" t="inlineStr">
        <is>
          <t>WYSOKA</t>
        </is>
      </c>
      <c r="I86" s="10" t="n">
        <v>16</v>
      </c>
      <c r="J86" s="10" t="inlineStr">
        <is>
          <t>BRAK</t>
        </is>
      </c>
      <c r="K86" s="11" t="inlineStr">
        <is>
          <t>brak @Post w users.admin.controller.ts</t>
        </is>
      </c>
    </row>
    <row r="87">
      <c r="A87" s="10" t="inlineStr">
        <is>
          <t>I-01</t>
        </is>
      </c>
      <c r="B87" s="10" t="inlineStr">
        <is>
          <t>E-05</t>
        </is>
      </c>
      <c r="C87" s="11" t="inlineStr">
        <is>
          <t>Katalog aplikacji</t>
        </is>
      </c>
      <c r="D87" s="10" t="inlineStr">
        <is>
          <t>Q2 2027</t>
        </is>
      </c>
      <c r="E87" s="10" t="inlineStr">
        <is>
          <t>ŚREDNI</t>
        </is>
      </c>
      <c r="F87" s="11" t="inlineStr">
        <is>
          <t>Autoinstalator aplikacji</t>
        </is>
      </c>
      <c r="G87" s="10" t="inlineStr">
        <is>
          <t>I — Aplikacje i WordPress</t>
        </is>
      </c>
      <c r="H87" s="10" t="inlineStr">
        <is>
          <t>WYSOKA</t>
        </is>
      </c>
      <c r="I87" s="10" t="n">
        <v>16</v>
      </c>
      <c r="J87" s="10" t="inlineStr">
        <is>
          <t>CZĘŚCIOWE</t>
        </is>
      </c>
      <c r="K87" s="11" t="inlineStr">
        <is>
          <t>app-install.service.ts:25,32 — katalog ma 2 pozycje</t>
        </is>
      </c>
    </row>
    <row r="88">
      <c r="A88" s="10" t="inlineStr">
        <is>
          <t>E-06</t>
        </is>
      </c>
      <c r="B88" s="10" t="inlineStr">
        <is>
          <t>E-10</t>
        </is>
      </c>
      <c r="C88" s="11" t="inlineStr">
        <is>
          <t>Poczta: filtry, kalendarz, limity</t>
        </is>
      </c>
      <c r="D88" s="10" t="inlineStr">
        <is>
          <t>Q2 2027</t>
        </is>
      </c>
      <c r="E88" s="10" t="inlineStr">
        <is>
          <t>ŚREDNI</t>
        </is>
      </c>
      <c r="F88" s="11" t="inlineStr">
        <is>
          <t>Podgląd zużycia skrzynki</t>
        </is>
      </c>
      <c r="G88" s="10" t="inlineStr">
        <is>
          <t>E — Poczta</t>
        </is>
      </c>
      <c r="H88" s="10" t="inlineStr">
        <is>
          <t>ŚREDNIA</t>
        </is>
      </c>
      <c r="I88" s="10" t="n">
        <v>6</v>
      </c>
      <c r="J88" s="10" t="inlineStr">
        <is>
          <t>BRAK</t>
        </is>
      </c>
      <c r="K88" s="11" t="inlineStr"/>
    </row>
    <row r="89">
      <c r="A89" s="10" t="inlineStr">
        <is>
          <t>E-12</t>
        </is>
      </c>
      <c r="B89" s="10" t="inlineStr">
        <is>
          <t>E-10</t>
        </is>
      </c>
      <c r="C89" s="11" t="inlineStr">
        <is>
          <t>Poczta: filtry, kalendarz, limity</t>
        </is>
      </c>
      <c r="D89" s="10" t="inlineStr">
        <is>
          <t>Q2 2027</t>
        </is>
      </c>
      <c r="E89" s="10" t="inlineStr">
        <is>
          <t>ŚREDNI</t>
        </is>
      </c>
      <c r="F89" s="11" t="inlineStr">
        <is>
          <t>Reguły filtrowania poczty (Sieve)</t>
        </is>
      </c>
      <c r="G89" s="10" t="inlineStr">
        <is>
          <t>E — Poczta</t>
        </is>
      </c>
      <c r="H89" s="10" t="inlineStr">
        <is>
          <t>ŚREDNIA</t>
        </is>
      </c>
      <c r="I89" s="10" t="n">
        <v>16</v>
      </c>
      <c r="J89" s="10" t="inlineStr">
        <is>
          <t>BRAK</t>
        </is>
      </c>
      <c r="K89" s="11" t="inlineStr">
        <is>
          <t>wszystkie 5 hostingów PL to ma</t>
        </is>
      </c>
    </row>
    <row r="90">
      <c r="A90" s="10" t="inlineStr">
        <is>
          <t>E-13</t>
        </is>
      </c>
      <c r="B90" s="10" t="inlineStr">
        <is>
          <t>E-10</t>
        </is>
      </c>
      <c r="C90" s="11" t="inlineStr">
        <is>
          <t>Poczta: filtry, kalendarz, limity</t>
        </is>
      </c>
      <c r="D90" s="10" t="inlineStr">
        <is>
          <t>Q2 2027</t>
        </is>
      </c>
      <c r="E90" s="10" t="inlineStr">
        <is>
          <t>ŚREDNI</t>
        </is>
      </c>
      <c r="F90" s="11" t="inlineStr">
        <is>
          <t>Webmail — dostęp</t>
        </is>
      </c>
      <c r="G90" s="10" t="inlineStr">
        <is>
          <t>E — Poczta</t>
        </is>
      </c>
      <c r="H90" s="10" t="inlineStr">
        <is>
          <t>ŚREDNIA</t>
        </is>
      </c>
      <c r="I90" s="10" t="n">
        <v>6</v>
      </c>
      <c r="J90" s="10" t="inlineStr">
        <is>
          <t>CZĘŚCIOWE</t>
        </is>
      </c>
      <c r="K90" s="11" t="inlineStr">
        <is>
          <t>link do DA</t>
        </is>
      </c>
    </row>
    <row r="91">
      <c r="A91" s="10" t="inlineStr">
        <is>
          <t>E-18</t>
        </is>
      </c>
      <c r="B91" s="10" t="inlineStr">
        <is>
          <t>E-10</t>
        </is>
      </c>
      <c r="C91" s="11" t="inlineStr">
        <is>
          <t>Poczta: filtry, kalendarz, limity</t>
        </is>
      </c>
      <c r="D91" s="10" t="inlineStr">
        <is>
          <t>Q2 2027</t>
        </is>
      </c>
      <c r="E91" s="10" t="inlineStr">
        <is>
          <t>ŚREDNI</t>
        </is>
      </c>
      <c r="F91" s="11" t="inlineStr">
        <is>
          <t>Sprawdzenie obecności na RBL</t>
        </is>
      </c>
      <c r="G91" s="10" t="inlineStr">
        <is>
          <t>E — Poczta</t>
        </is>
      </c>
      <c r="H91" s="10" t="inlineStr">
        <is>
          <t>ŚREDNIA</t>
        </is>
      </c>
      <c r="I91" s="10" t="n">
        <v>6</v>
      </c>
      <c r="J91" s="10" t="inlineStr">
        <is>
          <t>ENDPOINT BEZ UI</t>
        </is>
      </c>
      <c r="K91" s="11" t="inlineStr">
        <is>
          <t>services.controller.ts:114</t>
        </is>
      </c>
    </row>
    <row r="92">
      <c r="A92" s="10" t="inlineStr">
        <is>
          <t>E-19</t>
        </is>
      </c>
      <c r="B92" s="10" t="inlineStr">
        <is>
          <t>E-10</t>
        </is>
      </c>
      <c r="C92" s="11" t="inlineStr">
        <is>
          <t>Poczta: filtry, kalendarz, limity</t>
        </is>
      </c>
      <c r="D92" s="10" t="inlineStr">
        <is>
          <t>Q2 2027</t>
        </is>
      </c>
      <c r="E92" s="10" t="inlineStr">
        <is>
          <t>ŚREDNI</t>
        </is>
      </c>
      <c r="F92" s="11" t="inlineStr">
        <is>
          <t>Podgląd kolejki i logów dostarczania</t>
        </is>
      </c>
      <c r="G92" s="10" t="inlineStr">
        <is>
          <t>E — Poczta</t>
        </is>
      </c>
      <c r="H92" s="10" t="inlineStr">
        <is>
          <t>ŚREDNIA</t>
        </is>
      </c>
      <c r="I92" s="10" t="n">
        <v>16</v>
      </c>
      <c r="J92" s="10" t="inlineStr">
        <is>
          <t>BRAK</t>
        </is>
      </c>
      <c r="K92" s="11" t="inlineStr">
        <is>
          <t>„gdzie jest mój mail” to najczęstszy ticket poczty</t>
        </is>
      </c>
    </row>
    <row r="93">
      <c r="A93" s="10" t="inlineStr">
        <is>
          <t>E-20</t>
        </is>
      </c>
      <c r="B93" s="10" t="inlineStr">
        <is>
          <t>E-10</t>
        </is>
      </c>
      <c r="C93" s="11" t="inlineStr">
        <is>
          <t>Poczta: filtry, kalendarz, limity</t>
        </is>
      </c>
      <c r="D93" s="10" t="inlineStr">
        <is>
          <t>Q2 2027</t>
        </is>
      </c>
      <c r="E93" s="10" t="inlineStr">
        <is>
          <t>ŚREDNI</t>
        </is>
      </c>
      <c r="F93" s="11" t="inlineStr">
        <is>
          <t>Limity wysyłki pokazane klientowi</t>
        </is>
      </c>
      <c r="G93" s="10" t="inlineStr">
        <is>
          <t>E — Poczta</t>
        </is>
      </c>
      <c r="H93" s="10" t="inlineStr">
        <is>
          <t>ŚREDNIA</t>
        </is>
      </c>
      <c r="I93" s="10" t="n">
        <v>6</v>
      </c>
      <c r="J93" s="10" t="inlineStr">
        <is>
          <t>BRAK</t>
        </is>
      </c>
      <c r="K93" s="11" t="inlineStr">
        <is>
          <t>cyber_Folks publikuje jawnie: 1000/dobę, 300/15 min</t>
        </is>
      </c>
    </row>
    <row r="94">
      <c r="A94" s="10" t="inlineStr">
        <is>
          <t>E-21</t>
        </is>
      </c>
      <c r="B94" s="10" t="inlineStr">
        <is>
          <t>E-10</t>
        </is>
      </c>
      <c r="C94" s="11" t="inlineStr">
        <is>
          <t>Poczta: filtry, kalendarz, limity</t>
        </is>
      </c>
      <c r="D94" s="10" t="inlineStr">
        <is>
          <t>Q2 2027</t>
        </is>
      </c>
      <c r="E94" s="10" t="inlineStr">
        <is>
          <t>ŚREDNI</t>
        </is>
      </c>
      <c r="F94" s="11" t="inlineStr">
        <is>
          <t>Samodzielny import skrzynek przez IMAP</t>
        </is>
      </c>
      <c r="G94" s="10" t="inlineStr">
        <is>
          <t>E — Poczta</t>
        </is>
      </c>
      <c r="H94" s="10" t="inlineStr">
        <is>
          <t>ŚREDNIA</t>
        </is>
      </c>
      <c r="I94" s="10" t="n">
        <v>6</v>
      </c>
      <c r="J94" s="10" t="inlineStr">
        <is>
          <t>CZĘŚCIOWE</t>
        </is>
      </c>
      <c r="K94" s="11" t="inlineStr">
        <is>
          <t>w ramach migracji, nie jako osobne narzędzie</t>
        </is>
      </c>
    </row>
    <row r="95">
      <c r="A95" s="10" t="inlineStr">
        <is>
          <t>E-23</t>
        </is>
      </c>
      <c r="B95" s="10" t="inlineStr">
        <is>
          <t>E-10</t>
        </is>
      </c>
      <c r="C95" s="11" t="inlineStr">
        <is>
          <t>Poczta: filtry, kalendarz, limity</t>
        </is>
      </c>
      <c r="D95" s="10" t="inlineStr">
        <is>
          <t>Q2 2027</t>
        </is>
      </c>
      <c r="E95" s="10" t="inlineStr">
        <is>
          <t>ŚREDNI</t>
        </is>
      </c>
      <c r="F95" s="11" t="inlineStr">
        <is>
          <t>Kalendarz i kontakty (CalDAV/CardDAV)</t>
        </is>
      </c>
      <c r="G95" s="10" t="inlineStr">
        <is>
          <t>E — Poczta</t>
        </is>
      </c>
      <c r="H95" s="10" t="inlineStr">
        <is>
          <t>NISKA</t>
        </is>
      </c>
      <c r="I95" s="10" t="n">
        <v>40</v>
      </c>
      <c r="J95" s="10" t="inlineStr">
        <is>
          <t>BRAK</t>
        </is>
      </c>
      <c r="K95" s="11" t="inlineStr">
        <is>
          <t>dhosting i home.pl mają w produkcie „poczta biznesowa”</t>
        </is>
      </c>
    </row>
    <row r="96">
      <c r="A96" s="10" t="inlineStr">
        <is>
          <t>E-24</t>
        </is>
      </c>
      <c r="B96" s="10" t="inlineStr">
        <is>
          <t>E-10</t>
        </is>
      </c>
      <c r="C96" s="11" t="inlineStr">
        <is>
          <t>Poczta: filtry, kalendarz, limity</t>
        </is>
      </c>
      <c r="D96" s="10" t="inlineStr">
        <is>
          <t>Q2 2027</t>
        </is>
      </c>
      <c r="E96" s="10" t="inlineStr">
        <is>
          <t>ŚREDNI</t>
        </is>
      </c>
      <c r="F96" s="11" t="inlineStr">
        <is>
          <t>2FA dla webmaila</t>
        </is>
      </c>
      <c r="G96" s="10" t="inlineStr">
        <is>
          <t>E — Poczta</t>
        </is>
      </c>
      <c r="H96" s="10" t="inlineStr">
        <is>
          <t>NISKA</t>
        </is>
      </c>
      <c r="I96" s="10" t="n">
        <v>16</v>
      </c>
      <c r="J96" s="10" t="inlineStr">
        <is>
          <t>BRAK</t>
        </is>
      </c>
      <c r="K96" s="11" t="inlineStr">
        <is>
          <t>cyber_Folks ma nawet 2FA dla IMAP/SMTP</t>
        </is>
      </c>
    </row>
    <row r="97">
      <c r="A97" s="10" t="inlineStr">
        <is>
          <t>G-07</t>
        </is>
      </c>
      <c r="B97" s="10" t="inlineStr">
        <is>
          <t>E-06</t>
        </is>
      </c>
      <c r="C97" s="11" t="inlineStr">
        <is>
          <t>Bezpieczeństwo jako funkcja</t>
        </is>
      </c>
      <c r="D97" s="10" t="inlineStr">
        <is>
          <t>Q3 2027</t>
        </is>
      </c>
      <c r="E97" s="10" t="inlineStr">
        <is>
          <t>ŚREDNI</t>
        </is>
      </c>
      <c r="F97" s="11" t="inlineStr">
        <is>
          <t>HSTS</t>
        </is>
      </c>
      <c r="G97" s="10" t="inlineStr">
        <is>
          <t>G — SSL i bezpieczeństwo</t>
        </is>
      </c>
      <c r="H97" s="10" t="inlineStr">
        <is>
          <t>NISKA</t>
        </is>
      </c>
      <c r="I97" s="10" t="n">
        <v>6</v>
      </c>
      <c r="J97" s="10" t="inlineStr">
        <is>
          <t>BRAK</t>
        </is>
      </c>
      <c r="K97" s="11" t="inlineStr"/>
    </row>
    <row r="98">
      <c r="A98" s="10" t="inlineStr">
        <is>
          <t>G-08</t>
        </is>
      </c>
      <c r="B98" s="10" t="inlineStr">
        <is>
          <t>E-06</t>
        </is>
      </c>
      <c r="C98" s="11" t="inlineStr">
        <is>
          <t>Bezpieczeństwo jako funkcja</t>
        </is>
      </c>
      <c r="D98" s="10" t="inlineStr">
        <is>
          <t>Q3 2027</t>
        </is>
      </c>
      <c r="E98" s="10" t="inlineStr">
        <is>
          <t>ŚREDNI</t>
        </is>
      </c>
      <c r="F98" s="11" t="inlineStr">
        <is>
          <t>Sprzedaż certyfikatów DV/OV/EV</t>
        </is>
      </c>
      <c r="G98" s="10" t="inlineStr">
        <is>
          <t>G — SSL i bezpieczeństwo</t>
        </is>
      </c>
      <c r="H98" s="10" t="inlineStr">
        <is>
          <t>NISKA</t>
        </is>
      </c>
      <c r="I98" s="10" t="n">
        <v>16</v>
      </c>
      <c r="J98" s="10" t="inlineStr">
        <is>
          <t>BRAK</t>
        </is>
      </c>
      <c r="K98" s="11" t="inlineStr">
        <is>
          <t>wszystkie 5 hostingów PL to sprzedaje</t>
        </is>
      </c>
    </row>
    <row r="99">
      <c r="A99" s="10" t="inlineStr">
        <is>
          <t>G-11</t>
        </is>
      </c>
      <c r="B99" s="10" t="inlineStr">
        <is>
          <t>E-06</t>
        </is>
      </c>
      <c r="C99" s="11" t="inlineStr">
        <is>
          <t>Bezpieczeństwo jako funkcja</t>
        </is>
      </c>
      <c r="D99" s="10" t="inlineStr">
        <is>
          <t>Q3 2027</t>
        </is>
      </c>
      <c r="E99" s="10" t="inlineStr">
        <is>
          <t>ŚREDNI</t>
        </is>
      </c>
      <c r="F99" s="11" t="inlineStr">
        <is>
          <t>Skaner malware dla klienta</t>
        </is>
      </c>
      <c r="G99" s="10" t="inlineStr">
        <is>
          <t>G — SSL i bezpieczeństwo</t>
        </is>
      </c>
      <c r="H99" s="10" t="inlineStr">
        <is>
          <t>WYSOKA</t>
        </is>
      </c>
      <c r="I99" s="10" t="n">
        <v>40</v>
      </c>
      <c r="J99" s="10" t="inlineStr">
        <is>
          <t>BRAK</t>
        </is>
      </c>
      <c r="K99" s="11" t="inlineStr">
        <is>
          <t>Imunify to koszt licencyjny — pozycja do unit economics</t>
        </is>
      </c>
    </row>
    <row r="100">
      <c r="A100" s="10" t="inlineStr">
        <is>
          <t>G-12</t>
        </is>
      </c>
      <c r="B100" s="10" t="inlineStr">
        <is>
          <t>E-06</t>
        </is>
      </c>
      <c r="C100" s="11" t="inlineStr">
        <is>
          <t>Bezpieczeństwo jako funkcja</t>
        </is>
      </c>
      <c r="D100" s="10" t="inlineStr">
        <is>
          <t>Q3 2027</t>
        </is>
      </c>
      <c r="E100" s="10" t="inlineStr">
        <is>
          <t>ŚREDNI</t>
        </is>
      </c>
      <c r="F100" s="11" t="inlineStr">
        <is>
          <t>Czyszczenie zainfekowanych plików</t>
        </is>
      </c>
      <c r="G100" s="10" t="inlineStr">
        <is>
          <t>G — SSL i bezpieczeństwo</t>
        </is>
      </c>
      <c r="H100" s="10" t="inlineStr">
        <is>
          <t>ŚREDNIA</t>
        </is>
      </c>
      <c r="I100" s="10" t="n">
        <v>40</v>
      </c>
      <c r="J100" s="10" t="inlineStr">
        <is>
          <t>BRAK</t>
        </is>
      </c>
      <c r="K100" s="11" t="inlineStr"/>
    </row>
    <row r="101">
      <c r="A101" s="10" t="inlineStr">
        <is>
          <t>G-19</t>
        </is>
      </c>
      <c r="B101" s="10" t="inlineStr">
        <is>
          <t>E-06</t>
        </is>
      </c>
      <c r="C101" s="11" t="inlineStr">
        <is>
          <t>Bezpieczeństwo jako funkcja</t>
        </is>
      </c>
      <c r="D101" s="10" t="inlineStr">
        <is>
          <t>Q3 2027</t>
        </is>
      </c>
      <c r="E101" s="10" t="inlineStr">
        <is>
          <t>ŚREDNI</t>
        </is>
      </c>
      <c r="F101" s="11" t="inlineStr">
        <is>
          <t>Auto-wylogowanie po bezczynności</t>
        </is>
      </c>
      <c r="G101" s="10" t="inlineStr">
        <is>
          <t>G — SSL i bezpieczeństwo</t>
        </is>
      </c>
      <c r="H101" s="10" t="inlineStr">
        <is>
          <t>ŚREDNIA</t>
        </is>
      </c>
      <c r="I101" s="10" t="n">
        <v>6</v>
      </c>
      <c r="J101" s="10" t="inlineStr">
        <is>
          <t>CZĘŚCIOWE</t>
        </is>
      </c>
      <c r="K101" s="11" t="inlineStr">
        <is>
          <t>session-idle-guard.tsx</t>
        </is>
      </c>
    </row>
    <row r="102">
      <c r="A102" s="10" t="inlineStr">
        <is>
          <t>G-21</t>
        </is>
      </c>
      <c r="B102" s="10" t="inlineStr">
        <is>
          <t>E-06</t>
        </is>
      </c>
      <c r="C102" s="11" t="inlineStr">
        <is>
          <t>Bezpieczeństwo jako funkcja</t>
        </is>
      </c>
      <c r="D102" s="10" t="inlineStr">
        <is>
          <t>Q3 2027</t>
        </is>
      </c>
      <c r="E102" s="10" t="inlineStr">
        <is>
          <t>ŚREDNI</t>
        </is>
      </c>
      <c r="F102" s="11" t="inlineStr">
        <is>
          <t>Anty-DDoS</t>
        </is>
      </c>
      <c r="G102" s="10" t="inlineStr">
        <is>
          <t>G — SSL i bezpieczeństwo</t>
        </is>
      </c>
      <c r="H102" s="10" t="inlineStr">
        <is>
          <t>ŚREDNIA</t>
        </is>
      </c>
      <c r="I102" s="10" t="n">
        <v>40</v>
      </c>
      <c r="J102" s="10" t="inlineStr">
        <is>
          <t>BRAK</t>
        </is>
      </c>
      <c r="K102" s="11" t="inlineStr">
        <is>
          <t>wszystkie 5 hostingów PL to deklaruje — brak w ofercie będzie widoczny</t>
        </is>
      </c>
    </row>
    <row r="103">
      <c r="A103" s="10" t="inlineStr">
        <is>
          <t>G-22</t>
        </is>
      </c>
      <c r="B103" s="10" t="inlineStr">
        <is>
          <t>E-06</t>
        </is>
      </c>
      <c r="C103" s="11" t="inlineStr">
        <is>
          <t>Bezpieczeństwo jako funkcja</t>
        </is>
      </c>
      <c r="D103" s="10" t="inlineStr">
        <is>
          <t>Q3 2027</t>
        </is>
      </c>
      <c r="E103" s="10" t="inlineStr">
        <is>
          <t>ŚREDNI</t>
        </is>
      </c>
      <c r="F103" s="11" t="inlineStr">
        <is>
          <t>Powiadomienie o podejrzanym logowaniu</t>
        </is>
      </c>
      <c r="G103" s="10" t="inlineStr">
        <is>
          <t>G — SSL i bezpieczeństwo</t>
        </is>
      </c>
      <c r="H103" s="10" t="inlineStr">
        <is>
          <t>NISKA</t>
        </is>
      </c>
      <c r="I103" s="10" t="n">
        <v>6</v>
      </c>
      <c r="J103" s="10" t="inlineStr">
        <is>
          <t>BRAK</t>
        </is>
      </c>
      <c r="K103" s="11" t="inlineStr"/>
    </row>
    <row r="104">
      <c r="A104" s="10" t="inlineStr">
        <is>
          <t>Z-09</t>
        </is>
      </c>
      <c r="B104" s="10" t="inlineStr">
        <is>
          <t>E-06</t>
        </is>
      </c>
      <c r="C104" s="11" t="inlineStr">
        <is>
          <t>Bezpieczeństwo jako funkcja</t>
        </is>
      </c>
      <c r="D104" s="10" t="inlineStr">
        <is>
          <t>Q3 2027</t>
        </is>
      </c>
      <c r="E104" s="10" t="inlineStr">
        <is>
          <t>ŚREDNI</t>
        </is>
      </c>
      <c r="F104" s="11" t="inlineStr">
        <is>
          <t>Ograniczenie hostów, do których łączy się worker migracji (SSRF z węzła)</t>
        </is>
      </c>
      <c r="G104" s="10" t="inlineStr">
        <is>
          <t>G — SSL i bezpieczeństwo</t>
        </is>
      </c>
      <c r="H104" s="10" t="inlineStr">
        <is>
          <t>ŚREDNIA</t>
        </is>
      </c>
      <c r="I104" s="10" t="n">
        <v>16</v>
      </c>
      <c r="J104" s="10" t="inlineStr">
        <is>
          <t>BRAK</t>
        </is>
      </c>
      <c r="K104" s="11" t="inlineStr">
        <is>
          <t>node-migration-worker.sh — host źródła pochodzi z formularza i nie jest niczym ograniczony</t>
        </is>
      </c>
    </row>
    <row r="105">
      <c r="A105" s="10" t="inlineStr">
        <is>
          <t>O-03</t>
        </is>
      </c>
      <c r="B105" s="10" t="inlineStr">
        <is>
          <t>E-07</t>
        </is>
      </c>
      <c r="C105" s="11" t="inlineStr">
        <is>
          <t>Reseller jako produkt</t>
        </is>
      </c>
      <c r="D105" s="10" t="inlineStr">
        <is>
          <t>Q3 2027</t>
        </is>
      </c>
      <c r="E105" s="10" t="inlineStr">
        <is>
          <t>ŚREDNI</t>
        </is>
      </c>
      <c r="F105" s="11" t="inlineStr">
        <is>
          <t>Dziennik audytu działań subkont</t>
        </is>
      </c>
      <c r="G105" s="10" t="inlineStr">
        <is>
          <t>O — Multi-user i reseller</t>
        </is>
      </c>
      <c r="H105" s="10" t="inlineStr">
        <is>
          <t>ŚREDNIA</t>
        </is>
      </c>
      <c r="I105" s="10" t="n">
        <v>16</v>
      </c>
      <c r="J105" s="10" t="inlineStr">
        <is>
          <t>CZĘŚCIOWE</t>
        </is>
      </c>
      <c r="K105" s="11" t="inlineStr">
        <is>
          <t>customer-iam.controller.ts:36</t>
        </is>
      </c>
    </row>
    <row r="106">
      <c r="A106" s="10" t="inlineStr">
        <is>
          <t>O-05</t>
        </is>
      </c>
      <c r="B106" s="10" t="inlineStr">
        <is>
          <t>E-07</t>
        </is>
      </c>
      <c r="C106" s="11" t="inlineStr">
        <is>
          <t>Reseller jako produkt</t>
        </is>
      </c>
      <c r="D106" s="10" t="inlineStr">
        <is>
          <t>Q3 2027</t>
        </is>
      </c>
      <c r="E106" s="10" t="inlineStr">
        <is>
          <t>ŚREDNI</t>
        </is>
      </c>
      <c r="F106" s="11" t="inlineStr">
        <is>
          <t>Reseller — przegląd klientów</t>
        </is>
      </c>
      <c r="G106" s="10" t="inlineStr">
        <is>
          <t>O — Multi-user i reseller</t>
        </is>
      </c>
      <c r="H106" s="10" t="inlineStr">
        <is>
          <t>ŚREDNIA</t>
        </is>
      </c>
      <c r="I106" s="10" t="n">
        <v>40</v>
      </c>
      <c r="J106" s="10" t="inlineStr">
        <is>
          <t>CZĘŚCIOWE</t>
        </is>
      </c>
      <c r="K106" s="11" t="inlineStr">
        <is>
          <t>reseller.controller.ts:12,17 — 2 GET-y, zero mutacji</t>
        </is>
      </c>
    </row>
    <row r="107">
      <c r="A107" s="10" t="inlineStr">
        <is>
          <t>O-06</t>
        </is>
      </c>
      <c r="B107" s="10" t="inlineStr">
        <is>
          <t>E-07</t>
        </is>
      </c>
      <c r="C107" s="11" t="inlineStr">
        <is>
          <t>Reseller jako produkt</t>
        </is>
      </c>
      <c r="D107" s="10" t="inlineStr">
        <is>
          <t>Q3 2027</t>
        </is>
      </c>
      <c r="E107" s="10" t="inlineStr">
        <is>
          <t>ŚREDNI</t>
        </is>
      </c>
      <c r="F107" s="11" t="inlineStr">
        <is>
          <t>Reseller — zakładanie kont klientom</t>
        </is>
      </c>
      <c r="G107" s="10" t="inlineStr">
        <is>
          <t>O — Multi-user i reseller</t>
        </is>
      </c>
      <c r="H107" s="10" t="inlineStr">
        <is>
          <t>ŚREDNIA</t>
        </is>
      </c>
      <c r="I107" s="10" t="n">
        <v>40</v>
      </c>
      <c r="J107" s="10" t="inlineStr">
        <is>
          <t>BRAK</t>
        </is>
      </c>
      <c r="K107" s="11" t="inlineStr">
        <is>
          <t>bez tego reseller nie jest produktem</t>
        </is>
      </c>
    </row>
    <row r="108">
      <c r="A108" s="10" t="inlineStr">
        <is>
          <t>O-07</t>
        </is>
      </c>
      <c r="B108" s="10" t="inlineStr">
        <is>
          <t>E-07</t>
        </is>
      </c>
      <c r="C108" s="11" t="inlineStr">
        <is>
          <t>Reseller jako produkt</t>
        </is>
      </c>
      <c r="D108" s="10" t="inlineStr">
        <is>
          <t>Q3 2027</t>
        </is>
      </c>
      <c r="E108" s="10" t="inlineStr">
        <is>
          <t>ŚREDNI</t>
        </is>
      </c>
      <c r="F108" s="11" t="inlineStr">
        <is>
          <t>Reseller — ustawianie własnej marży</t>
        </is>
      </c>
      <c r="G108" s="10" t="inlineStr">
        <is>
          <t>O — Multi-user i reseller</t>
        </is>
      </c>
      <c r="H108" s="10" t="inlineStr">
        <is>
          <t>NISKA</t>
        </is>
      </c>
      <c r="I108" s="10" t="n">
        <v>16</v>
      </c>
      <c r="J108" s="10" t="inlineStr">
        <is>
          <t>CZĘŚCIOWE</t>
        </is>
      </c>
      <c r="K108" s="11" t="inlineStr">
        <is>
          <t>reseller.admin.controller.ts:44,50 — tylko operator, nie reseller</t>
        </is>
      </c>
    </row>
    <row r="109">
      <c r="A109" s="10" t="inlineStr">
        <is>
          <t>O-08</t>
        </is>
      </c>
      <c r="B109" s="10" t="inlineStr">
        <is>
          <t>E-07</t>
        </is>
      </c>
      <c r="C109" s="11" t="inlineStr">
        <is>
          <t>Reseller jako produkt</t>
        </is>
      </c>
      <c r="D109" s="10" t="inlineStr">
        <is>
          <t>Q3 2027</t>
        </is>
      </c>
      <c r="E109" s="10" t="inlineStr">
        <is>
          <t>ŚREDNI</t>
        </is>
      </c>
      <c r="F109" s="11" t="inlineStr">
        <is>
          <t>Reseller — samodzielne włączenie programu</t>
        </is>
      </c>
      <c r="G109" s="10" t="inlineStr">
        <is>
          <t>O — Multi-user i reseller</t>
        </is>
      </c>
      <c r="H109" s="10" t="inlineStr">
        <is>
          <t>NISKA</t>
        </is>
      </c>
      <c r="I109" s="10" t="n">
        <v>16</v>
      </c>
      <c r="J109" s="10" t="inlineStr">
        <is>
          <t>ATRAPA</t>
        </is>
      </c>
      <c r="K109" s="11" t="inlineStr">
        <is>
          <t>reseller-client.tsx:49 — jedyna akcja to „Napisz do nas”</t>
        </is>
      </c>
    </row>
    <row r="110">
      <c r="A110" s="10" t="inlineStr">
        <is>
          <t>O-09</t>
        </is>
      </c>
      <c r="B110" s="10" t="inlineStr">
        <is>
          <t>E-07</t>
        </is>
      </c>
      <c r="C110" s="11" t="inlineStr">
        <is>
          <t>Reseller jako produkt</t>
        </is>
      </c>
      <c r="D110" s="10" t="inlineStr">
        <is>
          <t>Q3 2027</t>
        </is>
      </c>
      <c r="E110" s="10" t="inlineStr">
        <is>
          <t>ŚREDNI</t>
        </is>
      </c>
      <c r="F110" s="11" t="inlineStr">
        <is>
          <t>White-label / własna marka resellera</t>
        </is>
      </c>
      <c r="G110" s="10" t="inlineStr">
        <is>
          <t>O — Multi-user i reseller</t>
        </is>
      </c>
      <c r="H110" s="10" t="inlineStr">
        <is>
          <t>NISKA</t>
        </is>
      </c>
      <c r="I110" s="10" t="n">
        <v>40</v>
      </c>
      <c r="J110" s="10" t="inlineStr">
        <is>
          <t>CZĘŚCIOWE</t>
        </is>
      </c>
      <c r="K110" s="11" t="inlineStr">
        <is>
          <t>reseller.admin.controller.ts:44 (brand po stronie operatora)</t>
        </is>
      </c>
    </row>
    <row r="111">
      <c r="A111" s="10" t="inlineStr">
        <is>
          <t>Z-10</t>
        </is>
      </c>
      <c r="B111" s="10" t="inlineStr">
        <is>
          <t>E-07</t>
        </is>
      </c>
      <c r="C111" s="11" t="inlineStr">
        <is>
          <t>Reseller jako produkt</t>
        </is>
      </c>
      <c r="D111" s="10" t="inlineStr">
        <is>
          <t>Q3 2027</t>
        </is>
      </c>
      <c r="E111" s="10" t="inlineStr">
        <is>
          <t>ŚREDNI</t>
        </is>
      </c>
      <c r="F111" s="11" t="inlineStr">
        <is>
          <t>Izolacja rekordów między kontami klientów + dziennik odmów subkont</t>
        </is>
      </c>
      <c r="G111" s="10" t="inlineStr">
        <is>
          <t>O — Multi-user i reseller</t>
        </is>
      </c>
      <c r="H111" s="10" t="inlineStr">
        <is>
          <t>WYSOKA</t>
        </is>
      </c>
      <c r="I111" s="10" t="n">
        <v>40</v>
      </c>
      <c r="J111" s="10" t="inlineStr">
        <is>
          <t>b.d.</t>
        </is>
      </c>
      <c r="K111" s="11" t="inlineStr">
        <is>
          <t>brak systematycznego przeglądu; każdy serwis sprawdza właściciela zasobu po swojemu</t>
        </is>
      </c>
    </row>
    <row r="112">
      <c r="A112" s="10" t="inlineStr">
        <is>
          <t>P-11</t>
        </is>
      </c>
      <c r="B112" s="10" t="inlineStr">
        <is>
          <t>E-08</t>
        </is>
      </c>
      <c r="C112" s="11" t="inlineStr">
        <is>
          <t>Dostępność i zgodność w produkcie</t>
        </is>
      </c>
      <c r="D112" s="10" t="inlineStr">
        <is>
          <t>Q3 2027</t>
        </is>
      </c>
      <c r="E112" s="10" t="inlineStr">
        <is>
          <t>ŚREDNI</t>
        </is>
      </c>
      <c r="F112" s="11" t="inlineStr">
        <is>
          <t>Rejestr czynności przetwarzania (art. 30)</t>
        </is>
      </c>
      <c r="G112" s="10" t="inlineStr">
        <is>
          <t>P — Zgodność</t>
        </is>
      </c>
      <c r="H112" s="10" t="inlineStr">
        <is>
          <t>ŚREDNIA</t>
        </is>
      </c>
      <c r="I112" s="10" t="n">
        <v>16</v>
      </c>
      <c r="J112" s="10" t="inlineStr">
        <is>
          <t>BRAK</t>
        </is>
      </c>
      <c r="K112" s="11" t="inlineStr">
        <is>
          <t>docs/legal/rcpd.md — sekcje A (administrator), B (procesor, art. 30 ust. 2), C (art. 32), D (przeglądy)</t>
        </is>
      </c>
    </row>
    <row r="113">
      <c r="A113" s="10" t="inlineStr">
        <is>
          <t>P-12</t>
        </is>
      </c>
      <c r="B113" s="10" t="inlineStr">
        <is>
          <t>E-08</t>
        </is>
      </c>
      <c r="C113" s="11" t="inlineStr">
        <is>
          <t>Dostępność i zgodność w produkcie</t>
        </is>
      </c>
      <c r="D113" s="10" t="inlineStr">
        <is>
          <t>Q3 2027</t>
        </is>
      </c>
      <c r="E113" s="10" t="inlineStr">
        <is>
          <t>ŚREDNI</t>
        </is>
      </c>
      <c r="F113" s="11" t="inlineStr">
        <is>
          <t>Dostępność panelu wg WCAG 2.1 AA (EAA)</t>
        </is>
      </c>
      <c r="G113" s="10" t="inlineStr">
        <is>
          <t>P — Zgodność</t>
        </is>
      </c>
      <c r="H113" s="10" t="inlineStr">
        <is>
          <t>ŚREDNIA</t>
        </is>
      </c>
      <c r="I113" s="10" t="n">
        <v>40</v>
      </c>
      <c r="J113" s="10" t="inlineStr">
        <is>
          <t>BRAK</t>
        </is>
      </c>
      <c r="K113" s="11" t="inlineStr">
        <is>
          <t>docs/legal/EAA_AUDYT_DOSTEPNOSCI_2026-07-07.md — audyt wykonany, skip-link i focus-visible naprawione w commicie z 2026-07-07</t>
        </is>
      </c>
    </row>
    <row r="114">
      <c r="A114" s="10" t="inlineStr">
        <is>
          <t>P-13</t>
        </is>
      </c>
      <c r="B114" s="10" t="inlineStr">
        <is>
          <t>E-08</t>
        </is>
      </c>
      <c r="C114" s="11" t="inlineStr">
        <is>
          <t>Dostępność i zgodność w produkcie</t>
        </is>
      </c>
      <c r="D114" s="10" t="inlineStr">
        <is>
          <t>Q3 2027</t>
        </is>
      </c>
      <c r="E114" s="10" t="inlineStr">
        <is>
          <t>ŚREDNI</t>
        </is>
      </c>
      <c r="F114" s="11" t="inlineStr">
        <is>
          <t>Deklaracja lokalizacji danych</t>
        </is>
      </c>
      <c r="G114" s="10" t="inlineStr">
        <is>
          <t>P — Zgodność</t>
        </is>
      </c>
      <c r="H114" s="10" t="inlineStr">
        <is>
          <t>ŚREDNIA</t>
        </is>
      </c>
      <c r="I114" s="10" t="n">
        <v>6</v>
      </c>
      <c r="J114" s="10" t="inlineStr">
        <is>
          <t>b.d.</t>
        </is>
      </c>
      <c r="K114" s="11" t="inlineStr">
        <is>
          <t>poza kodem</t>
        </is>
      </c>
    </row>
    <row r="115">
      <c r="A115" s="10" t="inlineStr">
        <is>
          <t>P-14</t>
        </is>
      </c>
      <c r="B115" s="10" t="inlineStr">
        <is>
          <t>E-08</t>
        </is>
      </c>
      <c r="C115" s="11" t="inlineStr">
        <is>
          <t>Dostępność i zgodność w produkcie</t>
        </is>
      </c>
      <c r="D115" s="10" t="inlineStr">
        <is>
          <t>Q3 2027</t>
        </is>
      </c>
      <c r="E115" s="10" t="inlineStr">
        <is>
          <t>ŚREDNI</t>
        </is>
      </c>
      <c r="F115" s="11" t="inlineStr">
        <is>
          <t>Certyfikacja ISO 27001</t>
        </is>
      </c>
      <c r="G115" s="10" t="inlineStr">
        <is>
          <t>P — Zgodność</t>
        </is>
      </c>
      <c r="H115" s="10" t="inlineStr">
        <is>
          <t>NISKA</t>
        </is>
      </c>
      <c r="I115" s="10" t="n">
        <v>40</v>
      </c>
      <c r="J115" s="10" t="inlineStr">
        <is>
          <t>BRAK</t>
        </is>
      </c>
      <c r="K115" s="11" t="inlineStr">
        <is>
          <t>home.pl i nazwa.pl mają — element przetargowy w B2B</t>
        </is>
      </c>
    </row>
    <row r="116">
      <c r="A116" s="10" t="inlineStr">
        <is>
          <t>Q-09</t>
        </is>
      </c>
      <c r="B116" s="10" t="inlineStr">
        <is>
          <t>E-08</t>
        </is>
      </c>
      <c r="C116" s="11" t="inlineStr">
        <is>
          <t>Dostępność i zgodność w produkcie</t>
        </is>
      </c>
      <c r="D116" s="10" t="inlineStr">
        <is>
          <t>Q3 2027</t>
        </is>
      </c>
      <c r="E116" s="10" t="inlineStr">
        <is>
          <t>ŚREDNI</t>
        </is>
      </c>
      <c r="F116" s="11" t="inlineStr">
        <is>
          <t>Panel responsywny na telefonie</t>
        </is>
      </c>
      <c r="G116" s="10" t="inlineStr">
        <is>
          <t>Q — Przewaga</t>
        </is>
      </c>
      <c r="H116" s="10" t="inlineStr">
        <is>
          <t>WYSOKA</t>
        </is>
      </c>
      <c r="I116" s="10" t="n">
        <v>16</v>
      </c>
      <c r="J116" s="10" t="inlineStr">
        <is>
          <t>b.d.</t>
        </is>
      </c>
      <c r="K116" s="11" t="inlineStr">
        <is>
          <t>brak audytu w repo</t>
        </is>
      </c>
    </row>
    <row r="117">
      <c r="A117" s="10" t="inlineStr">
        <is>
          <t>F-03</t>
        </is>
      </c>
      <c r="B117" s="10" t="inlineStr">
        <is>
          <t>E-11</t>
        </is>
      </c>
      <c r="C117" s="11" t="inlineStr">
        <is>
          <t>DNS: DNSSEC i zarządzanie strefą</t>
        </is>
      </c>
      <c r="D117" s="10" t="inlineStr">
        <is>
          <t>Q3 2027</t>
        </is>
      </c>
      <c r="E117" s="10" t="inlineStr">
        <is>
          <t>ŚREDNI</t>
        </is>
      </c>
      <c r="F117" s="11" t="inlineStr">
        <is>
          <t>Link do strefy DNS w DirectAdmin</t>
        </is>
      </c>
      <c r="G117" s="10" t="inlineStr">
        <is>
          <t>F — DNS</t>
        </is>
      </c>
      <c r="H117" s="10" t="inlineStr">
        <is>
          <t>—</t>
        </is>
      </c>
      <c r="I117" s="10" t="n">
        <v>0</v>
      </c>
      <c r="J117" s="10" t="inlineStr">
        <is>
          <t>DZIAŁA</t>
        </is>
      </c>
      <c r="K117" s="11" t="inlineStr">
        <is>
          <t>services.controller.ts:350</t>
        </is>
      </c>
    </row>
    <row r="118">
      <c r="A118" s="10" t="inlineStr">
        <is>
          <t>F-06</t>
        </is>
      </c>
      <c r="B118" s="10" t="inlineStr">
        <is>
          <t>E-11</t>
        </is>
      </c>
      <c r="C118" s="11" t="inlineStr">
        <is>
          <t>DNS: DNSSEC i zarządzanie strefą</t>
        </is>
      </c>
      <c r="D118" s="10" t="inlineStr">
        <is>
          <t>Q3 2027</t>
        </is>
      </c>
      <c r="E118" s="10" t="inlineStr">
        <is>
          <t>ŚREDNI</t>
        </is>
      </c>
      <c r="F118" s="11" t="inlineStr">
        <is>
          <t>DNSSEC</t>
        </is>
      </c>
      <c r="G118" s="10" t="inlineStr">
        <is>
          <t>F — DNS</t>
        </is>
      </c>
      <c r="H118" s="10" t="inlineStr">
        <is>
          <t>ŚREDNIA</t>
        </is>
      </c>
      <c r="I118" s="10" t="n">
        <v>16</v>
      </c>
      <c r="J118" s="10" t="inlineStr">
        <is>
          <t>BRAK</t>
        </is>
      </c>
      <c r="K118" s="11" t="inlineStr">
        <is>
          <t>żaden z 5 hostingów PL nie potwierdza publicznie</t>
        </is>
      </c>
    </row>
    <row r="119">
      <c r="A119" s="10" t="inlineStr">
        <is>
          <t>F-11</t>
        </is>
      </c>
      <c r="B119" s="10" t="inlineStr">
        <is>
          <t>E-11</t>
        </is>
      </c>
      <c r="C119" s="11" t="inlineStr">
        <is>
          <t>DNS: DNSSEC i zarządzanie strefą</t>
        </is>
      </c>
      <c r="D119" s="10" t="inlineStr">
        <is>
          <t>Q3 2027</t>
        </is>
      </c>
      <c r="E119" s="10" t="inlineStr">
        <is>
          <t>ŚREDNI</t>
        </is>
      </c>
      <c r="F119" s="11" t="inlineStr">
        <is>
          <t>Zmiana TTL rekordów</t>
        </is>
      </c>
      <c r="G119" s="10" t="inlineStr">
        <is>
          <t>F — DNS</t>
        </is>
      </c>
      <c r="H119" s="10" t="inlineStr">
        <is>
          <t>ŚREDNIA</t>
        </is>
      </c>
      <c r="I119" s="10" t="n">
        <v>6</v>
      </c>
      <c r="J119" s="10" t="inlineStr">
        <is>
          <t>ATRAPA</t>
        </is>
      </c>
      <c r="K119" s="11" t="inlineStr">
        <is>
          <t>zależne od F-01</t>
        </is>
      </c>
    </row>
    <row r="120">
      <c r="A120" s="10" t="inlineStr">
        <is>
          <t>F-12</t>
        </is>
      </c>
      <c r="B120" s="10" t="inlineStr">
        <is>
          <t>E-11</t>
        </is>
      </c>
      <c r="C120" s="11" t="inlineStr">
        <is>
          <t>DNS: DNSSEC i zarządzanie strefą</t>
        </is>
      </c>
      <c r="D120" s="10" t="inlineStr">
        <is>
          <t>Q3 2027</t>
        </is>
      </c>
      <c r="E120" s="10" t="inlineStr">
        <is>
          <t>ŚREDNI</t>
        </is>
      </c>
      <c r="F120" s="11" t="inlineStr">
        <is>
          <t>Anycast DNS</t>
        </is>
      </c>
      <c r="G120" s="10" t="inlineStr">
        <is>
          <t>F — DNS</t>
        </is>
      </c>
      <c r="H120" s="10" t="inlineStr">
        <is>
          <t>NISKA</t>
        </is>
      </c>
      <c r="I120" s="10" t="n">
        <v>40</v>
      </c>
      <c r="J120" s="10" t="inlineStr">
        <is>
          <t>BRAK</t>
        </is>
      </c>
      <c r="K120" s="11" t="inlineStr">
        <is>
          <t>tylko nazwa.pl na rynku PL</t>
        </is>
      </c>
    </row>
    <row r="121">
      <c r="A121" s="10" t="inlineStr">
        <is>
          <t>L-03</t>
        </is>
      </c>
      <c r="B121" s="10" t="inlineStr">
        <is>
          <t>E-13</t>
        </is>
      </c>
      <c r="C121" s="11" t="inlineStr">
        <is>
          <t>Automatyzacja: API zapisu i webhooki</t>
        </is>
      </c>
      <c r="D121" s="10" t="inlineStr">
        <is>
          <t>Q3 2027</t>
        </is>
      </c>
      <c r="E121" s="10" t="inlineStr">
        <is>
          <t>ŚREDNI</t>
        </is>
      </c>
      <c r="F121" s="11" t="inlineStr">
        <is>
          <t>Zadanie cron — edycja</t>
        </is>
      </c>
      <c r="G121" s="10" t="inlineStr">
        <is>
          <t>L — Automatyzacja</t>
        </is>
      </c>
      <c r="H121" s="10" t="inlineStr">
        <is>
          <t>ŚREDNIA</t>
        </is>
      </c>
      <c r="I121" s="10" t="n">
        <v>6</v>
      </c>
      <c r="J121" s="10" t="inlineStr">
        <is>
          <t>BRAK</t>
        </is>
      </c>
      <c r="K121" s="11" t="inlineStr">
        <is>
          <t>obecnie usuń i dodaj ponownie</t>
        </is>
      </c>
    </row>
    <row r="122">
      <c r="A122" s="10" t="inlineStr">
        <is>
          <t>L-04</t>
        </is>
      </c>
      <c r="B122" s="10" t="inlineStr">
        <is>
          <t>E-13</t>
        </is>
      </c>
      <c r="C122" s="11" t="inlineStr">
        <is>
          <t>Automatyzacja: API zapisu i webhooki</t>
        </is>
      </c>
      <c r="D122" s="10" t="inlineStr">
        <is>
          <t>Q3 2027</t>
        </is>
      </c>
      <c r="E122" s="10" t="inlineStr">
        <is>
          <t>ŚREDNI</t>
        </is>
      </c>
      <c r="F122" s="11" t="inlineStr">
        <is>
          <t>Cron z interwałem 1 minuty</t>
        </is>
      </c>
      <c r="G122" s="10" t="inlineStr">
        <is>
          <t>L — Automatyzacja</t>
        </is>
      </c>
      <c r="H122" s="10" t="inlineStr">
        <is>
          <t>NISKA</t>
        </is>
      </c>
      <c r="I122" s="10" t="n">
        <v>6</v>
      </c>
      <c r="J122" s="10" t="inlineStr">
        <is>
          <t>b.d.</t>
        </is>
      </c>
      <c r="K122" s="11" t="inlineStr">
        <is>
          <t>zależne od konfiguracji DA</t>
        </is>
      </c>
    </row>
    <row r="123">
      <c r="A123" s="10" t="inlineStr">
        <is>
          <t>L-05</t>
        </is>
      </c>
      <c r="B123" s="10" t="inlineStr">
        <is>
          <t>E-13</t>
        </is>
      </c>
      <c r="C123" s="11" t="inlineStr">
        <is>
          <t>Automatyzacja: API zapisu i webhooki</t>
        </is>
      </c>
      <c r="D123" s="10" t="inlineStr">
        <is>
          <t>Q3 2027</t>
        </is>
      </c>
      <c r="E123" s="10" t="inlineStr">
        <is>
          <t>ŚREDNI</t>
        </is>
      </c>
      <c r="F123" s="11" t="inlineStr">
        <is>
          <t>Cron z wyborem wersji PHP</t>
        </is>
      </c>
      <c r="G123" s="10" t="inlineStr">
        <is>
          <t>L — Automatyzacja</t>
        </is>
      </c>
      <c r="H123" s="10" t="inlineStr">
        <is>
          <t>ŚREDNIA</t>
        </is>
      </c>
      <c r="I123" s="10" t="n">
        <v>6</v>
      </c>
      <c r="J123" s="10" t="inlineStr">
        <is>
          <t>BRAK</t>
        </is>
      </c>
      <c r="K123" s="11" t="inlineStr">
        <is>
          <t>seohost to reklamuje</t>
        </is>
      </c>
    </row>
    <row r="124">
      <c r="A124" s="10" t="inlineStr">
        <is>
          <t>L-06</t>
        </is>
      </c>
      <c r="B124" s="10" t="inlineStr">
        <is>
          <t>E-13</t>
        </is>
      </c>
      <c r="C124" s="11" t="inlineStr">
        <is>
          <t>Automatyzacja: API zapisu i webhooki</t>
        </is>
      </c>
      <c r="D124" s="10" t="inlineStr">
        <is>
          <t>Q3 2027</t>
        </is>
      </c>
      <c r="E124" s="10" t="inlineStr">
        <is>
          <t>ŚREDNI</t>
        </is>
      </c>
      <c r="F124" s="11" t="inlineStr">
        <is>
          <t>Podgląd wyniku ostatniego wykonania crona</t>
        </is>
      </c>
      <c r="G124" s="10" t="inlineStr">
        <is>
          <t>L — Automatyzacja</t>
        </is>
      </c>
      <c r="H124" s="10" t="inlineStr">
        <is>
          <t>ŚREDNIA</t>
        </is>
      </c>
      <c r="I124" s="10" t="n">
        <v>16</v>
      </c>
      <c r="J124" s="10" t="inlineStr">
        <is>
          <t>BRAK</t>
        </is>
      </c>
      <c r="K124" s="11" t="inlineStr"/>
    </row>
    <row r="125">
      <c r="A125" s="10" t="inlineStr">
        <is>
          <t>L-08</t>
        </is>
      </c>
      <c r="B125" s="10" t="inlineStr">
        <is>
          <t>E-13</t>
        </is>
      </c>
      <c r="C125" s="11" t="inlineStr">
        <is>
          <t>Automatyzacja: API zapisu i webhooki</t>
        </is>
      </c>
      <c r="D125" s="10" t="inlineStr">
        <is>
          <t>Q3 2027</t>
        </is>
      </c>
      <c r="E125" s="10" t="inlineStr">
        <is>
          <t>ŚREDNI</t>
        </is>
      </c>
      <c r="F125" s="11" t="inlineStr">
        <is>
          <t>Publiczne API — zapis</t>
        </is>
      </c>
      <c r="G125" s="10" t="inlineStr">
        <is>
          <t>L — Automatyzacja</t>
        </is>
      </c>
      <c r="H125" s="10" t="inlineStr">
        <is>
          <t>ŚREDNIA</t>
        </is>
      </c>
      <c r="I125" s="10" t="n">
        <v>40</v>
      </c>
      <c r="J125" s="10" t="inlineStr">
        <is>
          <t>BRAK</t>
        </is>
      </c>
      <c r="K125" s="11" t="inlineStr">
        <is>
          <t>api-scopes.ts:3 — 3 zakresy read-only; przyznane w api-tokens-client.tsx:158</t>
        </is>
      </c>
    </row>
    <row r="126">
      <c r="A126" s="10" t="inlineStr">
        <is>
          <t>L-09</t>
        </is>
      </c>
      <c r="B126" s="10" t="inlineStr">
        <is>
          <t>E-13</t>
        </is>
      </c>
      <c r="C126" s="11" t="inlineStr">
        <is>
          <t>Automatyzacja: API zapisu i webhooki</t>
        </is>
      </c>
      <c r="D126" s="10" t="inlineStr">
        <is>
          <t>Q3 2027</t>
        </is>
      </c>
      <c r="E126" s="10" t="inlineStr">
        <is>
          <t>ŚREDNI</t>
        </is>
      </c>
      <c r="F126" s="11" t="inlineStr">
        <is>
          <t>Tokeny API z zakresami uprawnień</t>
        </is>
      </c>
      <c r="G126" s="10" t="inlineStr">
        <is>
          <t>L — Automatyzacja</t>
        </is>
      </c>
      <c r="H126" s="10" t="inlineStr">
        <is>
          <t>NISKA</t>
        </is>
      </c>
      <c r="I126" s="10" t="n">
        <v>6</v>
      </c>
      <c r="J126" s="10" t="inlineStr">
        <is>
          <t>CZĘŚCIOWE</t>
        </is>
      </c>
      <c r="K126" s="11" t="inlineStr">
        <is>
          <t>api-tokens.controller.ts:35</t>
        </is>
      </c>
    </row>
    <row r="127">
      <c r="A127" s="10" t="inlineStr">
        <is>
          <t>L-10</t>
        </is>
      </c>
      <c r="B127" s="10" t="inlineStr">
        <is>
          <t>E-13</t>
        </is>
      </c>
      <c r="C127" s="11" t="inlineStr">
        <is>
          <t>Automatyzacja: API zapisu i webhooki</t>
        </is>
      </c>
      <c r="D127" s="10" t="inlineStr">
        <is>
          <t>Q3 2027</t>
        </is>
      </c>
      <c r="E127" s="10" t="inlineStr">
        <is>
          <t>ŚREDNI</t>
        </is>
      </c>
      <c r="F127" s="11" t="inlineStr">
        <is>
          <t>Webhooki dla klienta</t>
        </is>
      </c>
      <c r="G127" s="10" t="inlineStr">
        <is>
          <t>L — Automatyzacja</t>
        </is>
      </c>
      <c r="H127" s="10" t="inlineStr">
        <is>
          <t>NISKA</t>
        </is>
      </c>
      <c r="I127" s="10" t="n">
        <v>16</v>
      </c>
      <c r="J127" s="10" t="inlineStr">
        <is>
          <t>BRAK</t>
        </is>
      </c>
      <c r="K127" s="11" t="inlineStr"/>
    </row>
    <row r="128">
      <c r="A128" s="10" t="inlineStr">
        <is>
          <t>L-11</t>
        </is>
      </c>
      <c r="B128" s="10" t="inlineStr">
        <is>
          <t>E-13</t>
        </is>
      </c>
      <c r="C128" s="11" t="inlineStr">
        <is>
          <t>Automatyzacja: API zapisu i webhooki</t>
        </is>
      </c>
      <c r="D128" s="10" t="inlineStr">
        <is>
          <t>Q3 2027</t>
        </is>
      </c>
      <c r="E128" s="10" t="inlineStr">
        <is>
          <t>ŚREDNI</t>
        </is>
      </c>
      <c r="F128" s="11" t="inlineStr">
        <is>
          <t>Asystent AI w panelu</t>
        </is>
      </c>
      <c r="G128" s="10" t="inlineStr">
        <is>
          <t>L — Automatyzacja</t>
        </is>
      </c>
      <c r="H128" s="10" t="inlineStr">
        <is>
          <t>ŚREDNIA</t>
        </is>
      </c>
      <c r="I128" s="10" t="n">
        <v>6</v>
      </c>
      <c r="J128" s="10" t="inlineStr">
        <is>
          <t>FLAGA</t>
        </is>
      </c>
      <c r="K128" s="11" t="inlineStr">
        <is>
          <t>HostingAssistant.tsx:61; ai-provider.service.ts:21 — AI_API_KEY domyślnie pusty</t>
        </is>
      </c>
    </row>
    <row r="129">
      <c r="A129" s="10" t="inlineStr">
        <is>
          <t>L-12</t>
        </is>
      </c>
      <c r="B129" s="10" t="inlineStr">
        <is>
          <t>E-13</t>
        </is>
      </c>
      <c r="C129" s="11" t="inlineStr">
        <is>
          <t>Automatyzacja: API zapisu i webhooki</t>
        </is>
      </c>
      <c r="D129" s="10" t="inlineStr">
        <is>
          <t>Q3 2027</t>
        </is>
      </c>
      <c r="E129" s="10" t="inlineStr">
        <is>
          <t>ŚREDNI</t>
        </is>
      </c>
      <c r="F129" s="11" t="inlineStr">
        <is>
          <t>Prognoza zużycia zasobów (AI)</t>
        </is>
      </c>
      <c r="G129" s="10" t="inlineStr">
        <is>
          <t>L — Automatyzacja</t>
        </is>
      </c>
      <c r="H129" s="10" t="inlineStr">
        <is>
          <t>NISKA</t>
        </is>
      </c>
      <c r="I129" s="10" t="n">
        <v>6</v>
      </c>
      <c r="J129" s="10" t="inlineStr">
        <is>
          <t>FLAGA</t>
        </is>
      </c>
      <c r="K129" s="11" t="inlineStr">
        <is>
          <t>hosting-forecast-actions.ts:7; fallback ServiceForecastPanel.tsx:97</t>
        </is>
      </c>
    </row>
    <row r="130">
      <c r="A130" s="10" t="inlineStr">
        <is>
          <t>NODE-01</t>
        </is>
      </c>
      <c r="B130" s="10" t="inlineStr">
        <is>
          <t>E-16</t>
        </is>
      </c>
      <c r="C130" s="11" t="inlineStr">
        <is>
          <t>Rozszerzenia oferty</t>
        </is>
      </c>
      <c r="D130" s="10" t="inlineStr">
        <is>
          <t>Q4 2027</t>
        </is>
      </c>
      <c r="E130" s="10" t="inlineStr">
        <is>
          <t>NISKI</t>
        </is>
      </c>
      <c r="F130" s="11" t="inlineStr">
        <is>
          <t>Dwie niepołączone ścieżki dodania węzła w tym samym panelu</t>
        </is>
      </c>
      <c r="G130" s="10" t="inlineStr">
        <is>
          <t>Q — Przewaga</t>
        </is>
      </c>
      <c r="H130" s="10" t="inlineStr">
        <is>
          <t>ŚREDNIA</t>
        </is>
      </c>
      <c r="I130" s="10" t="n">
        <v>16</v>
      </c>
      <c r="J130" s="10" t="inlineStr">
        <is>
          <t>BRAK</t>
        </is>
      </c>
      <c r="K130" s="11" t="inlineStr">
        <is>
          <t>`node-wizard.tsx` vs `node-bootstrap.script.ts`; `NODE_ONBOARD_RUNBOOK.md` vs `NODE_BOOTSTRAP_V2.md` §9</t>
        </is>
      </c>
    </row>
    <row r="131">
      <c r="A131" s="10" t="inlineStr">
        <is>
          <t>Q-06</t>
        </is>
      </c>
      <c r="B131" s="10" t="inlineStr">
        <is>
          <t>E-16</t>
        </is>
      </c>
      <c r="C131" s="11" t="inlineStr">
        <is>
          <t>Rozszerzenia oferty</t>
        </is>
      </c>
      <c r="D131" s="10" t="inlineStr">
        <is>
          <t>Q4 2027</t>
        </is>
      </c>
      <c r="E131" s="10" t="inlineStr">
        <is>
          <t>NISKI</t>
        </is>
      </c>
      <c r="F131" s="11" t="inlineStr">
        <is>
          <t>VPS / cloud w tym samym panelu</t>
        </is>
      </c>
      <c r="G131" s="10" t="inlineStr">
        <is>
          <t>Q — Przewaga</t>
        </is>
      </c>
      <c r="H131" s="10" t="inlineStr">
        <is>
          <t>ŚREDNIA</t>
        </is>
      </c>
      <c r="I131" s="10" t="n">
        <v>16</v>
      </c>
      <c r="J131" s="10" t="inlineStr">
        <is>
          <t>FLAGA</t>
        </is>
      </c>
      <c r="K131" s="11" t="inlineStr">
        <is>
          <t>vps.controller.ts:53,59,69; HETZNER_API_TOKEN</t>
        </is>
      </c>
    </row>
    <row r="132">
      <c r="A132" s="10" t="inlineStr">
        <is>
          <t>Q-07</t>
        </is>
      </c>
      <c r="B132" s="10" t="inlineStr">
        <is>
          <t>E-16</t>
        </is>
      </c>
      <c r="C132" s="11" t="inlineStr">
        <is>
          <t>Rozszerzenia oferty</t>
        </is>
      </c>
      <c r="D132" s="10" t="inlineStr">
        <is>
          <t>Q4 2027</t>
        </is>
      </c>
      <c r="E132" s="10" t="inlineStr">
        <is>
          <t>NISKI</t>
        </is>
      </c>
      <c r="F132" s="11" t="inlineStr">
        <is>
          <t>VPS — konsola / VNC</t>
        </is>
      </c>
      <c r="G132" s="10" t="inlineStr">
        <is>
          <t>Q — Przewaga</t>
        </is>
      </c>
      <c r="H132" s="10" t="inlineStr">
        <is>
          <t>NISKA</t>
        </is>
      </c>
      <c r="I132" s="10" t="n">
        <v>16</v>
      </c>
      <c r="J132" s="10" t="inlineStr">
        <is>
          <t>BRAK</t>
        </is>
      </c>
      <c r="K132" s="11" t="inlineStr"/>
    </row>
    <row r="133">
      <c r="A133" s="10" t="inlineStr">
        <is>
          <t>Q-08</t>
        </is>
      </c>
      <c r="B133" s="10" t="inlineStr">
        <is>
          <t>E-16</t>
        </is>
      </c>
      <c r="C133" s="11" t="inlineStr">
        <is>
          <t>Rozszerzenia oferty</t>
        </is>
      </c>
      <c r="D133" s="10" t="inlineStr">
        <is>
          <t>Q4 2027</t>
        </is>
      </c>
      <c r="E133" s="10" t="inlineStr">
        <is>
          <t>NISKI</t>
        </is>
      </c>
      <c r="F133" s="11" t="inlineStr">
        <is>
          <t>VPS — snapshoty i rebuild</t>
        </is>
      </c>
      <c r="G133" s="10" t="inlineStr">
        <is>
          <t>Q — Przewaga</t>
        </is>
      </c>
      <c r="H133" s="10" t="inlineStr">
        <is>
          <t>NISKA</t>
        </is>
      </c>
      <c r="I133" s="10" t="n">
        <v>16</v>
      </c>
      <c r="J133" s="10" t="inlineStr">
        <is>
          <t>BRAK</t>
        </is>
      </c>
      <c r="K133" s="11" t="inlineStr"/>
    </row>
    <row r="134">
      <c r="A134" s="10" t="inlineStr">
        <is>
          <t>Q-14</t>
        </is>
      </c>
      <c r="B134" s="10" t="inlineStr">
        <is>
          <t>E-16</t>
        </is>
      </c>
      <c r="C134" s="11" t="inlineStr">
        <is>
          <t>Rozszerzenia oferty</t>
        </is>
      </c>
      <c r="D134" s="10" t="inlineStr">
        <is>
          <t>Q4 2027</t>
        </is>
      </c>
      <c r="E134" s="10" t="inlineStr">
        <is>
          <t>NISKI</t>
        </is>
      </c>
      <c r="F134" s="11" t="inlineStr">
        <is>
          <t>Kreator uruchomienia węzła</t>
        </is>
      </c>
      <c r="G134" s="10" t="inlineStr">
        <is>
          <t>Q — Przewaga</t>
        </is>
      </c>
      <c r="H134" s="10" t="inlineStr">
        <is>
          <t>WYSOKA</t>
        </is>
      </c>
      <c r="I134" s="10" t="n">
        <v>16</v>
      </c>
      <c r="J134" s="10" t="inlineStr">
        <is>
          <t>CZĘŚCIOWE</t>
        </is>
      </c>
      <c r="K134" s="11" t="inlineStr">
        <is>
          <t>node-wizard.tsx:277,288 — realnie tylko init + bootstrap; 7 z 9 kroków to treść runbooka (wizard-content.ts:21-40)</t>
        </is>
      </c>
    </row>
    <row r="135">
      <c r="A135" s="10" t="inlineStr">
        <is>
          <t>X-04</t>
        </is>
      </c>
      <c r="B135" s="10" t="inlineStr">
        <is>
          <t>E-09</t>
        </is>
      </c>
      <c r="C135" s="11" t="inlineStr">
        <is>
          <t>Pokrycie testowe warstw krytycznych</t>
        </is>
      </c>
      <c r="D135" s="10" t="inlineStr">
        <is>
          <t>ciągłe</t>
        </is>
      </c>
      <c r="E135" s="10" t="inlineStr">
        <is>
          <t>WYSOKI</t>
        </is>
      </c>
      <c r="F135" s="11" t="inlineStr">
        <is>
          <t>Testy integracyjne / e2e API</t>
        </is>
      </c>
      <c r="G135" s="10" t="inlineStr">
        <is>
          <t>X — Infrastruktura jakości</t>
        </is>
      </c>
      <c r="H135" s="10" t="inlineStr">
        <is>
          <t>WYSOKA</t>
        </is>
      </c>
      <c r="I135" s="10" t="n">
        <v>40</v>
      </c>
      <c r="J135" s="10" t="inlineStr">
        <is>
          <t>CZĘŚCIOWE</t>
        </is>
      </c>
      <c r="K135" s="11"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t>
        </is>
      </c>
    </row>
    <row r="136">
      <c r="A136" s="10" t="inlineStr">
        <is>
          <t>X-05</t>
        </is>
      </c>
      <c r="B136" s="10" t="inlineStr">
        <is>
          <t>E-09</t>
        </is>
      </c>
      <c r="C136" s="11" t="inlineStr">
        <is>
          <t>Pokrycie testowe warstw krytycznych</t>
        </is>
      </c>
      <c r="D136" s="10" t="inlineStr">
        <is>
          <t>ciągłe</t>
        </is>
      </c>
      <c r="E136" s="10" t="inlineStr">
        <is>
          <t>WYSOKI</t>
        </is>
      </c>
      <c r="F136" s="11" t="inlineStr">
        <is>
          <t>Testy paneli frontowych</t>
        </is>
      </c>
      <c r="G136" s="10" t="inlineStr">
        <is>
          <t>X — Infrastruktura jakości</t>
        </is>
      </c>
      <c r="H136" s="10" t="inlineStr">
        <is>
          <t>ŚREDNIA</t>
        </is>
      </c>
      <c r="I136" s="10" t="n">
        <v>40</v>
      </c>
      <c r="J136" s="10" t="inlineStr">
        <is>
          <t>BRAK</t>
        </is>
      </c>
      <c r="K136" s="11" t="inlineStr">
        <is>
          <t>admin-panel i staff-panel: 0 plików; client-panel: 1 plik bez runnera (brak skryptu test w package.json:5-11)</t>
        </is>
      </c>
    </row>
    <row r="137">
      <c r="A137" s="10" t="inlineStr">
        <is>
          <t>X-06</t>
        </is>
      </c>
      <c r="B137" s="10" t="inlineStr">
        <is>
          <t>E-09</t>
        </is>
      </c>
      <c r="C137" s="11" t="inlineStr">
        <is>
          <t>Pokrycie testowe warstw krytycznych</t>
        </is>
      </c>
      <c r="D137" s="10" t="inlineStr">
        <is>
          <t>ciągłe</t>
        </is>
      </c>
      <c r="E137" s="10" t="inlineStr">
        <is>
          <t>WYSOKI</t>
        </is>
      </c>
      <c r="F137" s="11" t="inlineStr">
        <is>
          <t>Pokrycie testami modułu auth</t>
        </is>
      </c>
      <c r="G137" s="10" t="inlineStr">
        <is>
          <t>X — Infrastruktura jakości</t>
        </is>
      </c>
      <c r="H137" s="10" t="inlineStr">
        <is>
          <t>WYSOKA</t>
        </is>
      </c>
      <c r="I137" s="10" t="n">
        <v>16</v>
      </c>
      <c r="J137" s="10" t="inlineStr">
        <is>
          <t>BRAK</t>
        </is>
      </c>
      <c r="K137" s="11" t="inlineStr">
        <is>
          <t>zero plików .spec w apps/api/src/auth</t>
        </is>
      </c>
    </row>
    <row r="138">
      <c r="A138" s="10" t="inlineStr">
        <is>
          <t>X-07</t>
        </is>
      </c>
      <c r="B138" s="10" t="inlineStr">
        <is>
          <t>E-09</t>
        </is>
      </c>
      <c r="C138" s="11" t="inlineStr">
        <is>
          <t>Pokrycie testowe warstw krytycznych</t>
        </is>
      </c>
      <c r="D138" s="10" t="inlineStr">
        <is>
          <t>ciągłe</t>
        </is>
      </c>
      <c r="E138" s="10" t="inlineStr">
        <is>
          <t>WYSOKI</t>
        </is>
      </c>
      <c r="F138" s="11" t="inlineStr">
        <is>
          <t>Pokrycie testami klienta KSeF</t>
        </is>
      </c>
      <c r="G138" s="10" t="inlineStr">
        <is>
          <t>X — Infrastruktura jakości</t>
        </is>
      </c>
      <c r="H138" s="10" t="inlineStr">
        <is>
          <t>WYSOKA</t>
        </is>
      </c>
      <c r="I138" s="10" t="n">
        <v>16</v>
      </c>
      <c r="J138" s="10" t="inlineStr">
        <is>
          <t>BRAK</t>
        </is>
      </c>
      <c r="K138" s="11" t="inlineStr">
        <is>
          <t>ksef-v2.client.ts (487 l. kryptografii + API skarbowe) — ZERO testów; testowany jest tylko builder XML</t>
        </is>
      </c>
    </row>
    <row r="139">
      <c r="A139" s="10" t="inlineStr">
        <is>
          <t>X-08</t>
        </is>
      </c>
      <c r="B139" s="10" t="inlineStr">
        <is>
          <t>E-09</t>
        </is>
      </c>
      <c r="C139" s="11" t="inlineStr">
        <is>
          <t>Pokrycie testowe warstw krytycznych</t>
        </is>
      </c>
      <c r="D139" s="10" t="inlineStr">
        <is>
          <t>ciągłe</t>
        </is>
      </c>
      <c r="E139" s="10" t="inlineStr">
        <is>
          <t>WYSOKI</t>
        </is>
      </c>
      <c r="F139" s="11" t="inlineStr">
        <is>
          <t>Pokrycie testami ścieżki backup/restore</t>
        </is>
      </c>
      <c r="G139" s="10" t="inlineStr">
        <is>
          <t>X — Infrastruktura jakości</t>
        </is>
      </c>
      <c r="H139" s="10" t="inlineStr">
        <is>
          <t>WYSOKA</t>
        </is>
      </c>
      <c r="I139" s="10" t="n">
        <v>16</v>
      </c>
      <c r="J139" s="10" t="inlineStr">
        <is>
          <t>BRAK</t>
        </is>
      </c>
      <c r="K139" s="11" t="inlineStr">
        <is>
          <t>offsite-restore.service.ts (regex chroniący przed path traversal na wejściu od klienta) — ZERO testów</t>
        </is>
      </c>
    </row>
    <row r="140">
      <c r="A140" s="10" t="inlineStr">
        <is>
          <t>X-09</t>
        </is>
      </c>
      <c r="B140" s="10" t="inlineStr">
        <is>
          <t>E-09</t>
        </is>
      </c>
      <c r="C140" s="11" t="inlineStr">
        <is>
          <t>Pokrycie testowe warstw krytycznych</t>
        </is>
      </c>
      <c r="D140" s="10" t="inlineStr">
        <is>
          <t>ciągłe</t>
        </is>
      </c>
      <c r="E140" s="10" t="inlineStr">
        <is>
          <t>WYSOKI</t>
        </is>
      </c>
      <c r="F140" s="11" t="inlineStr">
        <is>
          <t>Pokrycie testami DirectAdminService</t>
        </is>
      </c>
      <c r="G140" s="10" t="inlineStr">
        <is>
          <t>X — Infrastruktura jakości</t>
        </is>
      </c>
      <c r="H140" s="10" t="inlineStr">
        <is>
          <t>WYSOKA</t>
        </is>
      </c>
      <c r="I140" s="10" t="n">
        <v>40</v>
      </c>
      <c r="J140" s="10" t="inlineStr">
        <is>
          <t>BRAK</t>
        </is>
      </c>
      <c r="K140" s="11" t="inlineStr">
        <is>
          <t>directadmin.service.ts ma 3057 linii; testowany jest wyłącznie helper mergeAdminSettingsPayload</t>
        </is>
      </c>
    </row>
    <row r="141">
      <c r="A141" s="10" t="inlineStr">
        <is>
          <t>X-10</t>
        </is>
      </c>
      <c r="B141" s="10" t="inlineStr">
        <is>
          <t>E-09</t>
        </is>
      </c>
      <c r="C141" s="11" t="inlineStr">
        <is>
          <t>Pokrycie testowe warstw krytycznych</t>
        </is>
      </c>
      <c r="D141" s="10" t="inlineStr">
        <is>
          <t>ciągłe</t>
        </is>
      </c>
      <c r="E141" s="10" t="inlineStr">
        <is>
          <t>WYSOKI</t>
        </is>
      </c>
      <c r="F141" s="11" t="inlineStr">
        <is>
          <t>Testy RBAC sprawdzające zachowanie, nie metadane</t>
        </is>
      </c>
      <c r="G141" s="10" t="inlineStr">
        <is>
          <t>X — Infrastruktura jakości</t>
        </is>
      </c>
      <c r="H141" s="10" t="inlineStr">
        <is>
          <t>WYSOKA</t>
        </is>
      </c>
      <c r="I141" s="10" t="n">
        <v>16</v>
      </c>
      <c r="J141" s="10" t="inlineStr">
        <is>
          <t>ATRAPA</t>
        </is>
      </c>
      <c r="K141" s="11" t="inlineStr">
        <is>
          <t>3 pliki spec czytają Reflect.getMetadata(ROLES_KEY) — weryfikują, że dekorator napisano, nie że guard blokuje</t>
        </is>
      </c>
    </row>
    <row r="142">
      <c r="A142" s="10" t="inlineStr">
        <is>
          <t>X-19</t>
        </is>
      </c>
      <c r="B142" s="10" t="inlineStr">
        <is>
          <t>E-09</t>
        </is>
      </c>
      <c r="C142" s="11" t="inlineStr">
        <is>
          <t>Pokrycie testowe warstw krytycznych</t>
        </is>
      </c>
      <c r="D142" s="10" t="inlineStr">
        <is>
          <t>ciągłe</t>
        </is>
      </c>
      <c r="E142" s="10" t="inlineStr">
        <is>
          <t>WYSOKI</t>
        </is>
      </c>
      <c r="F142" s="11" t="inlineStr">
        <is>
          <t>Dług lintera odsłonięty przez Next 16 i włączenie ESLinta w API</t>
        </is>
      </c>
      <c r="G142" s="10" t="inlineStr">
        <is>
          <t>X — Infrastruktura jakości</t>
        </is>
      </c>
      <c r="H142" s="10" t="inlineStr">
        <is>
          <t>ŚREDNIA</t>
        </is>
      </c>
      <c r="I142" s="10" t="n">
        <v>16</v>
      </c>
      <c r="J142" s="10" t="inlineStr">
        <is>
          <t>CZĘŚCIOWE</t>
        </is>
      </c>
      <c r="K142" s="11" t="inlineStr">
        <is>
          <t>libs/eslint-config/node.mjs oraz apps/*/eslint.config.mjs — reguły włączone, ale część jako ostrzeżenia; 209 ostrzeżeń w panelach, 58 w API</t>
        </is>
      </c>
    </row>
    <row r="143">
      <c r="A143" s="10" t="inlineStr">
        <is>
          <t>X-20</t>
        </is>
      </c>
      <c r="B143" s="10" t="inlineStr">
        <is>
          <t>E-09</t>
        </is>
      </c>
      <c r="C143" s="11" t="inlineStr">
        <is>
          <t>Pokrycie testowe warstw krytycznych</t>
        </is>
      </c>
      <c r="D143" s="10" t="inlineStr">
        <is>
          <t>ciągłe</t>
        </is>
      </c>
      <c r="E143" s="10" t="inlineStr">
        <is>
          <t>WYSOKI</t>
        </is>
      </c>
      <c r="F143" s="11" t="inlineStr">
        <is>
          <t>Decyzja i migracja na Prismę 7</t>
        </is>
      </c>
      <c r="G143" s="10" t="inlineStr">
        <is>
          <t>X — Infrastruktura jakości</t>
        </is>
      </c>
      <c r="H143" s="10" t="inlineStr">
        <is>
          <t>ŚREDNIA</t>
        </is>
      </c>
      <c r="I143" s="10" t="n">
        <v>40</v>
      </c>
      <c r="J143" s="10" t="inlineStr">
        <is>
          <t>BRAK</t>
        </is>
      </c>
      <c r="K143" s="11" t="inlineStr">
        <is>
          <t>libs/database/package.json — prisma 6.19.3; schema.prisma:17 — datasource url = env("DATABASE_URL"), składnia usunięta w Prismie 7</t>
        </is>
      </c>
    </row>
    <row r="144">
      <c r="A144" s="10" t="inlineStr">
        <is>
          <t>X-22</t>
        </is>
      </c>
      <c r="B144" s="10" t="inlineStr">
        <is>
          <t>E-09</t>
        </is>
      </c>
      <c r="C144" s="11" t="inlineStr">
        <is>
          <t>Pokrycie testowe warstw krytycznych</t>
        </is>
      </c>
      <c r="D144" s="10" t="inlineStr">
        <is>
          <t>ciągłe</t>
        </is>
      </c>
      <c r="E144" s="10" t="inlineStr">
        <is>
          <t>WYSOKI</t>
        </is>
      </c>
      <c r="F144" s="11" t="inlineStr">
        <is>
          <t>Eksport danych osobowych (RODO art. 20) sprawdzany testem end-to-end</t>
        </is>
      </c>
      <c r="G144" s="10" t="inlineStr">
        <is>
          <t>X — Infrastruktura jakości</t>
        </is>
      </c>
      <c r="H144" s="10" t="inlineStr">
        <is>
          <t>WYSOKA</t>
        </is>
      </c>
      <c r="I144" s="10" t="n">
        <v>16</v>
      </c>
      <c r="J144" s="10" t="inlineStr">
        <is>
          <t>BRAK</t>
        </is>
      </c>
      <c r="K144" s="11" t="inlineStr">
        <is>
          <t>apps/api/src/compliance/data-export.service.ts — buildZipToFile bez żadnego testu; apps/api/src/compliance/*.spec.ts — brak pokrycia tej ścieżki</t>
        </is>
      </c>
    </row>
    <row r="145">
      <c r="A145" s="10" t="inlineStr">
        <is>
          <t>X-48</t>
        </is>
      </c>
      <c r="B145" s="10" t="inlineStr">
        <is>
          <t>E-09</t>
        </is>
      </c>
      <c r="C145" s="11" t="inlineStr">
        <is>
          <t>Pokrycie testowe warstw krytycznych</t>
        </is>
      </c>
      <c r="D145" s="10" t="inlineStr">
        <is>
          <t>ciągłe</t>
        </is>
      </c>
      <c r="E145" s="10" t="inlineStr">
        <is>
          <t>WYSOKI</t>
        </is>
      </c>
      <c r="F145" s="11" t="inlineStr">
        <is>
          <t>`strict: true` w API jest w dużej mierze dekoracją — profil Nest wyłącza jego najważniejsze składniki</t>
        </is>
      </c>
      <c r="G145" s="10" t="inlineStr">
        <is>
          <t>X — Infrastruktura jakości</t>
        </is>
      </c>
      <c r="H145" s="10" t="inlineStr">
        <is>
          <t>WYSOKA</t>
        </is>
      </c>
      <c r="I145" s="10" t="n">
        <v>40</v>
      </c>
      <c r="J145" s="10" t="inlineStr">
        <is>
          <t>BRAK</t>
        </is>
      </c>
      <c r="K145" s="11" t="inlineStr">
        <is>
          <t>D1: odczyt obu plików, 2026-08-28. Świadomie NIE naprawiane dzisiaj — włączenie `strictNullChecks` w projekcie tej wielkości to osobna, duża praca z własnym planem, a nie doklejka do sprzątania martwych przypisań. Zapisane, żeby decyzja o terminie była decyzją, a nie przeoczeniem.</t>
        </is>
      </c>
    </row>
    <row r="146">
      <c r="A146" s="10" t="inlineStr">
        <is>
          <t>X-49</t>
        </is>
      </c>
      <c r="B146" s="10" t="inlineStr">
        <is>
          <t>E-09</t>
        </is>
      </c>
      <c r="C146" s="11" t="inlineStr">
        <is>
          <t>Pokrycie testowe warstw krytycznych</t>
        </is>
      </c>
      <c r="D146" s="10" t="inlineStr">
        <is>
          <t>ciągłe</t>
        </is>
      </c>
      <c r="E146" s="10" t="inlineStr">
        <is>
          <t>WYSOKI</t>
        </is>
      </c>
      <c r="F146" s="11" t="inlineStr">
        <is>
          <t>Znaleziska trafiają do macierzy, nie tylko do dashboardów</t>
        </is>
      </c>
      <c r="G146" s="10" t="inlineStr">
        <is>
          <t>X — Infrastruktura jakości</t>
        </is>
      </c>
      <c r="H146" s="10" t="inlineStr">
        <is>
          <t>ŚREDNIA</t>
        </is>
      </c>
      <c r="I146" s="10" t="n">
        <v>16</v>
      </c>
      <c r="J146" s="10" t="inlineStr">
        <is>
          <t>BRAK</t>
        </is>
      </c>
      <c r="K146" s="11" t="inlineStr">
        <is>
          <t>audyt/dane/macierz.csv — ostatnia pozycja przed 2026-08-28 to X-34 z 24.08; brak w macierzy bylo 32 pozycji: DEP-01, ENV-01, ENV-02, X-37..X-48 (bez X-44 w macierzy), DEV-01, KSEF-01..05, PANEL-01, OPS-01, NODE-01..03, SEC-01..06</t>
        </is>
      </c>
    </row>
  </sheetData>
  <autoFilter ref="A1:K146"/>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3"/>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C-20</t>
        </is>
      </c>
      <c r="B4" s="11" t="inlineStr">
        <is>
          <t>FTP anonimowy</t>
        </is>
      </c>
      <c r="C4" s="10" t="inlineStr">
        <is>
          <t>C — Pliki, FTP, SSH, Git</t>
        </is>
      </c>
      <c r="D4" s="11" t="inlineStr">
        <is>
          <t>funkcja schyłkowa, ryzyko nadużyć</t>
        </is>
      </c>
    </row>
    <row r="5">
      <c r="A5" s="10" t="inlineStr">
        <is>
          <t>C-23</t>
        </is>
      </c>
      <c r="B5" s="11" t="inlineStr">
        <is>
          <t>Terminal SSH w przeglądarce</t>
        </is>
      </c>
      <c r="C5" s="10" t="inlineStr">
        <is>
          <t>C — Pliki, FTP, SSH, Git</t>
        </is>
      </c>
      <c r="D5" s="11" t="inlineStr">
        <is>
          <t>żaden hosting PL tego nie daje</t>
        </is>
      </c>
    </row>
    <row r="6">
      <c r="A6" s="10" t="inlineStr">
        <is>
          <t>C-24</t>
        </is>
      </c>
      <c r="B6" s="11" t="inlineStr">
        <is>
          <t>WebDAV / Web Disk</t>
        </is>
      </c>
      <c r="C6" s="10" t="inlineStr">
        <is>
          <t>C — Pliki, FTP, SSH, Git</t>
        </is>
      </c>
      <c r="D6" s="11" t="inlineStr">
        <is>
          <t>Protokół schyłkowy — żaden z pięciu badanych hostingów PL go nie wystawia, a menedżer plików i SFTP pokrywają ten sam scenariusz.</t>
        </is>
      </c>
    </row>
    <row r="7">
      <c r="A7" s="10" t="inlineStr">
        <is>
          <t>E-22</t>
        </is>
      </c>
      <c r="B7" s="11" t="inlineStr">
        <is>
          <t>Listy mailingowe</t>
        </is>
      </c>
      <c r="C7" s="10" t="inlineStr">
        <is>
          <t>E — Poczta</t>
        </is>
      </c>
      <c r="D7" s="11" t="inlineStr">
        <is>
          <t>zastąpione modułem email-marketing</t>
        </is>
      </c>
    </row>
    <row r="8">
      <c r="A8" s="10" t="inlineStr">
        <is>
          <t>F-07</t>
        </is>
      </c>
      <c r="B8" s="11" t="inlineStr">
        <is>
          <t>Secondary / slave DNS</t>
        </is>
      </c>
      <c r="C8" s="10" t="inlineStr">
        <is>
          <t>F — DNS</t>
        </is>
      </c>
      <c r="D8" s="11" t="inlineStr">
        <is>
          <t>Wtórny DNS ma sens przy własnej infrastrukturze DNS wielolokalizacyjnej; przy jednym operatorze i delegacji na zewnątrz (F-09) nie wnosi odporności, którą obiecuje.</t>
        </is>
      </c>
    </row>
    <row r="9">
      <c r="A9" s="10" t="inlineStr">
        <is>
          <t>F-10</t>
        </is>
      </c>
      <c r="B9" s="11" t="inlineStr">
        <is>
          <t>Szablony stref DNS</t>
        </is>
      </c>
      <c r="C9" s="10" t="inlineStr">
        <is>
          <t>F — DNS</t>
        </is>
      </c>
      <c r="D9" s="11" t="inlineStr">
        <is>
          <t>Szablony stref są narzędziem resellera zarządzającego setkami domen. Do rozważenia razem z epikiem E-07, nie wcześniej.</t>
        </is>
      </c>
    </row>
    <row r="10">
      <c r="A10" s="10" t="inlineStr">
        <is>
          <t>G-10</t>
        </is>
      </c>
      <c r="B10" s="11" t="inlineStr">
        <is>
          <t>ModSecurity — zarządzanie regułami</t>
        </is>
      </c>
      <c r="C10" s="10" t="inlineStr">
        <is>
          <t>G — SSL i bezpieczeństwo</t>
        </is>
      </c>
      <c r="D10" s="11" t="inlineStr">
        <is>
          <t>poziom operatora</t>
        </is>
      </c>
    </row>
    <row r="11">
      <c r="A11" s="10" t="inlineStr">
        <is>
          <t>I-06</t>
        </is>
      </c>
      <c r="B11" s="11" t="inlineStr">
        <is>
          <t>Smart Updates (test przed aktualizacją)</t>
        </is>
      </c>
      <c r="C11" s="10" t="inlineStr">
        <is>
          <t>I — Aplikacje i WordPress</t>
        </is>
      </c>
      <c r="D11" s="11" t="inlineStr">
        <is>
          <t>wyróżnik Pleska, rynek PL tego nie ma</t>
        </is>
      </c>
    </row>
    <row r="12">
      <c r="A12" s="10" t="inlineStr">
        <is>
          <t>K-07</t>
        </is>
      </c>
      <c r="B12" s="11" t="inlineStr">
        <is>
          <t>Statystyki odwiedzin (AWStats/Webalizer)</t>
        </is>
      </c>
      <c r="C12" s="10" t="inlineStr">
        <is>
          <t>K — Statystyki, logi, limity</t>
        </is>
      </c>
      <c r="D12" s="11" t="inlineStr">
        <is>
          <t>zastąpione własną analityką (K-12)</t>
        </is>
      </c>
    </row>
    <row r="13">
      <c r="A13" s="10" t="inlineStr">
        <is>
          <t>Q-10</t>
        </is>
      </c>
      <c r="B13" s="11" t="inlineStr">
        <is>
          <t>Natywna aplikacja mobilna</t>
        </is>
      </c>
      <c r="C13" s="10" t="inlineStr">
        <is>
          <t>Q — Przewaga</t>
        </is>
      </c>
      <c r="D13" s="11" t="inlineStr">
        <is>
          <t>tylko home.pl (iOS)</t>
        </is>
      </c>
    </row>
  </sheetData>
  <autoFilter ref="A1:D13"/>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2026-09-19T14:17:27Z</dcterms:created>
  <dcterms:modified xmlns:dcterms="http://purl.org/dc/terms/" xmlns:xsi="http://www.w3.org/2001/XMLSchema-instance" xsi:type="dcterms:W3CDTF">2026-09-19T14:17:27Z</dcterms:modified>
</cp:coreProperties>
</file>