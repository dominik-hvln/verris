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startu'!$A$1:$P$121</definedName>
    <definedName name="_xlnm._FilterDatabase" localSheetId="2" hidden="1">'Sprinty'!$A$1:$J$24</definedName>
    <definedName name="_xlnm._FilterDatabase" localSheetId="3" hidden="1">'Po starcie'!$A$1:$K$81</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2026-09-26 z audyt/dane/</t>
        </is>
      </c>
    </row>
    <row r="4">
      <c r="A4" s="3" t="inlineStr">
        <is>
          <t>Kluczowe liczby</t>
        </is>
      </c>
    </row>
    <row r="6">
      <c r="A6" s="4" t="inlineStr">
        <is>
          <t>Zadań w planie</t>
        </is>
      </c>
      <c r="B6" s="5">
        <f>COUNTA('Backlog do startu'!$A$2:$A$121)</f>
        <v/>
      </c>
    </row>
    <row r="7">
      <c r="A7" s="4" t="inlineStr">
        <is>
          <t>Godzin w planie</t>
        </is>
      </c>
      <c r="B7" s="5">
        <f>SUM('Backlog do startu'!$F$2:$F$121)</f>
        <v/>
      </c>
    </row>
    <row r="8">
      <c r="A8" s="4" t="inlineStr">
        <is>
          <t>Pojemność</t>
        </is>
      </c>
      <c r="B8" s="5" t="n">
        <v>690</v>
      </c>
    </row>
    <row r="9">
      <c r="A9" s="4" t="inlineStr">
        <is>
          <t>Zapas</t>
        </is>
      </c>
      <c r="B9" s="5">
        <f>B7-B6</f>
        <v/>
      </c>
    </row>
    <row r="10">
      <c r="A10" s="6" t="inlineStr">
        <is>
          <t>Blokerów</t>
        </is>
      </c>
      <c r="B10" s="7">
        <f>COUNTIF('Backlog do startu'!$E$2:$E$121,"BLOKER STARTU")+COUNTIF('Backlog do startu'!$E$2:$E$121,"BLOKER BIZNESOWY")</f>
        <v/>
      </c>
    </row>
    <row r="11">
      <c r="A11" s="4" t="inlineStr">
        <is>
          <t>Zadań zrobionych</t>
        </is>
      </c>
      <c r="B11" s="5">
        <f>COUNTIF('Backlog do startu'!$P$2:$P$121,"zrobione")</f>
        <v/>
      </c>
    </row>
    <row r="12">
      <c r="A12" s="4" t="inlineStr">
        <is>
          <t>Godzin zrobionych</t>
        </is>
      </c>
      <c r="B12" s="5">
        <f>SUMIF('Backlog do startu'!$P$2:$P$121,"zrobione",'Backlog do startu'!$F$2:$F$121)</f>
        <v/>
      </c>
    </row>
    <row r="13">
      <c r="A13" s="4" t="inlineStr">
        <is>
          <t>Postęp</t>
        </is>
      </c>
      <c r="B13" s="8">
        <f>IFERROR(B12/B6,0)</f>
        <v/>
      </c>
    </row>
    <row r="15">
      <c r="A15" s="3" t="inlineStr">
        <is>
          <t>Praca poza planem sprintów</t>
        </is>
      </c>
    </row>
    <row r="16">
      <c r="A16" s="4" t="inlineStr">
        <is>
          <t>Pozycji w roadmapie po starcie</t>
        </is>
      </c>
      <c r="B16" s="5" t="n">
        <v>80</v>
      </c>
    </row>
    <row r="17">
      <c r="A17" s="4" t="inlineStr">
        <is>
          <t>Godzin</t>
        </is>
      </c>
      <c r="B17" s="5" t="n">
        <v>1544</v>
      </c>
    </row>
    <row r="18">
      <c r="A18" s="4" t="inlineStr">
        <is>
          <t>Sprintów po tyle godzin</t>
        </is>
      </c>
      <c r="B18" s="5" t="n">
        <v>51.5</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WYSOKA</t>
        </is>
      </c>
      <c r="F56" s="10" t="n">
        <v>6</v>
      </c>
      <c r="G56" s="10" t="n">
        <v>8</v>
      </c>
      <c r="H56" s="10" t="inlineStr">
        <is>
          <t>Faza 1 — Rozliczenia i dowód odtworzenia</t>
        </is>
      </c>
      <c r="I56" s="10" t="inlineStr">
        <is>
          <t>2026-10-19</t>
        </is>
      </c>
      <c r="J56" s="10" t="inlineStr">
        <is>
          <t>2026-10-23</t>
        </is>
      </c>
      <c r="K56" s="10" t="inlineStr">
        <is>
          <t>CZĘŚCIOWE</t>
        </is>
      </c>
      <c r="L56" s="11" t="inlineStr">
        <is>
          <t>2026-09-23 D1: deliverability/mail-auth.ts (buildMailAuthChecks) + deliverability.service.ts (strefa DA + delegacja NS); UI app/dashboard/email/deliverability-panel.tsx podpięty w MailTab (zakładka Poczta); test mail-auth.spec.ts</t>
        </is>
      </c>
      <c r="M56" s="11" t="inlineStr">
        <is>
          <t>—</t>
        </is>
      </c>
      <c r="N56" s="11" t="inlineStr">
        <is>
          <t>Ograniczenie opisane w uwagach macierzy zniknęło; test potwierdza zachowanie także w scenariuszu awaryjnym.</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CZĘŚCIOWE</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Ograniczenie opisane w uwagach macierzy zniknęło; test potwierdza zachowanie także w scenariuszu awaryjnym.</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c r="P57" s="10" t="inlineStr">
        <is>
          <t>do zrobienia</t>
        </is>
      </c>
    </row>
    <row r="58">
      <c r="A58" s="10" t="inlineStr">
        <is>
          <t>E-17</t>
        </is>
      </c>
      <c r="B58" s="11" t="inlineStr">
        <is>
          <t>Rekord DMARC — konfiguracja</t>
        </is>
      </c>
      <c r="C58" s="10" t="inlineStr">
        <is>
          <t>audyt</t>
        </is>
      </c>
      <c r="D58" s="10" t="inlineStr">
        <is>
          <t>E — Poczta</t>
        </is>
      </c>
      <c r="E58" s="10" t="inlineStr">
        <is>
          <t>WYSOKA</t>
        </is>
      </c>
      <c r="F58" s="10" t="n">
        <v>6</v>
      </c>
      <c r="G58" s="10" t="n">
        <v>8</v>
      </c>
      <c r="H58" s="10" t="inlineStr">
        <is>
          <t>Faza 1 — Rozliczenia i dowód odtworzenia</t>
        </is>
      </c>
      <c r="I58" s="10" t="inlineStr">
        <is>
          <t>2026-10-19</t>
        </is>
      </c>
      <c r="J58" s="10" t="inlineStr">
        <is>
          <t>2026-10-23</t>
        </is>
      </c>
      <c r="K58" s="10" t="inlineStr">
        <is>
          <t>CZĘŚCIOWE</t>
        </is>
      </c>
      <c r="L58" s="11" t="inlineStr">
        <is>
          <t>2026-09-23 D1: mail-auth.ts dmarcCheck (brak / p=none / kilka rekordów) + lib/dmarc.ts tuneDmarc (polityka + adres raportów) w deliverability-panel.tsx; testy mail-auth.spec.ts, dmarc.spec.ts</t>
        </is>
      </c>
      <c r="M58" s="11" t="inlineStr">
        <is>
          <t>E-15</t>
        </is>
      </c>
      <c r="N58" s="11" t="inlineStr">
        <is>
          <t>Ograniczenie opisane w uwagach macierzy zniknęło; test potwierdza zachowanie także w scenariuszu awaryjnym.</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WYSOKA</t>
        </is>
      </c>
      <c r="F59" s="10" t="n">
        <v>6</v>
      </c>
      <c r="G59" s="10" t="n">
        <v>8</v>
      </c>
      <c r="H59" s="10" t="inlineStr">
        <is>
          <t>Faza 1 — Rozliczenia i dowód odtworzenia</t>
        </is>
      </c>
      <c r="I59" s="10" t="inlineStr">
        <is>
          <t>2026-10-19</t>
        </is>
      </c>
      <c r="J59" s="10" t="inlineStr">
        <is>
          <t>2026-10-23</t>
        </is>
      </c>
      <c r="K59" s="10" t="inlineStr">
        <is>
          <t>CZĘŚCIOWE</t>
        </is>
      </c>
      <c r="L59" s="11" t="inlineStr">
        <is>
          <t>2026-09-23 D1: POST /services/:id/hosting-email/quota (ZmienRozmiarSkrzynkiDto 10–102400 MB) → directadmin.service changeHostingEmailQuota (CMD_API_POP action=modify bez passwd) + audyt HOSTING_EMAIL_QUOTA_CHANGED; UI MailTab — klik w rozmiar skrzynki</t>
        </is>
      </c>
      <c r="M59" s="11" t="inlineStr">
        <is>
          <t>—</t>
        </is>
      </c>
      <c r="N59" s="11" t="inlineStr">
        <is>
          <t>Ograniczenie opisane w uwagach macierzy zniknęło; test potwierdza zachowanie także w scenariuszu awaryjnym.</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WYSOKA</t>
        </is>
      </c>
      <c r="F63" s="10" t="n">
        <v>6</v>
      </c>
      <c r="G63" s="10" t="n">
        <v>11</v>
      </c>
      <c r="H63" s="10" t="inlineStr">
        <is>
          <t>Faza 2 — Odzyskanie funkcji-widm i luki pierwszego tygodnia</t>
        </is>
      </c>
      <c r="I63" s="10" t="inlineStr">
        <is>
          <t>2026-11-09</t>
        </is>
      </c>
      <c r="J63" s="10" t="inlineStr">
        <is>
          <t>2026-11-13</t>
        </is>
      </c>
      <c r="K63" s="10" t="inlineStr">
        <is>
          <t>CZĘŚCIOWE</t>
        </is>
      </c>
      <c r="L63" s="11" t="inlineStr">
        <is>
          <t>2026-09-23 D1: admin-panel subscriptions/[id]/suspend-form.tsx + suspend-actions.ts → POST /admin/subscriptions/:id/suspend (powód, notatka, potwierdzenie)</t>
        </is>
      </c>
      <c r="M63" s="11" t="inlineStr">
        <is>
          <t>—</t>
        </is>
      </c>
      <c r="N63" s="11" t="inlineStr">
        <is>
          <t>Ograniczenie opisane w uwagach macierzy zniknęło; test potwierdza zachowanie także w scenariuszu awaryjnym.</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WYSOKA</t>
        </is>
      </c>
      <c r="F64" s="10" t="n">
        <v>6</v>
      </c>
      <c r="G64" s="10" t="n">
        <v>11</v>
      </c>
      <c r="H64" s="10" t="inlineStr">
        <is>
          <t>Faza 2 — Odzyskanie funkcji-widm i luki pierwszego tygodnia</t>
        </is>
      </c>
      <c r="I64" s="10" t="inlineStr">
        <is>
          <t>2026-11-09</t>
        </is>
      </c>
      <c r="J64" s="10" t="inlineStr">
        <is>
          <t>2026-11-13</t>
        </is>
      </c>
      <c r="K64" s="10" t="inlineStr">
        <is>
          <t>CZĘŚCIOWE</t>
        </is>
      </c>
      <c r="L64" s="11" t="inlineStr">
        <is>
          <t>2026-09-23 D1: ten sam formularz — odwieszenie z opcją obciążenia za odnowienie (chargeRenewal)</t>
        </is>
      </c>
      <c r="M64" s="11" t="inlineStr">
        <is>
          <t>A-25 (ten sam widok)</t>
        </is>
      </c>
      <c r="N64" s="11" t="inlineStr">
        <is>
          <t>Ograniczenie opisane w uwagach macierzy zniknęło; test potwierdza zachowanie także w scenariuszu awaryjnym.</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CZĘŚCIOWE</t>
        </is>
      </c>
      <c r="L68" s="11" t="inlineStr">
        <is>
          <t>2026-09-23 D1: hosting-restore.service.ts takeSafetyBackup — odtwarzanie rusza dopiero, gdy na liście kopii pojawi się NOWE archiwum (do 15 min), inaczej FAILED „dane nie zostały zmienione”; nieczytelna lista = odmowa; test hosting-restore.safety.spec.ts</t>
        </is>
      </c>
      <c r="M68" s="11" t="inlineStr">
        <is>
          <t>—</t>
        </is>
      </c>
      <c r="N68" s="11" t="inlineStr">
        <is>
          <t>Ograniczenie opisane w uwagach macierzy zniknęło; test potwierdza zachowanie także w scenariuszu awaryjnym.</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CZĘŚCIOWE</t>
        </is>
      </c>
      <c r="L71" s="11" t="inlineStr">
        <is>
          <t>2026-09-23 D1: node-staging-sync.sh TO_LIVE — eksport bazy LIVE i niepusty plik kopii są twardą bramką (die) przed db import; retencja po udanej kopii; strażnik src/test/staging-publikacja-z-kopia.spec.ts</t>
        </is>
      </c>
      <c r="M71" s="11" t="inlineStr">
        <is>
          <t>—</t>
        </is>
      </c>
      <c r="N71" s="11" t="inlineStr">
        <is>
          <t>Ograniczenie opisane w uwagach macierzy zniknęło; test potwierdza zachowanie także w scenariuszu awaryjnym.</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CZĘŚCIOWE</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Ograniczenie opisane w uwagach macierzy zniknęło; test potwierdza zachowanie także w scenariuszu awaryjnym.</t>
        </is>
      </c>
      <c r="O76" s="11" t="inlineStr">
        <is>
          <t>brak jakiejkolwiek ścieżki edycji istniejącego konta | Przy okazji body tworzenia konta FTP dostało klasę DTO (login, hasło, katalog bez „..”). OTWARTE do D3 (PB-21): format action=modify na żywym DA.</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2026-11-30</t>
        </is>
      </c>
      <c r="J77" s="10" t="inlineStr">
        <is>
          <t>2026-12-04</t>
        </is>
      </c>
      <c r="K77" s="10" t="inlineStr">
        <is>
          <t>FLAGA</t>
        </is>
      </c>
      <c r="L77" s="11" t="inlineStr">
        <is>
          <t>domains.controller.ts:54</t>
        </is>
      </c>
      <c r="M77" s="11" t="inlineStr">
        <is>
          <t>—</t>
        </is>
      </c>
      <c r="N77" s="11" t="inlineStr">
        <is>
          <t>Wartość domyślna włączona albo check w live-readiness pilnuje konfiguracji — flaga nie może po cichu wyłączyć funkcji.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c r="P77" s="10" t="inlineStr">
        <is>
          <t>do zrobienia</t>
        </is>
      </c>
    </row>
    <row r="78">
      <c r="A78" s="10" t="inlineStr">
        <is>
          <t>C-11</t>
        </is>
      </c>
      <c r="B78" s="11" t="inlineStr">
        <is>
          <t>Spakowanie do archiwum</t>
        </is>
      </c>
      <c r="C78" s="10" t="inlineStr">
        <is>
          <t>audyt</t>
        </is>
      </c>
      <c r="D78" s="10" t="inlineStr">
        <is>
          <t>C — Pliki, FTP, SSH, Git</t>
        </is>
      </c>
      <c r="E78" s="10" t="inlineStr">
        <is>
          <t>ŚREDNIA</t>
        </is>
      </c>
      <c r="F78" s="10" t="n">
        <v>6</v>
      </c>
      <c r="G78" s="10" t="n">
        <v>14</v>
      </c>
      <c r="H78" s="10" t="inlineStr">
        <is>
          <t>Faza 2 — Odzyskanie funkcji-widm i luki pierwszego tygodnia</t>
        </is>
      </c>
      <c r="I78" s="10" t="inlineStr">
        <is>
          <t>2026-11-30</t>
        </is>
      </c>
      <c r="J78" s="10" t="inlineStr">
        <is>
          <t>2026-12-04</t>
        </is>
      </c>
      <c r="K78" s="10" t="inlineStr">
        <is>
          <t>CZĘŚCIOWE</t>
        </is>
      </c>
      <c r="L78" s="11" t="inlineStr">
        <is>
          <t>2026-09-23 D1: POST /services/:id/files/compress → files.service compress (nazwa archiwum walidowana) → SDK compressEntries (schowek DA + action=compress) + audyt HOSTING_FILE_COMPRESSED; UI menedżera plików „Spakuj…” dla zaznaczonych</t>
        </is>
      </c>
      <c r="M78" s="11" t="inlineStr">
        <is>
          <t>—</t>
        </is>
      </c>
      <c r="N78" s="11" t="inlineStr">
        <is>
          <t>Ograniczenie opisane w uwagach macierzy zniknęło; test potwierdza zachowanie także w scenariuszu awaryjnym.</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2026-11-30</t>
        </is>
      </c>
      <c r="J79" s="10" t="inlineStr">
        <is>
          <t>2026-12-04</t>
        </is>
      </c>
      <c r="K79" s="10" t="inlineStr">
        <is>
          <t>CZĘŚCIOWE</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Ograniczenie opisane w uwagach macierzy zniknęło; test potwierdza zachowanie także w scenariuszu awaryjnym.</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9" s="10" t="inlineStr">
        <is>
          <t>do zrobienia</t>
        </is>
      </c>
    </row>
    <row r="80">
      <c r="A80" s="10" t="inlineStr">
        <is>
          <t>PB-08</t>
        </is>
      </c>
      <c r="B80" s="11" t="inlineStr">
        <is>
          <t>Pomiar: Consent Mode v2 + GTM + dedup event_id</t>
        </is>
      </c>
      <c r="C80" s="10" t="inlineStr">
        <is>
          <t>poza audytem</t>
        </is>
      </c>
      <c r="D80" s="10" t="inlineStr">
        <is>
          <t>Praca spoza audytu</t>
        </is>
      </c>
      <c r="E80" s="10" t="inlineStr">
        <is>
          <t>ŚREDNI</t>
        </is>
      </c>
      <c r="F80" s="10" t="n">
        <v>16</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Zdarzenie zakupu dociera raz, nie dwa. Consent Mode nie blokuje pomiaru po zgodzie. Zweryfikowane w GTM Preview i w raporcie.</t>
        </is>
      </c>
      <c r="O80"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80" s="10" t="inlineStr">
        <is>
          <t>do zrobienia</t>
        </is>
      </c>
    </row>
    <row r="81">
      <c r="A81" s="10" t="inlineStr">
        <is>
          <t>PB-27</t>
        </is>
      </c>
      <c r="B81" s="11" t="inlineStr">
        <is>
          <t>Indywidualne warunki usługi: cena i autoskalowanie</t>
        </is>
      </c>
      <c r="C81" s="10" t="inlineStr">
        <is>
          <t>poza audytem</t>
        </is>
      </c>
      <c r="D81" s="10" t="inlineStr">
        <is>
          <t>Praca spoza audytu</t>
        </is>
      </c>
      <c r="E81" s="10" t="inlineStr">
        <is>
          <t>WYSOKI</t>
        </is>
      </c>
      <c r="F81" s="10" t="n">
        <v>12</v>
      </c>
      <c r="G81" s="10" t="n">
        <v>14</v>
      </c>
      <c r="H81" s="10" t="inlineStr">
        <is>
          <t>Faza 2 — Odzyskanie funkcji-widm i luki pierwszego tygodnia</t>
        </is>
      </c>
      <c r="I81" s="10" t="inlineStr">
        <is>
          <t>2026-11-30</t>
        </is>
      </c>
      <c r="J81" s="10" t="inlineStr">
        <is>
          <t>2026-12-04</t>
        </is>
      </c>
      <c r="K81" s="10" t="inlineStr">
        <is>
          <t>—</t>
        </is>
      </c>
      <c r="L81" s="11" t="inlineStr">
        <is>
          <t>—</t>
        </is>
      </c>
      <c r="M81" s="11" t="inlineStr">
        <is>
          <t>—</t>
        </is>
      </c>
      <c r="N81" s="11" t="inlineStr">
        <is>
          <t>Operator zakłada usługę z własną ceną; odnowienie pobiera tę cenę; autoskalowanie liczone z rabatem; każda zmiana w dzienniku audytu z autorem i powodem; test na PostgreSQL.</t>
        </is>
      </c>
      <c r="O81"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1" s="10" t="inlineStr">
        <is>
          <t>do zrobienia</t>
        </is>
      </c>
    </row>
    <row r="82">
      <c r="A82" s="10" t="inlineStr">
        <is>
          <t>PB-28</t>
        </is>
      </c>
      <c r="B82" s="11" t="inlineStr">
        <is>
          <t>Rozliczenie poza Verris (całe konto)</t>
        </is>
      </c>
      <c r="C82" s="10" t="inlineStr">
        <is>
          <t>poza audytem</t>
        </is>
      </c>
      <c r="D82" s="10" t="inlineStr">
        <is>
          <t>Praca spoza audytu</t>
        </is>
      </c>
      <c r="E82" s="10" t="inlineStr">
        <is>
          <t>WYSOKI</t>
        </is>
      </c>
      <c r="F82" s="10" t="n">
        <v>10</v>
      </c>
      <c r="G82" s="10" t="n">
        <v>14</v>
      </c>
      <c r="H82" s="10" t="inlineStr">
        <is>
          <t>Faza 2 — Odzyskanie funkcji-widm i luki pierwszego tygodnia</t>
        </is>
      </c>
      <c r="I82" s="10" t="inlineStr">
        <is>
          <t>2026-11-30</t>
        </is>
      </c>
      <c r="J82" s="10" t="inlineStr">
        <is>
          <t>2026-12-04</t>
        </is>
      </c>
      <c r="K82" s="10" t="inlineStr">
        <is>
          <t>—</t>
        </is>
      </c>
      <c r="L82" s="11" t="inlineStr">
        <is>
          <t>—</t>
        </is>
      </c>
      <c r="M82" s="11" t="inlineStr">
        <is>
          <t>—</t>
        </is>
      </c>
      <c r="N82" s="11" t="inlineStr">
        <is>
          <t>Flaga na koncie ustawiana z panelu admina/obsługi; testy: brak obciążeń, przedłużanie okresu, brak maili, brak blokady, raport zużycia autoskalowania.</t>
        </is>
      </c>
      <c r="O82"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2" s="10" t="inlineStr">
        <is>
          <t>do zrobienia</t>
        </is>
      </c>
    </row>
    <row r="83">
      <c r="A83" s="10" t="inlineStr">
        <is>
          <t>X-41</t>
        </is>
      </c>
      <c r="B83" s="11" t="inlineStr">
        <is>
          <t>Hardening egressu wisi w łańcuchu OUTPUT, a ruch kontenerów idzie przez FORWARD</t>
        </is>
      </c>
      <c r="C83" s="10" t="inlineStr">
        <is>
          <t>audyt</t>
        </is>
      </c>
      <c r="D83" s="10" t="inlineStr">
        <is>
          <t>X — Infrastruktura jakości</t>
        </is>
      </c>
      <c r="E83" s="10" t="inlineStr">
        <is>
          <t>WYSOKA</t>
        </is>
      </c>
      <c r="F83" s="10" t="n">
        <v>16</v>
      </c>
      <c r="G83" s="10" t="n">
        <v>15</v>
      </c>
      <c r="H83" s="10" t="inlineStr">
        <is>
          <t>Faza 3 — Wejście na rynek</t>
        </is>
      </c>
      <c r="I83" s="10" t="inlineStr">
        <is>
          <t>2026-12-07</t>
        </is>
      </c>
      <c r="J83" s="10" t="inlineStr">
        <is>
          <t>2026-12-11</t>
        </is>
      </c>
      <c r="K83" s="10" t="inlineStr">
        <is>
          <t>CZĘŚCIOWE</t>
        </is>
      </c>
      <c r="L83" s="11" t="inlineStr">
        <is>
          <t>obserwacja wpięta w DOCKER-USER, 1674 pakiety zliczone, 0 DROP/REJECT</t>
        </is>
      </c>
      <c r="M83" s="11" t="inlineStr">
        <is>
          <t>—</t>
        </is>
      </c>
      <c r="N83" s="11" t="inlineStr">
        <is>
          <t>Ograniczenie opisane w uwagach macierzy zniknęło; test potwierdza zachowanie także w scenariuszu awaryjnym.</t>
        </is>
      </c>
      <c r="O83"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83" s="10" t="inlineStr">
        <is>
          <t>do zrobienia</t>
        </is>
      </c>
    </row>
    <row r="84">
      <c r="A84" s="10" t="inlineStr">
        <is>
          <t>SEC-03</t>
        </is>
      </c>
      <c r="B84" s="11" t="inlineStr">
        <is>
          <t>Ruch poza TCP/80 i TCP/443 — DNS (UDP/53), SMTP — nie jest objęty ani obserwacją z X-41, ani trybem strict</t>
        </is>
      </c>
      <c r="C84" s="10" t="inlineStr">
        <is>
          <t>audyt</t>
        </is>
      </c>
      <c r="D84" s="10" t="inlineStr">
        <is>
          <t>G — SSL i bezpieczeństwo</t>
        </is>
      </c>
      <c r="E84" s="10" t="inlineStr">
        <is>
          <t>WYSOKA</t>
        </is>
      </c>
      <c r="F84" s="10" t="n">
        <v>16</v>
      </c>
      <c r="G84" s="10" t="n">
        <v>15</v>
      </c>
      <c r="H84" s="10" t="inlineStr">
        <is>
          <t>Faza 3 — Wejście na rynek</t>
        </is>
      </c>
      <c r="I84" s="10" t="inlineStr">
        <is>
          <t>2026-12-07</t>
        </is>
      </c>
      <c r="J84" s="10" t="inlineStr">
        <is>
          <t>2026-12-11</t>
        </is>
      </c>
      <c r="K84" s="10" t="inlineStr">
        <is>
          <t>CZĘŚCIOWE</t>
        </is>
      </c>
      <c r="L84"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4" s="11" t="inlineStr">
        <is>
          <t>—</t>
        </is>
      </c>
      <c r="N84" s="11" t="inlineStr">
        <is>
          <t>Ograniczenie opisane w uwagach macierzy zniknęło; test potwierdza zachowanie także w scenariuszu awaryjnym.</t>
        </is>
      </c>
      <c r="O84"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84" s="10" t="inlineStr">
        <is>
          <t>do zrobienia</t>
        </is>
      </c>
    </row>
    <row r="85">
      <c r="A85" s="10" t="inlineStr">
        <is>
          <t>PB-22</t>
        </is>
      </c>
      <c r="B85" s="11" t="inlineStr">
        <is>
          <t>Badge na stronę v2 — interaktywne i użyteczne dla klienta</t>
        </is>
      </c>
      <c r="C85" s="10" t="inlineStr">
        <is>
          <t>poza audytem</t>
        </is>
      </c>
      <c r="D85" s="10" t="inlineStr">
        <is>
          <t>Praca spoza audytu</t>
        </is>
      </c>
      <c r="E85" s="10" t="inlineStr">
        <is>
          <t>ŚREDNI</t>
        </is>
      </c>
      <c r="F85" s="10" t="n">
        <v>20</v>
      </c>
      <c r="G85" s="10" t="n">
        <v>15</v>
      </c>
      <c r="H85" s="10" t="inlineStr">
        <is>
          <t>Faza 3 — Wejście na rynek</t>
        </is>
      </c>
      <c r="I85" s="10" t="inlineStr">
        <is>
          <t>2026-12-07</t>
        </is>
      </c>
      <c r="J85" s="10" t="inlineStr">
        <is>
          <t>2026-12-11</t>
        </is>
      </c>
      <c r="K85" s="10" t="inlineStr">
        <is>
          <t>—</t>
        </is>
      </c>
      <c r="L85" s="11" t="inlineStr">
        <is>
          <t>—</t>
        </is>
      </c>
      <c r="M85" s="11" t="inlineStr">
        <is>
          <t>—</t>
        </is>
      </c>
      <c r="N85" s="11" t="inlineStr">
        <is>
          <t>Badge widoczne na prod na domenie klienta; pieczęć znika przy niespełnionych warunkach; kliknięcia polecenia liczone; testy D2 zielone.</t>
        </is>
      </c>
      <c r="O85"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5" s="10" t="inlineStr">
        <is>
          <t>do zrobienia</t>
        </is>
      </c>
    </row>
    <row r="86">
      <c r="A86" s="10" t="inlineStr">
        <is>
          <t>SEC-05</t>
        </is>
      </c>
      <c r="B86" s="11" t="inlineStr">
        <is>
          <t>Log egressu jest próbką, nie zapisem</t>
        </is>
      </c>
      <c r="C86" s="10" t="inlineStr">
        <is>
          <t>audyt</t>
        </is>
      </c>
      <c r="D86" s="10" t="inlineStr">
        <is>
          <t>G — SSL i bezpieczeństwo</t>
        </is>
      </c>
      <c r="E86" s="10" t="inlineStr">
        <is>
          <t>WYSOKA</t>
        </is>
      </c>
      <c r="F86" s="10" t="n">
        <v>6</v>
      </c>
      <c r="G86" s="10" t="n">
        <v>16</v>
      </c>
      <c r="H86" s="10" t="inlineStr">
        <is>
          <t>Faza 3 — Wejście na rynek</t>
        </is>
      </c>
      <c r="I86" s="10" t="inlineStr">
        <is>
          <t>2026-12-14</t>
        </is>
      </c>
      <c r="J86" s="10" t="inlineStr">
        <is>
          <t>2026-12-18</t>
        </is>
      </c>
      <c r="K86" s="10" t="inlineStr">
        <is>
          <t>DZIAŁA</t>
        </is>
      </c>
      <c r="L86"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6" s="11" t="inlineStr">
        <is>
          <t>—</t>
        </is>
      </c>
      <c r="N86" s="11" t="inlineStr">
        <is>
          <t>Funkcja dostępna z panelu klienta bez wychodzenia do DirectAdmina; test uruchamiany w CI.</t>
        </is>
      </c>
      <c r="O86"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6" s="10" t="inlineStr">
        <is>
          <t>do zrobienia</t>
        </is>
      </c>
    </row>
    <row r="87">
      <c r="A87" s="10" t="inlineStr">
        <is>
          <t>SEC-04</t>
        </is>
      </c>
      <c r="B87" s="11" t="inlineStr">
        <is>
          <t>Host rozmawia z kontenerami przez OUTPUT — ruch wewnętrzny liczony jako egress</t>
        </is>
      </c>
      <c r="C87" s="10" t="inlineStr">
        <is>
          <t>audyt</t>
        </is>
      </c>
      <c r="D87" s="10" t="inlineStr">
        <is>
          <t>G — SSL i bezpieczeństwo</t>
        </is>
      </c>
      <c r="E87" s="10" t="inlineStr">
        <is>
          <t>WYSOKA</t>
        </is>
      </c>
      <c r="F87" s="10" t="n">
        <v>6</v>
      </c>
      <c r="G87" s="10" t="n">
        <v>16</v>
      </c>
      <c r="H87" s="10" t="inlineStr">
        <is>
          <t>Faza 3 — Wejście na rynek</t>
        </is>
      </c>
      <c r="I87" s="10" t="inlineStr">
        <is>
          <t>2026-12-14</t>
        </is>
      </c>
      <c r="J87" s="10" t="inlineStr">
        <is>
          <t>2026-12-18</t>
        </is>
      </c>
      <c r="K87" s="10" t="inlineStr">
        <is>
          <t>CZĘŚCIOWE</t>
        </is>
      </c>
      <c r="L87" s="11" t="inlineStr">
        <is>
          <t>security-control-plane-egress.sh — RETURN dla -o lo/docker0/br-+ w VERRIS_EGRESS_STRICT i br-+ w VERRIS_EGRESS_BOGON przed DROP; test apps/api/src/test/egress-strict-naprawde-blokuje.spec.ts</t>
        </is>
      </c>
      <c r="M87" s="11" t="inlineStr">
        <is>
          <t>—</t>
        </is>
      </c>
      <c r="N87" s="11" t="inlineStr">
        <is>
          <t>Ograniczenie opisane w uwagach macierzy zniknęło; test potwierdza zachowanie także w scenariuszu awaryjnym.</t>
        </is>
      </c>
      <c r="O8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7" s="10" t="inlineStr">
        <is>
          <t>do zrobienia</t>
        </is>
      </c>
    </row>
    <row r="88">
      <c r="A88" s="10" t="inlineStr">
        <is>
          <t>SEC-01</t>
        </is>
      </c>
      <c r="B88" s="11" t="inlineStr">
        <is>
          <t>Tryb `--strict` jest atrapą</t>
        </is>
      </c>
      <c r="C88" s="10" t="inlineStr">
        <is>
          <t>audyt</t>
        </is>
      </c>
      <c r="D88" s="10" t="inlineStr">
        <is>
          <t>G — SSL i bezpieczeństwo</t>
        </is>
      </c>
      <c r="E88" s="10" t="inlineStr">
        <is>
          <t>WYSOKA</t>
        </is>
      </c>
      <c r="F88" s="10" t="n">
        <v>16</v>
      </c>
      <c r="G88" s="10" t="n">
        <v>16</v>
      </c>
      <c r="H88" s="10" t="inlineStr">
        <is>
          <t>Faza 3 — Wejście na rynek</t>
        </is>
      </c>
      <c r="I88" s="10" t="inlineStr">
        <is>
          <t>2026-12-14</t>
        </is>
      </c>
      <c r="J88" s="10" t="inlineStr">
        <is>
          <t>2026-12-18</t>
        </is>
      </c>
      <c r="K88" s="10" t="inlineStr">
        <is>
          <t>CZĘŚCIOWE</t>
        </is>
      </c>
      <c r="L88"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8" s="11" t="inlineStr">
        <is>
          <t>—</t>
        </is>
      </c>
      <c r="N88" s="11" t="inlineStr">
        <is>
          <t>Ograniczenie opisane w uwagach macierzy zniknęło; test potwierdza zachowanie także w scenariuszu awaryjnym.</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8" s="10" t="inlineStr">
        <is>
          <t>do zrobienia</t>
        </is>
      </c>
    </row>
    <row r="89">
      <c r="A89" s="10" t="inlineStr">
        <is>
          <t>SEC-06</t>
        </is>
      </c>
      <c r="B89" s="11" t="inlineStr">
        <is>
          <t>Allowlista pokrywa to, o czym ktoś pomyślał, nie to, co host robi</t>
        </is>
      </c>
      <c r="C89" s="10" t="inlineStr">
        <is>
          <t>audyt</t>
        </is>
      </c>
      <c r="D89" s="10" t="inlineStr">
        <is>
          <t>G — SSL i bezpieczeństwo</t>
        </is>
      </c>
      <c r="E89" s="10" t="inlineStr">
        <is>
          <t>WYSOKA</t>
        </is>
      </c>
      <c r="F89" s="10" t="n">
        <v>16</v>
      </c>
      <c r="G89" s="10" t="n">
        <v>16</v>
      </c>
      <c r="H89" s="10" t="inlineStr">
        <is>
          <t>Faza 3 — Wejście na rynek</t>
        </is>
      </c>
      <c r="I89" s="10" t="inlineStr">
        <is>
          <t>2026-12-14</t>
        </is>
      </c>
      <c r="J89" s="10" t="inlineStr">
        <is>
          <t>2026-12-18</t>
        </is>
      </c>
      <c r="K89" s="10" t="inlineStr">
        <is>
          <t>BRAK</t>
        </is>
      </c>
      <c r="L89" s="11" t="inlineStr">
        <is>
          <t>ipset test verris_egress_https na 4 celach z logu egressu</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9" s="10" t="inlineStr">
        <is>
          <t>do zrobienia</t>
        </is>
      </c>
    </row>
    <row r="90">
      <c r="A90" s="10" t="inlineStr">
        <is>
          <t>SEC-02</t>
        </is>
      </c>
      <c r="B90" s="11" t="inlineStr">
        <is>
          <t>Stripe jest w allowliście wyłącznie po nazwie, a ipset powstaje z rozwiązania nazw</t>
        </is>
      </c>
      <c r="C90" s="10" t="inlineStr">
        <is>
          <t>audyt</t>
        </is>
      </c>
      <c r="D90" s="10" t="inlineStr">
        <is>
          <t>G — SSL i bezpieczeństwo</t>
        </is>
      </c>
      <c r="E90" s="10" t="inlineStr">
        <is>
          <t>ŚREDNIA</t>
        </is>
      </c>
      <c r="F90" s="10" t="n">
        <v>6</v>
      </c>
      <c r="G90" s="10" t="n">
        <v>16</v>
      </c>
      <c r="H90" s="10" t="inlineStr">
        <is>
          <t>Faza 3 — Wejście na rynek</t>
        </is>
      </c>
      <c r="I90" s="10" t="inlineStr">
        <is>
          <t>2026-12-14</t>
        </is>
      </c>
      <c r="J90" s="10" t="inlineStr">
        <is>
          <t>2026-12-18</t>
        </is>
      </c>
      <c r="K90" s="10" t="inlineStr">
        <is>
          <t>BRAK</t>
        </is>
      </c>
      <c r="L90" s="11" t="inlineStr">
        <is>
          <t>`egress-allow-hostnames.txt`; ipset `verris_egress_https` = 65 wpisów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0" s="10" t="inlineStr">
        <is>
          <t>do zrobienia</t>
        </is>
      </c>
    </row>
    <row r="91">
      <c r="A91" s="10" t="inlineStr">
        <is>
          <t>PB-23</t>
        </is>
      </c>
      <c r="B91" s="11" t="inlineStr">
        <is>
          <t>Każdy widok osiągalny z menu (klient, admin, staff)</t>
        </is>
      </c>
      <c r="C91" s="10" t="inlineStr">
        <is>
          <t>poza audytem</t>
        </is>
      </c>
      <c r="D91" s="10" t="inlineStr">
        <is>
          <t>Praca spoza audytu</t>
        </is>
      </c>
      <c r="E91" s="10" t="inlineStr">
        <is>
          <t>ŚREDNI</t>
        </is>
      </c>
      <c r="F91" s="10" t="n">
        <v>10</v>
      </c>
      <c r="G91" s="10" t="n">
        <v>16</v>
      </c>
      <c r="H91" s="10" t="inlineStr">
        <is>
          <t>Faza 3 — Wejście na rynek</t>
        </is>
      </c>
      <c r="I91" s="10" t="inlineStr">
        <is>
          <t>2026-12-14</t>
        </is>
      </c>
      <c r="J91" s="10" t="inlineStr">
        <is>
          <t>2026-12-18</t>
        </is>
      </c>
      <c r="K91" s="10" t="inlineStr">
        <is>
          <t>—</t>
        </is>
      </c>
      <c r="L91" s="11" t="inlineStr">
        <is>
          <t>—</t>
        </is>
      </c>
      <c r="M91" s="11" t="inlineStr">
        <is>
          <t>—</t>
        </is>
      </c>
      <c r="N91" s="11" t="inlineStr">
        <is>
          <t>Lista tras vs menu dla trzech paneli bez luk; test-strażnik czerwony po dodaniu trasy bez wejścia w nawigacji.</t>
        </is>
      </c>
      <c r="O91"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1" s="10" t="inlineStr">
        <is>
          <t>do zrobienia</t>
        </is>
      </c>
    </row>
    <row r="92">
      <c r="A92" s="10" t="inlineStr">
        <is>
          <t>P-15</t>
        </is>
      </c>
      <c r="B92" s="11" t="inlineStr">
        <is>
          <t>Podpisane DPA z subprocesorami (część)</t>
        </is>
      </c>
      <c r="C92" s="10" t="inlineStr">
        <is>
          <t>audyt</t>
        </is>
      </c>
      <c r="D92" s="10" t="inlineStr">
        <is>
          <t>P — Zgodność</t>
        </is>
      </c>
      <c r="E92" s="10" t="inlineStr">
        <is>
          <t>BLOKER STARTU</t>
        </is>
      </c>
      <c r="F92" s="10" t="n">
        <v>6</v>
      </c>
      <c r="G92" s="10" t="n">
        <v>17</v>
      </c>
      <c r="H92" s="10" t="inlineStr">
        <is>
          <t>Faza 3 — Wejście na rynek</t>
        </is>
      </c>
      <c r="I92" s="10" t="inlineStr">
        <is>
          <t>2026-12-21</t>
        </is>
      </c>
      <c r="J92" s="10" t="inlineStr">
        <is>
          <t>2026-12-25</t>
        </is>
      </c>
      <c r="K92" s="10" t="inlineStr">
        <is>
          <t>BRAK</t>
        </is>
      </c>
      <c r="L92" s="11" t="inlineStr">
        <is>
          <t>docs/legal/dpa-subprocessors-tracking.md — tabela statusow po korekcie 2026-09-19. Stripe i AWS: DPA obowiazuje z mocy umowy glownej. Hetzner i Openprovider: akceptacja w panelu, jeszcze nie wykonana. Cloudflare: mechanizm do potwierdzenia.</t>
        </is>
      </c>
      <c r="M92" s="11" t="inlineStr">
        <is>
          <t>—</t>
        </is>
      </c>
      <c r="N92" s="11" t="inlineStr">
        <is>
          <t>Funkcja dostępna z panelu klienta bez wychodzenia do DirectAdmina; test uruchamiany w CI.</t>
        </is>
      </c>
      <c r="O92"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t>
        </is>
      </c>
      <c r="P92" s="10" t="inlineStr">
        <is>
          <t>do zrobienia</t>
        </is>
      </c>
    </row>
    <row r="93">
      <c r="A93" s="10" t="inlineStr">
        <is>
          <t>PB-03</t>
        </is>
      </c>
      <c r="B93" s="11" t="inlineStr">
        <is>
          <t>Finalizacja dokumentów prawnych 1.0.0</t>
        </is>
      </c>
      <c r="C93" s="10" t="inlineStr">
        <is>
          <t>poza audytem</t>
        </is>
      </c>
      <c r="D93" s="10" t="inlineStr">
        <is>
          <t>Praca spoza audytu</t>
        </is>
      </c>
      <c r="E93" s="10" t="inlineStr">
        <is>
          <t>BLOKER BIZNESOWY</t>
        </is>
      </c>
      <c r="F93" s="10" t="n">
        <v>16</v>
      </c>
      <c r="G93" s="10" t="n">
        <v>17</v>
      </c>
      <c r="H93" s="10" t="inlineStr">
        <is>
          <t>Faza 3 — Wejście na rynek</t>
        </is>
      </c>
      <c r="I93" s="10" t="inlineStr">
        <is>
          <t>2026-12-21</t>
        </is>
      </c>
      <c r="J93" s="10" t="inlineStr">
        <is>
          <t>2026-12-25</t>
        </is>
      </c>
      <c r="K93" s="10" t="inlineStr">
        <is>
          <t>—</t>
        </is>
      </c>
      <c r="L93" s="11" t="inlineStr">
        <is>
          <t>—</t>
        </is>
      </c>
      <c r="M93" s="11" t="inlineStr">
        <is>
          <t>—</t>
        </is>
      </c>
      <c r="N93" s="11" t="inlineStr">
        <is>
          <t>Wszystkie dokumenty w statusie opublikowanym z numerem wersji i datą. Panel /legal nie pokazuje ani jednego „Dokument w przygotowaniu”.</t>
        </is>
      </c>
      <c r="O93"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3" s="10" t="inlineStr">
        <is>
          <t>do zrobienia</t>
        </is>
      </c>
    </row>
    <row r="94">
      <c r="A94" s="10" t="inlineStr">
        <is>
          <t>PB-04</t>
        </is>
      </c>
      <c r="B94" s="11" t="inlineStr">
        <is>
          <t>Procedura obsługi nadużyć (abuse) — dokument</t>
        </is>
      </c>
      <c r="C94" s="10" t="inlineStr">
        <is>
          <t>poza audytem</t>
        </is>
      </c>
      <c r="D94" s="10" t="inlineStr">
        <is>
          <t>Praca spoza audytu</t>
        </is>
      </c>
      <c r="E94" s="10" t="inlineStr">
        <is>
          <t>WYSOKI</t>
        </is>
      </c>
      <c r="F94" s="10" t="n">
        <v>8</v>
      </c>
      <c r="G94" s="10" t="n">
        <v>17</v>
      </c>
      <c r="H94" s="10" t="inlineStr">
        <is>
          <t>Faza 3 — Wejście na rynek</t>
        </is>
      </c>
      <c r="I94" s="10" t="inlineStr">
        <is>
          <t>2026-12-21</t>
        </is>
      </c>
      <c r="J94" s="10" t="inlineStr">
        <is>
          <t>2026-12-25</t>
        </is>
      </c>
      <c r="K94" s="10" t="inlineStr">
        <is>
          <t>—</t>
        </is>
      </c>
      <c r="L94" s="11" t="inlineStr">
        <is>
          <t>—</t>
        </is>
      </c>
      <c r="M94" s="11" t="inlineStr">
        <is>
          <t>—</t>
        </is>
      </c>
      <c r="N94" s="11" t="inlineStr">
        <is>
          <t>Dokument w ops/docs z właścicielem i czasami reakcji. Test: zgłoszenie wysłane na abuse@ trafia do kogoś i ma odpowiedź w deklarowanym czasie.</t>
        </is>
      </c>
      <c r="O94"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94" s="10" t="inlineStr">
        <is>
          <t>do zrobienia</t>
        </is>
      </c>
    </row>
    <row r="95">
      <c r="A95" s="10" t="inlineStr">
        <is>
          <t>N-16</t>
        </is>
      </c>
      <c r="B95" s="11" t="inlineStr">
        <is>
          <t>SLA z zapisanymi kredytami</t>
        </is>
      </c>
      <c r="C95" s="10" t="inlineStr">
        <is>
          <t>audyt</t>
        </is>
      </c>
      <c r="D95" s="10" t="inlineStr">
        <is>
          <t>N — Wsparcie i ops</t>
        </is>
      </c>
      <c r="E95" s="10" t="inlineStr">
        <is>
          <t>WYSOKA</t>
        </is>
      </c>
      <c r="F95" s="10" t="n">
        <v>6</v>
      </c>
      <c r="G95" s="10" t="n">
        <v>18</v>
      </c>
      <c r="H95" s="10" t="inlineStr">
        <is>
          <t>Faza 3 — Wejście na rynek</t>
        </is>
      </c>
      <c r="I95" s="10" t="inlineStr">
        <is>
          <t>2026-12-28</t>
        </is>
      </c>
      <c r="J95" s="10" t="inlineStr">
        <is>
          <t>2027-01-01</t>
        </is>
      </c>
      <c r="K95" s="10" t="inlineStr">
        <is>
          <t>DZIAŁA</t>
        </is>
      </c>
      <c r="L95"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5" s="11" t="inlineStr">
        <is>
          <t>PB-03 (kredyty SLA muszą być zgodne z opublikowanym regulaminem)</t>
        </is>
      </c>
      <c r="N95" s="11" t="inlineStr">
        <is>
          <t>Funkcja dostępna z panelu klienta bez wychodzenia do DirectAdmina; test uruchamiany w CI.</t>
        </is>
      </c>
      <c r="O95"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t>
        </is>
      </c>
      <c r="P95" s="10" t="inlineStr">
        <is>
          <t>do zrobienia</t>
        </is>
      </c>
    </row>
    <row r="96">
      <c r="A96" s="10" t="inlineStr">
        <is>
          <t>A-11</t>
        </is>
      </c>
      <c r="B96" s="11" t="inlineStr">
        <is>
          <t>Wyszukiwarka wolnych domen</t>
        </is>
      </c>
      <c r="C96" s="10" t="inlineStr">
        <is>
          <t>audyt</t>
        </is>
      </c>
      <c r="D96" s="10" t="inlineStr">
        <is>
          <t>A — Domeny i konta</t>
        </is>
      </c>
      <c r="E96" s="10" t="inlineStr">
        <is>
          <t>WYSOKA</t>
        </is>
      </c>
      <c r="F96" s="10" t="n">
        <v>6</v>
      </c>
      <c r="G96" s="10" t="n">
        <v>18</v>
      </c>
      <c r="H96" s="10" t="inlineStr">
        <is>
          <t>Faza 3 — Wejście na rynek</t>
        </is>
      </c>
      <c r="I96" s="10" t="inlineStr">
        <is>
          <t>2026-12-28</t>
        </is>
      </c>
      <c r="J96" s="10" t="inlineStr">
        <is>
          <t>2027-01-01</t>
        </is>
      </c>
      <c r="K96" s="10" t="inlineStr">
        <is>
          <t>FLAGA</t>
        </is>
      </c>
      <c r="L96" s="11" t="inlineStr">
        <is>
          <t>domains.controller.ts:54</t>
        </is>
      </c>
      <c r="M96" s="11" t="inlineStr">
        <is>
          <t>—</t>
        </is>
      </c>
      <c r="N96" s="11" t="inlineStr">
        <is>
          <t>Wartość domyślna włączona albo check w live-readiness pilnuje konfiguracji — flaga nie może po cichu wyłączyć funkcji.</t>
        </is>
      </c>
      <c r="O96"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c r="P96" s="10" t="inlineStr">
        <is>
          <t>do zrobienia</t>
        </is>
      </c>
    </row>
    <row r="97">
      <c r="A97" s="10" t="inlineStr">
        <is>
          <t>PB-07</t>
        </is>
      </c>
      <c r="B97" s="11" t="inlineStr">
        <is>
          <t>Treści i cennik na verris.pl</t>
        </is>
      </c>
      <c r="C97" s="10" t="inlineStr">
        <is>
          <t>poza audytem</t>
        </is>
      </c>
      <c r="D97" s="10" t="inlineStr">
        <is>
          <t>Praca spoza audytu</t>
        </is>
      </c>
      <c r="E97" s="10" t="inlineStr">
        <is>
          <t>WYSOKI</t>
        </is>
      </c>
      <c r="F97" s="10" t="n">
        <v>16</v>
      </c>
      <c r="G97" s="10" t="n">
        <v>18</v>
      </c>
      <c r="H97" s="10" t="inlineStr">
        <is>
          <t>Faza 3 — Wejście na rynek</t>
        </is>
      </c>
      <c r="I97" s="10" t="inlineStr">
        <is>
          <t>2026-12-28</t>
        </is>
      </c>
      <c r="J97" s="10" t="inlineStr">
        <is>
          <t>2027-01-01</t>
        </is>
      </c>
      <c r="K97" s="10" t="inlineStr">
        <is>
          <t>—</t>
        </is>
      </c>
      <c r="L97" s="11" t="inlineStr">
        <is>
          <t>—</t>
        </is>
      </c>
      <c r="M97" s="11" t="inlineStr">
        <is>
          <t>PB-01 (cennik zależy od unit economics)</t>
        </is>
      </c>
      <c r="N97" s="11" t="inlineStr">
        <is>
          <t>Cennik zgodny z wynikiem PB-01. Specyfikacja techniczna publiczna, jak u cyber_Folks — to jest element zaufania, którego rynek oczekuje.</t>
        </is>
      </c>
      <c r="O97"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t>
        </is>
      </c>
      <c r="P97" s="10" t="inlineStr">
        <is>
          <t>do zrobienia</t>
        </is>
      </c>
    </row>
    <row r="98">
      <c r="A98" s="10" t="inlineStr">
        <is>
          <t>PB-11</t>
        </is>
      </c>
      <c r="B98" s="11" t="inlineStr">
        <is>
          <t>Bus factor: drugi kanał alertów i procedura zastępstwa</t>
        </is>
      </c>
      <c r="C98" s="10" t="inlineStr">
        <is>
          <t>poza audytem</t>
        </is>
      </c>
      <c r="D98" s="10" t="inlineStr">
        <is>
          <t>Praca spoza audytu</t>
        </is>
      </c>
      <c r="E98" s="10" t="inlineStr">
        <is>
          <t>WYSOKI</t>
        </is>
      </c>
      <c r="F98" s="10" t="n">
        <v>8</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Alert testowy dociera dwoma kanałami. Dokument zastępstwa zawiera dostęp awaryjny i listę rzeczy, które muszą się dziać codziennie.</t>
        </is>
      </c>
      <c r="O98"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8" s="10" t="inlineStr">
        <is>
          <t>do zrobienia</t>
        </is>
      </c>
    </row>
    <row r="99">
      <c r="A99" s="10" t="inlineStr">
        <is>
          <t>PB-21</t>
        </is>
      </c>
      <c r="B99" s="11" t="inlineStr">
        <is>
          <t>DNS platformy i poczty na serwerze testowym</t>
        </is>
      </c>
      <c r="C99" s="10" t="inlineStr">
        <is>
          <t>poza audytem</t>
        </is>
      </c>
      <c r="D99" s="10" t="inlineStr">
        <is>
          <t>Praca spoza audytu</t>
        </is>
      </c>
      <c r="E99" s="10" t="inlineStr">
        <is>
          <t>WYSOKI</t>
        </is>
      </c>
      <c r="F99" s="10" t="n">
        <v>6</v>
      </c>
      <c r="G99" s="10" t="n">
        <v>18</v>
      </c>
      <c r="H99" s="10" t="inlineStr">
        <is>
          <t>Faza 3 — Wejście na rynek</t>
        </is>
      </c>
      <c r="I99" s="10" t="inlineStr">
        <is>
          <t>2026-12-28</t>
        </is>
      </c>
      <c r="J99" s="10" t="inlineStr">
        <is>
          <t>2027-01-01</t>
        </is>
      </c>
      <c r="K99" s="10" t="inlineStr">
        <is>
          <t>—</t>
        </is>
      </c>
      <c r="L99" s="11" t="inlineStr">
        <is>
          <t>—</t>
        </is>
      </c>
      <c r="M99" s="11" t="inlineStr">
        <is>
          <t>—</t>
        </is>
      </c>
      <c r="N99"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9"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9" s="10" t="inlineStr">
        <is>
          <t>do zrobienia</t>
        </is>
      </c>
    </row>
    <row r="100">
      <c r="A100" s="10" t="inlineStr">
        <is>
          <t>PB-24</t>
        </is>
      </c>
      <c r="B100" s="11" t="inlineStr">
        <is>
          <t>KSC/NIS2: wpis do wykazu podmiotów kluczowych</t>
        </is>
      </c>
      <c r="C100" s="10" t="inlineStr">
        <is>
          <t>poza audytem</t>
        </is>
      </c>
      <c r="D100" s="10" t="inlineStr">
        <is>
          <t>Praca spoza audytu</t>
        </is>
      </c>
      <c r="E100" s="10" t="inlineStr">
        <is>
          <t>WYSOKI</t>
        </is>
      </c>
      <c r="F100" s="10" t="n">
        <v>3</v>
      </c>
      <c r="G100" s="10" t="n">
        <v>18</v>
      </c>
      <c r="H100" s="10" t="inlineStr">
        <is>
          <t>Faza 3 — Wejście na rynek</t>
        </is>
      </c>
      <c r="I100" s="10" t="inlineStr">
        <is>
          <t>2026-12-28</t>
        </is>
      </c>
      <c r="J100" s="10" t="inlineStr">
        <is>
          <t>2027-01-01</t>
        </is>
      </c>
      <c r="K100" s="10" t="inlineStr">
        <is>
          <t>—</t>
        </is>
      </c>
      <c r="L100" s="11" t="inlineStr">
        <is>
          <t>—</t>
        </is>
      </c>
      <c r="M100" s="11" t="inlineStr">
        <is>
          <t>—</t>
        </is>
      </c>
      <c r="N100" s="11" t="inlineStr">
        <is>
          <t>Wpis w wykazie przed upływem 6 miesięcy od pierwszej domeny/DNS dla klienta; termin zapisany w tym zadaniu z datą.</t>
        </is>
      </c>
      <c r="O100"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0" s="10" t="inlineStr">
        <is>
          <t>do zrobienia</t>
        </is>
      </c>
    </row>
    <row r="101">
      <c r="A101" s="10" t="inlineStr">
        <is>
          <t>PB-25</t>
        </is>
      </c>
      <c r="B101" s="11" t="inlineStr">
        <is>
          <t>White label na węźle — klient nie widzi DirectAdmina</t>
        </is>
      </c>
      <c r="C101" s="10" t="inlineStr">
        <is>
          <t>poza audytem</t>
        </is>
      </c>
      <c r="D101" s="10" t="inlineStr">
        <is>
          <t>Praca spoza audytu</t>
        </is>
      </c>
      <c r="E101" s="10" t="inlineStr">
        <is>
          <t>WYSOKI</t>
        </is>
      </c>
      <c r="F101" s="10" t="n">
        <v>8</v>
      </c>
      <c r="G101" s="10" t="n">
        <v>18</v>
      </c>
      <c r="H101" s="10" t="inlineStr">
        <is>
          <t>Faza 3 — Wejście na rynek</t>
        </is>
      </c>
      <c r="I101" s="10" t="inlineStr">
        <is>
          <t>2026-12-28</t>
        </is>
      </c>
      <c r="J101" s="10" t="inlineStr">
        <is>
          <t>2027-01-01</t>
        </is>
      </c>
      <c r="K101" s="10" t="inlineStr">
        <is>
          <t>—</t>
        </is>
      </c>
      <c r="L101" s="11" t="inlineStr">
        <is>
          <t>—</t>
        </is>
      </c>
      <c r="M101" s="11" t="inlineStr">
        <is>
          <t>—</t>
        </is>
      </c>
      <c r="N101" s="11" t="inlineStr">
        <is>
          <t>Na węźle #1: logowanie do panelu hostingowego, phpMyAdmin i webmaila z panelu klienta nie pokazuje nazwy ani portu DirectAdmina; nowa domena i konto zawieszone pokazują strony Verris; zrzuty w dowodzie.</t>
        </is>
      </c>
      <c r="O101"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101" s="10" t="inlineStr">
        <is>
          <t>do zrobienia</t>
        </is>
      </c>
    </row>
    <row r="102">
      <c r="A102" s="10" t="inlineStr">
        <is>
          <t>PB-06</t>
        </is>
      </c>
      <c r="B102" s="11" t="inlineStr">
        <is>
          <t>Landing /przenies-strone</t>
        </is>
      </c>
      <c r="C102" s="10" t="inlineStr">
        <is>
          <t>poza audytem</t>
        </is>
      </c>
      <c r="D102" s="10" t="inlineStr">
        <is>
          <t>Praca spoza audytu</t>
        </is>
      </c>
      <c r="E102" s="10" t="inlineStr">
        <is>
          <t>WYSOKI</t>
        </is>
      </c>
      <c r="F102" s="10" t="n">
        <v>16</v>
      </c>
      <c r="G102" s="10" t="n">
        <v>19</v>
      </c>
      <c r="H102" s="10" t="inlineStr">
        <is>
          <t>Faza 3 — Wejście na rynek</t>
        </is>
      </c>
      <c r="I102" s="10" t="inlineStr">
        <is>
          <t>2027-01-04</t>
        </is>
      </c>
      <c r="J102" s="10" t="inlineStr">
        <is>
          <t>2027-01-08</t>
        </is>
      </c>
      <c r="K102" s="10" t="inlineStr">
        <is>
          <t>—</t>
        </is>
      </c>
      <c r="L102" s="11" t="inlineStr">
        <is>
          <t>—</t>
        </is>
      </c>
      <c r="M102" s="11" t="inlineStr">
        <is>
          <t>PB-07 (landing korzysta z ustalonego cennika)</t>
        </is>
      </c>
      <c r="N102" s="11" t="inlineStr">
        <is>
          <t>Strona opublikowana, pomiar działa, formularz i CTA prowadzą do rejestracji. Żadne twierdzenie na stronie nie jest oznaczone w macierzy jako LUKA lub ATRAPA.</t>
        </is>
      </c>
      <c r="O102"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t>
        </is>
      </c>
      <c r="P102" s="10" t="inlineStr">
        <is>
          <t>do zrobienia</t>
        </is>
      </c>
    </row>
    <row r="103">
      <c r="A103" s="10" t="inlineStr">
        <is>
          <t>PB-09</t>
        </is>
      </c>
      <c r="B103" s="11" t="inlineStr">
        <is>
          <t>Baza wiedzy — 20 artykułów startowych</t>
        </is>
      </c>
      <c r="C103" s="10" t="inlineStr">
        <is>
          <t>poza audytem</t>
        </is>
      </c>
      <c r="D103" s="10" t="inlineStr">
        <is>
          <t>Praca spoza audytu</t>
        </is>
      </c>
      <c r="E103" s="10" t="inlineStr">
        <is>
          <t>ŚREDNI</t>
        </is>
      </c>
      <c r="F103" s="10" t="n">
        <v>16</v>
      </c>
      <c r="G103" s="10" t="n">
        <v>19</v>
      </c>
      <c r="H103" s="10" t="inlineStr">
        <is>
          <t>Faza 3 — Wejście na rynek</t>
        </is>
      </c>
      <c r="I103" s="10" t="inlineStr">
        <is>
          <t>2027-01-04</t>
        </is>
      </c>
      <c r="J103" s="10" t="inlineStr">
        <is>
          <t>2027-01-08</t>
        </is>
      </c>
      <c r="K103" s="10" t="inlineStr">
        <is>
          <t>—</t>
        </is>
      </c>
      <c r="L103" s="11" t="inlineStr">
        <is>
          <t>—</t>
        </is>
      </c>
      <c r="M103" s="11" t="inlineStr">
        <is>
          <t>—</t>
        </is>
      </c>
      <c r="N103" s="11" t="inlineStr">
        <is>
          <t>20 artykułów opublikowanych i zaindeksowanych do asystenta AI. Każdy opisuje funkcję, która w macierzy ma status DZIAŁA.</t>
        </is>
      </c>
      <c r="O103"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103" s="10" t="inlineStr">
        <is>
          <t>do zrobienia</t>
        </is>
      </c>
    </row>
    <row r="104">
      <c r="A104" s="10" t="inlineStr">
        <is>
          <t>PB-19</t>
        </is>
      </c>
      <c r="B104" s="11" t="inlineStr">
        <is>
          <t>Widok strony: ruch, TTFB, błędy 5xx, technologia i logi z węzła</t>
        </is>
      </c>
      <c r="C104" s="10" t="inlineStr">
        <is>
          <t>poza audytem</t>
        </is>
      </c>
      <c r="D104" s="10" t="inlineStr">
        <is>
          <t>Praca spoza audytu</t>
        </is>
      </c>
      <c r="E104" s="10" t="inlineStr">
        <is>
          <t>ŚREDNI</t>
        </is>
      </c>
      <c r="F104" s="10" t="n">
        <v>24</v>
      </c>
      <c r="G104" s="10" t="n">
        <v>19</v>
      </c>
      <c r="H104" s="10" t="inlineStr">
        <is>
          <t>Faza 3 — Wejście na rynek</t>
        </is>
      </c>
      <c r="I104" s="10" t="inlineStr">
        <is>
          <t>2027-01-04</t>
        </is>
      </c>
      <c r="J104" s="10" t="inlineStr">
        <is>
          <t>2027-01-08</t>
        </is>
      </c>
      <c r="K104" s="10" t="inlineStr">
        <is>
          <t>—</t>
        </is>
      </c>
      <c r="L104" s="11" t="inlineStr">
        <is>
          <t>—</t>
        </is>
      </c>
      <c r="M104" s="11" t="inlineStr">
        <is>
          <t>—</t>
        </is>
      </c>
      <c r="N104" s="11" t="inlineStr">
        <is>
          <t>Na działającym węźle produkcyjnym: widok strony pokazuje ruch 7 dni, TTFB i 5xx z prawdziwych logów, wykrytą technologię i zakładkę „Logi”; brak danych = „—”, nie zero; testy parsera logów i detekcji technologii w CI; sprawdzone na D3 (serwer).</t>
        </is>
      </c>
      <c r="O104"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4" s="10" t="inlineStr">
        <is>
          <t>do zrobienia</t>
        </is>
      </c>
    </row>
    <row r="105">
      <c r="A105" s="10" t="inlineStr">
        <is>
          <t>PB-10</t>
        </is>
      </c>
      <c r="B105" s="11" t="inlineStr">
        <is>
          <t>Kampania gads-search-hosting-202607 — uruchomienie</t>
        </is>
      </c>
      <c r="C105" s="10" t="inlineStr">
        <is>
          <t>poza audytem</t>
        </is>
      </c>
      <c r="D105" s="10" t="inlineStr">
        <is>
          <t>Praca spoza audytu</t>
        </is>
      </c>
      <c r="E105" s="10" t="inlineStr">
        <is>
          <t>ŚREDNI</t>
        </is>
      </c>
      <c r="F105" s="10" t="n">
        <v>8</v>
      </c>
      <c r="G105" s="10" t="n">
        <v>20</v>
      </c>
      <c r="H105" s="10" t="inlineStr"/>
      <c r="I105" s="10" t="inlineStr">
        <is>
          <t>2027-01-11</t>
        </is>
      </c>
      <c r="J105" s="10" t="inlineStr">
        <is>
          <t>2027-01-15</t>
        </is>
      </c>
      <c r="K105" s="10" t="inlineStr">
        <is>
          <t>—</t>
        </is>
      </c>
      <c r="L105" s="11" t="inlineStr">
        <is>
          <t>—</t>
        </is>
      </c>
      <c r="M105" s="11" t="inlineStr">
        <is>
          <t>PB-06 (kampania kieruje na landing)</t>
        </is>
      </c>
      <c r="N105" s="11" t="inlineStr">
        <is>
          <t>Kampania utworzona wstrzymana, konwersje podpięte, budżet i stawki ustawione. Start dopiero po PB-05.</t>
        </is>
      </c>
      <c r="O105" s="11" t="inlineStr">
        <is>
          <t>Konfiguracja kampanii wyszukiwarkowej, budżet 500–1000 zł/mies., oś przekazu: migracja bez przestoju.</t>
        </is>
      </c>
      <c r="P105" s="10" t="inlineStr">
        <is>
          <t>do zrobienia</t>
        </is>
      </c>
    </row>
    <row r="106">
      <c r="A106" s="10" t="inlineStr">
        <is>
          <t>Z-18</t>
        </is>
      </c>
      <c r="B106" s="11" t="inlineStr">
        <is>
          <t>Prawdziwa przyczyna błędu provisioningu nie ginie po drodze (część)</t>
        </is>
      </c>
      <c r="C106" s="10" t="inlineStr">
        <is>
          <t>audyt</t>
        </is>
      </c>
      <c r="D106" s="10" t="inlineStr">
        <is>
          <t>Z — Pass adwersaryjny</t>
        </is>
      </c>
      <c r="E106" s="10" t="inlineStr">
        <is>
          <t>BLOKER STARTU</t>
        </is>
      </c>
      <c r="F106" s="10" t="n">
        <v>2</v>
      </c>
      <c r="G106" s="10" t="n">
        <v>21</v>
      </c>
      <c r="H106" s="10" t="inlineStr"/>
      <c r="I106" s="10" t="inlineStr">
        <is>
          <t>2027-01-18</t>
        </is>
      </c>
      <c r="J106" s="10" t="inlineStr">
        <is>
          <t>2027-01-22</t>
        </is>
      </c>
      <c r="K106" s="10" t="inlineStr">
        <is>
          <t>CZĘŚCIOWE</t>
        </is>
      </c>
      <c r="L10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6" s="11" t="inlineStr">
        <is>
          <t>—</t>
        </is>
      </c>
      <c r="N106" s="11" t="inlineStr">
        <is>
          <t>Ograniczenie opisane w uwagach macierzy zniknęło; test potwierdza zachowanie także w scenariuszu awaryjnym.</t>
        </is>
      </c>
      <c r="O10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6" s="10" t="inlineStr">
        <is>
          <t>do zrobienia</t>
        </is>
      </c>
    </row>
    <row r="107">
      <c r="A107" s="10" t="inlineStr">
        <is>
          <t>NODE-02</t>
        </is>
      </c>
      <c r="B107" s="11" t="inlineStr">
        <is>
          <t>`main()` nie sprawdza kodów powrotu</t>
        </is>
      </c>
      <c r="C107" s="10" t="inlineStr">
        <is>
          <t>audyt</t>
        </is>
      </c>
      <c r="D107" s="10" t="inlineStr">
        <is>
          <t>Q — Przewaga</t>
        </is>
      </c>
      <c r="E107" s="10" t="inlineStr">
        <is>
          <t>WYSOKA</t>
        </is>
      </c>
      <c r="F107" s="10" t="n">
        <v>6</v>
      </c>
      <c r="G107" s="10" t="n">
        <v>21</v>
      </c>
      <c r="H107" s="10" t="inlineStr"/>
      <c r="I107" s="10" t="inlineStr">
        <is>
          <t>2027-01-18</t>
        </is>
      </c>
      <c r="J107" s="10" t="inlineStr">
        <is>
          <t>2027-01-22</t>
        </is>
      </c>
      <c r="K107" s="10" t="inlineStr">
        <is>
          <t>CZĘŚCIOWE</t>
        </is>
      </c>
      <c r="L107"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7" s="11" t="inlineStr">
        <is>
          <t>—</t>
        </is>
      </c>
      <c r="N107" s="11" t="inlineStr">
        <is>
          <t>Ograniczenie opisane w uwagach macierzy zniknęło; test potwierdza zachowanie także w scenariuszu awaryjnym.</t>
        </is>
      </c>
      <c r="O10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7" s="10" t="inlineStr">
        <is>
          <t>do zrobienia</t>
        </is>
      </c>
    </row>
    <row r="108">
      <c r="A108" s="10" t="inlineStr">
        <is>
          <t>J-01</t>
        </is>
      </c>
      <c r="B108" s="11" t="inlineStr">
        <is>
          <t>LiteSpeed / serwer o wysokiej wydajności</t>
        </is>
      </c>
      <c r="C108" s="10" t="inlineStr">
        <is>
          <t>audyt</t>
        </is>
      </c>
      <c r="D108" s="10" t="inlineStr">
        <is>
          <t>J — Wydajność i cache</t>
        </is>
      </c>
      <c r="E108" s="10" t="inlineStr">
        <is>
          <t>WYSOKA</t>
        </is>
      </c>
      <c r="F108" s="10" t="n">
        <v>6</v>
      </c>
      <c r="G108" s="10" t="n">
        <v>21</v>
      </c>
      <c r="H108" s="10" t="inlineStr"/>
      <c r="I108" s="10" t="inlineStr">
        <is>
          <t>2027-01-18</t>
        </is>
      </c>
      <c r="J108" s="10" t="inlineStr">
        <is>
          <t>2027-01-22</t>
        </is>
      </c>
      <c r="K108" s="10" t="inlineStr">
        <is>
          <t>b.d.</t>
        </is>
      </c>
      <c r="L108" s="11" t="inlineStr">
        <is>
          <t>decyzja infrastrukturalna, poza kodem panelu</t>
        </is>
      </c>
      <c r="M108" s="11" t="inlineStr">
        <is>
          <t>—</t>
        </is>
      </c>
      <c r="N108" s="11" t="inlineStr">
        <is>
          <t>Stan zweryfikowany na produkcji z timestampem (poziom D3), wynik zapisany w repo.</t>
        </is>
      </c>
      <c r="O108"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8" s="10" t="inlineStr">
        <is>
          <t>do zrobienia</t>
        </is>
      </c>
    </row>
    <row r="109">
      <c r="A109" s="10" t="inlineStr">
        <is>
          <t>J-04</t>
        </is>
      </c>
      <c r="B109" s="11" t="inlineStr">
        <is>
          <t>HTTP/3</t>
        </is>
      </c>
      <c r="C109" s="10" t="inlineStr">
        <is>
          <t>audyt</t>
        </is>
      </c>
      <c r="D109" s="10" t="inlineStr">
        <is>
          <t>J — Wydajność i cache</t>
        </is>
      </c>
      <c r="E109" s="10" t="inlineStr">
        <is>
          <t>ŚREDNIA</t>
        </is>
      </c>
      <c r="F109" s="10" t="n">
        <v>6</v>
      </c>
      <c r="G109" s="10" t="n">
        <v>21</v>
      </c>
      <c r="H109" s="10" t="inlineStr"/>
      <c r="I109" s="10" t="inlineStr">
        <is>
          <t>2027-01-18</t>
        </is>
      </c>
      <c r="J109" s="10" t="inlineStr">
        <is>
          <t>2027-01-22</t>
        </is>
      </c>
      <c r="K109" s="10" t="inlineStr">
        <is>
          <t>b.d.</t>
        </is>
      </c>
      <c r="L109" s="11" t="inlineStr">
        <is>
          <t>poza kodem panelu</t>
        </is>
      </c>
      <c r="M109" s="11" t="inlineStr">
        <is>
          <t>—</t>
        </is>
      </c>
      <c r="N109" s="11" t="inlineStr">
        <is>
          <t>Stan zweryfikowany na produkcji z timestampem (poziom D3), wynik zapisany w repo.</t>
        </is>
      </c>
      <c r="O109"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9" s="10" t="inlineStr">
        <is>
          <t>do zrobienia</t>
        </is>
      </c>
    </row>
    <row r="110">
      <c r="A110" s="10" t="inlineStr">
        <is>
          <t>B-01</t>
        </is>
      </c>
      <c r="B110" s="11" t="inlineStr">
        <is>
          <t>Zmiana wersji PHP dla całego konta</t>
        </is>
      </c>
      <c r="C110" s="10" t="inlineStr">
        <is>
          <t>audyt</t>
        </is>
      </c>
      <c r="D110" s="10" t="inlineStr">
        <is>
          <t>B — Runtime WWW</t>
        </is>
      </c>
      <c r="E110" s="10" t="inlineStr">
        <is>
          <t>WYSOKA</t>
        </is>
      </c>
      <c r="F110" s="10" t="n">
        <v>6</v>
      </c>
      <c r="G110" s="10" t="n">
        <v>21</v>
      </c>
      <c r="H110" s="10" t="inlineStr"/>
      <c r="I110" s="10" t="inlineStr">
        <is>
          <t>2027-01-18</t>
        </is>
      </c>
      <c r="J110" s="10" t="inlineStr">
        <is>
          <t>2027-01-22</t>
        </is>
      </c>
      <c r="K110" s="10" t="inlineStr">
        <is>
          <t>CZĘŚCIOWE</t>
        </is>
      </c>
      <c r="L110" s="11" t="inlineStr">
        <is>
          <t>services.controller.ts:125</t>
        </is>
      </c>
      <c r="M110" s="11" t="inlineStr">
        <is>
          <t>—</t>
        </is>
      </c>
      <c r="N110" s="11" t="inlineStr">
        <is>
          <t>Ograniczenie opisane w uwagach macierzy zniknęło; test potwierdza zachowanie także w scenariuszu awaryjnym.</t>
        </is>
      </c>
      <c r="O110"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0" s="10" t="inlineStr">
        <is>
          <t>do zrobienia</t>
        </is>
      </c>
    </row>
    <row r="111">
      <c r="A111" s="10" t="inlineStr">
        <is>
          <t>PB-02</t>
        </is>
      </c>
      <c r="B111" s="11" t="inlineStr">
        <is>
          <t>Onboarding produkcyjnego węzła #1 (Hetzner AX102)</t>
        </is>
      </c>
      <c r="C111" s="10" t="inlineStr">
        <is>
          <t>poza audytem</t>
        </is>
      </c>
      <c r="D111" s="10" t="inlineStr">
        <is>
          <t>Praca spoza audytu</t>
        </is>
      </c>
      <c r="E111" s="10" t="inlineStr">
        <is>
          <t>WYSOKI</t>
        </is>
      </c>
      <c r="F111" s="10" t="n">
        <v>16</v>
      </c>
      <c r="G111" s="10" t="n">
        <v>21</v>
      </c>
      <c r="H111" s="10" t="inlineStr"/>
      <c r="I111" s="10" t="inlineStr">
        <is>
          <t>2027-01-18</t>
        </is>
      </c>
      <c r="J111" s="10" t="inlineStr">
        <is>
          <t>2027-01-22</t>
        </is>
      </c>
      <c r="K111" s="10" t="inlineStr">
        <is>
          <t>—</t>
        </is>
      </c>
      <c r="L111" s="11" t="inlineStr">
        <is>
          <t>—</t>
        </is>
      </c>
      <c r="M111" s="11" t="inlineStr">
        <is>
          <t>—</t>
        </is>
      </c>
      <c r="N111" s="11" t="inlineStr">
        <is>
          <t>Węzeł przechodzi wszystkie 14 checków live-readiness. /etc/verris-backup.conf istnieje, pierwszy backup off-site wykonany i zaraportowany do control-plane.</t>
        </is>
      </c>
      <c r="O111" s="11" t="inlineStr">
        <is>
          <t>Pełny przebieg node-onboard-live.sh na docelowym serwerze, z konfiguracją backupu off-site jako krokiem obowiązkowym.</t>
        </is>
      </c>
      <c r="P111" s="10" t="inlineStr">
        <is>
          <t>do zrobienia</t>
        </is>
      </c>
    </row>
    <row r="112">
      <c r="A112" s="10" t="inlineStr">
        <is>
          <t>PB-29</t>
        </is>
      </c>
      <c r="B112" s="11" t="inlineStr">
        <is>
          <t>Węzeł: blokery bezpieczeństwa i stabilności</t>
        </is>
      </c>
      <c r="C112" s="10" t="inlineStr">
        <is>
          <t>poza audytem</t>
        </is>
      </c>
      <c r="D112" s="10" t="inlineStr">
        <is>
          <t>Praca spoza audytu</t>
        </is>
      </c>
      <c r="E112" s="10" t="inlineStr">
        <is>
          <t>KRYTYCZNY</t>
        </is>
      </c>
      <c r="F112" s="10" t="n">
        <v>12</v>
      </c>
      <c r="G112" s="10" t="n">
        <v>21</v>
      </c>
      <c r="H112" s="10" t="inlineStr"/>
      <c r="I112" s="10" t="inlineStr">
        <is>
          <t>2027-01-18</t>
        </is>
      </c>
      <c r="J112" s="10" t="inlineStr">
        <is>
          <t>2027-01-22</t>
        </is>
      </c>
      <c r="K112" s="10" t="inlineStr">
        <is>
          <t>—</t>
        </is>
      </c>
      <c r="L112" s="11" t="inlineStr">
        <is>
          <t>—</t>
        </is>
      </c>
      <c r="M112" s="11" t="inlineStr">
        <is>
          <t>—</t>
        </is>
      </c>
      <c r="N112" s="11" t="inlineStr">
        <is>
          <t>Nowy węzeł nie dostaje kont przed zieloną weryfikacją; skrypty przechodzą test na węźle testowym (D3).</t>
        </is>
      </c>
      <c r="O112"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2" s="10" t="inlineStr">
        <is>
          <t>do zrobienia</t>
        </is>
      </c>
    </row>
    <row r="113">
      <c r="A113" s="10" t="inlineStr">
        <is>
          <t>PB-30</t>
        </is>
      </c>
      <c r="B113" s="11" t="inlineStr">
        <is>
          <t>Jeden plik wersji dla floty + test zgodności</t>
        </is>
      </c>
      <c r="C113" s="10" t="inlineStr">
        <is>
          <t>poza audytem</t>
        </is>
      </c>
      <c r="D113" s="10" t="inlineStr">
        <is>
          <t>Praca spoza audytu</t>
        </is>
      </c>
      <c r="E113" s="10" t="inlineStr">
        <is>
          <t>WYSOKI</t>
        </is>
      </c>
      <c r="F113" s="10" t="n">
        <v>12</v>
      </c>
      <c r="G113" s="10" t="n">
        <v>21</v>
      </c>
      <c r="H113" s="10" t="inlineStr"/>
      <c r="I113" s="10" t="inlineStr">
        <is>
          <t>2027-01-18</t>
        </is>
      </c>
      <c r="J113" s="10" t="inlineStr">
        <is>
          <t>2027-01-22</t>
        </is>
      </c>
      <c r="K113" s="10" t="inlineStr">
        <is>
          <t>—</t>
        </is>
      </c>
      <c r="L113" s="11" t="inlineStr">
        <is>
          <t>—</t>
        </is>
      </c>
      <c r="M113" s="11" t="inlineStr">
        <is>
          <t>—</t>
        </is>
      </c>
      <c r="N113" s="11" t="inlineStr">
        <is>
          <t>Dwa węzły z tego samego manifestu dają identyczny raport wersji; różnica widoczna w panelu.</t>
        </is>
      </c>
      <c r="O113"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3" s="10" t="inlineStr">
        <is>
          <t>do zrobienia</t>
        </is>
      </c>
    </row>
    <row r="114">
      <c r="A114" s="10" t="inlineStr">
        <is>
          <t>PB-31</t>
        </is>
      </c>
      <c r="B114" s="11" t="inlineStr">
        <is>
          <t>Pełna automatyzacja kreatora węzła</t>
        </is>
      </c>
      <c r="C114" s="10" t="inlineStr">
        <is>
          <t>poza audytem</t>
        </is>
      </c>
      <c r="D114" s="10" t="inlineStr">
        <is>
          <t>Praca spoza audytu</t>
        </is>
      </c>
      <c r="E114" s="10" t="inlineStr">
        <is>
          <t>WYSOKI</t>
        </is>
      </c>
      <c r="F114" s="10" t="n">
        <v>20</v>
      </c>
      <c r="G114" s="10" t="n">
        <v>21</v>
      </c>
      <c r="H114" s="10" t="inlineStr"/>
      <c r="I114" s="10" t="inlineStr">
        <is>
          <t>2027-01-18</t>
        </is>
      </c>
      <c r="J114" s="10" t="inlineStr">
        <is>
          <t>2027-01-22</t>
        </is>
      </c>
      <c r="K114" s="10" t="inlineStr">
        <is>
          <t>—</t>
        </is>
      </c>
      <c r="L114" s="11" t="inlineStr">
        <is>
          <t>—</t>
        </is>
      </c>
      <c r="M114" s="11" t="inlineStr">
        <is>
          <t>—</t>
        </is>
      </c>
      <c r="N114" s="11" t="inlineStr">
        <is>
          <t>Węzeł testowy od czystego AlmaLinux do zielonego raportu bez SSH ręcznie.</t>
        </is>
      </c>
      <c r="O114"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4" s="10" t="inlineStr">
        <is>
          <t>do zrobienia</t>
        </is>
      </c>
    </row>
    <row r="115">
      <c r="A115" s="10" t="inlineStr">
        <is>
          <t>PB-32</t>
        </is>
      </c>
      <c r="B115" s="11" t="inlineStr">
        <is>
          <t>Aktualizacje węzłów falami</t>
        </is>
      </c>
      <c r="C115" s="10" t="inlineStr">
        <is>
          <t>poza audytem</t>
        </is>
      </c>
      <c r="D115" s="10" t="inlineStr">
        <is>
          <t>Praca spoza audytu</t>
        </is>
      </c>
      <c r="E115" s="10" t="inlineStr">
        <is>
          <t>ŚREDNI</t>
        </is>
      </c>
      <c r="F115" s="10" t="n">
        <v>8</v>
      </c>
      <c r="G115" s="10" t="n">
        <v>21</v>
      </c>
      <c r="H115" s="10" t="inlineStr"/>
      <c r="I115" s="10" t="inlineStr">
        <is>
          <t>2027-01-18</t>
        </is>
      </c>
      <c r="J115" s="10" t="inlineStr">
        <is>
          <t>2027-01-22</t>
        </is>
      </c>
      <c r="K115" s="10" t="inlineStr">
        <is>
          <t>—</t>
        </is>
      </c>
      <c r="L115" s="11" t="inlineStr">
        <is>
          <t>—</t>
        </is>
      </c>
      <c r="M115" s="11" t="inlineStr">
        <is>
          <t>—</t>
        </is>
      </c>
      <c r="N115" s="11" t="inlineStr">
        <is>
          <t>Fala zatrzymuje się na pierwszym błędzie; status w panelu zgodny z logiem.</t>
        </is>
      </c>
      <c r="O115"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5" s="10" t="inlineStr">
        <is>
          <t>do zrobienia</t>
        </is>
      </c>
    </row>
    <row r="116">
      <c r="A116" s="10" t="inlineStr">
        <is>
          <t>PB-33</t>
        </is>
      </c>
      <c r="B116" s="11" t="inlineStr">
        <is>
          <t>Wersje stosu floty w panelu + wyrównanie falą</t>
        </is>
      </c>
      <c r="C116" s="10" t="inlineStr">
        <is>
          <t>poza audytem</t>
        </is>
      </c>
      <c r="D116" s="10" t="inlineStr">
        <is>
          <t>Praca spoza audytu</t>
        </is>
      </c>
      <c r="E116" s="10" t="inlineStr">
        <is>
          <t>WYSOKI</t>
        </is>
      </c>
      <c r="F116" s="10" t="n">
        <v>12</v>
      </c>
      <c r="G116" s="10" t="n">
        <v>21</v>
      </c>
      <c r="H116" s="10" t="inlineStr"/>
      <c r="I116" s="10" t="inlineStr">
        <is>
          <t>2027-01-18</t>
        </is>
      </c>
      <c r="J116" s="10" t="inlineStr">
        <is>
          <t>2027-01-22</t>
        </is>
      </c>
      <c r="K116" s="10" t="inlineStr">
        <is>
          <t>—</t>
        </is>
      </c>
      <c r="L116" s="11" t="inlineStr">
        <is>
          <t>—</t>
        </is>
      </c>
      <c r="M116" s="11" t="inlineStr">
        <is>
          <t>—</t>
        </is>
      </c>
      <c r="N116" s="11" t="inlineStr">
        <is>
          <t>Zmiana wersji w panelu → nowy węzeł instaluje ją, istniejące wyrównane falą; audyt zgodności zielony.</t>
        </is>
      </c>
      <c r="O116"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6" s="10" t="inlineStr">
        <is>
          <t>do zrobienia</t>
        </is>
      </c>
    </row>
    <row r="117">
      <c r="A117" s="10" t="inlineStr">
        <is>
          <t>PB-35</t>
        </is>
      </c>
      <c r="B117" s="11" t="inlineStr">
        <is>
          <t>Automatyczna fala aktualizacji węzłów co tydzień</t>
        </is>
      </c>
      <c r="C117" s="10" t="inlineStr">
        <is>
          <t>poza audytem</t>
        </is>
      </c>
      <c r="D117" s="10" t="inlineStr">
        <is>
          <t>Praca spoza audytu</t>
        </is>
      </c>
      <c r="E117" s="10" t="inlineStr">
        <is>
          <t>WYSOKI</t>
        </is>
      </c>
      <c r="F117" s="10" t="n">
        <v>3</v>
      </c>
      <c r="G117" s="10" t="n">
        <v>21</v>
      </c>
      <c r="H117" s="10" t="inlineStr"/>
      <c r="I117" s="10" t="inlineStr">
        <is>
          <t>2027-01-18</t>
        </is>
      </c>
      <c r="J117" s="10" t="inlineStr">
        <is>
          <t>2027-01-22</t>
        </is>
      </c>
      <c r="K117" s="10" t="inlineStr">
        <is>
          <t>—</t>
        </is>
      </c>
      <c r="L117" s="11" t="inlineStr">
        <is>
          <t>—</t>
        </is>
      </c>
      <c r="M117" s="11" t="inlineStr">
        <is>
          <t>—</t>
        </is>
      </c>
      <c r="N117" s="11" t="inlineStr">
        <is>
          <t>Fala startuje sama w oknie; zatrzymanie widoczne w powiadomieniach admina.</t>
        </is>
      </c>
      <c r="O117"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7" s="10" t="inlineStr">
        <is>
          <t>do zrobienia</t>
        </is>
      </c>
    </row>
    <row r="118">
      <c r="A118" s="10" t="inlineStr">
        <is>
          <t>PB-36</t>
        </is>
      </c>
      <c r="B118" s="11" t="inlineStr">
        <is>
          <t>Podpisane skrypty węzła i klucz SSH ograniczony do control-plane</t>
        </is>
      </c>
      <c r="C118" s="10" t="inlineStr">
        <is>
          <t>poza audytem</t>
        </is>
      </c>
      <c r="D118" s="10" t="inlineStr">
        <is>
          <t>Praca spoza audytu</t>
        </is>
      </c>
      <c r="E118" s="10" t="inlineStr">
        <is>
          <t>KRYTYCZNY</t>
        </is>
      </c>
      <c r="F118" s="10" t="n">
        <v>10</v>
      </c>
      <c r="G118" s="10" t="n">
        <v>21</v>
      </c>
      <c r="H118" s="10" t="inlineStr"/>
      <c r="I118" s="10" t="inlineStr">
        <is>
          <t>2027-01-18</t>
        </is>
      </c>
      <c r="J118" s="10" t="inlineStr">
        <is>
          <t>2027-01-22</t>
        </is>
      </c>
      <c r="K118" s="10" t="inlineStr">
        <is>
          <t>—</t>
        </is>
      </c>
      <c r="L118" s="11" t="inlineStr">
        <is>
          <t>—</t>
        </is>
      </c>
      <c r="M118" s="11" t="inlineStr">
        <is>
          <t>—</t>
        </is>
      </c>
      <c r="N118" s="11" t="inlineStr">
        <is>
          <t>Niepodpisany/zmieniony skrypt odrzucony przez węzeł; authorized_keys zawiera tylko aktualny klucz z ograniczeniem IP.</t>
        </is>
      </c>
      <c r="O118"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8" s="10" t="inlineStr">
        <is>
          <t>do zrobienia</t>
        </is>
      </c>
    </row>
    <row r="119">
      <c r="A119" s="10" t="inlineStr">
        <is>
          <t>PB-26</t>
        </is>
      </c>
      <c r="B119" s="11" t="inlineStr">
        <is>
          <t>Otwarte testy (beta) z zaproszonymi użytkownikami</t>
        </is>
      </c>
      <c r="C119" s="10" t="inlineStr">
        <is>
          <t>poza audytem</t>
        </is>
      </c>
      <c r="D119" s="10" t="inlineStr">
        <is>
          <t>Praca spoza audytu</t>
        </is>
      </c>
      <c r="E119" s="10" t="inlineStr">
        <is>
          <t>WYSOKI</t>
        </is>
      </c>
      <c r="F119" s="10" t="n">
        <v>12</v>
      </c>
      <c r="G119" s="10" t="n">
        <v>22</v>
      </c>
      <c r="H119" s="10" t="inlineStr"/>
      <c r="I119" s="10" t="inlineStr">
        <is>
          <t>2027-01-25</t>
        </is>
      </c>
      <c r="J119" s="10" t="inlineStr">
        <is>
          <t>2027-01-29</t>
        </is>
      </c>
      <c r="K119" s="10" t="inlineStr">
        <is>
          <t>—</t>
        </is>
      </c>
      <c r="L119" s="11" t="inlineStr">
        <is>
          <t>—</t>
        </is>
      </c>
      <c r="M119" s="11" t="inlineStr">
        <is>
          <t>—</t>
        </is>
      </c>
      <c r="N119" s="11" t="inlineStr">
        <is>
          <t>Minimum 7 dni od pierwszej aktywnej usługi; zero otwartych błędów krytycznych (dane, pieniądze, dostęp); ≥ 80% testerów z działającą stroną bez pomocy wsparcia; poprawki „przed GO” zamknięte. Dopiero potem PB-12.</t>
        </is>
      </c>
      <c r="O119"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9" s="10" t="inlineStr">
        <is>
          <t>do zrobienia</t>
        </is>
      </c>
    </row>
    <row r="120">
      <c r="A120" s="10" t="inlineStr">
        <is>
          <t>PB-05</t>
        </is>
      </c>
      <c r="B120" s="11" t="inlineStr">
        <is>
          <t>Test end-to-end „pierwszy klient”</t>
        </is>
      </c>
      <c r="C120" s="10" t="inlineStr">
        <is>
          <t>poza audytem</t>
        </is>
      </c>
      <c r="D120" s="10" t="inlineStr">
        <is>
          <t>Praca spoza audytu</t>
        </is>
      </c>
      <c r="E120" s="10" t="inlineStr">
        <is>
          <t>BLOKER BIZNESOWY</t>
        </is>
      </c>
      <c r="F120" s="10" t="n">
        <v>16</v>
      </c>
      <c r="G120" s="10" t="n">
        <v>22</v>
      </c>
      <c r="H120" s="10" t="inlineStr"/>
      <c r="I120" s="10" t="inlineStr">
        <is>
          <t>2027-01-25</t>
        </is>
      </c>
      <c r="J120" s="10" t="inlineStr">
        <is>
          <t>2027-01-29</t>
        </is>
      </c>
      <c r="K120" s="10" t="inlineStr">
        <is>
          <t>—</t>
        </is>
      </c>
      <c r="L120" s="11" t="inlineStr">
        <is>
          <t>—</t>
        </is>
      </c>
      <c r="M120" s="11" t="inlineStr">
        <is>
          <t>wszystkie blokery zamknięte (sprint 8)</t>
        </is>
      </c>
      <c r="N120" s="11" t="inlineStr">
        <is>
          <t>Zapisany przebieg z timestampami dla każdego kroku — to jest dowód poziomu D3, jedyny w całym projekcie. Każdy nieudany krok wraca do backlogu jako bloker.</t>
        </is>
      </c>
      <c r="O120" s="11" t="inlineStr">
        <is>
          <t>Przejście całej ścieżki na produkcji jako realny klient: rejestracja, zakup, płatność, provisioning, migracja strony, wystawienie faktury, KSeF, backup, odtworzenie.</t>
        </is>
      </c>
      <c r="P120" s="10" t="inlineStr">
        <is>
          <t>do zrobienia</t>
        </is>
      </c>
    </row>
    <row r="121">
      <c r="A121" s="10" t="inlineStr">
        <is>
          <t>PB-12</t>
        </is>
      </c>
      <c r="B121" s="11" t="inlineStr">
        <is>
          <t>Runbook startu i decyzja GO</t>
        </is>
      </c>
      <c r="C121" s="10" t="inlineStr">
        <is>
          <t>poza audytem</t>
        </is>
      </c>
      <c r="D121" s="10" t="inlineStr">
        <is>
          <t>Praca spoza audytu</t>
        </is>
      </c>
      <c r="E121" s="10" t="inlineStr">
        <is>
          <t>BLOKER BIZNESOWY</t>
        </is>
      </c>
      <c r="F121" s="10" t="n">
        <v>8</v>
      </c>
      <c r="G121" s="10" t="n">
        <v>22</v>
      </c>
      <c r="H121" s="10" t="inlineStr"/>
      <c r="I121" s="10" t="inlineStr">
        <is>
          <t>2027-01-25</t>
        </is>
      </c>
      <c r="J121" s="10" t="inlineStr">
        <is>
          <t>2027-01-29</t>
        </is>
      </c>
      <c r="K121" s="10" t="inlineStr">
        <is>
          <t>—</t>
        </is>
      </c>
      <c r="L121" s="11" t="inlineStr">
        <is>
          <t>—</t>
        </is>
      </c>
      <c r="M121" s="11" t="inlineStr">
        <is>
          <t>PB-05 (decyzja GO po przejściu ścieżki na produkcji)</t>
        </is>
      </c>
      <c r="N121" s="11" t="inlineStr">
        <is>
          <t>Każdy z 11 blokerów ma wpis: co zrobiono, gdzie jest dowód, kto potwierdził. Bez formuły „warunkowe GO”.</t>
        </is>
      </c>
      <c r="O121" s="11" t="inlineStr">
        <is>
          <t>Domknięcie: przegląd wszystkich blokerów z dowodem zamknięcia, decyzja GO/NO-GO zapisana z datą.</t>
        </is>
      </c>
      <c r="P121" s="10" t="inlineStr">
        <is>
          <t>do zrobienia</t>
        </is>
      </c>
    </row>
  </sheetData>
  <autoFilter ref="A1:P121"/>
  <conditionalFormatting sqref="E2:E121">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1">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startu'!$G$2:$G$121,A2)</f>
        <v/>
      </c>
      <c r="G2" s="10">
        <f>SUMIF('Backlog do startu'!$G$2:$G$121,A2,'Backlog do startu'!$F$2:$F$121)</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startu'!$G$2:$G$121,A3)</f>
        <v/>
      </c>
      <c r="G3" s="10">
        <f>SUMIF('Backlog do startu'!$G$2:$G$121,A3,'Backlog do startu'!$F$2:$F$121)</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startu'!$G$2:$G$121,A4)</f>
        <v/>
      </c>
      <c r="G4" s="10">
        <f>SUMIF('Backlog do startu'!$G$2:$G$121,A4,'Backlog do startu'!$F$2:$F$121)</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startu'!$G$2:$G$121,A5)</f>
        <v/>
      </c>
      <c r="G5" s="10">
        <f>SUMIF('Backlog do startu'!$G$2:$G$121,A5,'Backlog do startu'!$F$2:$F$121)</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startu'!$G$2:$G$121,A6)</f>
        <v/>
      </c>
      <c r="G6" s="10">
        <f>SUMIF('Backlog do startu'!$G$2:$G$121,A6,'Backlog do startu'!$F$2:$F$121)</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startu'!$G$2:$G$121,A7)</f>
        <v/>
      </c>
      <c r="G7" s="10">
        <f>SUMIF('Backlog do startu'!$G$2:$G$121,A7,'Backlog do startu'!$F$2:$F$121)</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startu'!$G$2:$G$121,A8)</f>
        <v/>
      </c>
      <c r="G8" s="10">
        <f>SUMIF('Backlog do startu'!$G$2:$G$121,A8,'Backlog do startu'!$F$2:$F$121)</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startu'!$G$2:$G$121,A9)</f>
        <v/>
      </c>
      <c r="G9" s="10">
        <f>SUMIF('Backlog do startu'!$G$2:$G$121,A9,'Backlog do startu'!$F$2:$F$121)</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startu'!$G$2:$G$121,A10)</f>
        <v/>
      </c>
      <c r="G10" s="10">
        <f>SUMIF('Backlog do startu'!$G$2:$G$121,A10,'Backlog do startu'!$F$2:$F$121)</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startu'!$G$2:$G$121,A11)</f>
        <v/>
      </c>
      <c r="G11" s="10">
        <f>SUMIF('Backlog do startu'!$G$2:$G$121,A11,'Backlog do startu'!$F$2:$F$121)</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startu'!$G$2:$G$121,A12)</f>
        <v/>
      </c>
      <c r="G12" s="10">
        <f>SUMIF('Backlog do startu'!$G$2:$G$121,A12,'Backlog do startu'!$F$2:$F$121)</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startu'!$G$2:$G$121,A13)</f>
        <v/>
      </c>
      <c r="G13" s="10">
        <f>SUMIF('Backlog do startu'!$G$2:$G$121,A13,'Backlog do startu'!$F$2:$F$121)</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startu'!$G$2:$G$121,A14)</f>
        <v/>
      </c>
      <c r="G14" s="10">
        <f>SUMIF('Backlog do startu'!$G$2:$G$121,A14,'Backlog do startu'!$F$2:$F$121)</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startu'!$G$2:$G$121,A15)</f>
        <v/>
      </c>
      <c r="G15" s="10">
        <f>SUMIF('Backlog do startu'!$G$2:$G$121,A15,'Backlog do startu'!$F$2:$F$121)</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startu'!$G$2:$G$121,A16)</f>
        <v/>
      </c>
      <c r="G16" s="10">
        <f>SUMIF('Backlog do startu'!$G$2:$G$121,A16,'Backlog do startu'!$F$2:$F$121)</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startu'!$G$2:$G$121,A17)</f>
        <v/>
      </c>
      <c r="G17" s="10">
        <f>SUMIF('Backlog do startu'!$G$2:$G$121,A17,'Backlog do startu'!$F$2:$F$121)</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startu'!$G$2:$G$121,A18)</f>
        <v/>
      </c>
      <c r="G18" s="10">
        <f>SUMIF('Backlog do startu'!$G$2:$G$121,A18,'Backlog do startu'!$F$2:$F$121)</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startu'!$G$2:$G$121,A19)</f>
        <v/>
      </c>
      <c r="G19" s="10">
        <f>SUMIF('Backlog do startu'!$G$2:$G$121,A19,'Backlog do startu'!$F$2:$F$121)</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startu'!$G$2:$G$121,A20)</f>
        <v/>
      </c>
      <c r="G20" s="10">
        <f>SUMIF('Backlog do startu'!$G$2:$G$121,A20,'Backlog do startu'!$F$2:$F$121)</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startu'!$G$2:$G$121,A21)</f>
        <v/>
      </c>
      <c r="G21" s="10">
        <f>SUMIF('Backlog do startu'!$G$2:$G$121,A21,'Backlog do startu'!$F$2:$F$121)</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startu'!$G$2:$G$121,A22)</f>
        <v/>
      </c>
      <c r="G22" s="10">
        <f>SUMIF('Backlog do startu'!$G$2:$G$121,A22,'Backlog do startu'!$F$2:$F$121)</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startu'!$G$2:$G$121,A23)</f>
        <v/>
      </c>
      <c r="G23" s="10">
        <f>SUMIF('Backlog do startu'!$G$2:$G$121,A23,'Backlog do startu'!$F$2:$F$121)</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startu'!$G$2:$G$121,A24)</f>
        <v/>
      </c>
      <c r="G24" s="10">
        <f>SUMIF('Backlog do startu'!$G$2:$G$121,A24,'Backlog do startu'!$F$2:$F$121)</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81"/>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CZĘŚCIOWE</t>
        </is>
      </c>
      <c r="K2" s="11" t="inlineStr">
        <is>
          <t>ops/scripts/node-htaccess.sh (HT_DIR, HT_PHP); htaccess.service.ts phpKatalogu; services.controller.ts :id/hosting-htaccess/php-dir; client-panel PhpKatalogPanel (widok strony → PHP i serwer); test htaccess.service.spec.ts</t>
        </is>
      </c>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CZĘŚCIOWE</t>
        </is>
      </c>
      <c r="K3" s="11" t="inlineStr">
        <is>
          <t>ops/scripts/node-php-info.sh (selektor); ops/scripts/node-php-apply.sh (PHP_EXT_ENABLE/DISABLE); subscriptions/php.service.ts setExtensionsForSubscription; POST /services/:id/hosting-php/extensions; client PhpInfoPanel.tsx; testy php.service.spec.ts, php-info.service.spec.ts</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CZĘŚCIOWE</t>
        </is>
      </c>
      <c r="K4"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CZĘŚCIOWE</t>
        </is>
      </c>
      <c r="K5"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BRAK</t>
        </is>
      </c>
      <c r="K6" s="11" t="inlineStr">
        <is>
          <t>SiteBuilderTab.tsx usunięty 2026-09-25</t>
        </is>
      </c>
    </row>
    <row r="7">
      <c r="A7" s="10" t="inlineStr">
        <is>
          <t>C-21</t>
        </is>
      </c>
      <c r="B7" s="10" t="inlineStr">
        <is>
          <t>E-01</t>
        </is>
      </c>
      <c r="C7" s="11" t="inlineStr">
        <is>
          <t>Runtime, pliki i diagnostyka</t>
        </is>
      </c>
      <c r="D7" s="10" t="inlineStr">
        <is>
          <t>Q1 2027</t>
        </is>
      </c>
      <c r="E7" s="10" t="inlineStr">
        <is>
          <t>WYSOKI</t>
        </is>
      </c>
      <c r="F7" s="11" t="inlineStr">
        <is>
          <t>Dostęp SSH</t>
        </is>
      </c>
      <c r="G7" s="10" t="inlineStr">
        <is>
          <t>C — Pliki, FTP, SSH, Git</t>
        </is>
      </c>
      <c r="H7" s="10" t="inlineStr">
        <is>
          <t>WYSOKA</t>
        </is>
      </c>
      <c r="I7" s="10" t="n">
        <v>16</v>
      </c>
      <c r="J7" s="10" t="inlineStr">
        <is>
          <t>CZĘŚCIOWE</t>
        </is>
      </c>
      <c r="K7" s="11" t="inlineStr">
        <is>
          <t>ops/scripts/node-ssh-access.sh (zadanie SSH_ACCESS), subscriptions/ssh-access.service.ts, services.controller.ts :id/hosting-ssh(/keys), client-panel components/hosting/SshPanel.tsx (FTP → Dostęp SSH); test ssh-access.service.spec.ts</t>
        </is>
      </c>
    </row>
    <row r="8">
      <c r="A8" s="10" t="inlineStr">
        <is>
          <t>C-22</t>
        </is>
      </c>
      <c r="B8" s="10" t="inlineStr">
        <is>
          <t>E-01</t>
        </is>
      </c>
      <c r="C8" s="11" t="inlineStr">
        <is>
          <t>Runtime, pliki i diagnostyka</t>
        </is>
      </c>
      <c r="D8" s="10" t="inlineStr">
        <is>
          <t>Q1 2027</t>
        </is>
      </c>
      <c r="E8" s="10" t="inlineStr">
        <is>
          <t>WYSOKI</t>
        </is>
      </c>
      <c r="F8" s="11" t="inlineStr">
        <is>
          <t>Zarządzanie kluczami SSH konta hostingowego</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C-25</t>
        </is>
      </c>
      <c r="B9" s="10" t="inlineStr">
        <is>
          <t>E-01</t>
        </is>
      </c>
      <c r="C9" s="11" t="inlineStr">
        <is>
          <t>Runtime, pliki i diagnostyka</t>
        </is>
      </c>
      <c r="D9" s="10" t="inlineStr">
        <is>
          <t>Q1 2027</t>
        </is>
      </c>
      <c r="E9" s="10" t="inlineStr">
        <is>
          <t>WYSOKI</t>
        </is>
      </c>
      <c r="F9" s="11" t="inlineStr">
        <is>
          <t>Klonowanie repozytorium Git z panelu</t>
        </is>
      </c>
      <c r="G9" s="10" t="inlineStr">
        <is>
          <t>C — Pliki, FTP, SSH, Git</t>
        </is>
      </c>
      <c r="H9" s="10" t="inlineStr">
        <is>
          <t>ŚREDNIA</t>
        </is>
      </c>
      <c r="I9" s="10" t="n">
        <v>16</v>
      </c>
      <c r="J9" s="10" t="inlineStr">
        <is>
          <t>CZĘŚCIOWE</t>
        </is>
      </c>
      <c r="K9"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0">
      <c r="A10" s="10" t="inlineStr">
        <is>
          <t>C-26</t>
        </is>
      </c>
      <c r="B10" s="10" t="inlineStr">
        <is>
          <t>E-01</t>
        </is>
      </c>
      <c r="C10" s="11" t="inlineStr">
        <is>
          <t>Runtime, pliki i diagnostyka</t>
        </is>
      </c>
      <c r="D10" s="10" t="inlineStr">
        <is>
          <t>Q1 2027</t>
        </is>
      </c>
      <c r="E10" s="10" t="inlineStr">
        <is>
          <t>WYSOKI</t>
        </is>
      </c>
      <c r="F10" s="11" t="inlineStr">
        <is>
          <t>Deploy z repozytorium (pull na żądanie)</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1">
      <c r="A11" s="10" t="inlineStr">
        <is>
          <t>C-27</t>
        </is>
      </c>
      <c r="B11" s="10" t="inlineStr">
        <is>
          <t>E-01</t>
        </is>
      </c>
      <c r="C11" s="11" t="inlineStr">
        <is>
          <t>Runtime, pliki i diagnostyka</t>
        </is>
      </c>
      <c r="D11" s="10" t="inlineStr">
        <is>
          <t>Q1 2027</t>
        </is>
      </c>
      <c r="E11" s="10" t="inlineStr">
        <is>
          <t>WYSOKI</t>
        </is>
      </c>
      <c r="F11" s="11" t="inlineStr">
        <is>
          <t>Webhook deploy z GitHuba</t>
        </is>
      </c>
      <c r="G11" s="10" t="inlineStr">
        <is>
          <t>C — Pliki, FTP, SSH, Git</t>
        </is>
      </c>
      <c r="H11" s="10" t="inlineStr">
        <is>
          <t>NISKA</t>
        </is>
      </c>
      <c r="I11" s="10" t="n">
        <v>16</v>
      </c>
      <c r="J11" s="10" t="inlineStr">
        <is>
          <t>CZĘŚCIOWE</t>
        </is>
      </c>
      <c r="K11"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2">
      <c r="A12" s="10" t="inlineStr">
        <is>
          <t>C-28</t>
        </is>
      </c>
      <c r="B12" s="10" t="inlineStr">
        <is>
          <t>E-01</t>
        </is>
      </c>
      <c r="C12" s="11" t="inlineStr">
        <is>
          <t>Runtime, pliki i diagnostyka</t>
        </is>
      </c>
      <c r="D12" s="10" t="inlineStr">
        <is>
          <t>Q1 2027</t>
        </is>
      </c>
      <c r="E12" s="10" t="inlineStr">
        <is>
          <t>WYSOKI</t>
        </is>
      </c>
      <c r="F12" s="11" t="inlineStr">
        <is>
          <t>Composer / narzędzia CLI przez SSH</t>
        </is>
      </c>
      <c r="G12" s="10" t="inlineStr">
        <is>
          <t>C — Pliki, FTP, SSH, Git</t>
        </is>
      </c>
      <c r="H12" s="10" t="inlineStr">
        <is>
          <t>ŚREDNIA</t>
        </is>
      </c>
      <c r="I12" s="10" t="n">
        <v>16</v>
      </c>
      <c r="J12" s="10" t="inlineStr">
        <is>
          <t>CZĘŚCIOWE</t>
        </is>
      </c>
      <c r="K12" s="11" t="inlineStr">
        <is>
          <t>zależne od C-21</t>
        </is>
      </c>
    </row>
    <row r="13">
      <c r="A13" s="10" t="inlineStr">
        <is>
          <t>D-08</t>
        </is>
      </c>
      <c r="B13" s="10" t="inlineStr">
        <is>
          <t>E-01</t>
        </is>
      </c>
      <c r="C13" s="11" t="inlineStr">
        <is>
          <t>Runtime, pliki i diagnostyka</t>
        </is>
      </c>
      <c r="D13" s="10" t="inlineStr">
        <is>
          <t>Q1 2027</t>
        </is>
      </c>
      <c r="E13" s="10" t="inlineStr">
        <is>
          <t>WYSOKI</t>
        </is>
      </c>
      <c r="F13" s="11" t="inlineStr">
        <is>
          <t>Nadawanie uprawnień użytkownikowi bazy</t>
        </is>
      </c>
      <c r="G13" s="10" t="inlineStr">
        <is>
          <t>D — Bazy danych</t>
        </is>
      </c>
      <c r="H13" s="10" t="inlineStr">
        <is>
          <t>ŚREDNIA</t>
        </is>
      </c>
      <c r="I13" s="10" t="n">
        <v>6</v>
      </c>
      <c r="J13" s="10" t="inlineStr">
        <is>
          <t>CZĘŚCIOWE</t>
        </is>
      </c>
      <c r="K13" s="11" t="inlineStr">
        <is>
          <t>ops/scripts/node-db-transfer.sh (privileges); db-transfer.service.ts zlecUprawnienia; DbUsers.tsx</t>
        </is>
      </c>
    </row>
    <row r="14">
      <c r="A14" s="10" t="inlineStr">
        <is>
          <t>D-12</t>
        </is>
      </c>
      <c r="B14" s="10" t="inlineStr">
        <is>
          <t>E-01</t>
        </is>
      </c>
      <c r="C14" s="11" t="inlineStr">
        <is>
          <t>Runtime, pliki i diagnostyka</t>
        </is>
      </c>
      <c r="D14" s="10" t="inlineStr">
        <is>
          <t>Q1 2027</t>
        </is>
      </c>
      <c r="E14" s="10" t="inlineStr">
        <is>
          <t>WYSOKI</t>
        </is>
      </c>
      <c r="F14" s="11" t="inlineStr">
        <is>
          <t>Import / eksport bazy z panelu</t>
        </is>
      </c>
      <c r="G14" s="10" t="inlineStr">
        <is>
          <t>D — Bazy danych</t>
        </is>
      </c>
      <c r="H14" s="10" t="inlineStr">
        <is>
          <t>WYSOKA</t>
        </is>
      </c>
      <c r="I14" s="10" t="n">
        <v>16</v>
      </c>
      <c r="J14" s="10" t="inlineStr">
        <is>
          <t>CZĘŚCIOWE</t>
        </is>
      </c>
      <c r="K14"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5">
      <c r="A15" s="10" t="inlineStr">
        <is>
          <t>D-13</t>
        </is>
      </c>
      <c r="B15" s="10" t="inlineStr">
        <is>
          <t>E-01</t>
        </is>
      </c>
      <c r="C15" s="11" t="inlineStr">
        <is>
          <t>Runtime, pliki i diagnostyka</t>
        </is>
      </c>
      <c r="D15" s="10" t="inlineStr">
        <is>
          <t>Q1 2027</t>
        </is>
      </c>
      <c r="E15" s="10" t="inlineStr">
        <is>
          <t>WYSOKI</t>
        </is>
      </c>
      <c r="F15" s="11" t="inlineStr">
        <is>
          <t>Kopia bazy na żądanie</t>
        </is>
      </c>
      <c r="G15" s="10" t="inlineStr">
        <is>
          <t>D — Bazy danych</t>
        </is>
      </c>
      <c r="H15" s="10" t="inlineStr">
        <is>
          <t>ŚREDNIA</t>
        </is>
      </c>
      <c r="I15" s="10" t="n">
        <v>6</v>
      </c>
      <c r="J15" s="10" t="inlineStr">
        <is>
          <t>CZĘŚCIOWE</t>
        </is>
      </c>
      <c r="K15" s="11" t="inlineStr">
        <is>
          <t>D-12: DbTransferPanel „Eksportuj bazę” (zadanie DB_TRANSFER export → ~/verris-bazy/&lt;baza&gt;-&lt;czas&gt;.sql.gz, pobranie z panelu)</t>
        </is>
      </c>
    </row>
    <row r="16">
      <c r="A16" s="10" t="inlineStr">
        <is>
          <t>D-14</t>
        </is>
      </c>
      <c r="B16" s="10" t="inlineStr">
        <is>
          <t>E-01</t>
        </is>
      </c>
      <c r="C16" s="11" t="inlineStr">
        <is>
          <t>Runtime, pliki i diagnostyka</t>
        </is>
      </c>
      <c r="D16" s="10" t="inlineStr">
        <is>
          <t>Q1 2027</t>
        </is>
      </c>
      <c r="E16" s="10" t="inlineStr">
        <is>
          <t>WYSOKI</t>
        </is>
      </c>
      <c r="F16" s="11" t="inlineStr">
        <is>
          <t>PostgreSQL</t>
        </is>
      </c>
      <c r="G16" s="10" t="inlineStr">
        <is>
          <t>D — Bazy danych</t>
        </is>
      </c>
      <c r="H16" s="10" t="inlineStr">
        <is>
          <t>NISKA</t>
        </is>
      </c>
      <c r="I16" s="10" t="n">
        <v>40</v>
      </c>
      <c r="J16" s="10" t="inlineStr">
        <is>
          <t>CZĘŚCIOWE</t>
        </is>
      </c>
      <c r="K16" s="11"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row>
    <row r="17">
      <c r="A17" s="10" t="inlineStr">
        <is>
          <t>D-18</t>
        </is>
      </c>
      <c r="B17" s="10" t="inlineStr">
        <is>
          <t>E-01</t>
        </is>
      </c>
      <c r="C17" s="11" t="inlineStr">
        <is>
          <t>Runtime, pliki i diagnostyka</t>
        </is>
      </c>
      <c r="D17" s="10" t="inlineStr">
        <is>
          <t>Q1 2027</t>
        </is>
      </c>
      <c r="E17" s="10" t="inlineStr">
        <is>
          <t>WYSOKI</t>
        </is>
      </c>
      <c r="F17" s="11" t="inlineStr">
        <is>
          <t>Naprawa / optymalizacja tabel</t>
        </is>
      </c>
      <c r="G17" s="10" t="inlineStr">
        <is>
          <t>D — Bazy danych</t>
        </is>
      </c>
      <c r="H17" s="10" t="inlineStr">
        <is>
          <t>NISKA</t>
        </is>
      </c>
      <c r="I17" s="10" t="n">
        <v>6</v>
      </c>
      <c r="J17" s="10" t="inlineStr">
        <is>
          <t>CZĘŚCIOWE</t>
        </is>
      </c>
      <c r="K17" s="11" t="inlineStr">
        <is>
          <t>ops/scripts/node-db-transfer.sh (repair/optimize); db-transfer.service.ts zlecKonserwacje; DbTransferPanel.tsx</t>
        </is>
      </c>
    </row>
    <row r="18">
      <c r="A18" s="10" t="inlineStr">
        <is>
          <t>K-04</t>
        </is>
      </c>
      <c r="B18" s="10" t="inlineStr">
        <is>
          <t>E-01</t>
        </is>
      </c>
      <c r="C18" s="11" t="inlineStr">
        <is>
          <t>Runtime, pliki i diagnostyka</t>
        </is>
      </c>
      <c r="D18" s="10" t="inlineStr">
        <is>
          <t>Q1 2027</t>
        </is>
      </c>
      <c r="E18" s="10" t="inlineStr">
        <is>
          <t>WYSOKI</t>
        </is>
      </c>
      <c r="F18" s="11" t="inlineStr">
        <is>
          <t>Logi dostępu WWW (access log)</t>
        </is>
      </c>
      <c r="G18" s="10" t="inlineStr">
        <is>
          <t>K — Statystyki, logi, limity</t>
        </is>
      </c>
      <c r="H18" s="10" t="inlineStr">
        <is>
          <t>WYSOKA</t>
        </is>
      </c>
      <c r="I18" s="10" t="n">
        <v>16</v>
      </c>
      <c r="J18" s="10" t="inlineStr">
        <is>
          <t>CZĘŚCIOWE</t>
        </is>
      </c>
      <c r="K18" s="11" t="inlineStr">
        <is>
          <t>GET /services/:id/hosting-logs (readHostingLog, DA CMD_SHOW_LOG type=log|error) + zakładka usługi „Logi WWW” (LogsTab.tsx); directadmin.logi.spec.ts (9 testów); subkonto: FILES_MANAGE</t>
        </is>
      </c>
    </row>
    <row r="19">
      <c r="A19" s="10" t="inlineStr">
        <is>
          <t>K-05</t>
        </is>
      </c>
      <c r="B19" s="10" t="inlineStr">
        <is>
          <t>E-01</t>
        </is>
      </c>
      <c r="C19" s="11" t="inlineStr">
        <is>
          <t>Runtime, pliki i diagnostyka</t>
        </is>
      </c>
      <c r="D19" s="10" t="inlineStr">
        <is>
          <t>Q1 2027</t>
        </is>
      </c>
      <c r="E19" s="10" t="inlineStr">
        <is>
          <t>WYSOKI</t>
        </is>
      </c>
      <c r="F19" s="11" t="inlineStr">
        <is>
          <t>Logi błędów PHP</t>
        </is>
      </c>
      <c r="G19" s="10" t="inlineStr">
        <is>
          <t>K — Statystyki, logi, limity</t>
        </is>
      </c>
      <c r="H19" s="10" t="inlineStr">
        <is>
          <t>WYSOKA</t>
        </is>
      </c>
      <c r="I19" s="10" t="n">
        <v>16</v>
      </c>
      <c r="J19" s="10" t="inlineStr">
        <is>
          <t>CZĘŚCIOWE</t>
        </is>
      </c>
      <c r="K19" s="11" t="inlineStr">
        <is>
          <t>GET /services/:id/hosting-logs (readHostingLog, DA CMD_SHOW_LOG type=log|error) + zakładka usługi „Logi WWW” (LogsTab.tsx); directadmin.logi.spec.ts (9 testów); subkonto: FILES_MANAGE</t>
        </is>
      </c>
    </row>
    <row r="20">
      <c r="A20" s="10" t="inlineStr">
        <is>
          <t>K-14</t>
        </is>
      </c>
      <c r="B20" s="10" t="inlineStr">
        <is>
          <t>E-01</t>
        </is>
      </c>
      <c r="C20" s="11" t="inlineStr">
        <is>
          <t>Runtime, pliki i diagnostyka</t>
        </is>
      </c>
      <c r="D20" s="10" t="inlineStr">
        <is>
          <t>Q1 2027</t>
        </is>
      </c>
      <c r="E20" s="10" t="inlineStr">
        <is>
          <t>WYSOKI</t>
        </is>
      </c>
      <c r="F20" s="11" t="inlineStr">
        <is>
          <t>Wolne zapytania SQL</t>
        </is>
      </c>
      <c r="G20" s="10" t="inlineStr">
        <is>
          <t>K — Statystyki, logi, limity</t>
        </is>
      </c>
      <c r="H20" s="10" t="inlineStr">
        <is>
          <t>NISKA</t>
        </is>
      </c>
      <c r="I20" s="10" t="n">
        <v>16</v>
      </c>
      <c r="J20" s="10" t="inlineStr">
        <is>
          <t>CZĘŚCIOWE</t>
        </is>
      </c>
      <c r="K20" s="11"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row>
    <row r="21">
      <c r="A21" s="10" t="inlineStr">
        <is>
          <t>D-15</t>
        </is>
      </c>
      <c r="B21" s="10" t="inlineStr">
        <is>
          <t>E-02</t>
        </is>
      </c>
      <c r="C21" s="11" t="inlineStr">
        <is>
          <t>Wydajność: cache i skalowanie</t>
        </is>
      </c>
      <c r="D21" s="10" t="inlineStr">
        <is>
          <t>Q1 2027</t>
        </is>
      </c>
      <c r="E21" s="10" t="inlineStr">
        <is>
          <t>WYSOKI</t>
        </is>
      </c>
      <c r="F21" s="11" t="inlineStr">
        <is>
          <t>Redis / cache obiektowy dla klienta</t>
        </is>
      </c>
      <c r="G21" s="10" t="inlineStr">
        <is>
          <t>D — Bazy danych</t>
        </is>
      </c>
      <c r="H21" s="10" t="inlineStr">
        <is>
          <t>WYSOKA</t>
        </is>
      </c>
      <c r="I21" s="10" t="n">
        <v>16</v>
      </c>
      <c r="J21" s="10" t="inlineStr">
        <is>
          <t>CZĘŚCIOWE</t>
        </is>
      </c>
      <c r="K21"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2">
      <c r="A22" s="10" t="inlineStr">
        <is>
          <t>D-16</t>
        </is>
      </c>
      <c r="B22" s="10" t="inlineStr">
        <is>
          <t>E-02</t>
        </is>
      </c>
      <c r="C22" s="11" t="inlineStr">
        <is>
          <t>Wydajność: cache i skalowanie</t>
        </is>
      </c>
      <c r="D22" s="10" t="inlineStr">
        <is>
          <t>Q1 2027</t>
        </is>
      </c>
      <c r="E22" s="10" t="inlineStr">
        <is>
          <t>WYSOKI</t>
        </is>
      </c>
      <c r="F22" s="11" t="inlineStr">
        <is>
          <t>Memcached</t>
        </is>
      </c>
      <c r="G22" s="10" t="inlineStr">
        <is>
          <t>D — Bazy danych</t>
        </is>
      </c>
      <c r="H22" s="10" t="inlineStr">
        <is>
          <t>NISKA</t>
        </is>
      </c>
      <c r="I22" s="10" t="n">
        <v>16</v>
      </c>
      <c r="J22" s="10" t="inlineStr">
        <is>
          <t>CZĘŚCIOWE</t>
        </is>
      </c>
      <c r="K22" s="11"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row>
    <row r="23">
      <c r="A23" s="10" t="inlineStr">
        <is>
          <t>J-03</t>
        </is>
      </c>
      <c r="B23" s="10" t="inlineStr">
        <is>
          <t>E-02</t>
        </is>
      </c>
      <c r="C23" s="11" t="inlineStr">
        <is>
          <t>Wydajność: cache i skalowanie</t>
        </is>
      </c>
      <c r="D23" s="10" t="inlineStr">
        <is>
          <t>Q1 2027</t>
        </is>
      </c>
      <c r="E23" s="10" t="inlineStr">
        <is>
          <t>WYSOKI</t>
        </is>
      </c>
      <c r="F23" s="11" t="inlineStr">
        <is>
          <t>Cache obiektowy (Redis) dla WordPressa</t>
        </is>
      </c>
      <c r="G23" s="10" t="inlineStr">
        <is>
          <t>J — Wydajność i cache</t>
        </is>
      </c>
      <c r="H23" s="10" t="inlineStr">
        <is>
          <t>WYSOKA</t>
        </is>
      </c>
      <c r="I23" s="10" t="n">
        <v>16</v>
      </c>
      <c r="J23" s="10" t="inlineStr">
        <is>
          <t>CZĘŚCIOWE</t>
        </is>
      </c>
      <c r="K23"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4">
      <c r="A24" s="10" t="inlineStr">
        <is>
          <t>J-05</t>
        </is>
      </c>
      <c r="B24" s="10" t="inlineStr">
        <is>
          <t>E-02</t>
        </is>
      </c>
      <c r="C24" s="11" t="inlineStr">
        <is>
          <t>Wydajność: cache i skalowanie</t>
        </is>
      </c>
      <c r="D24" s="10" t="inlineStr">
        <is>
          <t>Q1 2027</t>
        </is>
      </c>
      <c r="E24" s="10" t="inlineStr">
        <is>
          <t>WYSOKI</t>
        </is>
      </c>
      <c r="F24" s="11" t="inlineStr">
        <is>
          <t>CDN</t>
        </is>
      </c>
      <c r="G24" s="10" t="inlineStr">
        <is>
          <t>J — Wydajność i cache</t>
        </is>
      </c>
      <c r="H24" s="10" t="inlineStr">
        <is>
          <t>NISKA</t>
        </is>
      </c>
      <c r="I24" s="10" t="n">
        <v>40</v>
      </c>
      <c r="J24" s="10" t="inlineStr">
        <is>
          <t>BRAK</t>
        </is>
      </c>
      <c r="K24" s="11" t="inlineStr">
        <is>
          <t>na rynku PL płatny dodatek</t>
        </is>
      </c>
    </row>
    <row r="25">
      <c r="A25" s="10" t="inlineStr">
        <is>
          <t>J-06</t>
        </is>
      </c>
      <c r="B25" s="10" t="inlineStr">
        <is>
          <t>E-02</t>
        </is>
      </c>
      <c r="C25" s="11" t="inlineStr">
        <is>
          <t>Wydajność: cache i skalowanie</t>
        </is>
      </c>
      <c r="D25" s="10" t="inlineStr">
        <is>
          <t>Q1 2027</t>
        </is>
      </c>
      <c r="E25" s="10" t="inlineStr">
        <is>
          <t>WYSOKI</t>
        </is>
      </c>
      <c r="F25" s="11" t="inlineStr">
        <is>
          <t>Optymalizacja obrazów</t>
        </is>
      </c>
      <c r="G25" s="10" t="inlineStr">
        <is>
          <t>J — Wydajność i cache</t>
        </is>
      </c>
      <c r="H25" s="10" t="inlineStr">
        <is>
          <t>NISKA</t>
        </is>
      </c>
      <c r="I25" s="10" t="n">
        <v>16</v>
      </c>
      <c r="J25" s="10" t="inlineStr">
        <is>
          <t>CZĘŚCIOWE</t>
        </is>
      </c>
      <c r="K25" s="11" t="inlineStr">
        <is>
          <t>ops/scripts/node-image-optimize.sh (zadanie IMAGE_OPTIMIZE, migracja 20260925211000); subscriptions/obrazy.service.ts; services.controller.ts :id/hosting-images; client-panel ObrazyPanel (widok strony → Pliki); profil węzła: jpegoptim, optipng (EPEL); test obrazy.service.spec.ts</t>
        </is>
      </c>
    </row>
    <row r="26">
      <c r="A26" s="10" t="inlineStr">
        <is>
          <t>J-07</t>
        </is>
      </c>
      <c r="B26" s="10" t="inlineStr">
        <is>
          <t>E-02</t>
        </is>
      </c>
      <c r="C26" s="11" t="inlineStr">
        <is>
          <t>Wydajność: cache i skalowanie</t>
        </is>
      </c>
      <c r="D26" s="10" t="inlineStr">
        <is>
          <t>Q1 2027</t>
        </is>
      </c>
      <c r="E26" s="10" t="inlineStr">
        <is>
          <t>WYSOKI</t>
        </is>
      </c>
      <c r="F26" s="11" t="inlineStr">
        <is>
          <t>Dedykowany adres IP</t>
        </is>
      </c>
      <c r="G26" s="10" t="inlineStr">
        <is>
          <t>J — Wydajność i cache</t>
        </is>
      </c>
      <c r="H26" s="10" t="inlineStr">
        <is>
          <t>ŚREDNIA</t>
        </is>
      </c>
      <c r="I26" s="10" t="n">
        <v>6</v>
      </c>
      <c r="J26" s="10" t="inlineStr">
        <is>
          <t>CZĘŚCIOWE</t>
        </is>
      </c>
      <c r="K26" s="11" t="inlineStr">
        <is>
          <t>addons — jako dodatek typu workorder</t>
        </is>
      </c>
    </row>
    <row r="27">
      <c r="A27" s="10" t="inlineStr">
        <is>
          <t>H-04</t>
        </is>
      </c>
      <c r="B27" s="10" t="inlineStr">
        <is>
          <t>E-12</t>
        </is>
      </c>
      <c r="C27" s="11" t="inlineStr">
        <is>
          <t>Backup: granularność i retencja</t>
        </is>
      </c>
      <c r="D27" s="10" t="inlineStr">
        <is>
          <t>Q1 2027</t>
        </is>
      </c>
      <c r="E27" s="10" t="inlineStr">
        <is>
          <t>WYSOKI</t>
        </is>
      </c>
      <c r="F27" s="11" t="inlineStr">
        <is>
          <t>Retencja co najmniej 28 dni w cenie</t>
        </is>
      </c>
      <c r="G27" s="10" t="inlineStr">
        <is>
          <t>H — Backup i odtwarzanie</t>
        </is>
      </c>
      <c r="H27" s="10" t="inlineStr">
        <is>
          <t>WYSOKA</t>
        </is>
      </c>
      <c r="I27" s="10" t="n">
        <v>16</v>
      </c>
      <c r="J27" s="10" t="inlineStr">
        <is>
          <t>CZĘŚCIOWE</t>
        </is>
      </c>
      <c r="K27" s="11" t="inlineStr">
        <is>
          <t>off-site: 30 dni (node-offsite-backup.sh:101); libs/contracts/src/kopie.ts; hosting-offsite-panel.tsx; test kopie-30-dni.spec.ts</t>
        </is>
      </c>
    </row>
    <row r="28">
      <c r="A28" s="10" t="inlineStr">
        <is>
          <t>H-10</t>
        </is>
      </c>
      <c r="B28" s="10" t="inlineStr">
        <is>
          <t>E-12</t>
        </is>
      </c>
      <c r="C28" s="11" t="inlineStr">
        <is>
          <t>Backup: granularność i retencja</t>
        </is>
      </c>
      <c r="D28" s="10" t="inlineStr">
        <is>
          <t>Q1 2027</t>
        </is>
      </c>
      <c r="E28" s="10" t="inlineStr">
        <is>
          <t>WYSOKI</t>
        </is>
      </c>
      <c r="F28" s="11" t="inlineStr">
        <is>
          <t>Odtworzenie pojedynczego pliku</t>
        </is>
      </c>
      <c r="G28" s="10" t="inlineStr">
        <is>
          <t>H — Backup i odtwarzanie</t>
        </is>
      </c>
      <c r="H28" s="10" t="inlineStr">
        <is>
          <t>WYSOKA</t>
        </is>
      </c>
      <c r="I28" s="10" t="n">
        <v>16</v>
      </c>
      <c r="J28" s="10" t="inlineStr">
        <is>
          <t>CZĘŚCIOWE</t>
        </is>
      </c>
      <c r="K28"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29">
      <c r="A29" s="10" t="inlineStr">
        <is>
          <t>H-11</t>
        </is>
      </c>
      <c r="B29" s="10" t="inlineStr">
        <is>
          <t>E-12</t>
        </is>
      </c>
      <c r="C29" s="11" t="inlineStr">
        <is>
          <t>Backup: granularność i retencja</t>
        </is>
      </c>
      <c r="D29" s="10" t="inlineStr">
        <is>
          <t>Q1 2027</t>
        </is>
      </c>
      <c r="E29" s="10" t="inlineStr">
        <is>
          <t>WYSOKI</t>
        </is>
      </c>
      <c r="F29" s="11" t="inlineStr">
        <is>
          <t>Podgląd zawartości archiwum przed odtworzeniem</t>
        </is>
      </c>
      <c r="G29" s="10" t="inlineStr">
        <is>
          <t>H — Backup i odtwarzanie</t>
        </is>
      </c>
      <c r="H29" s="10" t="inlineStr">
        <is>
          <t>WYSOKA</t>
        </is>
      </c>
      <c r="I29" s="10" t="n">
        <v>16</v>
      </c>
      <c r="J29" s="10" t="inlineStr">
        <is>
          <t>CZĘŚCIOWE</t>
        </is>
      </c>
      <c r="K2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0">
      <c r="A30" s="10" t="inlineStr">
        <is>
          <t>H-13</t>
        </is>
      </c>
      <c r="B30" s="10" t="inlineStr">
        <is>
          <t>E-12</t>
        </is>
      </c>
      <c r="C30" s="11" t="inlineStr">
        <is>
          <t>Backup: granularność i retencja</t>
        </is>
      </c>
      <c r="D30" s="10" t="inlineStr">
        <is>
          <t>Q1 2027</t>
        </is>
      </c>
      <c r="E30" s="10" t="inlineStr">
        <is>
          <t>WYSOKI</t>
        </is>
      </c>
      <c r="F30" s="11" t="inlineStr">
        <is>
          <t>Pobranie archiwum kopii lokalnie</t>
        </is>
      </c>
      <c r="G30" s="10" t="inlineStr">
        <is>
          <t>H — Backup i odtwarzanie</t>
        </is>
      </c>
      <c r="H30" s="10" t="inlineStr">
        <is>
          <t>ŚREDNIA</t>
        </is>
      </c>
      <c r="I30" s="10" t="n">
        <v>6</v>
      </c>
      <c r="J30" s="10" t="inlineStr">
        <is>
          <t>CZĘŚCIOWE</t>
        </is>
      </c>
      <c r="K30" s="11" t="inlineStr">
        <is>
          <t>files/files.service.ts downloadStream; files.controller.ts GET download-stream; client app/api/services/[id]/files/download/route.ts; BackupsTab.tsx „Pobierz”; test files.service.spec.ts</t>
        </is>
      </c>
    </row>
    <row r="31">
      <c r="A31" s="10" t="inlineStr">
        <is>
          <t>H-14</t>
        </is>
      </c>
      <c r="B31" s="10" t="inlineStr">
        <is>
          <t>E-12</t>
        </is>
      </c>
      <c r="C31" s="11" t="inlineStr">
        <is>
          <t>Backup: granularność i retencja</t>
        </is>
      </c>
      <c r="D31" s="10" t="inlineStr">
        <is>
          <t>Q1 2027</t>
        </is>
      </c>
      <c r="E31" s="10" t="inlineStr">
        <is>
          <t>WYSOKI</t>
        </is>
      </c>
      <c r="F31" s="11" t="inlineStr">
        <is>
          <t>Kopia off-site (poza węzłem)</t>
        </is>
      </c>
      <c r="G31" s="10" t="inlineStr">
        <is>
          <t>H — Backup i odtwarzanie</t>
        </is>
      </c>
      <c r="H31" s="10" t="inlineStr">
        <is>
          <t>—</t>
        </is>
      </c>
      <c r="I31" s="10" t="n">
        <v>0</v>
      </c>
      <c r="J31" s="10" t="inlineStr">
        <is>
          <t>CZĘŚCIOWE</t>
        </is>
      </c>
      <c r="K31" s="11" t="inlineStr">
        <is>
          <t>ops/scripts/node-offsite-backup.sh:93-97 (rclone crypt → S3)</t>
        </is>
      </c>
    </row>
    <row r="32">
      <c r="A32" s="10" t="inlineStr">
        <is>
          <t>H-16</t>
        </is>
      </c>
      <c r="B32" s="10" t="inlineStr">
        <is>
          <t>E-12</t>
        </is>
      </c>
      <c r="C32" s="11" t="inlineStr">
        <is>
          <t>Backup: granularność i retencja</t>
        </is>
      </c>
      <c r="D32" s="10" t="inlineStr">
        <is>
          <t>Q1 2027</t>
        </is>
      </c>
      <c r="E32" s="10" t="inlineStr">
        <is>
          <t>WYSOKI</t>
        </is>
      </c>
      <c r="F32" s="11" t="inlineStr">
        <is>
          <t>ODTWORZENIE KONTA NA INNY WĘZEŁ</t>
        </is>
      </c>
      <c r="G32" s="10" t="inlineStr">
        <is>
          <t>H — Backup i odtwarzanie</t>
        </is>
      </c>
      <c r="H32" s="10" t="inlineStr">
        <is>
          <t>WYSOKA</t>
        </is>
      </c>
      <c r="I32" s="10" t="n">
        <v>40</v>
      </c>
      <c r="J32" s="10" t="inlineStr">
        <is>
          <t>CZĘŚCIOWE</t>
        </is>
      </c>
      <c r="K32"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33">
      <c r="A33" s="10" t="inlineStr">
        <is>
          <t>M-33</t>
        </is>
      </c>
      <c r="B33" s="10" t="inlineStr">
        <is>
          <t>E-14</t>
        </is>
      </c>
      <c r="C33" s="11" t="inlineStr">
        <is>
          <t>Rozliczenia: dokończenie</t>
        </is>
      </c>
      <c r="D33" s="10" t="inlineStr">
        <is>
          <t>Q1 2027</t>
        </is>
      </c>
      <c r="E33" s="10" t="inlineStr">
        <is>
          <t>WYSOKI</t>
        </is>
      </c>
      <c r="F33" s="11" t="inlineStr">
        <is>
          <t>Dodatki płatne (IP, wsparcie priorytetowe)</t>
        </is>
      </c>
      <c r="G33" s="10" t="inlineStr">
        <is>
          <t>M — Rozliczenia</t>
        </is>
      </c>
      <c r="H33" s="10" t="inlineStr">
        <is>
          <t>NISKA</t>
        </is>
      </c>
      <c r="I33" s="10" t="n">
        <v>16</v>
      </c>
      <c r="J33" s="10" t="inlineStr">
        <is>
          <t>CZĘŚCIOWE</t>
        </is>
      </c>
      <c r="K33" s="11" t="inlineStr">
        <is>
          <t>addon.service.ts:120 — 2 z 3 to workorder do BOK</t>
        </is>
      </c>
    </row>
    <row r="34">
      <c r="A34" s="10" t="inlineStr">
        <is>
          <t>N-21</t>
        </is>
      </c>
      <c r="B34" s="10" t="inlineStr">
        <is>
          <t>E-15</t>
        </is>
      </c>
      <c r="C34" s="11" t="inlineStr">
        <is>
          <t>Wsparcie i ops: kolejka abuse</t>
        </is>
      </c>
      <c r="D34" s="10" t="inlineStr">
        <is>
          <t>Q1 2027</t>
        </is>
      </c>
      <c r="E34" s="10" t="inlineStr">
        <is>
          <t>WYSOKI</t>
        </is>
      </c>
      <c r="F34" s="11" t="inlineStr">
        <is>
          <t>Wsparcie telefoniczne</t>
        </is>
      </c>
      <c r="G34" s="10" t="inlineStr">
        <is>
          <t>N — Wsparcie i ops</t>
        </is>
      </c>
      <c r="H34" s="10" t="inlineStr">
        <is>
          <t>ŚREDNIA</t>
        </is>
      </c>
      <c r="I34" s="10" t="n">
        <v>6</v>
      </c>
      <c r="J34" s="10" t="inlineStr">
        <is>
          <t>BRAK</t>
        </is>
      </c>
      <c r="K34" s="11" t="inlineStr">
        <is>
          <t>poza produktem</t>
        </is>
      </c>
    </row>
    <row r="35">
      <c r="A35" s="10" t="inlineStr">
        <is>
          <t>PROD-01</t>
        </is>
      </c>
      <c r="B35" s="10" t="inlineStr">
        <is>
          <t>E-15</t>
        </is>
      </c>
      <c r="C35" s="11" t="inlineStr">
        <is>
          <t>Wsparcie i ops: kolejka abuse</t>
        </is>
      </c>
      <c r="D35" s="10" t="inlineStr">
        <is>
          <t>Q1 2027</t>
        </is>
      </c>
      <c r="E35" s="10" t="inlineStr">
        <is>
          <t>WYSOKI</t>
        </is>
      </c>
      <c r="F35" s="11" t="inlineStr">
        <is>
          <t>Instalator węzła bez udziału administratora</t>
        </is>
      </c>
      <c r="G35" s="10" t="inlineStr">
        <is>
          <t>N — Wsparcie i ops</t>
        </is>
      </c>
      <c r="H35" s="10" t="inlineStr">
        <is>
          <t>WYSOKA</t>
        </is>
      </c>
      <c r="I35" s="10" t="n">
        <v>40</v>
      </c>
      <c r="J35" s="10" t="inlineStr">
        <is>
          <t>CZĘŚCIOWE</t>
        </is>
      </c>
      <c r="K35" s="11" t="inlineStr">
        <is>
          <t>docs/archiwum/zadania/PROD-01-instalator-wezla-bez-czlowieka.md; stan: bootstrap v2 + kreator węzła (Q-14) — kroki CloudLinux/DA/LiteSpeed nadal ręczne</t>
        </is>
      </c>
    </row>
    <row r="36">
      <c r="A36" s="10" t="inlineStr">
        <is>
          <t>I-04</t>
        </is>
      </c>
      <c r="B36" s="10" t="inlineStr">
        <is>
          <t>E-03</t>
        </is>
      </c>
      <c r="C36" s="11" t="inlineStr">
        <is>
          <t>WordPress Toolkit</t>
        </is>
      </c>
      <c r="D36" s="10" t="inlineStr">
        <is>
          <t>Q2 2027</t>
        </is>
      </c>
      <c r="E36" s="10" t="inlineStr">
        <is>
          <t>WYSOKI</t>
        </is>
      </c>
      <c r="F36" s="11" t="inlineStr">
        <is>
          <t>Automatyczne aktualizacje WordPressa</t>
        </is>
      </c>
      <c r="G36" s="10" t="inlineStr">
        <is>
          <t>I — Aplikacje i WordPress</t>
        </is>
      </c>
      <c r="H36" s="10" t="inlineStr">
        <is>
          <t>WYSOKA</t>
        </is>
      </c>
      <c r="I36" s="10" t="n">
        <v>16</v>
      </c>
      <c r="J36" s="10" t="inlineStr">
        <is>
          <t>CZĘŚCIOWE</t>
        </is>
      </c>
      <c r="K36"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7">
      <c r="A37" s="10" t="inlineStr">
        <is>
          <t>I-05</t>
        </is>
      </c>
      <c r="B37" s="10" t="inlineStr">
        <is>
          <t>E-03</t>
        </is>
      </c>
      <c r="C37" s="11" t="inlineStr">
        <is>
          <t>WordPress Toolkit</t>
        </is>
      </c>
      <c r="D37" s="10" t="inlineStr">
        <is>
          <t>Q2 2027</t>
        </is>
      </c>
      <c r="E37" s="10" t="inlineStr">
        <is>
          <t>WYSOKI</t>
        </is>
      </c>
      <c r="F37" s="11" t="inlineStr">
        <is>
          <t>Aktualizacje wtyczek i motywów z panelu</t>
        </is>
      </c>
      <c r="G37" s="10" t="inlineStr">
        <is>
          <t>I — Aplikacje i WordPress</t>
        </is>
      </c>
      <c r="H37" s="10" t="inlineStr">
        <is>
          <t>ŚREDNIA</t>
        </is>
      </c>
      <c r="I37" s="10" t="n">
        <v>16</v>
      </c>
      <c r="J37" s="10" t="inlineStr">
        <is>
          <t>CZĘŚCIOWE</t>
        </is>
      </c>
      <c r="K37"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8">
      <c r="A38" s="10" t="inlineStr">
        <is>
          <t>I-07</t>
        </is>
      </c>
      <c r="B38" s="10" t="inlineStr">
        <is>
          <t>E-03</t>
        </is>
      </c>
      <c r="C38" s="11" t="inlineStr">
        <is>
          <t>WordPress Toolkit</t>
        </is>
      </c>
      <c r="D38" s="10" t="inlineStr">
        <is>
          <t>Q2 2027</t>
        </is>
      </c>
      <c r="E38" s="10" t="inlineStr">
        <is>
          <t>WYSOKI</t>
        </is>
      </c>
      <c r="F38" s="11" t="inlineStr">
        <is>
          <t>Skanowanie podatności WordPressa</t>
        </is>
      </c>
      <c r="G38" s="10" t="inlineStr">
        <is>
          <t>I — Aplikacje i WordPress</t>
        </is>
      </c>
      <c r="H38" s="10" t="inlineStr">
        <is>
          <t>ŚREDNIA</t>
        </is>
      </c>
      <c r="I38" s="10" t="n">
        <v>40</v>
      </c>
      <c r="J38" s="10" t="inlineStr">
        <is>
          <t>CZĘŚCIOWE</t>
        </is>
      </c>
      <c r="K38" s="11" t="inlineStr">
        <is>
          <t>subscriptions/wp-podatnosci.service.ts (Wordfence Scanner Feed v3, cron 05:40, tabela WpPodatnosc, migracja 20260925190000); wp-update.service.ts opis/przeglad → podatnosci; client-panel WpUpdatesPanel/WpOverviewPanel; test wp-podatnosci.service.spec.ts</t>
        </is>
      </c>
    </row>
    <row r="39">
      <c r="A39" s="10" t="inlineStr">
        <is>
          <t>I-13</t>
        </is>
      </c>
      <c r="B39" s="10" t="inlineStr">
        <is>
          <t>E-03</t>
        </is>
      </c>
      <c r="C39" s="11" t="inlineStr">
        <is>
          <t>WordPress Toolkit</t>
        </is>
      </c>
      <c r="D39" s="10" t="inlineStr">
        <is>
          <t>Q2 2027</t>
        </is>
      </c>
      <c r="E39" s="10" t="inlineStr">
        <is>
          <t>WYSOKI</t>
        </is>
      </c>
      <c r="F39" s="11" t="inlineStr">
        <is>
          <t>Klonowanie strony między domenami</t>
        </is>
      </c>
      <c r="G39" s="10" t="inlineStr">
        <is>
          <t>I — Aplikacje i WordPress</t>
        </is>
      </c>
      <c r="H39" s="10" t="inlineStr">
        <is>
          <t>ŚREDNIA</t>
        </is>
      </c>
      <c r="I39" s="10" t="n">
        <v>16</v>
      </c>
      <c r="J39" s="10" t="inlineStr">
        <is>
          <t>CZĘŚCIOWE</t>
        </is>
      </c>
      <c r="K39"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0">
      <c r="A40" s="10" t="inlineStr">
        <is>
          <t>I-16</t>
        </is>
      </c>
      <c r="B40" s="10" t="inlineStr">
        <is>
          <t>E-03</t>
        </is>
      </c>
      <c r="C40" s="11" t="inlineStr">
        <is>
          <t>WordPress Toolkit</t>
        </is>
      </c>
      <c r="D40" s="10" t="inlineStr">
        <is>
          <t>Q2 2027</t>
        </is>
      </c>
      <c r="E40" s="10" t="inlineStr">
        <is>
          <t>WYSOKI</t>
        </is>
      </c>
      <c r="F40" s="11" t="inlineStr">
        <is>
          <t>WP-CLI</t>
        </is>
      </c>
      <c r="G40" s="10" t="inlineStr">
        <is>
          <t>I — Aplikacje i WordPress</t>
        </is>
      </c>
      <c r="H40" s="10" t="inlineStr">
        <is>
          <t>ŚREDNIA</t>
        </is>
      </c>
      <c r="I40" s="10" t="n">
        <v>6</v>
      </c>
      <c r="J40" s="10" t="inlineStr">
        <is>
          <t>CZĘŚCIOWE</t>
        </is>
      </c>
      <c r="K40" s="11" t="inlineStr">
        <is>
          <t>używane wewnętrznie przy WP_INSTALL</t>
        </is>
      </c>
    </row>
    <row r="41">
      <c r="A41" s="10" t="inlineStr">
        <is>
          <t>A-06</t>
        </is>
      </c>
      <c r="B41" s="10" t="inlineStr">
        <is>
          <t>E-04</t>
        </is>
      </c>
      <c r="C41" s="11" t="inlineStr">
        <is>
          <t>Domeny jako produkt</t>
        </is>
      </c>
      <c r="D41" s="10" t="inlineStr">
        <is>
          <t>Q2 2027</t>
        </is>
      </c>
      <c r="E41" s="10" t="inlineStr">
        <is>
          <t>WYSOKI</t>
        </is>
      </c>
      <c r="F41" s="11" t="inlineStr">
        <is>
          <t>Zmiana document root domeny</t>
        </is>
      </c>
      <c r="G41" s="10" t="inlineStr">
        <is>
          <t>A — Domeny i konta</t>
        </is>
      </c>
      <c r="H41" s="10" t="inlineStr">
        <is>
          <t>NISKA</t>
        </is>
      </c>
      <c r="I41" s="10" t="n">
        <v>6</v>
      </c>
      <c r="J41" s="10" t="inlineStr">
        <is>
          <t>CZĘŚCIOWE</t>
        </is>
      </c>
      <c r="K41" s="11" t="inlineStr">
        <is>
          <t>servers/docroot.ts; servers/directadmin.service.ts getHostingDocroot/setHostingDocroot; GET/POST /services/:id/hosting-docroot; client components/hosting/DocrootPanel.tsx; test servers/docroot.spec.ts</t>
        </is>
      </c>
    </row>
    <row r="42">
      <c r="A42" s="10" t="inlineStr">
        <is>
          <t>A-08</t>
        </is>
      </c>
      <c r="B42" s="10" t="inlineStr">
        <is>
          <t>E-04</t>
        </is>
      </c>
      <c r="C42" s="11" t="inlineStr">
        <is>
          <t>Domeny jako produkt</t>
        </is>
      </c>
      <c r="D42" s="10" t="inlineStr">
        <is>
          <t>Q2 2027</t>
        </is>
      </c>
      <c r="E42" s="10" t="inlineStr">
        <is>
          <t>WYSOKI</t>
        </is>
      </c>
      <c r="F42" s="11" t="inlineStr">
        <is>
          <t>Rejestracja domeny z panelu</t>
        </is>
      </c>
      <c r="G42" s="10" t="inlineStr">
        <is>
          <t>A — Domeny i konta</t>
        </is>
      </c>
      <c r="H42" s="10" t="inlineStr">
        <is>
          <t>ŚREDNIA</t>
        </is>
      </c>
      <c r="I42" s="10" t="n">
        <v>16</v>
      </c>
      <c r="J42" s="10" t="inlineStr">
        <is>
          <t>FLAGA</t>
        </is>
      </c>
      <c r="K42" s="11" t="inlineStr">
        <is>
          <t>domains.controller.ts:118</t>
        </is>
      </c>
    </row>
    <row r="43">
      <c r="A43" s="10" t="inlineStr">
        <is>
          <t>A-09</t>
        </is>
      </c>
      <c r="B43" s="10" t="inlineStr">
        <is>
          <t>E-04</t>
        </is>
      </c>
      <c r="C43" s="11" t="inlineStr">
        <is>
          <t>Domeny jako produkt</t>
        </is>
      </c>
      <c r="D43" s="10" t="inlineStr">
        <is>
          <t>Q2 2027</t>
        </is>
      </c>
      <c r="E43" s="10" t="inlineStr">
        <is>
          <t>WYSOKI</t>
        </is>
      </c>
      <c r="F43" s="11" t="inlineStr">
        <is>
          <t>Transfer domeny (kod authinfo)</t>
        </is>
      </c>
      <c r="G43" s="10" t="inlineStr">
        <is>
          <t>A — Domeny i konta</t>
        </is>
      </c>
      <c r="H43" s="10" t="inlineStr">
        <is>
          <t>WYSOKA</t>
        </is>
      </c>
      <c r="I43" s="10" t="n">
        <v>16</v>
      </c>
      <c r="J43" s="10" t="inlineStr">
        <is>
          <t>FLAGA</t>
        </is>
      </c>
      <c r="K43"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4">
      <c r="A44" s="10" t="inlineStr">
        <is>
          <t>A-10</t>
        </is>
      </c>
      <c r="B44" s="10" t="inlineStr">
        <is>
          <t>E-04</t>
        </is>
      </c>
      <c r="C44" s="11" t="inlineStr">
        <is>
          <t>Domeny jako produkt</t>
        </is>
      </c>
      <c r="D44" s="10" t="inlineStr">
        <is>
          <t>Q2 2027</t>
        </is>
      </c>
      <c r="E44" s="10" t="inlineStr">
        <is>
          <t>WYSOKI</t>
        </is>
      </c>
      <c r="F44" s="11" t="inlineStr">
        <is>
          <t>Odnowienie domeny przez klienta</t>
        </is>
      </c>
      <c r="G44" s="10" t="inlineStr">
        <is>
          <t>A — Domeny i konta</t>
        </is>
      </c>
      <c r="H44" s="10" t="inlineStr">
        <is>
          <t>ŚREDNIA</t>
        </is>
      </c>
      <c r="I44" s="10" t="n">
        <v>6</v>
      </c>
      <c r="J44" s="10" t="inlineStr">
        <is>
          <t>FLAGA</t>
        </is>
      </c>
      <c r="K44"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5">
      <c r="A45" s="10" t="inlineStr">
        <is>
          <t>A-12</t>
        </is>
      </c>
      <c r="B45" s="10" t="inlineStr">
        <is>
          <t>E-04</t>
        </is>
      </c>
      <c r="C45" s="11" t="inlineStr">
        <is>
          <t>Domeny jako produkt</t>
        </is>
      </c>
      <c r="D45" s="10" t="inlineStr">
        <is>
          <t>Q2 2027</t>
        </is>
      </c>
      <c r="E45" s="10" t="inlineStr">
        <is>
          <t>WYSOKI</t>
        </is>
      </c>
      <c r="F45" s="11" t="inlineStr">
        <is>
          <t>Cennik rejestracji na 1–10 lat</t>
        </is>
      </c>
      <c r="G45" s="10" t="inlineStr">
        <is>
          <t>A — Domeny i konta</t>
        </is>
      </c>
      <c r="H45" s="10" t="inlineStr">
        <is>
          <t>ŚREDNIA</t>
        </is>
      </c>
      <c r="I45" s="10" t="n">
        <v>6</v>
      </c>
      <c r="J45" s="10" t="inlineStr">
        <is>
          <t>FLAGA</t>
        </is>
      </c>
      <c r="K45" s="11" t="inlineStr">
        <is>
          <t>POST domains/registrar/quote-periods (domain-registrar.service.ts quotePeriods — ceny brutto dla 1, 2, 3, 5 i 10 lat + cena odnowienia/rok) → kreator zakupu: krok „Okres” z ceną każdego wariantu (domain-purchase-wizard.tsx YEAR_OPTIONS)</t>
        </is>
      </c>
    </row>
    <row r="46">
      <c r="A46" s="10" t="inlineStr">
        <is>
          <t>A-13</t>
        </is>
      </c>
      <c r="B46" s="10" t="inlineStr">
        <is>
          <t>E-04</t>
        </is>
      </c>
      <c r="C46" s="11" t="inlineStr">
        <is>
          <t>Domeny jako produkt</t>
        </is>
      </c>
      <c r="D46" s="10" t="inlineStr">
        <is>
          <t>Q2 2027</t>
        </is>
      </c>
      <c r="E46" s="10" t="inlineStr">
        <is>
          <t>WYSOKI</t>
        </is>
      </c>
      <c r="F46" s="11" t="inlineStr">
        <is>
          <t>Zmiana danych abonenta domeny</t>
        </is>
      </c>
      <c r="G46" s="10" t="inlineStr">
        <is>
          <t>A — Domeny i konta</t>
        </is>
      </c>
      <c r="H46" s="10" t="inlineStr">
        <is>
          <t>WYSOKA</t>
        </is>
      </c>
      <c r="I46" s="10" t="n">
        <v>16</v>
      </c>
      <c r="J46" s="10" t="inlineStr">
        <is>
          <t>FLAGA</t>
        </is>
      </c>
      <c r="K46"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47">
      <c r="A47" s="10" t="inlineStr">
        <is>
          <t>A-14</t>
        </is>
      </c>
      <c r="B47" s="10" t="inlineStr">
        <is>
          <t>E-04</t>
        </is>
      </c>
      <c r="C47" s="11" t="inlineStr">
        <is>
          <t>Domeny jako produkt</t>
        </is>
      </c>
      <c r="D47" s="10" t="inlineStr">
        <is>
          <t>Q2 2027</t>
        </is>
      </c>
      <c r="E47" s="10" t="inlineStr">
        <is>
          <t>WYSOKI</t>
        </is>
      </c>
      <c r="F47" s="11" t="inlineStr">
        <is>
          <t>Ukrycie danych WHOIS / domain privacy</t>
        </is>
      </c>
      <c r="G47" s="10" t="inlineStr">
        <is>
          <t>A — Domeny i konta</t>
        </is>
      </c>
      <c r="H47" s="10" t="inlineStr">
        <is>
          <t>NISKA</t>
        </is>
      </c>
      <c r="I47" s="10" t="n">
        <v>6</v>
      </c>
      <c r="J47" s="10" t="inlineStr">
        <is>
          <t>BRAK</t>
        </is>
      </c>
      <c r="K47" s="11" t="inlineStr">
        <is>
          <t>DECYZJA WŁAŚCICIELA 2026-09-24: po starcie — u OpenProvider ukrycie WHOIS to usługa płatna per domena, a dla osób fizycznych z .pl rejestr i tak nie publikuje danych; wracamy przy sprzedaży domen, gdy znane będą koszty.</t>
        </is>
      </c>
    </row>
    <row r="48">
      <c r="A48" s="10" t="inlineStr">
        <is>
          <t>A-15</t>
        </is>
      </c>
      <c r="B48" s="10" t="inlineStr">
        <is>
          <t>E-04</t>
        </is>
      </c>
      <c r="C48" s="11" t="inlineStr">
        <is>
          <t>Domeny jako produkt</t>
        </is>
      </c>
      <c r="D48" s="10" t="inlineStr">
        <is>
          <t>Q2 2027</t>
        </is>
      </c>
      <c r="E48" s="10" t="inlineStr">
        <is>
          <t>WYSOKI</t>
        </is>
      </c>
      <c r="F48" s="11" t="inlineStr">
        <is>
          <t>Blokada transferu domeny (transfer lock)</t>
        </is>
      </c>
      <c r="G48" s="10" t="inlineStr">
        <is>
          <t>A — Domeny i konta</t>
        </is>
      </c>
      <c r="H48" s="10" t="inlineStr">
        <is>
          <t>ŚREDNIA</t>
        </is>
      </c>
      <c r="I48" s="10" t="n">
        <v>6</v>
      </c>
      <c r="J48" s="10" t="inlineStr">
        <is>
          <t>FLAGA</t>
        </is>
      </c>
      <c r="K48" s="11" t="inlineStr">
        <is>
          <t>POST /domains/:id/registrar/lock → OpenProvider PUT /v1/domains/{id} {is_locked}; stan w Domain.transferLock + audyt DOMAIN_TRANSFER_LOCKED/UNLOCKED; panel: strona domeny „Transfer i abonent”; test domains/abonent-domeny.spec.ts</t>
        </is>
      </c>
    </row>
    <row r="49">
      <c r="A49" s="10" t="inlineStr">
        <is>
          <t>I-01</t>
        </is>
      </c>
      <c r="B49" s="10" t="inlineStr">
        <is>
          <t>E-05</t>
        </is>
      </c>
      <c r="C49" s="11" t="inlineStr">
        <is>
          <t>Katalog aplikacji</t>
        </is>
      </c>
      <c r="D49" s="10" t="inlineStr">
        <is>
          <t>Q2 2027</t>
        </is>
      </c>
      <c r="E49" s="10" t="inlineStr">
        <is>
          <t>ŚREDNI</t>
        </is>
      </c>
      <c r="F49" s="11" t="inlineStr">
        <is>
          <t>Autoinstalator aplikacji</t>
        </is>
      </c>
      <c r="G49" s="10" t="inlineStr">
        <is>
          <t>I — Aplikacje i WordPress</t>
        </is>
      </c>
      <c r="H49" s="10" t="inlineStr">
        <is>
          <t>WYSOKA</t>
        </is>
      </c>
      <c r="I49" s="10" t="n">
        <v>16</v>
      </c>
      <c r="J49" s="10" t="inlineStr">
        <is>
          <t>CZĘŚCIOWE</t>
        </is>
      </c>
      <c r="K49" s="11" t="inlineStr">
        <is>
          <t>app-install.service.ts CATALOG (Nextcloud, PrestaShop, Joomla, MediaWiki); ops/scripts/node-app-install.sh; test test/instalator-aplikacji-katalog.spec.ts</t>
        </is>
      </c>
    </row>
    <row r="50">
      <c r="A50" s="10" t="inlineStr">
        <is>
          <t>E-12</t>
        </is>
      </c>
      <c r="B50" s="10" t="inlineStr">
        <is>
          <t>E-10</t>
        </is>
      </c>
      <c r="C50" s="11" t="inlineStr">
        <is>
          <t>Poczta: filtry, kalendarz, limity</t>
        </is>
      </c>
      <c r="D50" s="10" t="inlineStr">
        <is>
          <t>Q2 2027</t>
        </is>
      </c>
      <c r="E50" s="10" t="inlineStr">
        <is>
          <t>ŚREDNI</t>
        </is>
      </c>
      <c r="F50" s="11" t="inlineStr">
        <is>
          <t>Reguły filtrowania poczty (Sieve)</t>
        </is>
      </c>
      <c r="G50" s="10" t="inlineStr">
        <is>
          <t>E — Poczta</t>
        </is>
      </c>
      <c r="H50" s="10" t="inlineStr">
        <is>
          <t>ŚREDNIA</t>
        </is>
      </c>
      <c r="I50" s="10" t="n">
        <v>16</v>
      </c>
      <c r="J50" s="10" t="inlineStr">
        <is>
          <t>CZĘŚCIOWE</t>
        </is>
      </c>
      <c r="K50" s="11" t="inlineStr">
        <is>
          <t>ops/scripts/node-hosting-profile.sh (da build dovecot_pigeonhole); client-panel MailTab.tsx (Filtry w webmailu)</t>
        </is>
      </c>
    </row>
    <row r="51">
      <c r="A51" s="10" t="inlineStr">
        <is>
          <t>E-19</t>
        </is>
      </c>
      <c r="B51" s="10" t="inlineStr">
        <is>
          <t>E-10</t>
        </is>
      </c>
      <c r="C51" s="11" t="inlineStr">
        <is>
          <t>Poczta: filtry, kalendarz, limity</t>
        </is>
      </c>
      <c r="D51" s="10" t="inlineStr">
        <is>
          <t>Q2 2027</t>
        </is>
      </c>
      <c r="E51" s="10" t="inlineStr">
        <is>
          <t>ŚREDNI</t>
        </is>
      </c>
      <c r="F51" s="11" t="inlineStr">
        <is>
          <t>Podgląd kolejki i logów dostarczania</t>
        </is>
      </c>
      <c r="G51" s="10" t="inlineStr">
        <is>
          <t>E — Poczta</t>
        </is>
      </c>
      <c r="H51" s="10" t="inlineStr">
        <is>
          <t>ŚREDNIA</t>
        </is>
      </c>
      <c r="I51" s="10" t="n">
        <v>16</v>
      </c>
      <c r="J51" s="10" t="inlineStr">
        <is>
          <t>CZĘŚCIOWE</t>
        </is>
      </c>
      <c r="K51"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52">
      <c r="A52" s="10" t="inlineStr">
        <is>
          <t>E-21</t>
        </is>
      </c>
      <c r="B52" s="10" t="inlineStr">
        <is>
          <t>E-10</t>
        </is>
      </c>
      <c r="C52" s="11" t="inlineStr">
        <is>
          <t>Poczta: filtry, kalendarz, limity</t>
        </is>
      </c>
      <c r="D52" s="10" t="inlineStr">
        <is>
          <t>Q2 2027</t>
        </is>
      </c>
      <c r="E52" s="10" t="inlineStr">
        <is>
          <t>ŚREDNI</t>
        </is>
      </c>
      <c r="F52" s="11" t="inlineStr">
        <is>
          <t>Samodzielny import skrzynek przez IMAP</t>
        </is>
      </c>
      <c r="G52" s="10" t="inlineStr">
        <is>
          <t>E — Poczta</t>
        </is>
      </c>
      <c r="H52" s="10" t="inlineStr">
        <is>
          <t>ŚREDNIA</t>
        </is>
      </c>
      <c r="I52" s="10" t="n">
        <v>6</v>
      </c>
      <c r="J52" s="10" t="inlineStr">
        <is>
          <t>CZĘŚCIOWE</t>
        </is>
      </c>
      <c r="K52" s="11" t="inlineStr">
        <is>
          <t>subscriptions/migration-orchestrator.service.ts createBundle (IMAP_SYNC, imapsync w node-migration-worker.sh); migrations/migration-wizard.tsx tryb tylkoPoczta; MailTab.tsx „Przenieś pocztę z innego serwera”; test migration-orchestrator.service.spec.ts</t>
        </is>
      </c>
    </row>
    <row r="53">
      <c r="A53" s="10" t="inlineStr">
        <is>
          <t>E-23</t>
        </is>
      </c>
      <c r="B53" s="10" t="inlineStr">
        <is>
          <t>E-10</t>
        </is>
      </c>
      <c r="C53" s="11" t="inlineStr">
        <is>
          <t>Poczta: filtry, kalendarz, limity</t>
        </is>
      </c>
      <c r="D53" s="10" t="inlineStr">
        <is>
          <t>Q2 2027</t>
        </is>
      </c>
      <c r="E53" s="10" t="inlineStr">
        <is>
          <t>ŚREDNI</t>
        </is>
      </c>
      <c r="F53" s="11" t="inlineStr">
        <is>
          <t>Kalendarz i kontakty (CalDAV/CardDAV)</t>
        </is>
      </c>
      <c r="G53" s="10" t="inlineStr">
        <is>
          <t>E — Poczta</t>
        </is>
      </c>
      <c r="H53" s="10" t="inlineStr">
        <is>
          <t>NISKA</t>
        </is>
      </c>
      <c r="I53" s="10" t="n">
        <v>40</v>
      </c>
      <c r="J53" s="10" t="inlineStr">
        <is>
          <t>CZĘŚCIOWE</t>
        </is>
      </c>
      <c r="K53" s="11" t="inlineStr">
        <is>
          <t>node-hosting-profile.sh (Radicale 3.8.1 w venv, verris-radicale.service, verris-dav-backup); security-hardening-baseline.sh (5232/tcp); client-panel MailTab (adres i instrukcja); test kalendarz-kontakty.spec.ts</t>
        </is>
      </c>
    </row>
    <row r="54">
      <c r="A54" s="10" t="inlineStr">
        <is>
          <t>E-24</t>
        </is>
      </c>
      <c r="B54" s="10" t="inlineStr">
        <is>
          <t>E-10</t>
        </is>
      </c>
      <c r="C54" s="11" t="inlineStr">
        <is>
          <t>Poczta: filtry, kalendarz, limity</t>
        </is>
      </c>
      <c r="D54" s="10" t="inlineStr">
        <is>
          <t>Q2 2027</t>
        </is>
      </c>
      <c r="E54" s="10" t="inlineStr">
        <is>
          <t>ŚREDNI</t>
        </is>
      </c>
      <c r="F54" s="11" t="inlineStr">
        <is>
          <t>2FA dla webmaila</t>
        </is>
      </c>
      <c r="G54" s="10" t="inlineStr">
        <is>
          <t>E — Poczta</t>
        </is>
      </c>
      <c r="H54" s="10" t="inlineStr">
        <is>
          <t>NISKA</t>
        </is>
      </c>
      <c r="I54" s="10" t="n">
        <v>16</v>
      </c>
      <c r="J54" s="10" t="inlineStr">
        <is>
          <t>BRAK</t>
        </is>
      </c>
      <c r="K54" s="11" t="inlineStr">
        <is>
          <t>cyber_Folks ma nawet 2FA dla IMAP/SMTP</t>
        </is>
      </c>
    </row>
    <row r="55">
      <c r="A55" s="10" t="inlineStr">
        <is>
          <t>G-08</t>
        </is>
      </c>
      <c r="B55" s="10" t="inlineStr">
        <is>
          <t>E-06</t>
        </is>
      </c>
      <c r="C55" s="11" t="inlineStr">
        <is>
          <t>Bezpieczeństwo jako funkcja</t>
        </is>
      </c>
      <c r="D55" s="10" t="inlineStr">
        <is>
          <t>Q3 2027</t>
        </is>
      </c>
      <c r="E55" s="10" t="inlineStr">
        <is>
          <t>ŚREDNI</t>
        </is>
      </c>
      <c r="F55" s="11" t="inlineStr">
        <is>
          <t>Sprzedaż certyfikatów DV/OV/EV</t>
        </is>
      </c>
      <c r="G55" s="10" t="inlineStr">
        <is>
          <t>G — SSL i bezpieczeństwo</t>
        </is>
      </c>
      <c r="H55" s="10" t="inlineStr">
        <is>
          <t>NISKA</t>
        </is>
      </c>
      <c r="I55" s="10" t="n">
        <v>16</v>
      </c>
      <c r="J55" s="10" t="inlineStr">
        <is>
          <t>BRAK</t>
        </is>
      </c>
      <c r="K55" s="11" t="inlineStr">
        <is>
          <t>wszystkie 5 hostingów PL to sprzedaje</t>
        </is>
      </c>
    </row>
    <row r="56">
      <c r="A56" s="10" t="inlineStr">
        <is>
          <t>G-09</t>
        </is>
      </c>
      <c r="B56" s="10" t="inlineStr">
        <is>
          <t>E-06</t>
        </is>
      </c>
      <c r="C56" s="11" t="inlineStr">
        <is>
          <t>Bezpieczeństwo jako funkcja</t>
        </is>
      </c>
      <c r="D56" s="10" t="inlineStr">
        <is>
          <t>Q3 2027</t>
        </is>
      </c>
      <c r="E56" s="10" t="inlineStr">
        <is>
          <t>ŚREDNI</t>
        </is>
      </c>
      <c r="F56" s="11" t="inlineStr">
        <is>
          <t>WAF — włączenie i tryb pracy</t>
        </is>
      </c>
      <c r="G56" s="10" t="inlineStr">
        <is>
          <t>G — SSL i bezpieczeństwo</t>
        </is>
      </c>
      <c r="H56" s="10" t="inlineStr">
        <is>
          <t>—</t>
        </is>
      </c>
      <c r="I56" s="10" t="n">
        <v>0</v>
      </c>
      <c r="J56" s="10" t="inlineStr">
        <is>
          <t>CZĘŚCIOWE</t>
        </is>
      </c>
      <c r="K56" s="11" t="inlineStr">
        <is>
          <t>services.controller.ts:203</t>
        </is>
      </c>
    </row>
    <row r="57">
      <c r="A57" s="10" t="inlineStr">
        <is>
          <t>G-12</t>
        </is>
      </c>
      <c r="B57" s="10" t="inlineStr">
        <is>
          <t>E-06</t>
        </is>
      </c>
      <c r="C57" s="11" t="inlineStr">
        <is>
          <t>Bezpieczeństwo jako funkcja</t>
        </is>
      </c>
      <c r="D57" s="10" t="inlineStr">
        <is>
          <t>Q3 2027</t>
        </is>
      </c>
      <c r="E57" s="10" t="inlineStr">
        <is>
          <t>ŚREDNI</t>
        </is>
      </c>
      <c r="F57" s="11" t="inlineStr">
        <is>
          <t>Czyszczenie zainfekowanych plików</t>
        </is>
      </c>
      <c r="G57" s="10" t="inlineStr">
        <is>
          <t>G — SSL i bezpieczeństwo</t>
        </is>
      </c>
      <c r="H57" s="10" t="inlineStr">
        <is>
          <t>ŚREDNIA</t>
        </is>
      </c>
      <c r="I57" s="10" t="n">
        <v>40</v>
      </c>
      <c r="J57" s="10" t="inlineStr">
        <is>
          <t>BRAK</t>
        </is>
      </c>
      <c r="K57" s="11" t="inlineStr">
        <is>
          <t xml:space="preserve"> | DECYZJA WŁAŚCICIELA 2026-09-25: na start darmowy ImunifyAV (wykrywanie, G-11), czyszczenie robi obsługa na zgłoszenie; płatny ImunifyAV+ po starcie (wybór „po starcie”).</t>
        </is>
      </c>
    </row>
    <row r="58">
      <c r="A58" s="10" t="inlineStr">
        <is>
          <t>G-21</t>
        </is>
      </c>
      <c r="B58" s="10" t="inlineStr">
        <is>
          <t>E-06</t>
        </is>
      </c>
      <c r="C58" s="11" t="inlineStr">
        <is>
          <t>Bezpieczeństwo jako funkcja</t>
        </is>
      </c>
      <c r="D58" s="10" t="inlineStr">
        <is>
          <t>Q3 2027</t>
        </is>
      </c>
      <c r="E58" s="10" t="inlineStr">
        <is>
          <t>ŚREDNI</t>
        </is>
      </c>
      <c r="F58" s="11" t="inlineStr">
        <is>
          <t>Anty-DDoS</t>
        </is>
      </c>
      <c r="G58" s="10" t="inlineStr">
        <is>
          <t>G — SSL i bezpieczeństwo</t>
        </is>
      </c>
      <c r="H58" s="10" t="inlineStr">
        <is>
          <t>ŚREDNIA</t>
        </is>
      </c>
      <c r="I58" s="10" t="n">
        <v>40</v>
      </c>
      <c r="J58" s="10" t="inlineStr">
        <is>
          <t>CZĘŚCIOWE</t>
        </is>
      </c>
      <c r="K58" s="11" t="inlineStr">
        <is>
          <t>ops/docs/DDOS.md; Hetzner DDoS Protection (L3/L4, w cenie); RateLimitGuard + Turnstile (L7 panel/API); LiteSpeed Per-Client Throttling (węzeł, onboarding)</t>
        </is>
      </c>
    </row>
    <row r="59">
      <c r="A59" s="10" t="inlineStr">
        <is>
          <t>O-03</t>
        </is>
      </c>
      <c r="B59" s="10" t="inlineStr">
        <is>
          <t>E-07</t>
        </is>
      </c>
      <c r="C59" s="11" t="inlineStr">
        <is>
          <t>Reseller jako produkt</t>
        </is>
      </c>
      <c r="D59" s="10" t="inlineStr">
        <is>
          <t>Q3 2027</t>
        </is>
      </c>
      <c r="E59" s="10" t="inlineStr">
        <is>
          <t>ŚREDNI</t>
        </is>
      </c>
      <c r="F59" s="11" t="inlineStr">
        <is>
          <t>Dziennik audytu działań subkont</t>
        </is>
      </c>
      <c r="G59" s="10" t="inlineStr">
        <is>
          <t>O — Multi-user i reseller</t>
        </is>
      </c>
      <c r="H59" s="10" t="inlineStr">
        <is>
          <t>ŚREDNIA</t>
        </is>
      </c>
      <c r="I59" s="10" t="n">
        <v>16</v>
      </c>
      <c r="J59" s="10" t="inlineStr">
        <is>
          <t>CZĘŚCIOWE</t>
        </is>
      </c>
      <c r="K59" s="11" t="inlineStr">
        <is>
          <t>customer-iam.controller.ts:36; customer-iam.service.ts listAudit; iam/iam-audit-section.tsx; test customer-iam.service.spec.ts</t>
        </is>
      </c>
    </row>
    <row r="60">
      <c r="A60" s="10" t="inlineStr">
        <is>
          <t>O-05</t>
        </is>
      </c>
      <c r="B60" s="10" t="inlineStr">
        <is>
          <t>E-07</t>
        </is>
      </c>
      <c r="C60" s="11" t="inlineStr">
        <is>
          <t>Reseller jako produkt</t>
        </is>
      </c>
      <c r="D60" s="10" t="inlineStr">
        <is>
          <t>Q3 2027</t>
        </is>
      </c>
      <c r="E60" s="10" t="inlineStr">
        <is>
          <t>ŚREDNI</t>
        </is>
      </c>
      <c r="F60" s="11" t="inlineStr">
        <is>
          <t>Reseller — przegląd klientów</t>
        </is>
      </c>
      <c r="G60" s="10" t="inlineStr">
        <is>
          <t>O — Multi-user i reseller</t>
        </is>
      </c>
      <c r="H60" s="10" t="inlineStr">
        <is>
          <t>ŚREDNIA</t>
        </is>
      </c>
      <c r="I60" s="10" t="n">
        <v>40</v>
      </c>
      <c r="J60" s="10" t="inlineStr">
        <is>
          <t>DZIAŁA</t>
        </is>
      </c>
      <c r="K60" s="11" t="inlineStr">
        <is>
          <t>reseller-klienci.service.ts + reseller.controller.ts (5 tras), reseller-klient.tsx; reseller-klienci.int-spec.ts (6 testów na PostgreSQL)</t>
        </is>
      </c>
    </row>
    <row r="61">
      <c r="A61" s="10" t="inlineStr">
        <is>
          <t>O-06</t>
        </is>
      </c>
      <c r="B61" s="10" t="inlineStr">
        <is>
          <t>E-07</t>
        </is>
      </c>
      <c r="C61" s="11" t="inlineStr">
        <is>
          <t>Reseller jako produkt</t>
        </is>
      </c>
      <c r="D61" s="10" t="inlineStr">
        <is>
          <t>Q3 2027</t>
        </is>
      </c>
      <c r="E61" s="10" t="inlineStr">
        <is>
          <t>ŚREDNI</t>
        </is>
      </c>
      <c r="F61" s="11" t="inlineStr">
        <is>
          <t>Reseller — zakładanie kont klientom</t>
        </is>
      </c>
      <c r="G61" s="10" t="inlineStr">
        <is>
          <t>O — Multi-user i reseller</t>
        </is>
      </c>
      <c r="H61" s="10" t="inlineStr">
        <is>
          <t>ŚREDNIA</t>
        </is>
      </c>
      <c r="I61" s="10" t="n">
        <v>40</v>
      </c>
      <c r="J61" s="10" t="inlineStr">
        <is>
          <t>CZĘŚCIOWE</t>
        </is>
      </c>
      <c r="K61" s="11" t="inlineStr">
        <is>
          <t>reseller.controller.ts POST me/clients → reseller.service.ts createClient; reseller-client.tsx „Załóż konto klientowi”; test reseller.apply.spec.ts</t>
        </is>
      </c>
    </row>
    <row r="62">
      <c r="A62" s="10" t="inlineStr">
        <is>
          <t>O-09</t>
        </is>
      </c>
      <c r="B62" s="10" t="inlineStr">
        <is>
          <t>E-07</t>
        </is>
      </c>
      <c r="C62" s="11" t="inlineStr">
        <is>
          <t>Reseller jako produkt</t>
        </is>
      </c>
      <c r="D62" s="10" t="inlineStr">
        <is>
          <t>Q3 2027</t>
        </is>
      </c>
      <c r="E62" s="10" t="inlineStr">
        <is>
          <t>ŚREDNI</t>
        </is>
      </c>
      <c r="F62" s="11" t="inlineStr">
        <is>
          <t>White-label / własna marka resellera</t>
        </is>
      </c>
      <c r="G62" s="10" t="inlineStr">
        <is>
          <t>O — Multi-user i reseller</t>
        </is>
      </c>
      <c r="H62" s="10" t="inlineStr">
        <is>
          <t>NISKA</t>
        </is>
      </c>
      <c r="I62" s="10" t="n">
        <v>40</v>
      </c>
      <c r="J62" s="10" t="inlineStr">
        <is>
          <t>DZIAŁA</t>
        </is>
      </c>
      <c r="K62" s="11" t="inlineStr">
        <is>
          <t>reseller-marka.ts, mailer.service.ts applyPartnerBrand, reseller-logo.public.controller.ts, layout.tsx (sidebar), migracja 20260925230000_reseller_logo</t>
        </is>
      </c>
    </row>
    <row r="63">
      <c r="A63" s="10" t="inlineStr">
        <is>
          <t>Z-10</t>
        </is>
      </c>
      <c r="B63" s="10" t="inlineStr">
        <is>
          <t>E-07</t>
        </is>
      </c>
      <c r="C63" s="11" t="inlineStr">
        <is>
          <t>Reseller jako produkt</t>
        </is>
      </c>
      <c r="D63" s="10" t="inlineStr">
        <is>
          <t>Q3 2027</t>
        </is>
      </c>
      <c r="E63" s="10" t="inlineStr">
        <is>
          <t>ŚREDNI</t>
        </is>
      </c>
      <c r="F63" s="11" t="inlineStr">
        <is>
          <t>Izolacja rekordów między kontami klientów + dziennik odmów subkont</t>
        </is>
      </c>
      <c r="G63" s="10" t="inlineStr">
        <is>
          <t>O — Multi-user i reseller</t>
        </is>
      </c>
      <c r="H63" s="10" t="inlineStr">
        <is>
          <t>WYSOKA</t>
        </is>
      </c>
      <c r="I63" s="10" t="n">
        <v>40</v>
      </c>
      <c r="J63" s="10" t="inlineStr">
        <is>
          <t>CZĘŚCIOWE</t>
        </is>
      </c>
      <c r="K63" s="11" t="inlineStr">
        <is>
          <t>common/guards/customer-permissions.guard.ts zapiszOdmowe; addons/addon.service.ts purchase; servers/directadmin.service.ts assertDomenaNieJestCudza; testy customer-permissions.guard.spec.ts, addon.service.spec.ts, directadmin.domeny.spec.ts</t>
        </is>
      </c>
    </row>
    <row r="64">
      <c r="A64" s="10" t="inlineStr">
        <is>
          <t>P-11</t>
        </is>
      </c>
      <c r="B64" s="10" t="inlineStr">
        <is>
          <t>E-08</t>
        </is>
      </c>
      <c r="C64" s="11" t="inlineStr">
        <is>
          <t>Dostępność i zgodność w produkcie</t>
        </is>
      </c>
      <c r="D64" s="10" t="inlineStr">
        <is>
          <t>Q3 2027</t>
        </is>
      </c>
      <c r="E64" s="10" t="inlineStr">
        <is>
          <t>ŚREDNI</t>
        </is>
      </c>
      <c r="F64" s="11" t="inlineStr">
        <is>
          <t>Rejestr czynności przetwarzania (art. 30)</t>
        </is>
      </c>
      <c r="G64" s="10" t="inlineStr">
        <is>
          <t>P — Zgodność</t>
        </is>
      </c>
      <c r="H64" s="10" t="inlineStr">
        <is>
          <t>ŚREDNIA</t>
        </is>
      </c>
      <c r="I64" s="10" t="n">
        <v>16</v>
      </c>
      <c r="J64" s="10" t="inlineStr">
        <is>
          <t>BRAK</t>
        </is>
      </c>
      <c r="K64" s="11" t="inlineStr">
        <is>
          <t>docs/legal/rcpd.md — sekcje A (administrator), B (procesor, art. 30 ust. 2), C (art. 32), D (przeglądy)</t>
        </is>
      </c>
    </row>
    <row r="65">
      <c r="A65" s="10" t="inlineStr">
        <is>
          <t>P-12</t>
        </is>
      </c>
      <c r="B65" s="10" t="inlineStr">
        <is>
          <t>E-08</t>
        </is>
      </c>
      <c r="C65" s="11" t="inlineStr">
        <is>
          <t>Dostępność i zgodność w produkcie</t>
        </is>
      </c>
      <c r="D65" s="10" t="inlineStr">
        <is>
          <t>Q3 2027</t>
        </is>
      </c>
      <c r="E65" s="10" t="inlineStr">
        <is>
          <t>ŚREDNI</t>
        </is>
      </c>
      <c r="F65" s="11" t="inlineStr">
        <is>
          <t>Dostępność panelu wg WCAG 2.1 AA (EAA)</t>
        </is>
      </c>
      <c r="G65" s="10" t="inlineStr">
        <is>
          <t>P — Zgodność</t>
        </is>
      </c>
      <c r="H65" s="10" t="inlineStr">
        <is>
          <t>ŚREDNIA</t>
        </is>
      </c>
      <c r="I65" s="10" t="n">
        <v>40</v>
      </c>
      <c r="J65" s="10" t="inlineStr">
        <is>
          <t>DZIAŁA</t>
        </is>
      </c>
      <c r="K65" s="11" t="inlineStr">
        <is>
          <t>eslint.config.mjs w 4 aplikacjach: jsx-a11y recommended jako błędy (34 reguły); 76 → 0 znalezisk (client 52, admin 17, staff 6, www 1); client-panel/src/lib/kontrast-tokenow.spec.ts; ops/qa/a11y-nazwy-kontrolek.js</t>
        </is>
      </c>
    </row>
    <row r="66">
      <c r="A66" s="10" t="inlineStr">
        <is>
          <t>P-14</t>
        </is>
      </c>
      <c r="B66" s="10" t="inlineStr">
        <is>
          <t>E-08</t>
        </is>
      </c>
      <c r="C66" s="11" t="inlineStr">
        <is>
          <t>Dostępność i zgodność w produkcie</t>
        </is>
      </c>
      <c r="D66" s="10" t="inlineStr">
        <is>
          <t>Q3 2027</t>
        </is>
      </c>
      <c r="E66" s="10" t="inlineStr">
        <is>
          <t>ŚREDNI</t>
        </is>
      </c>
      <c r="F66" s="11" t="inlineStr">
        <is>
          <t>Certyfikacja ISO 27001</t>
        </is>
      </c>
      <c r="G66" s="10" t="inlineStr">
        <is>
          <t>P — Zgodność</t>
        </is>
      </c>
      <c r="H66" s="10" t="inlineStr">
        <is>
          <t>NISKA</t>
        </is>
      </c>
      <c r="I66" s="10" t="n">
        <v>40</v>
      </c>
      <c r="J66" s="10" t="inlineStr">
        <is>
          <t>BRAK</t>
        </is>
      </c>
      <c r="K66" s="11" t="inlineStr">
        <is>
          <t>home.pl i nazwa.pl mają — element przetargowy w B2B</t>
        </is>
      </c>
    </row>
    <row r="67">
      <c r="A67" s="10" t="inlineStr">
        <is>
          <t>Q-09</t>
        </is>
      </c>
      <c r="B67" s="10" t="inlineStr">
        <is>
          <t>E-08</t>
        </is>
      </c>
      <c r="C67" s="11" t="inlineStr">
        <is>
          <t>Dostępność i zgodność w produkcie</t>
        </is>
      </c>
      <c r="D67" s="10" t="inlineStr">
        <is>
          <t>Q3 2027</t>
        </is>
      </c>
      <c r="E67" s="10" t="inlineStr">
        <is>
          <t>ŚREDNI</t>
        </is>
      </c>
      <c r="F67" s="11" t="inlineStr">
        <is>
          <t>Panel responsywny na telefonie</t>
        </is>
      </c>
      <c r="G67" s="10" t="inlineStr">
        <is>
          <t>Q — Przewaga</t>
        </is>
      </c>
      <c r="H67" s="10" t="inlineStr">
        <is>
          <t>WYSOKA</t>
        </is>
      </c>
      <c r="I67" s="10" t="n">
        <v>16</v>
      </c>
      <c r="J67" s="10" t="inlineStr">
        <is>
          <t>CZĘŚCIOWE</t>
        </is>
      </c>
      <c r="K67" s="11" t="inlineStr">
        <is>
          <t>src/test/tabele-na-telefonie.spec.ts — każda tabela panelu klienta ma v2-stack (globals.css @media ≤767px: wiersz → bloki z nazwą kolumny) albo idzie przez ResponsiveDataView; każda komórka ma data-label; zakaz hidden …:table-cell</t>
        </is>
      </c>
    </row>
    <row r="68">
      <c r="A68" s="10" t="inlineStr">
        <is>
          <t>F-06</t>
        </is>
      </c>
      <c r="B68" s="10" t="inlineStr">
        <is>
          <t>E-11</t>
        </is>
      </c>
      <c r="C68" s="11" t="inlineStr">
        <is>
          <t>DNS: DNSSEC i zarządzanie strefą</t>
        </is>
      </c>
      <c r="D68" s="10" t="inlineStr">
        <is>
          <t>Q3 2027</t>
        </is>
      </c>
      <c r="E68" s="10" t="inlineStr">
        <is>
          <t>ŚREDNI</t>
        </is>
      </c>
      <c r="F68" s="11" t="inlineStr">
        <is>
          <t>DNSSEC</t>
        </is>
      </c>
      <c r="G68" s="10" t="inlineStr">
        <is>
          <t>F — DNS</t>
        </is>
      </c>
      <c r="H68" s="10" t="inlineStr">
        <is>
          <t>ŚREDNIA</t>
        </is>
      </c>
      <c r="I68" s="10" t="n">
        <v>16</v>
      </c>
      <c r="J68" s="10" t="inlineStr">
        <is>
          <t>CZĘŚCIOWE</t>
        </is>
      </c>
      <c r="K68" s="11" t="inlineStr">
        <is>
          <t>servers/directadmin.service.ts getHostingDnssec/enableHostingDnssec/disableHostingDnssec; services.controller.ts :id/hosting-dns/dnssec; client-panel components/hosting/DnssecPanel.tsx; ops/scripts/node-hosting-profile.sh dnssec=1; test directadmin.dnssec.spec.ts</t>
        </is>
      </c>
    </row>
    <row r="69">
      <c r="A69" s="10" t="inlineStr">
        <is>
          <t>F-11</t>
        </is>
      </c>
      <c r="B69" s="10" t="inlineStr">
        <is>
          <t>E-11</t>
        </is>
      </c>
      <c r="C69" s="11" t="inlineStr">
        <is>
          <t>DNS: DNSSEC i zarządzanie strefą</t>
        </is>
      </c>
      <c r="D69" s="10" t="inlineStr">
        <is>
          <t>Q3 2027</t>
        </is>
      </c>
      <c r="E69" s="10" t="inlineStr">
        <is>
          <t>ŚREDNI</t>
        </is>
      </c>
      <c r="F69" s="11" t="inlineStr">
        <is>
          <t>Zmiana TTL rekordów</t>
        </is>
      </c>
      <c r="G69" s="10" t="inlineStr">
        <is>
          <t>F — DNS</t>
        </is>
      </c>
      <c r="H69" s="10" t="inlineStr">
        <is>
          <t>ŚREDNIA</t>
        </is>
      </c>
      <c r="I69" s="10" t="n">
        <v>6</v>
      </c>
      <c r="J69" s="10" t="inlineStr">
        <is>
          <t>CZĘŚCIOWE</t>
        </is>
      </c>
      <c r="K69" s="11" t="inlineStr">
        <is>
          <t>dns-manager.tsx:287,349 — pole TTL w formularzu rekordu → UtworzRekordDnsDto.ttl (60–86400) → directadmin.service createHostingDnsRecord ttl</t>
        </is>
      </c>
    </row>
    <row r="70">
      <c r="A70" s="10" t="inlineStr">
        <is>
          <t>F-12</t>
        </is>
      </c>
      <c r="B70" s="10" t="inlineStr">
        <is>
          <t>E-11</t>
        </is>
      </c>
      <c r="C70" s="11" t="inlineStr">
        <is>
          <t>DNS: DNSSEC i zarządzanie strefą</t>
        </is>
      </c>
      <c r="D70" s="10" t="inlineStr">
        <is>
          <t>Q3 2027</t>
        </is>
      </c>
      <c r="E70" s="10" t="inlineStr">
        <is>
          <t>ŚREDNI</t>
        </is>
      </c>
      <c r="F70" s="11" t="inlineStr">
        <is>
          <t>Anycast DNS</t>
        </is>
      </c>
      <c r="G70" s="10" t="inlineStr">
        <is>
          <t>F — DNS</t>
        </is>
      </c>
      <c r="H70" s="10" t="inlineStr">
        <is>
          <t>NISKA</t>
        </is>
      </c>
      <c r="I70" s="10" t="n">
        <v>40</v>
      </c>
      <c r="J70" s="10" t="inlineStr">
        <is>
          <t>BRAK</t>
        </is>
      </c>
      <c r="K70" s="11" t="inlineStr">
        <is>
          <t>tylko nazwa.pl na rynku PL</t>
        </is>
      </c>
    </row>
    <row r="71">
      <c r="A71" s="10" t="inlineStr">
        <is>
          <t>L-08</t>
        </is>
      </c>
      <c r="B71" s="10" t="inlineStr">
        <is>
          <t>E-13</t>
        </is>
      </c>
      <c r="C71" s="11" t="inlineStr">
        <is>
          <t>Automatyzacja: API zapisu i webhooki</t>
        </is>
      </c>
      <c r="D71" s="10" t="inlineStr">
        <is>
          <t>Q3 2027</t>
        </is>
      </c>
      <c r="E71" s="10" t="inlineStr">
        <is>
          <t>ŚREDNI</t>
        </is>
      </c>
      <c r="F71" s="11" t="inlineStr">
        <is>
          <t>Publiczne API — zapis</t>
        </is>
      </c>
      <c r="G71" s="10" t="inlineStr">
        <is>
          <t>L — Automatyzacja</t>
        </is>
      </c>
      <c r="H71" s="10" t="inlineStr">
        <is>
          <t>ŚREDNIA</t>
        </is>
      </c>
      <c r="I71" s="10" t="n">
        <v>40</v>
      </c>
      <c r="J71" s="10" t="inlineStr">
        <is>
          <t>CZĘŚCIOWE</t>
        </is>
      </c>
      <c r="K71"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72">
      <c r="A72" s="10" t="inlineStr">
        <is>
          <t>L-10</t>
        </is>
      </c>
      <c r="B72" s="10" t="inlineStr">
        <is>
          <t>E-13</t>
        </is>
      </c>
      <c r="C72" s="11" t="inlineStr">
        <is>
          <t>Automatyzacja: API zapisu i webhooki</t>
        </is>
      </c>
      <c r="D72" s="10" t="inlineStr">
        <is>
          <t>Q3 2027</t>
        </is>
      </c>
      <c r="E72" s="10" t="inlineStr">
        <is>
          <t>ŚREDNI</t>
        </is>
      </c>
      <c r="F72" s="11" t="inlineStr">
        <is>
          <t>Webhooki dla klienta</t>
        </is>
      </c>
      <c r="G72" s="10" t="inlineStr">
        <is>
          <t>L — Automatyzacja</t>
        </is>
      </c>
      <c r="H72" s="10" t="inlineStr">
        <is>
          <t>NISKA</t>
        </is>
      </c>
      <c r="I72" s="10" t="n">
        <v>16</v>
      </c>
      <c r="J72" s="10" t="inlineStr">
        <is>
          <t>CZĘŚCIOWE</t>
        </is>
      </c>
      <c r="K72" s="11" t="inlineStr">
        <is>
          <t>client-webhooks/ (serwis, kontroler users/me/webhooks, moduł globalny); node-tasks.service.ts → poZadaniu; api-tokens/webhooks-client.tsx; migracja 20260924242000_client_webhooks; test client-webhooks.service.spec.ts</t>
        </is>
      </c>
    </row>
    <row r="73">
      <c r="A73" s="10" t="inlineStr">
        <is>
          <t>L-11</t>
        </is>
      </c>
      <c r="B73" s="10" t="inlineStr">
        <is>
          <t>E-13</t>
        </is>
      </c>
      <c r="C73" s="11" t="inlineStr">
        <is>
          <t>Automatyzacja: API zapisu i webhooki</t>
        </is>
      </c>
      <c r="D73" s="10" t="inlineStr">
        <is>
          <t>Q3 2027</t>
        </is>
      </c>
      <c r="E73" s="10" t="inlineStr">
        <is>
          <t>ŚREDNI</t>
        </is>
      </c>
      <c r="F73" s="11" t="inlineStr">
        <is>
          <t>Asystent AI w panelu</t>
        </is>
      </c>
      <c r="G73" s="10" t="inlineStr">
        <is>
          <t>L — Automatyzacja</t>
        </is>
      </c>
      <c r="H73" s="10" t="inlineStr">
        <is>
          <t>ŚREDNIA</t>
        </is>
      </c>
      <c r="I73" s="10" t="n">
        <v>6</v>
      </c>
      <c r="J73" s="10" t="inlineStr">
        <is>
          <t>FLAGA</t>
        </is>
      </c>
      <c r="K73" s="11" t="inlineStr">
        <is>
          <t>ai-modele.ts; ai-provider.service.ts; ai-ustawienia.admin.controller.ts; admin /settings/ai</t>
        </is>
      </c>
    </row>
    <row r="74">
      <c r="A74" s="10" t="inlineStr">
        <is>
          <t>L-12</t>
        </is>
      </c>
      <c r="B74" s="10" t="inlineStr">
        <is>
          <t>E-13</t>
        </is>
      </c>
      <c r="C74" s="11" t="inlineStr">
        <is>
          <t>Automatyzacja: API zapisu i webhooki</t>
        </is>
      </c>
      <c r="D74" s="10" t="inlineStr">
        <is>
          <t>Q3 2027</t>
        </is>
      </c>
      <c r="E74" s="10" t="inlineStr">
        <is>
          <t>ŚREDNI</t>
        </is>
      </c>
      <c r="F74" s="11" t="inlineStr">
        <is>
          <t>Prognoza zużycia zasobów (AI)</t>
        </is>
      </c>
      <c r="G74" s="10" t="inlineStr">
        <is>
          <t>L — Automatyzacja</t>
        </is>
      </c>
      <c r="H74" s="10" t="inlineStr">
        <is>
          <t>NISKA</t>
        </is>
      </c>
      <c r="I74" s="10" t="n">
        <v>6</v>
      </c>
      <c r="J74" s="10" t="inlineStr">
        <is>
          <t>FLAGA</t>
        </is>
      </c>
      <c r="K74" s="11" t="inlineStr">
        <is>
          <t>hosting-forecast-actions.ts:7; fallback ServiceForecastPanel.tsx:97</t>
        </is>
      </c>
    </row>
    <row r="75">
      <c r="A75" s="10" t="inlineStr">
        <is>
          <t>NODE-01</t>
        </is>
      </c>
      <c r="B75" s="10" t="inlineStr">
        <is>
          <t>E-16</t>
        </is>
      </c>
      <c r="C75" s="11" t="inlineStr">
        <is>
          <t>Rozszerzenia oferty</t>
        </is>
      </c>
      <c r="D75" s="10" t="inlineStr">
        <is>
          <t>Q4 2027</t>
        </is>
      </c>
      <c r="E75" s="10" t="inlineStr">
        <is>
          <t>NISKI</t>
        </is>
      </c>
      <c r="F75" s="11" t="inlineStr">
        <is>
          <t>Dwie niepołączone ścieżki dodania węzła w tym samym panelu</t>
        </is>
      </c>
      <c r="G75" s="10" t="inlineStr">
        <is>
          <t>Q — Przewaga</t>
        </is>
      </c>
      <c r="H75" s="10" t="inlineStr">
        <is>
          <t>ŚREDNIA</t>
        </is>
      </c>
      <c r="I75" s="10" t="n">
        <v>16</v>
      </c>
      <c r="J75" s="10" t="inlineStr">
        <is>
          <t>DZIAŁA</t>
        </is>
      </c>
      <c r="K75" s="11" t="inlineStr">
        <is>
          <t>node-wizard.tsx (krok „Instalacja (bootstrap v2)” z NodeBootstrapProgress), /nodes/init → przekierowanie, NODE_ONBOARD_RUNBOOK.md jedynym runbookiem</t>
        </is>
      </c>
    </row>
    <row r="76">
      <c r="A76" s="10" t="inlineStr">
        <is>
          <t>PROD-02</t>
        </is>
      </c>
      <c r="B76" s="10" t="inlineStr">
        <is>
          <t>E-16</t>
        </is>
      </c>
      <c r="C76" s="11" t="inlineStr">
        <is>
          <t>Rozszerzenia oferty</t>
        </is>
      </c>
      <c r="D76" s="10" t="inlineStr">
        <is>
          <t>Q4 2027</t>
        </is>
      </c>
      <c r="E76" s="10" t="inlineStr">
        <is>
          <t>NISKI</t>
        </is>
      </c>
      <c r="F76" s="11" t="inlineStr">
        <is>
          <t>Kreator klienta i procent konfiguracji w sidebarze</t>
        </is>
      </c>
      <c r="G76" s="10" t="inlineStr">
        <is>
          <t>Q — Przewaga</t>
        </is>
      </c>
      <c r="H76" s="10" t="inlineStr">
        <is>
          <t>WYSOKA</t>
        </is>
      </c>
      <c r="I76" s="10" t="n">
        <v>16</v>
      </c>
      <c r="J76" s="10" t="inlineStr">
        <is>
          <t>DZIAŁA</t>
        </is>
      </c>
      <c r="K76" s="11" t="inlineStr">
        <is>
          <t>onboarding-kroki.ts (najnizszyPostep, uslugiOnboardingu) + onboarding-kroki.spec.ts (13 testów); layout.tsx SetupProgress nad belką użytkownika; User.onboardingHidden (migracja 20260924090000) + PATCH /users/me; users.service.profile.spec.ts</t>
        </is>
      </c>
    </row>
    <row r="77">
      <c r="A77" s="10" t="inlineStr">
        <is>
          <t>Q-06</t>
        </is>
      </c>
      <c r="B77" s="10" t="inlineStr">
        <is>
          <t>E-16</t>
        </is>
      </c>
      <c r="C77" s="11" t="inlineStr">
        <is>
          <t>Rozszerzenia oferty</t>
        </is>
      </c>
      <c r="D77" s="10" t="inlineStr">
        <is>
          <t>Q4 2027</t>
        </is>
      </c>
      <c r="E77" s="10" t="inlineStr">
        <is>
          <t>NISKI</t>
        </is>
      </c>
      <c r="F77" s="11" t="inlineStr">
        <is>
          <t>VPS / cloud w tym samym panelu</t>
        </is>
      </c>
      <c r="G77" s="10" t="inlineStr">
        <is>
          <t>Q — Przewaga</t>
        </is>
      </c>
      <c r="H77" s="10" t="inlineStr">
        <is>
          <t>ŚREDNIA</t>
        </is>
      </c>
      <c r="I77" s="10" t="n">
        <v>16</v>
      </c>
      <c r="J77" s="10" t="inlineStr">
        <is>
          <t>FLAGA</t>
        </is>
      </c>
      <c r="K77" s="11" t="inlineStr">
        <is>
          <t>vps.controller.ts:53,59,69; HETZNER_API_TOKEN</t>
        </is>
      </c>
    </row>
    <row r="78">
      <c r="A78" s="10" t="inlineStr">
        <is>
          <t>Q-07</t>
        </is>
      </c>
      <c r="B78" s="10" t="inlineStr">
        <is>
          <t>E-16</t>
        </is>
      </c>
      <c r="C78" s="11" t="inlineStr">
        <is>
          <t>Rozszerzenia oferty</t>
        </is>
      </c>
      <c r="D78" s="10" t="inlineStr">
        <is>
          <t>Q4 2027</t>
        </is>
      </c>
      <c r="E78" s="10" t="inlineStr">
        <is>
          <t>NISKI</t>
        </is>
      </c>
      <c r="F78" s="11" t="inlineStr">
        <is>
          <t>VPS — konsola / VNC</t>
        </is>
      </c>
      <c r="G78" s="10" t="inlineStr">
        <is>
          <t>Q — Przewaga</t>
        </is>
      </c>
      <c r="H78" s="10" t="inlineStr">
        <is>
          <t>NISKA</t>
        </is>
      </c>
      <c r="I78" s="10" t="n">
        <v>16</v>
      </c>
      <c r="J78" s="10" t="inlineStr">
        <is>
          <t>BRAK</t>
        </is>
      </c>
      <c r="K78" s="11" t="inlineStr"/>
    </row>
    <row r="79">
      <c r="A79" s="10" t="inlineStr">
        <is>
          <t>Q-08</t>
        </is>
      </c>
      <c r="B79" s="10" t="inlineStr">
        <is>
          <t>E-16</t>
        </is>
      </c>
      <c r="C79" s="11" t="inlineStr">
        <is>
          <t>Rozszerzenia oferty</t>
        </is>
      </c>
      <c r="D79" s="10" t="inlineStr">
        <is>
          <t>Q4 2027</t>
        </is>
      </c>
      <c r="E79" s="10" t="inlineStr">
        <is>
          <t>NISKI</t>
        </is>
      </c>
      <c r="F79" s="11" t="inlineStr">
        <is>
          <t>VPS — snapshoty i rebuild</t>
        </is>
      </c>
      <c r="G79" s="10" t="inlineStr">
        <is>
          <t>Q — Przewaga</t>
        </is>
      </c>
      <c r="H79" s="10" t="inlineStr">
        <is>
          <t>NISKA</t>
        </is>
      </c>
      <c r="I79" s="10" t="n">
        <v>16</v>
      </c>
      <c r="J79" s="10" t="inlineStr">
        <is>
          <t>BRAK</t>
        </is>
      </c>
      <c r="K79" s="11" t="inlineStr"/>
    </row>
    <row r="80">
      <c r="A80" s="10" t="inlineStr">
        <is>
          <t>Q-14</t>
        </is>
      </c>
      <c r="B80" s="10" t="inlineStr">
        <is>
          <t>E-16</t>
        </is>
      </c>
      <c r="C80" s="11" t="inlineStr">
        <is>
          <t>Rozszerzenia oferty</t>
        </is>
      </c>
      <c r="D80" s="10" t="inlineStr">
        <is>
          <t>Q4 2027</t>
        </is>
      </c>
      <c r="E80" s="10" t="inlineStr">
        <is>
          <t>NISKI</t>
        </is>
      </c>
      <c r="F80" s="11" t="inlineStr">
        <is>
          <t>Kreator uruchomienia węzła</t>
        </is>
      </c>
      <c r="G80" s="10" t="inlineStr">
        <is>
          <t>Q — Przewaga</t>
        </is>
      </c>
      <c r="H80" s="10" t="inlineStr">
        <is>
          <t>WYSOKA</t>
        </is>
      </c>
      <c r="I80" s="10" t="n">
        <v>16</v>
      </c>
      <c r="J80" s="10" t="inlineStr">
        <is>
          <t>CZĘŚCIOWE</t>
        </is>
      </c>
      <c r="K80" s="11" t="inlineStr">
        <is>
          <t>node-wizard.tsx:277,288 — realnie tylko init + bootstrap; 7 z 9 kroków to treść runbooka (wizard-content.ts:21-40)</t>
        </is>
      </c>
    </row>
    <row r="81">
      <c r="A81" s="10" t="inlineStr">
        <is>
          <t>X-04</t>
        </is>
      </c>
      <c r="B81" s="10" t="inlineStr">
        <is>
          <t>E-09</t>
        </is>
      </c>
      <c r="C81" s="11" t="inlineStr">
        <is>
          <t>Pokrycie testowe warstw krytycznych</t>
        </is>
      </c>
      <c r="D81" s="10" t="inlineStr">
        <is>
          <t>ciągłe</t>
        </is>
      </c>
      <c r="E81" s="10" t="inlineStr">
        <is>
          <t>WYSOKI</t>
        </is>
      </c>
      <c r="F81" s="11" t="inlineStr">
        <is>
          <t>Testy integracyjne / e2e API</t>
        </is>
      </c>
      <c r="G81" s="10" t="inlineStr">
        <is>
          <t>X — Infrastruktura jakości</t>
        </is>
      </c>
      <c r="H81" s="10" t="inlineStr">
        <is>
          <t>WYSOKA</t>
        </is>
      </c>
      <c r="I81" s="10" t="n">
        <v>40</v>
      </c>
      <c r="J81" s="10" t="inlineStr">
        <is>
          <t>CZĘŚCIOWE</t>
        </is>
      </c>
      <c r="K81"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row>
  </sheetData>
  <autoFilter ref="A1:K8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2026-09-26T20:35:25Z</dcterms:created>
  <dcterms:modified xmlns:dcterms="http://purl.org/dc/terms/" xmlns:xsi="http://www.w3.org/2001/XMLSchema-instance" xsi:type="dcterms:W3CDTF">2026-09-26T20:35:25Z</dcterms:modified>
</cp:coreProperties>
</file>