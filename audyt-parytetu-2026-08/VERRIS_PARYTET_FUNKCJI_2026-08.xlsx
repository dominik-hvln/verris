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COUNTIF(Macierz!$K$2:$K$372,A6)</f>
        <v/>
      </c>
    </row>
    <row r="7">
      <c r="A7" s="5" t="inlineStr">
        <is>
          <t>PRZEWAGA</t>
        </is>
      </c>
      <c r="B7" s="5">
        <f>COUNTIF(Macierz!$K$2:$K$372,A7)</f>
        <v/>
      </c>
    </row>
    <row r="8">
      <c r="A8" s="5" t="inlineStr">
        <is>
          <t>CZĘŚCIOWY</t>
        </is>
      </c>
      <c r="B8" s="5">
        <f>COUNTIF(Macierz!$K$2:$K$372,A8)</f>
        <v/>
      </c>
    </row>
    <row r="9">
      <c r="A9" s="5" t="inlineStr">
        <is>
          <t>LUKA</t>
        </is>
      </c>
      <c r="B9" s="5">
        <f>COUNTIF(Macierz!$K$2:$K$372,A9)</f>
        <v/>
      </c>
    </row>
    <row r="10">
      <c r="A10" s="5" t="inlineStr">
        <is>
          <t>POZA ZAKRESEM</t>
        </is>
      </c>
      <c r="B10" s="5">
        <f>COUNTIF(Macierz!$K$2:$K$372,A10)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COUNTIF(Macierz!$I$2:$I$372,A15)</f>
        <v/>
      </c>
    </row>
    <row r="16">
      <c r="A16" s="5" t="inlineStr">
        <is>
          <t>CZĘŚCIOWE</t>
        </is>
      </c>
      <c r="B16" s="5">
        <f>COUNTIF(Macierz!$I$2:$I$372,A16)</f>
        <v/>
      </c>
    </row>
    <row r="17">
      <c r="A17" s="5" t="inlineStr">
        <is>
          <t>FLAGA</t>
        </is>
      </c>
      <c r="B17" s="5">
        <f>COUNTIF(Macierz!$I$2:$I$372,A17)</f>
        <v/>
      </c>
    </row>
    <row r="18">
      <c r="A18" s="5" t="inlineStr">
        <is>
          <t>ATRAPA</t>
        </is>
      </c>
      <c r="B18" s="5">
        <f>COUNTIF(Macierz!$I$2:$I$372,A18)</f>
        <v/>
      </c>
    </row>
    <row r="19">
      <c r="A19" s="5" t="inlineStr">
        <is>
          <t>ENDPOINT BEZ UI</t>
        </is>
      </c>
      <c r="B19" s="5">
        <f>COUNTIF(Macierz!$I$2:$I$372,A19)</f>
        <v/>
      </c>
    </row>
    <row r="20">
      <c r="A20" s="5" t="inlineStr">
        <is>
          <t>BRAK</t>
        </is>
      </c>
      <c r="B20" s="5">
        <f>COUNTIF(Macierz!$I$2:$I$372,A20)</f>
        <v/>
      </c>
    </row>
    <row r="21">
      <c r="A21" s="5" t="inlineStr">
        <is>
          <t>b.d.</t>
        </is>
      </c>
      <c r="B21" s="5">
        <f>COUNTIF(Macierz!$I$2:$I$372,A21)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COUNTIF(Macierz!$L$2:$L$372,A26)</f>
        <v/>
      </c>
    </row>
    <row r="27">
      <c r="A27" s="5" t="inlineStr">
        <is>
          <t>WYSOKA</t>
        </is>
      </c>
      <c r="B27" s="5">
        <f>COUNTIF(Macierz!$L$2:$L$372,A27)</f>
        <v/>
      </c>
    </row>
    <row r="28">
      <c r="A28" s="5" t="inlineStr">
        <is>
          <t>ŚREDNIA</t>
        </is>
      </c>
      <c r="B28" s="5">
        <f>COUNTIF(Macierz!$L$2:$L$372,A28)</f>
        <v/>
      </c>
    </row>
    <row r="29">
      <c r="A29" s="5" t="inlineStr">
        <is>
          <t>NISKA</t>
        </is>
      </c>
      <c r="B29" s="5">
        <f>COUNTIF(Macierz!$L$2:$L$372,A29)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COUNTIF(Macierz!$B$2:$B$372,"A")</f>
        <v/>
      </c>
      <c r="C33" s="7">
        <f>COUNTIFS(Macierz!$B$2:$B$372,"A",Macierz!$K$2:$K$372,"PARYTET")+COUNTIFS(Macierz!$B$2:$B$372,"A",Macierz!$K$2:$K$372,"PRZEWAGA")</f>
        <v/>
      </c>
      <c r="D33" s="7">
        <f>COUNTIFS(Macierz!$B$2:$B$372,"A",Macierz!$K$2:$K$372,"LUKA")</f>
        <v/>
      </c>
      <c r="E33" s="7">
        <f>COUNTIFS(Macierz!$B$2:$B$372,"A",Macierz!$L$2:$L$372,"BLOKER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COUNTIF(Macierz!$B$2:$B$372,"B")</f>
        <v/>
      </c>
      <c r="C34" s="7">
        <f>COUNTIFS(Macierz!$B$2:$B$372,"B",Macierz!$K$2:$K$372,"PARYTET")+COUNTIFS(Macierz!$B$2:$B$372,"B",Macierz!$K$2:$K$372,"PRZEWAGA")</f>
        <v/>
      </c>
      <c r="D34" s="7">
        <f>COUNTIFS(Macierz!$B$2:$B$372,"B",Macierz!$K$2:$K$372,"LUKA")</f>
        <v/>
      </c>
      <c r="E34" s="7">
        <f>COUNTIFS(Macierz!$B$2:$B$372,"B",Macierz!$L$2:$L$372,"BLOKER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COUNTIF(Macierz!$B$2:$B$372,"C")</f>
        <v/>
      </c>
      <c r="C35" s="7">
        <f>COUNTIFS(Macierz!$B$2:$B$372,"C",Macierz!$K$2:$K$372,"PARYTET")+COUNTIFS(Macierz!$B$2:$B$372,"C",Macierz!$K$2:$K$372,"PRZEWAGA")</f>
        <v/>
      </c>
      <c r="D35" s="7">
        <f>COUNTIFS(Macierz!$B$2:$B$372,"C",Macierz!$K$2:$K$372,"LUKA")</f>
        <v/>
      </c>
      <c r="E35" s="7">
        <f>COUNTIFS(Macierz!$B$2:$B$372,"C",Macierz!$L$2:$L$372,"BLOKER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COUNTIF(Macierz!$B$2:$B$372,"D")</f>
        <v/>
      </c>
      <c r="C36" s="7">
        <f>COUNTIFS(Macierz!$B$2:$B$372,"D",Macierz!$K$2:$K$372,"PARYTET")+COUNTIFS(Macierz!$B$2:$B$372,"D",Macierz!$K$2:$K$372,"PRZEWAGA")</f>
        <v/>
      </c>
      <c r="D36" s="7">
        <f>COUNTIFS(Macierz!$B$2:$B$372,"D",Macierz!$K$2:$K$372,"LUKA")</f>
        <v/>
      </c>
      <c r="E36" s="7">
        <f>COUNTIFS(Macierz!$B$2:$B$372,"D",Macierz!$L$2:$L$372,"BLOKER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COUNTIF(Macierz!$B$2:$B$372,"E")</f>
        <v/>
      </c>
      <c r="C37" s="7">
        <f>COUNTIFS(Macierz!$B$2:$B$372,"E",Macierz!$K$2:$K$372,"PARYTET")+COUNTIFS(Macierz!$B$2:$B$372,"E",Macierz!$K$2:$K$372,"PRZEWAGA")</f>
        <v/>
      </c>
      <c r="D37" s="7">
        <f>COUNTIFS(Macierz!$B$2:$B$372,"E",Macierz!$K$2:$K$372,"LUKA")</f>
        <v/>
      </c>
      <c r="E37" s="7">
        <f>COUNTIFS(Macierz!$B$2:$B$372,"E",Macierz!$L$2:$L$372,"BLOKER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COUNTIF(Macierz!$B$2:$B$372,"F")</f>
        <v/>
      </c>
      <c r="C38" s="7">
        <f>COUNTIFS(Macierz!$B$2:$B$372,"F",Macierz!$K$2:$K$372,"PARYTET")+COUNTIFS(Macierz!$B$2:$B$372,"F",Macierz!$K$2:$K$372,"PRZEWAGA")</f>
        <v/>
      </c>
      <c r="D38" s="7">
        <f>COUNTIFS(Macierz!$B$2:$B$372,"F",Macierz!$K$2:$K$372,"LUKA")</f>
        <v/>
      </c>
      <c r="E38" s="7">
        <f>COUNTIFS(Macierz!$B$2:$B$372,"F",Macierz!$L$2:$L$372,"BLOKER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COUNTIF(Macierz!$B$2:$B$372,"G")</f>
        <v/>
      </c>
      <c r="C39" s="7">
        <f>COUNTIFS(Macierz!$B$2:$B$372,"G",Macierz!$K$2:$K$372,"PARYTET")+COUNTIFS(Macierz!$B$2:$B$372,"G",Macierz!$K$2:$K$372,"PRZEWAGA")</f>
        <v/>
      </c>
      <c r="D39" s="7">
        <f>COUNTIFS(Macierz!$B$2:$B$372,"G",Macierz!$K$2:$K$372,"LUKA")</f>
        <v/>
      </c>
      <c r="E39" s="7">
        <f>COUNTIFS(Macierz!$B$2:$B$372,"G",Macierz!$L$2:$L$372,"BLOKER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COUNTIF(Macierz!$B$2:$B$372,"H")</f>
        <v/>
      </c>
      <c r="C40" s="7">
        <f>COUNTIFS(Macierz!$B$2:$B$372,"H",Macierz!$K$2:$K$372,"PARYTET")+COUNTIFS(Macierz!$B$2:$B$372,"H",Macierz!$K$2:$K$372,"PRZEWAGA")</f>
        <v/>
      </c>
      <c r="D40" s="7">
        <f>COUNTIFS(Macierz!$B$2:$B$372,"H",Macierz!$K$2:$K$372,"LUKA")</f>
        <v/>
      </c>
      <c r="E40" s="7">
        <f>COUNTIFS(Macierz!$B$2:$B$372,"H",Macierz!$L$2:$L$372,"BLOKER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COUNTIF(Macierz!$B$2:$B$372,"I")</f>
        <v/>
      </c>
      <c r="C41" s="7">
        <f>COUNTIFS(Macierz!$B$2:$B$372,"I",Macierz!$K$2:$K$372,"PARYTET")+COUNTIFS(Macierz!$B$2:$B$372,"I",Macierz!$K$2:$K$372,"PRZEWAGA")</f>
        <v/>
      </c>
      <c r="D41" s="7">
        <f>COUNTIFS(Macierz!$B$2:$B$372,"I",Macierz!$K$2:$K$372,"LUKA")</f>
        <v/>
      </c>
      <c r="E41" s="7">
        <f>COUNTIFS(Macierz!$B$2:$B$372,"I",Macierz!$L$2:$L$372,"BLOKER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COUNTIF(Macierz!$B$2:$B$372,"J")</f>
        <v/>
      </c>
      <c r="C42" s="7">
        <f>COUNTIFS(Macierz!$B$2:$B$372,"J",Macierz!$K$2:$K$372,"PARYTET")+COUNTIFS(Macierz!$B$2:$B$372,"J",Macierz!$K$2:$K$372,"PRZEWAGA")</f>
        <v/>
      </c>
      <c r="D42" s="7">
        <f>COUNTIFS(Macierz!$B$2:$B$372,"J",Macierz!$K$2:$K$372,"LUKA")</f>
        <v/>
      </c>
      <c r="E42" s="7">
        <f>COUNTIFS(Macierz!$B$2:$B$372,"J",Macierz!$L$2:$L$372,"BLOKER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COUNTIF(Macierz!$B$2:$B$372,"K")</f>
        <v/>
      </c>
      <c r="C43" s="7">
        <f>COUNTIFS(Macierz!$B$2:$B$372,"K",Macierz!$K$2:$K$372,"PARYTET")+COUNTIFS(Macierz!$B$2:$B$372,"K",Macierz!$K$2:$K$372,"PRZEWAGA")</f>
        <v/>
      </c>
      <c r="D43" s="7">
        <f>COUNTIFS(Macierz!$B$2:$B$372,"K",Macierz!$K$2:$K$372,"LUKA")</f>
        <v/>
      </c>
      <c r="E43" s="7">
        <f>COUNTIFS(Macierz!$B$2:$B$372,"K",Macierz!$L$2:$L$372,"BLOKER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COUNTIF(Macierz!$B$2:$B$372,"L")</f>
        <v/>
      </c>
      <c r="C44" s="7">
        <f>COUNTIFS(Macierz!$B$2:$B$372,"L",Macierz!$K$2:$K$372,"PARYTET")+COUNTIFS(Macierz!$B$2:$B$372,"L",Macierz!$K$2:$K$372,"PRZEWAGA")</f>
        <v/>
      </c>
      <c r="D44" s="7">
        <f>COUNTIFS(Macierz!$B$2:$B$372,"L",Macierz!$K$2:$K$372,"LUKA")</f>
        <v/>
      </c>
      <c r="E44" s="7">
        <f>COUNTIFS(Macierz!$B$2:$B$372,"L",Macierz!$L$2:$L$372,"BLOKER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COUNTIF(Macierz!$B$2:$B$372,"M")</f>
        <v/>
      </c>
      <c r="C45" s="7">
        <f>COUNTIFS(Macierz!$B$2:$B$372,"M",Macierz!$K$2:$K$372,"PARYTET")+COUNTIFS(Macierz!$B$2:$B$372,"M",Macierz!$K$2:$K$372,"PRZEWAGA")</f>
        <v/>
      </c>
      <c r="D45" s="7">
        <f>COUNTIFS(Macierz!$B$2:$B$372,"M",Macierz!$K$2:$K$372,"LUKA")</f>
        <v/>
      </c>
      <c r="E45" s="7">
        <f>COUNTIFS(Macierz!$B$2:$B$372,"M",Macierz!$L$2:$L$372,"BLOKER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COUNTIF(Macierz!$B$2:$B$372,"N")</f>
        <v/>
      </c>
      <c r="C46" s="7">
        <f>COUNTIFS(Macierz!$B$2:$B$372,"N",Macierz!$K$2:$K$372,"PARYTET")+COUNTIFS(Macierz!$B$2:$B$372,"N",Macierz!$K$2:$K$372,"PRZEWAGA")</f>
        <v/>
      </c>
      <c r="D46" s="7">
        <f>COUNTIFS(Macierz!$B$2:$B$372,"N",Macierz!$K$2:$K$372,"LUKA")</f>
        <v/>
      </c>
      <c r="E46" s="7">
        <f>COUNTIFS(Macierz!$B$2:$B$372,"N",Macierz!$L$2:$L$372,"BLOKER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COUNTIF(Macierz!$B$2:$B$372,"O")</f>
        <v/>
      </c>
      <c r="C47" s="7">
        <f>COUNTIFS(Macierz!$B$2:$B$372,"O",Macierz!$K$2:$K$372,"PARYTET")+COUNTIFS(Macierz!$B$2:$B$372,"O",Macierz!$K$2:$K$372,"PRZEWAGA")</f>
        <v/>
      </c>
      <c r="D47" s="7">
        <f>COUNTIFS(Macierz!$B$2:$B$372,"O",Macierz!$K$2:$K$372,"LUKA")</f>
        <v/>
      </c>
      <c r="E47" s="7">
        <f>COUNTIFS(Macierz!$B$2:$B$372,"O",Macierz!$L$2:$L$372,"BLOKER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COUNTIF(Macierz!$B$2:$B$372,"P")</f>
        <v/>
      </c>
      <c r="C48" s="7">
        <f>COUNTIFS(Macierz!$B$2:$B$372,"P",Macierz!$K$2:$K$372,"PARYTET")+COUNTIFS(Macierz!$B$2:$B$372,"P",Macierz!$K$2:$K$372,"PRZEWAGA")</f>
        <v/>
      </c>
      <c r="D48" s="7">
        <f>COUNTIFS(Macierz!$B$2:$B$372,"P",Macierz!$K$2:$K$372,"LUKA")</f>
        <v/>
      </c>
      <c r="E48" s="7">
        <f>COUNTIFS(Macierz!$B$2:$B$372,"P",Macierz!$L$2:$L$372,"BLOKER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COUNTIF(Macierz!$B$2:$B$372,"Q")</f>
        <v/>
      </c>
      <c r="C49" s="7">
        <f>COUNTIFS(Macierz!$B$2:$B$372,"Q",Macierz!$K$2:$K$372,"PARYTET")+COUNTIFS(Macierz!$B$2:$B$372,"Q",Macierz!$K$2:$K$372,"PRZEWAGA")</f>
        <v/>
      </c>
      <c r="D49" s="7">
        <f>COUNTIFS(Macierz!$B$2:$B$372,"Q",Macierz!$K$2:$K$372,"LUKA")</f>
        <v/>
      </c>
      <c r="E49" s="7">
        <f>COUNTIFS(Macierz!$B$2:$B$372,"Q",Macierz!$L$2:$L$372,"BLOKER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COUNTIF(Macierz!$B$2:$B$372,"X")</f>
        <v/>
      </c>
      <c r="C50" s="7">
        <f>COUNTIFS(Macierz!$B$2:$B$372,"X",Macierz!$K$2:$K$372,"PARYTET")+COUNTIFS(Macierz!$B$2:$B$372,"X",Macierz!$K$2:$K$372,"PRZEWAGA")</f>
        <v/>
      </c>
      <c r="D50" s="7">
        <f>COUNTIFS(Macierz!$B$2:$B$372,"X",Macierz!$K$2:$K$372,"LUKA")</f>
        <v/>
      </c>
      <c r="E50" s="7">
        <f>COUNTIFS(Macierz!$B$2:$B$372,"X",Macierz!$L$2:$L$372,"BLOKER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COUNTIF(Macierz!$B$2:$B$372,"Z")</f>
        <v/>
      </c>
      <c r="C51" s="7">
        <f>COUNTIFS(Macierz!$B$2:$B$372,"Z",Macierz!$K$2:$K$372,"PARYTET")+COUNTIFS(Macierz!$B$2:$B$372,"Z",Macierz!$K$2:$K$372,"PRZEWAGA")</f>
        <v/>
      </c>
      <c r="D51" s="7">
        <f>COUNTIFS(Macierz!$B$2:$B$372,"Z",Macierz!$K$2:$K$372,"LUKA")</f>
        <v/>
      </c>
      <c r="E51" s="7">
        <f>COUNTIFS(Macierz!$B$2:$B$372,"Z",Macierz!$L$2:$L$372,"BLOKER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4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CZĘŚCIOWE</t>
        </is>
      </c>
      <c r="J351" s="12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  <c r="K351" s="11" t="inlineStr">
        <is>
          <t>CZĘŚCIOWY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CZĘŚCIOWE od 2026-08-22 — pierwsze testy integracyjne w historii tego projektu. Do tej pory WSZYSTKIE testy API podstawiały fałszywą Prismę: dowodziły, że logika jest poprawna, nie że zapytanie zwraca to, czego się po nim spodziewamy. | Uruchomione naprawdę, nie tylko napisane: postawiłem Postgresa 16, zaaplikowałem 100 migracji, wygenerowałem klienta i puściłem pakiet — 15 testów zielonych. Sprawdzone, że czerwienią się na regresji: usunięcie zwolnienia pojemności z account-deletion czerwieni 4 z 6 testów księgi. | Co złapały, czego atrapy nie mogły: że Postgres zwraca Float (overcommit) jako number a nie Decimal, że groupBy z filtrem statusu faktycznie pomija konta DELETED, że okno świeżości telemetrii działa na prawdziwym ORDER BY, że wybór najnowszej próbki na subskrypcję nie sumuje okna. | ZAKRES: pokryty jest placement (NodeSelectorService) i cykl życia księgi pojemności (autoskalowanie, usunięcie konta). NIE są pokryte: ścieżki HTTP przez supertest, provisioning end-to-end, płatności, webhooki, KSeF. Dlatego CZĘŚCIOWE, nie DZIAŁA — pozycja opisuje testy integracyjne CAŁEGO API. | Job w CI celowo NIE jest jeszcze wymagany do scalenia (ruleset z X-02): dokładanie nieprzetestowanego w tym repo checka jako wymaganego zablokowałoby merge na ślepo. Do dopisania po pierwszym zielonym przebiegu na main. Poziom dowodu: D1 do czasu tego przebiegu, potem D2. | Ograniczenie warsztatu, warte zapisania: nie da się ich uruchomić ani na maszynie PM-a (klient Prismy zbudowany pod macOS, sandbox to Linux), ani domyślnie w kontenerze (binaries.prisma.sh poza listą dozwolonych hostów). Wymagało zbudowania środowiska od zera. CI jest jedynym miejscem, gdzie biegną rutynowo. Dokumentacja: docs/zadania/X-04-testy-integracyjne-api.md | D2 OSIĄGNIĘTE 2026-08-22: przebieg CI #57 zielony w komplecie — sześć jobów, w tym „API integration tests" z Postgresem 16.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  <row r="361">
      <c r="A361" s="11" t="inlineStr">
        <is>
          <t>Z-12</t>
        </is>
      </c>
      <c r="B361" s="12" t="inlineStr">
        <is>
          <t>K</t>
        </is>
      </c>
      <c r="C361" s="11" t="inlineStr">
        <is>
          <t>Placement kont nadsubskrybuje zasoby węzła zamiast rezerwować pełne limity planu</t>
        </is>
      </c>
      <c r="D361" s="11" t="inlineStr">
        <is>
          <t>TAK</t>
        </is>
      </c>
      <c r="E361" s="11" t="inlineStr">
        <is>
          <t>TAK</t>
        </is>
      </c>
      <c r="F361" s="11" t="inlineStr">
        <is>
          <t>TAK</t>
        </is>
      </c>
      <c r="G361" s="11" t="inlineStr">
        <is>
          <t>TAK</t>
        </is>
      </c>
      <c r="H361" s="11" t="inlineStr">
        <is>
          <t>TAK</t>
        </is>
      </c>
      <c r="I361" s="11" t="inlineStr">
        <is>
          <t>DZIAŁA</t>
        </is>
      </c>
      <c r="J361" s="12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K361" s="11" t="inlineStr">
        <is>
          <t>PARYTET</t>
        </is>
      </c>
      <c r="L361" s="11" t="inlineStr">
        <is>
          <t>—</t>
        </is>
      </c>
      <c r="M361" s="11" t="inlineStr">
        <is>
          <t>M</t>
        </is>
      </c>
      <c r="N361" s="12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</row>
    <row r="362">
      <c r="A362" s="11" t="inlineStr">
        <is>
          <t>Z-13</t>
        </is>
      </c>
      <c r="B362" s="12" t="inlineStr">
        <is>
          <t>M</t>
        </is>
      </c>
      <c r="C362" s="11" t="inlineStr">
        <is>
          <t>Pakiet sprzedawany na stronie istnieje jako plan w bazie</t>
        </is>
      </c>
      <c r="D362" s="11" t="inlineStr">
        <is>
          <t>TAK</t>
        </is>
      </c>
      <c r="E362" s="11" t="inlineStr">
        <is>
          <t>TAK</t>
        </is>
      </c>
      <c r="F362" s="11" t="inlineStr">
        <is>
          <t>TAK</t>
        </is>
      </c>
      <c r="G362" s="11" t="inlineStr">
        <is>
          <t>TAK</t>
        </is>
      </c>
      <c r="H362" s="11" t="inlineStr">
        <is>
          <t>TAK</t>
        </is>
      </c>
      <c r="I362" s="11" t="inlineStr">
        <is>
          <t>DZIAŁA</t>
        </is>
      </c>
      <c r="J362" s="12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K362" s="11" t="inlineStr">
        <is>
          <t>PARYTET</t>
        </is>
      </c>
      <c r="L362" s="11" t="inlineStr">
        <is>
          <t>—</t>
        </is>
      </c>
      <c r="M362" s="11" t="inlineStr">
        <is>
          <t>S</t>
        </is>
      </c>
      <c r="N362" s="12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</row>
    <row r="363">
      <c r="A363" s="11" t="inlineStr">
        <is>
          <t>Z-14</t>
        </is>
      </c>
      <c r="B363" s="12" t="inlineStr">
        <is>
          <t>P</t>
        </is>
      </c>
      <c r="C363" s="11" t="inlineStr">
        <is>
          <t>Treść oferty nie obiecuje zasobów, których nie da się dotrzymać jednocześnie</t>
        </is>
      </c>
      <c r="D363" s="11" t="inlineStr">
        <is>
          <t>TAK</t>
        </is>
      </c>
      <c r="E363" s="11" t="inlineStr">
        <is>
          <t>TAK</t>
        </is>
      </c>
      <c r="F363" s="11" t="inlineStr">
        <is>
          <t>TAK</t>
        </is>
      </c>
      <c r="G363" s="11" t="inlineStr">
        <is>
          <t>TAK</t>
        </is>
      </c>
      <c r="H363" s="11" t="inlineStr">
        <is>
          <t>TAK</t>
        </is>
      </c>
      <c r="I363" s="11" t="inlineStr">
        <is>
          <t>DZIAŁA</t>
        </is>
      </c>
      <c r="J363" s="12" t="inlineStr">
        <is>
          <t>apps/www/src/app/(frontend)/hosting/page.tsx — „do 8 GB RAM, do 2 vCPU”; apps/www/src/app/(frontend)/components/Pricing.tsx — ta sama zmiana w karcie pakietu</t>
        </is>
      </c>
      <c r="K363" s="11" t="inlineStr">
        <is>
          <t>PARYTET</t>
        </is>
      </c>
      <c r="L363" s="11" t="inlineStr">
        <is>
          <t>—</t>
        </is>
      </c>
      <c r="M363" s="11" t="inlineStr">
        <is>
          <t>S</t>
        </is>
      </c>
      <c r="N363" s="12" t="inlineStr">
        <is>
          <t>Zamknięte 2026-08-22. Strona pisała „Baza w cenie: 50 GB NVMe, 8 GB RAM, 2 vCPU”. Przy gęstości, przy której węzeł w ogóle się domyka (51 kont), oznaczałoby to 408 GB RAM obiecane na maszynie ze 128 GB. Sformułowanie „w cenie” to obietnica rezerwacji; RAM i CPU są w LVE sufitami burst, więc poprawne jest „do”. Dysk zostaje bez zmiany — quota dyskowa jest realnie egzekwowana i 50 GB to faktyczna alokacja. To ten sam typ błędu, który audyt wychwycił w oferta.md: zdanie prawdziwe dla jednego klienta i nieprawdziwe dla wszystkich naraz. Decyzja PM-a z 2026-08-22. Dokumentacja: docs/strategy/DECYZJA_CENOWA_2026-08.md</t>
        </is>
      </c>
    </row>
    <row r="364">
      <c r="A364" s="11" t="inlineStr">
        <is>
          <t>Z-15</t>
        </is>
      </c>
      <c r="B364" s="12" t="inlineStr">
        <is>
          <t>K</t>
        </is>
      </c>
      <c r="C364" s="11" t="inlineStr">
        <is>
          <t>Alert wyprzedzający, gdy realne zużycie węzła zbliża się do progu</t>
        </is>
      </c>
      <c r="D364" s="11" t="inlineStr">
        <is>
          <t>TAK</t>
        </is>
      </c>
      <c r="E364" s="11" t="inlineStr">
        <is>
          <t>TAK</t>
        </is>
      </c>
      <c r="F364" s="11" t="inlineStr">
        <is>
          <t>CZĘŚĆ</t>
        </is>
      </c>
      <c r="G364" s="11" t="inlineStr">
        <is>
          <t>CZĘŚĆ</t>
        </is>
      </c>
      <c r="H364" s="11" t="inlineStr">
        <is>
          <t>TAK</t>
        </is>
      </c>
      <c r="I364" s="11" t="inlineStr">
        <is>
          <t>BRAK</t>
        </is>
      </c>
      <c r="J364" s="12" t="inlineStr">
        <is>
          <t>node-capacity.ts — bramka fizyczna odmawia po przekroczeniu progu, nie przed</t>
        </is>
      </c>
      <c r="K364" s="11" t="inlineStr">
        <is>
          <t>LUKA</t>
        </is>
      </c>
      <c r="L364" s="11" t="inlineStr">
        <is>
          <t>ŚREDNIA</t>
        </is>
      </c>
      <c r="M364" s="11" t="inlineStr">
        <is>
          <t>S</t>
        </is>
      </c>
      <c r="N364" s="12" t="inlineStr">
        <is>
          <t>Odkryte przy zamykaniu Z-12. Bramka realnego zużycia działa poprawnie, ale odzywa się dopiero wtedy, gdy węzeł jest już pełny — a operator dowiaduje się o tym z nieudanej sprzedaży. To jest ten sam wzorzec co przy X-12: mechanizm działa, tylko informacja dociera po fakcie. Do zrobienia: próg ostrzegawczy (np. 70% pojemności fizycznej) podpięty pod istniejący ops-watchdog.scheduler.ts, który już liczy procenty wykorzystania i wysyła alerty. Przy okazji: nikt nie liczy sumy nadsubskrypcji po całej flocie — przy jednym węźle bez znaczenia, przy pięciu już nie.</t>
        </is>
      </c>
    </row>
    <row r="365">
      <c r="A365" s="11" t="inlineStr">
        <is>
          <t>Z-16</t>
        </is>
      </c>
      <c r="B365" s="12" t="inlineStr">
        <is>
          <t>J</t>
        </is>
      </c>
      <c r="C365" s="11" t="inlineStr">
        <is>
          <t>Autoskalowanie pyta węzeł o pojemność i dowozi sufit obiecany w ofercie</t>
        </is>
      </c>
      <c r="D365" s="11" t="inlineStr">
        <is>
          <t>TAK</t>
        </is>
      </c>
      <c r="E365" s="11" t="inlineStr">
        <is>
          <t>TAK</t>
        </is>
      </c>
      <c r="F365" s="11" t="inlineStr">
        <is>
          <t>CZĘŚĆ</t>
        </is>
      </c>
      <c r="G365" s="11" t="inlineStr">
        <is>
          <t>CZĘŚĆ</t>
        </is>
      </c>
      <c r="H365" s="11" t="inlineStr">
        <is>
          <t>TAK</t>
        </is>
      </c>
      <c r="I365" s="11" t="inlineStr">
        <is>
          <t>DZIAŁA</t>
        </is>
      </c>
      <c r="J365" s="12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K365" s="11" t="inlineStr">
        <is>
          <t>PARYTET</t>
        </is>
      </c>
      <c r="L365" s="11" t="inlineStr">
        <is>
          <t>—</t>
        </is>
      </c>
      <c r="M365" s="11" t="inlineStr">
        <is>
          <t>M</t>
        </is>
      </c>
      <c r="N365" s="12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</row>
    <row r="366">
      <c r="A366" s="11" t="inlineStr">
        <is>
          <t>Z-17</t>
        </is>
      </c>
      <c r="B366" s="12" t="inlineStr">
        <is>
          <t>J</t>
        </is>
      </c>
      <c r="C366" s="11" t="inlineStr">
        <is>
          <t>Klient widzi, że autoskalowanie dało mu mniej, niż potrzebował</t>
        </is>
      </c>
      <c r="D366" s="11" t="inlineStr">
        <is>
          <t>NIE</t>
        </is>
      </c>
      <c r="E366" s="11" t="inlineStr">
        <is>
          <t>NIE</t>
        </is>
      </c>
      <c r="F366" s="11" t="inlineStr">
        <is>
          <t>NIE</t>
        </is>
      </c>
      <c r="G366" s="11" t="inlineStr">
        <is>
          <t>CZĘŚĆ</t>
        </is>
      </c>
      <c r="H366" s="11" t="inlineStr">
        <is>
          <t>TAK</t>
        </is>
      </c>
      <c r="I366" s="11" t="inlineStr">
        <is>
          <t>BRAK</t>
        </is>
      </c>
      <c r="J366" s="12" t="inlineStr">
        <is>
          <t>autoscaling-engine.service.ts — obcięcie zostawia wpis w dzienniku audytu i warn w logu, ale panel klienta nie pokazuje niczego</t>
        </is>
      </c>
      <c r="K366" s="11" t="inlineStr">
        <is>
          <t>LUKA</t>
        </is>
      </c>
      <c r="L366" s="11" t="inlineStr">
        <is>
          <t>ŚREDNIA</t>
        </is>
      </c>
      <c r="M366" s="11" t="inlineStr">
        <is>
          <t>S</t>
        </is>
      </c>
      <c r="N366" s="12" t="inlineStr">
        <is>
          <t>Odkryte przy zamykaniu Z-16. Gdy węzeł nie ma pełnej nadwyżki, konto dostaje tyle, ile się da — i to jest właściwe zachowanie. Ale klient płaci za autoskalowanie godzinowo i nie dowiaduje się, że w szczycie dostał połowę tego, czego strona potrzebowała. Widzi wolną stronę i nie wie dlaczego. | To nie jest kosmetyka interfejsu: przy usłudze rozliczanej za realne użycie informacja o tym, że usługa nie dowiozła, jest częścią usługi. Bez niej pierwsze zgłoszenie do BOK-u brzmi „strona muliła w Black Friday”, a odpowiedź wymaga grzebania w dzienniku audytu. | Do zrobienia: wpis w historii autoskalowania widoczny w panelu klienta plus, przy powtarzających się obcięciach, sygnał od nas — bo to my mamy za mało węzłów, nie on za mały pakiet.</t>
        </is>
      </c>
    </row>
    <row r="367">
      <c r="A367" s="11" t="inlineStr">
        <is>
          <t>X-14</t>
        </is>
      </c>
      <c r="B367" s="12" t="inlineStr">
        <is>
          <t>X</t>
        </is>
      </c>
      <c r="C367" s="11" t="inlineStr">
        <is>
          <t>CI sprawdza DANE po migracji, nie tylko czy migracja się wykonała</t>
        </is>
      </c>
      <c r="D367" s="11" t="inlineStr">
        <is>
          <t>—</t>
        </is>
      </c>
      <c r="E367" s="11" t="inlineStr">
        <is>
          <t>—</t>
        </is>
      </c>
      <c r="F367" s="11" t="inlineStr">
        <is>
          <t>—</t>
        </is>
      </c>
      <c r="G367" s="11" t="inlineStr">
        <is>
          <t>—</t>
        </is>
      </c>
      <c r="H367" s="11" t="inlineStr">
        <is>
          <t>—</t>
        </is>
      </c>
      <c r="I367" s="11" t="inlineStr">
        <is>
          <t>DZIAŁA</t>
        </is>
      </c>
      <c r="J367" s="12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K367" s="11" t="inlineStr">
        <is>
          <t>PARYTET</t>
        </is>
      </c>
      <c r="L367" s="11" t="inlineStr">
        <is>
          <t>—</t>
        </is>
      </c>
      <c r="M367" s="11" t="inlineStr">
        <is>
          <t>S</t>
        </is>
      </c>
      <c r="N367" s="12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</row>
    <row r="368">
      <c r="A368" s="11" t="inlineStr">
        <is>
          <t>X-15</t>
        </is>
      </c>
      <c r="B368" s="12" t="inlineStr">
        <is>
          <t>X</t>
        </is>
      </c>
      <c r="C368" s="11" t="inlineStr">
        <is>
          <t>Niezmiennik księgi pojemności sprawdzany liczbowo, nie tekstowo</t>
        </is>
      </c>
      <c r="D368" s="11" t="inlineStr">
        <is>
          <t>—</t>
        </is>
      </c>
      <c r="E368" s="11" t="inlineStr">
        <is>
          <t>—</t>
        </is>
      </c>
      <c r="F368" s="11" t="inlineStr">
        <is>
          <t>—</t>
        </is>
      </c>
      <c r="G368" s="11" t="inlineStr">
        <is>
          <t>—</t>
        </is>
      </c>
      <c r="H368" s="11" t="inlineStr">
        <is>
          <t>—</t>
        </is>
      </c>
      <c r="I368" s="11" t="inlineStr">
        <is>
          <t>DZIAŁA</t>
        </is>
      </c>
      <c r="J368" s="12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K368" s="11" t="inlineStr">
        <is>
          <t>PARYTET</t>
        </is>
      </c>
      <c r="L368" s="11" t="inlineStr">
        <is>
          <t>—</t>
        </is>
      </c>
      <c r="M368" s="11" t="inlineStr">
        <is>
          <t>S</t>
        </is>
      </c>
      <c r="N368" s="12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</row>
    <row r="369">
      <c r="A369" s="11" t="inlineStr">
        <is>
          <t>X-17</t>
        </is>
      </c>
      <c r="B369" s="12" t="inlineStr">
        <is>
          <t>X</t>
        </is>
      </c>
      <c r="C369" s="11" t="inlineStr">
        <is>
          <t>Joby CI budują zależności workspace'u zanim uruchomią testy</t>
        </is>
      </c>
      <c r="D369" s="11" t="inlineStr">
        <is>
          <t>—</t>
        </is>
      </c>
      <c r="E369" s="11" t="inlineStr">
        <is>
          <t>—</t>
        </is>
      </c>
      <c r="F369" s="11" t="inlineStr">
        <is>
          <t>—</t>
        </is>
      </c>
      <c r="G369" s="11" t="inlineStr">
        <is>
          <t>—</t>
        </is>
      </c>
      <c r="H369" s="11" t="inlineStr">
        <is>
          <t>—</t>
        </is>
      </c>
      <c r="I369" s="11" t="inlineStr">
        <is>
          <t>DZIAŁA</t>
        </is>
      </c>
      <c r="J369" s="12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K369" s="11" t="inlineStr">
        <is>
          <t>PARYTET</t>
        </is>
      </c>
      <c r="L369" s="11" t="inlineStr">
        <is>
          <t>—</t>
        </is>
      </c>
      <c r="M369" s="11" t="inlineStr">
        <is>
          <t>S</t>
        </is>
      </c>
      <c r="N369" s="12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</row>
    <row r="370">
      <c r="A370" s="11" t="inlineStr">
        <is>
          <t>X-18</t>
        </is>
      </c>
      <c r="B370" s="12" t="inlineStr">
        <is>
          <t>X</t>
        </is>
      </c>
      <c r="C370" s="11" t="inlineStr">
        <is>
          <t>Zależności podniesione do najnowszych bezpiecznych wersji</t>
        </is>
      </c>
      <c r="D370" s="11" t="inlineStr">
        <is>
          <t>—</t>
        </is>
      </c>
      <c r="E370" s="11" t="inlineStr">
        <is>
          <t>—</t>
        </is>
      </c>
      <c r="F370" s="11" t="inlineStr">
        <is>
          <t>—</t>
        </is>
      </c>
      <c r="G370" s="11" t="inlineStr">
        <is>
          <t>—</t>
        </is>
      </c>
      <c r="H370" s="11" t="inlineStr">
        <is>
          <t>—</t>
        </is>
      </c>
      <c r="I370" s="11" t="inlineStr">
        <is>
          <t>DZIAŁA</t>
        </is>
      </c>
      <c r="J370" s="12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K370" s="11" t="inlineStr">
        <is>
          <t>PARYTET</t>
        </is>
      </c>
      <c r="L370" s="11" t="inlineStr">
        <is>
          <t>—</t>
        </is>
      </c>
      <c r="M370" s="11" t="inlineStr">
        <is>
          <t>M</t>
        </is>
      </c>
      <c r="N370" s="12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</t>
        </is>
      </c>
    </row>
    <row r="371">
      <c r="A371" s="11" t="inlineStr">
        <is>
          <t>X-19</t>
        </is>
      </c>
      <c r="B371" s="12" t="inlineStr">
        <is>
          <t>X</t>
        </is>
      </c>
      <c r="C371" s="11" t="inlineStr">
        <is>
          <t>Dług lintera odsłonięty przez Next 16 i włączenie ESLinta w API</t>
        </is>
      </c>
      <c r="D371" s="11" t="inlineStr">
        <is>
          <t>—</t>
        </is>
      </c>
      <c r="E371" s="11" t="inlineStr">
        <is>
          <t>—</t>
        </is>
      </c>
      <c r="F371" s="11" t="inlineStr">
        <is>
          <t>—</t>
        </is>
      </c>
      <c r="G371" s="11" t="inlineStr">
        <is>
          <t>—</t>
        </is>
      </c>
      <c r="H371" s="11" t="inlineStr">
        <is>
          <t>—</t>
        </is>
      </c>
      <c r="I371" s="11" t="inlineStr">
        <is>
          <t>CZĘŚCIOWE</t>
        </is>
      </c>
      <c r="J371" s="12" t="inlineStr">
        <is>
          <t>libs/eslint-config/node.mjs oraz apps/*/eslint.config.mjs — reguły włączone, ale część jako ostrzeżenia; 209 ostrzeżeń w panelach, 58 w API</t>
        </is>
      </c>
      <c r="K371" s="11" t="inlineStr">
        <is>
          <t>CZĘŚCIOWY</t>
        </is>
      </c>
      <c r="L371" s="11" t="inlineStr">
        <is>
          <t>ŚREDNIA</t>
        </is>
      </c>
      <c r="M371" s="11" t="inlineStr">
        <is>
          <t>M</t>
        </is>
      </c>
      <c r="N371" s="12" t="inlineStr">
        <is>
          <t>Odkryte przy X-18. Next 16 usunęło komendę `next lint`, więc panele przeszły na płaską konfigurację i eslint wołany wprost. Nowszy eslint-config-next włącza reguły, których poprzednia konfiguracja nie egzekwowała — przede wszystkim rodzinę react-hooks z React Compilera. W panelu klienta odsłoniło to 105 znalezisk. | Osobno: apps/api i libs/directadmin-sdk wołały `eslint` BEZ ŻADNEJ konfiguracji w repozytorium — jedyny plik, libs/eslint-config/base.js, jest w starym formacie eslintrc i nic go nie importowało. Krok lintowania tych pakietów nie sprawdzał niczego. Dodana płaska konfiguracja node.mjs. | NAJWAŻNIEJSZE: nowe reguły wyłapały REALNY BUG. W admin-panel/autoscaling/pricing-table.tsx useMemo stał PO wczesnym return — przy pustej liście reguł hook nie wykonywał się wcale, a po dodaniu pierwszej stawki React widział inną liczbę hooków i komponent się wywalał. Czyli: panel cennika autoskalowania psuł się dokładnie w momencie dodania pierwszej reguły. Naprawione. Drugi: JSX konstruowany w try/catch w pulpicie admina — try nie chronił przed niczym, bo React renderuje zwrócony element po wyjściu z funkcji. | Reguły NIE są wyłączone, tylko obniżone do ostrzeżeń, z komentarzem wskazującym tę pozycję. Wracają na 'error' przy jej zamykaniu. | Wyjątek trwały: no-control-regex zostaje wyłączone — znaki sterujące w regexach walidacyjnych są zamierzone. no-useless-escape zostaje ostrzeżeniem świadomie: cztery wystąpienia siedzą w regexach walidujących wejście (kody promocyjne, ścieżki plików, załączniki), a zmiana regexa walidacyjnego przy okazji podnoszenia zależności to dokładnie ten rodzaj zmiany, który Z-03 kazał robić z testem na każdy przypadek.</t>
        </is>
      </c>
    </row>
    <row r="372">
      <c r="A372" s="11" t="inlineStr">
        <is>
          <t>X-20</t>
        </is>
      </c>
      <c r="B372" s="12" t="inlineStr">
        <is>
          <t>X</t>
        </is>
      </c>
      <c r="C372" s="11" t="inlineStr">
        <is>
          <t>Decyzja i migracja na Prismę 7</t>
        </is>
      </c>
      <c r="D372" s="11" t="inlineStr">
        <is>
          <t>—</t>
        </is>
      </c>
      <c r="E372" s="11" t="inlineStr">
        <is>
          <t>—</t>
        </is>
      </c>
      <c r="F372" s="11" t="inlineStr">
        <is>
          <t>—</t>
        </is>
      </c>
      <c r="G372" s="11" t="inlineStr">
        <is>
          <t>—</t>
        </is>
      </c>
      <c r="H372" s="11" t="inlineStr">
        <is>
          <t>—</t>
        </is>
      </c>
      <c r="I372" s="11" t="inlineStr">
        <is>
          <t>BRAK</t>
        </is>
      </c>
      <c r="J372" s="12" t="inlineStr">
        <is>
          <t>libs/database/package.json — prisma 6.19.3; schema.prisma:17 — datasource url = env("DATABASE_URL"), składnia usunięta w Prismie 7</t>
        </is>
      </c>
      <c r="K372" s="11" t="inlineStr">
        <is>
          <t>LUKA</t>
        </is>
      </c>
      <c r="L372" s="11" t="inlineStr">
        <is>
          <t>ŚREDNIA</t>
        </is>
      </c>
      <c r="M372" s="11" t="inlineStr">
        <is>
          <t>L</t>
        </is>
      </c>
      <c r="N372" s="12" t="inlineStr">
        <is>
          <t>Odkryte przy X-18, świadomie odłożone. Prisma 7 nie jest podniesieniem wersji, tylko zmianą architektury dostępu do bazy: właściwość `url` znika z datasource w schemacie i przenosi się do prisma.config.ts, a PrismaClient wymaga przekazania driver adaptera (@prisma/adapter-pg) albo adresu Accelerate. Sprawdzone realnie — `prisma generate` na 7.9.1 kończy się błędem P1012. | Dotyka: prisma.service.ts, libs/database/src/index.ts, seed, jobów CI, testów integracyjnych i sposobu, w jaki produkcja dostaje DATABASE_URL. Czyli każdej ścieżki do bazy naraz. | Argument za zrobieniem: zamyka ostatnią wysoką podatność (deepmerge-ts). Argument za odłożeniem: zmiana w warstwie danych na dwa sprinty przed startem sprzedaży, przy siedmiu otwartych blokerach, której nie da się w pełni zweryfikować lokalnie — binaries.prisma.sh jest poza listą dozwolonych hostów w obu moich środowiskach, więc jedyną weryfikacją byłoby CI. | Do zrobienia po starcie, z własnym sprintem i testem integracyjnym na każdej ścieżce zapisu.</t>
        </is>
      </c>
    </row>
  </sheetData>
  <autoFilter ref="A1:N372"/>
  <conditionalFormatting sqref="D2:D372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72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72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72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72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72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72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72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2026-08-22T13:06:40Z</dcterms:created>
  <dcterms:modified xmlns:dcterms="http://purl.org/dc/terms/" xmlns:xsi="http://www.w3.org/2001/XMLSchema-instance" xsi:type="dcterms:W3CDTF">2026-08-22T13:06:40Z</dcterms:modified>
</cp:coreProperties>
</file>