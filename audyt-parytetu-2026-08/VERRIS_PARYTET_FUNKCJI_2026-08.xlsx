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Macierz" sheetId="2" state="visible" r:id="rId2"/>
  </sheets>
  <definedNames>
    <definedName name="_xlnm._FilterDatabase" localSheetId="1" hidden="1">'Macierz'!$A$1:$N$440</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color rgb="00000000"/>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1" fillId="2" borderId="0" pivotButton="0" quotePrefix="0" xfId="0"/>
    <xf numFmtId="0" fontId="6" fillId="0" borderId="0" pivotButton="0" quotePrefix="0" xfId="0"/>
    <xf numFmtId="0" fontId="7" fillId="0" borderId="0" pivotButton="0" quotePrefix="0" xfId="0"/>
    <xf numFmtId="0" fontId="2" fillId="0" borderId="0" pivotButton="0" quotePrefix="0" xfId="0"/>
    <xf numFmtId="9" fontId="2" fillId="0" borderId="0" pivotButton="0" quotePrefix="0" xfId="0"/>
    <xf numFmtId="0" fontId="8"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cellXfs>
  <cellStyles count="1">
    <cellStyle name="Normal" xfId="0" builtinId="0" hidden="0"/>
  </cellStyles>
  <dxfs count="10">
    <dxf>
      <font>
        <name val="Arial"/>
        <b val="1"/>
        <color rgb="00000000"/>
        <sz val="10"/>
      </font>
      <fill>
        <patternFill patternType="solid">
          <fgColor rgb="00D6EFD8"/>
        </patternFill>
      </fill>
    </dxf>
    <dxf>
      <font>
        <name val="Arial"/>
        <b val="1"/>
        <color rgb="00000000"/>
        <sz val="10"/>
      </font>
      <fill>
        <patternFill patternType="solid">
          <fgColor rgb="00FFF2CC"/>
        </patternFill>
      </fill>
    </dxf>
    <dxf>
      <font>
        <name val="Arial"/>
        <b val="1"/>
        <color rgb="00000000"/>
        <sz val="10"/>
      </font>
      <fill>
        <patternFill patternType="solid">
          <fgColor rgb="00FCE4D6"/>
        </patternFill>
      </fill>
    </dxf>
    <dxf>
      <font>
        <name val="Arial"/>
        <b val="1"/>
        <color rgb="00000000"/>
        <sz val="10"/>
      </font>
      <fill>
        <patternFill patternType="solid">
          <fgColor rgb="00F2F2F2"/>
        </patternFill>
      </fill>
    </dxf>
    <dxf>
      <font>
        <name val="Arial"/>
        <b val="1"/>
        <color rgb="00000000"/>
        <sz val="10"/>
      </font>
      <fill>
        <patternFill patternType="solid">
          <fgColor rgb="00EDEDED"/>
        </patternFill>
      </fill>
    </dxf>
    <dxf>
      <font>
        <name val="Arial"/>
        <b val="1"/>
        <color rgb="00000000"/>
        <sz val="10"/>
      </font>
      <fill>
        <patternFill patternType="solid">
          <fgColor rgb="00FFE699"/>
        </patternFill>
      </fill>
    </dxf>
    <dxf>
      <font>
        <name val="Arial"/>
        <b val="1"/>
        <color rgb="00000000"/>
        <sz val="10"/>
      </font>
      <fill>
        <patternFill patternType="solid">
          <fgColor rgb="00F8CBAD"/>
        </patternFill>
      </fill>
    </dxf>
    <dxf>
      <font>
        <name val="Arial"/>
        <b val="1"/>
        <color rgb="00000000"/>
        <sz val="10"/>
      </font>
      <fill>
        <patternFill patternType="solid">
          <fgColor rgb="00F4B6B6"/>
        </patternFill>
      </fill>
    </dxf>
    <dxf>
      <font>
        <name val="Arial"/>
        <b val="1"/>
        <color rgb="00000000"/>
        <sz val="10"/>
      </font>
      <fill>
        <patternFill patternType="solid">
          <fgColor rgb="00BDD7EE"/>
        </patternFill>
      </fill>
    </dxf>
    <dxf>
      <font>
        <name val="Arial"/>
        <b val="1"/>
        <color rgb="00FFFFFF"/>
        <sz val="10"/>
      </font>
      <fill>
        <patternFill patternType="solid">
          <fgColor rgb="00C00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60"/>
  <sheetViews>
    <sheetView workbookViewId="0">
      <selection activeCell="A1" sqref="A1"/>
    </sheetView>
  </sheetViews>
  <sheetFormatPr baseColWidth="8" defaultRowHeight="15"/>
  <cols>
    <col width="36" customWidth="1" min="1" max="1"/>
    <col width="15" customWidth="1" min="2" max="2"/>
    <col width="15" customWidth="1" min="3" max="3"/>
    <col width="15" customWidth="1" min="4" max="4"/>
    <col width="15" customWidth="1" min="5" max="5"/>
    <col width="15" customWidth="1" min="6" max="6"/>
  </cols>
  <sheetData>
    <row r="1">
      <c r="A1" s="1" t="inlineStr">
        <is>
          <t>Verris — parytet funkcji wobec rynku</t>
        </is>
      </c>
    </row>
    <row r="2">
      <c r="A2" s="2" t="inlineStr">
        <is>
          <t>Wygenerowane 2026-10-07 z audyt/dane/macierz.csv · nie edytuj tego pliku ręcznie</t>
        </is>
      </c>
    </row>
    <row r="4">
      <c r="A4" s="3" t="inlineStr">
        <is>
          <t>Werdykt parytetu</t>
        </is>
      </c>
    </row>
    <row r="5">
      <c r="A5" s="4" t="inlineStr">
        <is>
          <t>Wartość</t>
        </is>
      </c>
      <c r="B5" s="4" t="inlineStr">
        <is>
          <t>Pozycji</t>
        </is>
      </c>
    </row>
    <row r="6">
      <c r="A6" s="5" t="inlineStr">
        <is>
          <t>PARYTET</t>
        </is>
      </c>
      <c r="B6" s="5">
        <f>COUNTIF(Macierz!$K$2:$K$440,A6)</f>
        <v/>
      </c>
    </row>
    <row r="7">
      <c r="A7" s="5" t="inlineStr">
        <is>
          <t>PRZEWAGA</t>
        </is>
      </c>
      <c r="B7" s="5">
        <f>COUNTIF(Macierz!$K$2:$K$440,A7)</f>
        <v/>
      </c>
    </row>
    <row r="8">
      <c r="A8" s="5" t="inlineStr">
        <is>
          <t>CZĘŚCIOWY</t>
        </is>
      </c>
      <c r="B8" s="5">
        <f>COUNTIF(Macierz!$K$2:$K$440,A8)</f>
        <v/>
      </c>
    </row>
    <row r="9">
      <c r="A9" s="5" t="inlineStr">
        <is>
          <t>LUKA</t>
        </is>
      </c>
      <c r="B9" s="5">
        <f>COUNTIF(Macierz!$K$2:$K$440,A9)</f>
        <v/>
      </c>
    </row>
    <row r="10">
      <c r="A10" s="5" t="inlineStr">
        <is>
          <t>POZA ZAKRESEM</t>
        </is>
      </c>
      <c r="B10" s="5">
        <f>COUNTIF(Macierz!$K$2:$K$440,A10)</f>
        <v/>
      </c>
    </row>
    <row r="13">
      <c r="A13" s="3" t="inlineStr">
        <is>
          <t>Stan implementacji</t>
        </is>
      </c>
    </row>
    <row r="14">
      <c r="A14" s="4" t="inlineStr">
        <is>
          <t>Wartość</t>
        </is>
      </c>
      <c r="B14" s="4" t="inlineStr">
        <is>
          <t>Pozycji</t>
        </is>
      </c>
    </row>
    <row r="15">
      <c r="A15" s="5" t="inlineStr">
        <is>
          <t>DZIAŁA</t>
        </is>
      </c>
      <c r="B15" s="5">
        <f>COUNTIF(Macierz!$I$2:$I$440,A15)</f>
        <v/>
      </c>
    </row>
    <row r="16">
      <c r="A16" s="5" t="inlineStr">
        <is>
          <t>CZĘŚCIOWE</t>
        </is>
      </c>
      <c r="B16" s="5">
        <f>COUNTIF(Macierz!$I$2:$I$440,A16)</f>
        <v/>
      </c>
    </row>
    <row r="17">
      <c r="A17" s="5" t="inlineStr">
        <is>
          <t>FLAGA</t>
        </is>
      </c>
      <c r="B17" s="5">
        <f>COUNTIF(Macierz!$I$2:$I$440,A17)</f>
        <v/>
      </c>
    </row>
    <row r="18">
      <c r="A18" s="5" t="inlineStr">
        <is>
          <t>ATRAPA</t>
        </is>
      </c>
      <c r="B18" s="5">
        <f>COUNTIF(Macierz!$I$2:$I$440,A18)</f>
        <v/>
      </c>
    </row>
    <row r="19">
      <c r="A19" s="5" t="inlineStr">
        <is>
          <t>ENDPOINT BEZ UI</t>
        </is>
      </c>
      <c r="B19" s="5">
        <f>COUNTIF(Macierz!$I$2:$I$440,A19)</f>
        <v/>
      </c>
    </row>
    <row r="20">
      <c r="A20" s="5" t="inlineStr">
        <is>
          <t>BRAK</t>
        </is>
      </c>
      <c r="B20" s="5">
        <f>COUNTIF(Macierz!$I$2:$I$440,A20)</f>
        <v/>
      </c>
    </row>
    <row r="21">
      <c r="A21" s="5" t="inlineStr">
        <is>
          <t>b.d.</t>
        </is>
      </c>
      <c r="B21" s="5">
        <f>COUNTIF(Macierz!$I$2:$I$440,A21)</f>
        <v/>
      </c>
    </row>
    <row r="24">
      <c r="A24" s="3" t="inlineStr">
        <is>
          <t>Krytyczność luk</t>
        </is>
      </c>
    </row>
    <row r="25">
      <c r="A25" s="4" t="inlineStr">
        <is>
          <t>Wartość</t>
        </is>
      </c>
      <c r="B25" s="4" t="inlineStr">
        <is>
          <t>Pozycji</t>
        </is>
      </c>
    </row>
    <row r="26">
      <c r="A26" s="6" t="inlineStr">
        <is>
          <t>BLOKER STARTU</t>
        </is>
      </c>
      <c r="B26" s="6">
        <f>COUNTIF(Macierz!$L$2:$L$440,A26)</f>
        <v/>
      </c>
    </row>
    <row r="27">
      <c r="A27" s="5" t="inlineStr">
        <is>
          <t>WYSOKA</t>
        </is>
      </c>
      <c r="B27" s="5">
        <f>COUNTIF(Macierz!$L$2:$L$440,A27)</f>
        <v/>
      </c>
    </row>
    <row r="28">
      <c r="A28" s="5" t="inlineStr">
        <is>
          <t>ŚREDNIA</t>
        </is>
      </c>
      <c r="B28" s="5">
        <f>COUNTIF(Macierz!$L$2:$L$440,A28)</f>
        <v/>
      </c>
    </row>
    <row r="29">
      <c r="A29" s="5" t="inlineStr">
        <is>
          <t>NISKA</t>
        </is>
      </c>
      <c r="B29" s="5">
        <f>COUNTIF(Macierz!$L$2:$L$440,A29)</f>
        <v/>
      </c>
    </row>
    <row r="31">
      <c r="A31" s="3" t="inlineStr">
        <is>
          <t>Pokrycie per kategoria</t>
        </is>
      </c>
    </row>
    <row r="32">
      <c r="A32" s="4" t="inlineStr">
        <is>
          <t>Kategoria</t>
        </is>
      </c>
      <c r="B32" s="4" t="inlineStr">
        <is>
          <t>Pozycji</t>
        </is>
      </c>
      <c r="C32" s="4" t="inlineStr">
        <is>
          <t>Parytet+Przewaga</t>
        </is>
      </c>
      <c r="D32" s="4" t="inlineStr">
        <is>
          <t>Luki</t>
        </is>
      </c>
      <c r="E32" s="4" t="inlineStr">
        <is>
          <t>Blokery</t>
        </is>
      </c>
      <c r="F32" s="4" t="inlineStr">
        <is>
          <t>Pokrycie</t>
        </is>
      </c>
    </row>
    <row r="33">
      <c r="A33" s="7" t="inlineStr">
        <is>
          <t>A — Domeny i konta</t>
        </is>
      </c>
      <c r="B33" s="7">
        <f>COUNTIF(Macierz!$B$2:$B$440,"A")</f>
        <v/>
      </c>
      <c r="C33" s="7">
        <f>COUNTIFS(Macierz!$B$2:$B$440,"A",Macierz!$K$2:$K$440,"PARYTET")+COUNTIFS(Macierz!$B$2:$B$440,"A",Macierz!$K$2:$K$440,"PRZEWAGA")</f>
        <v/>
      </c>
      <c r="D33" s="7">
        <f>COUNTIFS(Macierz!$B$2:$B$440,"A",Macierz!$K$2:$K$440,"LUKA")</f>
        <v/>
      </c>
      <c r="E33" s="7">
        <f>COUNTIFS(Macierz!$B$2:$B$440,"A",Macierz!$L$2:$L$440,"BLOKER STARTU")</f>
        <v/>
      </c>
      <c r="F33" s="8">
        <f>IFERROR(C33/B33,0)</f>
        <v/>
      </c>
    </row>
    <row r="34">
      <c r="A34" s="7" t="inlineStr">
        <is>
          <t>B — Runtime WWW</t>
        </is>
      </c>
      <c r="B34" s="7">
        <f>COUNTIF(Macierz!$B$2:$B$440,"B")</f>
        <v/>
      </c>
      <c r="C34" s="7">
        <f>COUNTIFS(Macierz!$B$2:$B$440,"B",Macierz!$K$2:$K$440,"PARYTET")+COUNTIFS(Macierz!$B$2:$B$440,"B",Macierz!$K$2:$K$440,"PRZEWAGA")</f>
        <v/>
      </c>
      <c r="D34" s="7">
        <f>COUNTIFS(Macierz!$B$2:$B$440,"B",Macierz!$K$2:$K$440,"LUKA")</f>
        <v/>
      </c>
      <c r="E34" s="7">
        <f>COUNTIFS(Macierz!$B$2:$B$440,"B",Macierz!$L$2:$L$440,"BLOKER STARTU")</f>
        <v/>
      </c>
      <c r="F34" s="8">
        <f>IFERROR(C34/B34,0)</f>
        <v/>
      </c>
    </row>
    <row r="35">
      <c r="A35" s="7" t="inlineStr">
        <is>
          <t>C — Pliki, FTP, SSH, Git</t>
        </is>
      </c>
      <c r="B35" s="7">
        <f>COUNTIF(Macierz!$B$2:$B$440,"C")</f>
        <v/>
      </c>
      <c r="C35" s="7">
        <f>COUNTIFS(Macierz!$B$2:$B$440,"C",Macierz!$K$2:$K$440,"PARYTET")+COUNTIFS(Macierz!$B$2:$B$440,"C",Macierz!$K$2:$K$440,"PRZEWAGA")</f>
        <v/>
      </c>
      <c r="D35" s="7">
        <f>COUNTIFS(Macierz!$B$2:$B$440,"C",Macierz!$K$2:$K$440,"LUKA")</f>
        <v/>
      </c>
      <c r="E35" s="7">
        <f>COUNTIFS(Macierz!$B$2:$B$440,"C",Macierz!$L$2:$L$440,"BLOKER STARTU")</f>
        <v/>
      </c>
      <c r="F35" s="8">
        <f>IFERROR(C35/B35,0)</f>
        <v/>
      </c>
    </row>
    <row r="36">
      <c r="A36" s="7" t="inlineStr">
        <is>
          <t>D — Bazy danych</t>
        </is>
      </c>
      <c r="B36" s="7">
        <f>COUNTIF(Macierz!$B$2:$B$440,"D")</f>
        <v/>
      </c>
      <c r="C36" s="7">
        <f>COUNTIFS(Macierz!$B$2:$B$440,"D",Macierz!$K$2:$K$440,"PARYTET")+COUNTIFS(Macierz!$B$2:$B$440,"D",Macierz!$K$2:$K$440,"PRZEWAGA")</f>
        <v/>
      </c>
      <c r="D36" s="7">
        <f>COUNTIFS(Macierz!$B$2:$B$440,"D",Macierz!$K$2:$K$440,"LUKA")</f>
        <v/>
      </c>
      <c r="E36" s="7">
        <f>COUNTIFS(Macierz!$B$2:$B$440,"D",Macierz!$L$2:$L$440,"BLOKER STARTU")</f>
        <v/>
      </c>
      <c r="F36" s="8">
        <f>IFERROR(C36/B36,0)</f>
        <v/>
      </c>
    </row>
    <row r="37">
      <c r="A37" s="7" t="inlineStr">
        <is>
          <t>E — Poczta</t>
        </is>
      </c>
      <c r="B37" s="7">
        <f>COUNTIF(Macierz!$B$2:$B$440,"E")</f>
        <v/>
      </c>
      <c r="C37" s="7">
        <f>COUNTIFS(Macierz!$B$2:$B$440,"E",Macierz!$K$2:$K$440,"PARYTET")+COUNTIFS(Macierz!$B$2:$B$440,"E",Macierz!$K$2:$K$440,"PRZEWAGA")</f>
        <v/>
      </c>
      <c r="D37" s="7">
        <f>COUNTIFS(Macierz!$B$2:$B$440,"E",Macierz!$K$2:$K$440,"LUKA")</f>
        <v/>
      </c>
      <c r="E37" s="7">
        <f>COUNTIFS(Macierz!$B$2:$B$440,"E",Macierz!$L$2:$L$440,"BLOKER STARTU")</f>
        <v/>
      </c>
      <c r="F37" s="8">
        <f>IFERROR(C37/B37,0)</f>
        <v/>
      </c>
    </row>
    <row r="38">
      <c r="A38" s="7" t="inlineStr">
        <is>
          <t>F — DNS</t>
        </is>
      </c>
      <c r="B38" s="7">
        <f>COUNTIF(Macierz!$B$2:$B$440,"F")</f>
        <v/>
      </c>
      <c r="C38" s="7">
        <f>COUNTIFS(Macierz!$B$2:$B$440,"F",Macierz!$K$2:$K$440,"PARYTET")+COUNTIFS(Macierz!$B$2:$B$440,"F",Macierz!$K$2:$K$440,"PRZEWAGA")</f>
        <v/>
      </c>
      <c r="D38" s="7">
        <f>COUNTIFS(Macierz!$B$2:$B$440,"F",Macierz!$K$2:$K$440,"LUKA")</f>
        <v/>
      </c>
      <c r="E38" s="7">
        <f>COUNTIFS(Macierz!$B$2:$B$440,"F",Macierz!$L$2:$L$440,"BLOKER STARTU")</f>
        <v/>
      </c>
      <c r="F38" s="8">
        <f>IFERROR(C38/B38,0)</f>
        <v/>
      </c>
    </row>
    <row r="39">
      <c r="A39" s="7" t="inlineStr">
        <is>
          <t>G — SSL i bezpieczeństwo</t>
        </is>
      </c>
      <c r="B39" s="7">
        <f>COUNTIF(Macierz!$B$2:$B$440,"G")</f>
        <v/>
      </c>
      <c r="C39" s="7">
        <f>COUNTIFS(Macierz!$B$2:$B$440,"G",Macierz!$K$2:$K$440,"PARYTET")+COUNTIFS(Macierz!$B$2:$B$440,"G",Macierz!$K$2:$K$440,"PRZEWAGA")</f>
        <v/>
      </c>
      <c r="D39" s="7">
        <f>COUNTIFS(Macierz!$B$2:$B$440,"G",Macierz!$K$2:$K$440,"LUKA")</f>
        <v/>
      </c>
      <c r="E39" s="7">
        <f>COUNTIFS(Macierz!$B$2:$B$440,"G",Macierz!$L$2:$L$440,"BLOKER STARTU")</f>
        <v/>
      </c>
      <c r="F39" s="8">
        <f>IFERROR(C39/B39,0)</f>
        <v/>
      </c>
    </row>
    <row r="40">
      <c r="A40" s="7" t="inlineStr">
        <is>
          <t>H — Backup i odtwarzanie</t>
        </is>
      </c>
      <c r="B40" s="7">
        <f>COUNTIF(Macierz!$B$2:$B$440,"H")</f>
        <v/>
      </c>
      <c r="C40" s="7">
        <f>COUNTIFS(Macierz!$B$2:$B$440,"H",Macierz!$K$2:$K$440,"PARYTET")+COUNTIFS(Macierz!$B$2:$B$440,"H",Macierz!$K$2:$K$440,"PRZEWAGA")</f>
        <v/>
      </c>
      <c r="D40" s="7">
        <f>COUNTIFS(Macierz!$B$2:$B$440,"H",Macierz!$K$2:$K$440,"LUKA")</f>
        <v/>
      </c>
      <c r="E40" s="7">
        <f>COUNTIFS(Macierz!$B$2:$B$440,"H",Macierz!$L$2:$L$440,"BLOKER STARTU")</f>
        <v/>
      </c>
      <c r="F40" s="8">
        <f>IFERROR(C40/B40,0)</f>
        <v/>
      </c>
    </row>
    <row r="41">
      <c r="A41" s="7" t="inlineStr">
        <is>
          <t>I — Aplikacje i WordPress</t>
        </is>
      </c>
      <c r="B41" s="7">
        <f>COUNTIF(Macierz!$B$2:$B$440,"I")</f>
        <v/>
      </c>
      <c r="C41" s="7">
        <f>COUNTIFS(Macierz!$B$2:$B$440,"I",Macierz!$K$2:$K$440,"PARYTET")+COUNTIFS(Macierz!$B$2:$B$440,"I",Macierz!$K$2:$K$440,"PRZEWAGA")</f>
        <v/>
      </c>
      <c r="D41" s="7">
        <f>COUNTIFS(Macierz!$B$2:$B$440,"I",Macierz!$K$2:$K$440,"LUKA")</f>
        <v/>
      </c>
      <c r="E41" s="7">
        <f>COUNTIFS(Macierz!$B$2:$B$440,"I",Macierz!$L$2:$L$440,"BLOKER STARTU")</f>
        <v/>
      </c>
      <c r="F41" s="8">
        <f>IFERROR(C41/B41,0)</f>
        <v/>
      </c>
    </row>
    <row r="42">
      <c r="A42" s="7" t="inlineStr">
        <is>
          <t>J — Wydajność i cache</t>
        </is>
      </c>
      <c r="B42" s="7">
        <f>COUNTIF(Macierz!$B$2:$B$440,"J")</f>
        <v/>
      </c>
      <c r="C42" s="7">
        <f>COUNTIFS(Macierz!$B$2:$B$440,"J",Macierz!$K$2:$K$440,"PARYTET")+COUNTIFS(Macierz!$B$2:$B$440,"J",Macierz!$K$2:$K$440,"PRZEWAGA")</f>
        <v/>
      </c>
      <c r="D42" s="7">
        <f>COUNTIFS(Macierz!$B$2:$B$440,"J",Macierz!$K$2:$K$440,"LUKA")</f>
        <v/>
      </c>
      <c r="E42" s="7">
        <f>COUNTIFS(Macierz!$B$2:$B$440,"J",Macierz!$L$2:$L$440,"BLOKER STARTU")</f>
        <v/>
      </c>
      <c r="F42" s="8">
        <f>IFERROR(C42/B42,0)</f>
        <v/>
      </c>
    </row>
    <row r="43">
      <c r="A43" s="7" t="inlineStr">
        <is>
          <t>K — Statystyki, logi, limity</t>
        </is>
      </c>
      <c r="B43" s="7">
        <f>COUNTIF(Macierz!$B$2:$B$440,"K")</f>
        <v/>
      </c>
      <c r="C43" s="7">
        <f>COUNTIFS(Macierz!$B$2:$B$440,"K",Macierz!$K$2:$K$440,"PARYTET")+COUNTIFS(Macierz!$B$2:$B$440,"K",Macierz!$K$2:$K$440,"PRZEWAGA")</f>
        <v/>
      </c>
      <c r="D43" s="7">
        <f>COUNTIFS(Macierz!$B$2:$B$440,"K",Macierz!$K$2:$K$440,"LUKA")</f>
        <v/>
      </c>
      <c r="E43" s="7">
        <f>COUNTIFS(Macierz!$B$2:$B$440,"K",Macierz!$L$2:$L$440,"BLOKER STARTU")</f>
        <v/>
      </c>
      <c r="F43" s="8">
        <f>IFERROR(C43/B43,0)</f>
        <v/>
      </c>
    </row>
    <row r="44">
      <c r="A44" s="7" t="inlineStr">
        <is>
          <t>L — Automatyzacja</t>
        </is>
      </c>
      <c r="B44" s="7">
        <f>COUNTIF(Macierz!$B$2:$B$440,"L")</f>
        <v/>
      </c>
      <c r="C44" s="7">
        <f>COUNTIFS(Macierz!$B$2:$B$440,"L",Macierz!$K$2:$K$440,"PARYTET")+COUNTIFS(Macierz!$B$2:$B$440,"L",Macierz!$K$2:$K$440,"PRZEWAGA")</f>
        <v/>
      </c>
      <c r="D44" s="7">
        <f>COUNTIFS(Macierz!$B$2:$B$440,"L",Macierz!$K$2:$K$440,"LUKA")</f>
        <v/>
      </c>
      <c r="E44" s="7">
        <f>COUNTIFS(Macierz!$B$2:$B$440,"L",Macierz!$L$2:$L$440,"BLOKER STARTU")</f>
        <v/>
      </c>
      <c r="F44" s="8">
        <f>IFERROR(C44/B44,0)</f>
        <v/>
      </c>
    </row>
    <row r="45">
      <c r="A45" s="7" t="inlineStr">
        <is>
          <t>M — Rozliczenia</t>
        </is>
      </c>
      <c r="B45" s="7">
        <f>COUNTIF(Macierz!$B$2:$B$440,"M")</f>
        <v/>
      </c>
      <c r="C45" s="7">
        <f>COUNTIFS(Macierz!$B$2:$B$440,"M",Macierz!$K$2:$K$440,"PARYTET")+COUNTIFS(Macierz!$B$2:$B$440,"M",Macierz!$K$2:$K$440,"PRZEWAGA")</f>
        <v/>
      </c>
      <c r="D45" s="7">
        <f>COUNTIFS(Macierz!$B$2:$B$440,"M",Macierz!$K$2:$K$440,"LUKA")</f>
        <v/>
      </c>
      <c r="E45" s="7">
        <f>COUNTIFS(Macierz!$B$2:$B$440,"M",Macierz!$L$2:$L$440,"BLOKER STARTU")</f>
        <v/>
      </c>
      <c r="F45" s="8">
        <f>IFERROR(C45/B45,0)</f>
        <v/>
      </c>
    </row>
    <row r="46">
      <c r="A46" s="7" t="inlineStr">
        <is>
          <t>N — Wsparcie i ops</t>
        </is>
      </c>
      <c r="B46" s="7">
        <f>COUNTIF(Macierz!$B$2:$B$440,"N")</f>
        <v/>
      </c>
      <c r="C46" s="7">
        <f>COUNTIFS(Macierz!$B$2:$B$440,"N",Macierz!$K$2:$K$440,"PARYTET")+COUNTIFS(Macierz!$B$2:$B$440,"N",Macierz!$K$2:$K$440,"PRZEWAGA")</f>
        <v/>
      </c>
      <c r="D46" s="7">
        <f>COUNTIFS(Macierz!$B$2:$B$440,"N",Macierz!$K$2:$K$440,"LUKA")</f>
        <v/>
      </c>
      <c r="E46" s="7">
        <f>COUNTIFS(Macierz!$B$2:$B$440,"N",Macierz!$L$2:$L$440,"BLOKER STARTU")</f>
        <v/>
      </c>
      <c r="F46" s="8">
        <f>IFERROR(C46/B46,0)</f>
        <v/>
      </c>
    </row>
    <row r="47">
      <c r="A47" s="7" t="inlineStr">
        <is>
          <t>O — Multi-user i reseller</t>
        </is>
      </c>
      <c r="B47" s="7">
        <f>COUNTIF(Macierz!$B$2:$B$440,"O")</f>
        <v/>
      </c>
      <c r="C47" s="7">
        <f>COUNTIFS(Macierz!$B$2:$B$440,"O",Macierz!$K$2:$K$440,"PARYTET")+COUNTIFS(Macierz!$B$2:$B$440,"O",Macierz!$K$2:$K$440,"PRZEWAGA")</f>
        <v/>
      </c>
      <c r="D47" s="7">
        <f>COUNTIFS(Macierz!$B$2:$B$440,"O",Macierz!$K$2:$K$440,"LUKA")</f>
        <v/>
      </c>
      <c r="E47" s="7">
        <f>COUNTIFS(Macierz!$B$2:$B$440,"O",Macierz!$L$2:$L$440,"BLOKER STARTU")</f>
        <v/>
      </c>
      <c r="F47" s="8">
        <f>IFERROR(C47/B47,0)</f>
        <v/>
      </c>
    </row>
    <row r="48">
      <c r="A48" s="7" t="inlineStr">
        <is>
          <t>P — Zgodność</t>
        </is>
      </c>
      <c r="B48" s="7">
        <f>COUNTIF(Macierz!$B$2:$B$440,"P")</f>
        <v/>
      </c>
      <c r="C48" s="7">
        <f>COUNTIFS(Macierz!$B$2:$B$440,"P",Macierz!$K$2:$K$440,"PARYTET")+COUNTIFS(Macierz!$B$2:$B$440,"P",Macierz!$K$2:$K$440,"PRZEWAGA")</f>
        <v/>
      </c>
      <c r="D48" s="7">
        <f>COUNTIFS(Macierz!$B$2:$B$440,"P",Macierz!$K$2:$K$440,"LUKA")</f>
        <v/>
      </c>
      <c r="E48" s="7">
        <f>COUNTIFS(Macierz!$B$2:$B$440,"P",Macierz!$L$2:$L$440,"BLOKER STARTU")</f>
        <v/>
      </c>
      <c r="F48" s="8">
        <f>IFERROR(C48/B48,0)</f>
        <v/>
      </c>
    </row>
    <row r="49">
      <c r="A49" s="7" t="inlineStr">
        <is>
          <t>Q — Przewaga</t>
        </is>
      </c>
      <c r="B49" s="7">
        <f>COUNTIF(Macierz!$B$2:$B$440,"Q")</f>
        <v/>
      </c>
      <c r="C49" s="7">
        <f>COUNTIFS(Macierz!$B$2:$B$440,"Q",Macierz!$K$2:$K$440,"PARYTET")+COUNTIFS(Macierz!$B$2:$B$440,"Q",Macierz!$K$2:$K$440,"PRZEWAGA")</f>
        <v/>
      </c>
      <c r="D49" s="7">
        <f>COUNTIFS(Macierz!$B$2:$B$440,"Q",Macierz!$K$2:$K$440,"LUKA")</f>
        <v/>
      </c>
      <c r="E49" s="7">
        <f>COUNTIFS(Macierz!$B$2:$B$440,"Q",Macierz!$L$2:$L$440,"BLOKER STARTU")</f>
        <v/>
      </c>
      <c r="F49" s="8">
        <f>IFERROR(C49/B49,0)</f>
        <v/>
      </c>
    </row>
    <row r="50">
      <c r="A50" s="7" t="inlineStr">
        <is>
          <t>X — Infrastruktura jakości</t>
        </is>
      </c>
      <c r="B50" s="7">
        <f>COUNTIF(Macierz!$B$2:$B$440,"X")</f>
        <v/>
      </c>
      <c r="C50" s="7">
        <f>COUNTIFS(Macierz!$B$2:$B$440,"X",Macierz!$K$2:$K$440,"PARYTET")+COUNTIFS(Macierz!$B$2:$B$440,"X",Macierz!$K$2:$K$440,"PRZEWAGA")</f>
        <v/>
      </c>
      <c r="D50" s="7">
        <f>COUNTIFS(Macierz!$B$2:$B$440,"X",Macierz!$K$2:$K$440,"LUKA")</f>
        <v/>
      </c>
      <c r="E50" s="7">
        <f>COUNTIFS(Macierz!$B$2:$B$440,"X",Macierz!$L$2:$L$440,"BLOKER STARTU")</f>
        <v/>
      </c>
      <c r="F50" s="8">
        <f>IFERROR(C50/B50,0)</f>
        <v/>
      </c>
    </row>
    <row r="51">
      <c r="A51" s="7" t="inlineStr">
        <is>
          <t>Z — Pass adwersaryjny</t>
        </is>
      </c>
      <c r="B51" s="7">
        <f>COUNTIF(Macierz!$B$2:$B$440,"Z")</f>
        <v/>
      </c>
      <c r="C51" s="7">
        <f>COUNTIFS(Macierz!$B$2:$B$440,"Z",Macierz!$K$2:$K$440,"PARYTET")+COUNTIFS(Macierz!$B$2:$B$440,"Z",Macierz!$K$2:$K$440,"PRZEWAGA")</f>
        <v/>
      </c>
      <c r="D51" s="7">
        <f>COUNTIFS(Macierz!$B$2:$B$440,"Z",Macierz!$K$2:$K$440,"LUKA")</f>
        <v/>
      </c>
      <c r="E51" s="7">
        <f>COUNTIFS(Macierz!$B$2:$B$440,"Z",Macierz!$L$2:$L$440,"BLOKER STARTU")</f>
        <v/>
      </c>
      <c r="F51" s="8">
        <f>IFERROR(C51/B51,0)</f>
        <v/>
      </c>
    </row>
    <row r="54">
      <c r="A54" s="9" t="inlineStr">
        <is>
          <t>UWAGA METODOLOGICZNA</t>
        </is>
      </c>
    </row>
    <row r="55">
      <c r="A55" s="7" t="inlineStr">
        <is>
          <t>• Procent pokrycia jest metryką OPISOWĄ. Decyzję o starcie podejmuje się wyłącznie na podstawie liczby blokerów.</t>
        </is>
      </c>
    </row>
    <row r="56">
      <c r="A56" s="7" t="inlineStr">
        <is>
          <t>• Kolumny cPanel/Plesk/DirectAdmin pokazują możliwości silnika — nie to, co hosting faktycznie daje klientowi.</t>
        </is>
      </c>
    </row>
    <row r="57">
      <c r="A57" s="7" t="inlineStr">
        <is>
          <t>• Werdykt liczony jest wobec kolumny „Rynek PL”, nie wobec sumy możliwości paneli.</t>
        </is>
      </c>
    </row>
    <row r="58">
      <c r="A58" s="7" t="inlineStr">
        <is>
          <t>• Stan Verris ustalany z kodu (plik:linia), nie z dokumentacji projektu.</t>
        </is>
      </c>
    </row>
    <row r="59">
      <c r="A59" s="7" t="inlineStr">
        <is>
          <t>• „ATRAPA” = UI bez działającego backendu. „ENDPOINT BEZ UI” = backend gotowy, żaden panel go nie woła.</t>
        </is>
      </c>
    </row>
    <row r="60">
      <c r="A60" s="7" t="inlineStr">
        <is>
          <t>• Ten plik jest generowany. Zmiany wprowadzaj w audyt/dane/macierz.csv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440"/>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10" customWidth="1" min="4" max="4"/>
    <col width="10" customWidth="1" min="5" max="5"/>
    <col width="13" customWidth="1" min="6" max="6"/>
    <col width="11" customWidth="1" min="7" max="7"/>
    <col width="11" customWidth="1" min="8" max="8"/>
    <col width="17" customWidth="1" min="9" max="9"/>
    <col width="46" customWidth="1" min="10" max="10"/>
    <col width="13" customWidth="1" min="11" max="11"/>
    <col width="15" customWidth="1" min="12" max="12"/>
    <col width="8" customWidth="1" min="13" max="13"/>
    <col width="60" customWidth="1" min="14" max="14"/>
  </cols>
  <sheetData>
    <row r="1" ht="30" customHeight="1">
      <c r="A1" s="10" t="inlineStr">
        <is>
          <t>ID</t>
        </is>
      </c>
      <c r="B1" s="10" t="inlineStr">
        <is>
          <t>Kat</t>
        </is>
      </c>
      <c r="C1" s="10" t="inlineStr">
        <is>
          <t>Funkcja</t>
        </is>
      </c>
      <c r="D1" s="10" t="inlineStr">
        <is>
          <t>cPanel</t>
        </is>
      </c>
      <c r="E1" s="10" t="inlineStr">
        <is>
          <t>Plesk</t>
        </is>
      </c>
      <c r="F1" s="10" t="inlineStr">
        <is>
          <t>DirectAdmin</t>
        </is>
      </c>
      <c r="G1" s="10" t="inlineStr">
        <is>
          <t>Rynek PL</t>
        </is>
      </c>
      <c r="H1" s="10" t="inlineStr">
        <is>
          <t>Nowa fala</t>
        </is>
      </c>
      <c r="I1" s="10" t="inlineStr">
        <is>
          <t>Verris — stan</t>
        </is>
      </c>
      <c r="J1" s="10" t="inlineStr">
        <is>
          <t>Dowód (plik:linia)</t>
        </is>
      </c>
      <c r="K1" s="10" t="inlineStr">
        <is>
          <t>Werdykt</t>
        </is>
      </c>
      <c r="L1" s="10" t="inlineStr">
        <is>
          <t>Krytyczność</t>
        </is>
      </c>
      <c r="M1" s="10" t="inlineStr">
        <is>
          <t>Nakład</t>
        </is>
      </c>
      <c r="N1" s="10" t="inlineStr">
        <is>
          <t>Uwagi</t>
        </is>
      </c>
    </row>
    <row r="2">
      <c r="A2" s="11" t="inlineStr">
        <is>
          <t>A-01</t>
        </is>
      </c>
      <c r="B2" s="12" t="inlineStr">
        <is>
          <t>A</t>
        </is>
      </c>
      <c r="C2" s="11" t="inlineStr">
        <is>
          <t>Dodanie domeny do konta</t>
        </is>
      </c>
      <c r="D2" s="11" t="inlineStr">
        <is>
          <t>TAK</t>
        </is>
      </c>
      <c r="E2" s="11" t="inlineStr">
        <is>
          <t>TAK</t>
        </is>
      </c>
      <c r="F2" s="11" t="inlineStr">
        <is>
          <t>TAK</t>
        </is>
      </c>
      <c r="G2" s="11" t="inlineStr">
        <is>
          <t>TAK</t>
        </is>
      </c>
      <c r="H2" s="11" t="inlineStr">
        <is>
          <t>TAK</t>
        </is>
      </c>
      <c r="I2" s="11" t="inlineStr">
        <is>
          <t>DZIAŁA</t>
        </is>
      </c>
      <c r="J2" s="12" t="inlineStr">
        <is>
          <t>services.controller.ts:539</t>
        </is>
      </c>
      <c r="K2" s="11" t="inlineStr">
        <is>
          <t>PARYTET</t>
        </is>
      </c>
      <c r="L2" s="11" t="inlineStr">
        <is>
          <t>—</t>
        </is>
      </c>
      <c r="M2" s="11" t="inlineStr">
        <is>
          <t>—</t>
        </is>
      </c>
      <c r="N2" s="12" t="inlineStr"/>
    </row>
    <row r="3">
      <c r="A3" s="11" t="inlineStr">
        <is>
          <t>A-02</t>
        </is>
      </c>
      <c r="B3" s="12" t="inlineStr">
        <is>
          <t>A</t>
        </is>
      </c>
      <c r="C3" s="11" t="inlineStr">
        <is>
          <t>Usunięcie domeny z konta</t>
        </is>
      </c>
      <c r="D3" s="11" t="inlineStr">
        <is>
          <t>TAK</t>
        </is>
      </c>
      <c r="E3" s="11" t="inlineStr">
        <is>
          <t>TAK</t>
        </is>
      </c>
      <c r="F3" s="11" t="inlineStr">
        <is>
          <t>TAK</t>
        </is>
      </c>
      <c r="G3" s="11" t="inlineStr">
        <is>
          <t>TAK</t>
        </is>
      </c>
      <c r="H3" s="11" t="inlineStr">
        <is>
          <t>TAK</t>
        </is>
      </c>
      <c r="I3" s="11" t="inlineStr">
        <is>
          <t>DZIAŁA</t>
        </is>
      </c>
      <c r="J3" s="12" t="inlineStr">
        <is>
          <t>services.controller.ts:548</t>
        </is>
      </c>
      <c r="K3" s="11" t="inlineStr">
        <is>
          <t>PARYTET</t>
        </is>
      </c>
      <c r="L3" s="11" t="inlineStr">
        <is>
          <t>—</t>
        </is>
      </c>
      <c r="M3" s="11" t="inlineStr">
        <is>
          <t>—</t>
        </is>
      </c>
      <c r="N3" s="12" t="inlineStr"/>
    </row>
    <row r="4">
      <c r="A4" s="11" t="inlineStr">
        <is>
          <t>A-03</t>
        </is>
      </c>
      <c r="B4" s="12" t="inlineStr">
        <is>
          <t>A</t>
        </is>
      </c>
      <c r="C4" s="11" t="inlineStr">
        <is>
          <t>Subdomeny — tworzenie</t>
        </is>
      </c>
      <c r="D4" s="11" t="inlineStr">
        <is>
          <t>TAK</t>
        </is>
      </c>
      <c r="E4" s="11" t="inlineStr">
        <is>
          <t>TAK</t>
        </is>
      </c>
      <c r="F4" s="11" t="inlineStr">
        <is>
          <t>TAK</t>
        </is>
      </c>
      <c r="G4" s="11" t="inlineStr">
        <is>
          <t>TAK</t>
        </is>
      </c>
      <c r="H4" s="11" t="inlineStr">
        <is>
          <t>TAK</t>
        </is>
      </c>
      <c r="I4" s="11" t="inlineStr">
        <is>
          <t>DZIAŁA</t>
        </is>
      </c>
      <c r="J4" s="12" t="inlineStr">
        <is>
          <t>services.controller.ts:671</t>
        </is>
      </c>
      <c r="K4" s="11" t="inlineStr">
        <is>
          <t>PARYTET</t>
        </is>
      </c>
      <c r="L4" s="11" t="inlineStr">
        <is>
          <t>—</t>
        </is>
      </c>
      <c r="M4" s="11" t="inlineStr">
        <is>
          <t>—</t>
        </is>
      </c>
      <c r="N4" s="12" t="inlineStr"/>
    </row>
    <row r="5">
      <c r="A5" s="11" t="inlineStr">
        <is>
          <t>A-04</t>
        </is>
      </c>
      <c r="B5" s="12" t="inlineStr">
        <is>
          <t>A</t>
        </is>
      </c>
      <c r="C5" s="11" t="inlineStr">
        <is>
          <t>Subdomeny — usuwanie</t>
        </is>
      </c>
      <c r="D5" s="11" t="inlineStr">
        <is>
          <t>TAK</t>
        </is>
      </c>
      <c r="E5" s="11" t="inlineStr">
        <is>
          <t>TAK</t>
        </is>
      </c>
      <c r="F5" s="11" t="inlineStr">
        <is>
          <t>TAK</t>
        </is>
      </c>
      <c r="G5" s="11" t="inlineStr">
        <is>
          <t>TAK</t>
        </is>
      </c>
      <c r="H5" s="11" t="inlineStr">
        <is>
          <t>TAK</t>
        </is>
      </c>
      <c r="I5" s="11" t="inlineStr">
        <is>
          <t>DZIAŁA</t>
        </is>
      </c>
      <c r="J5" s="12" t="inlineStr">
        <is>
          <t>services.controller.ts:680</t>
        </is>
      </c>
      <c r="K5" s="11" t="inlineStr">
        <is>
          <t>PARYTET</t>
        </is>
      </c>
      <c r="L5" s="11" t="inlineStr">
        <is>
          <t>—</t>
        </is>
      </c>
      <c r="M5" s="11" t="inlineStr">
        <is>
          <t>—</t>
        </is>
      </c>
      <c r="N5" s="12" t="inlineStr"/>
    </row>
    <row r="6">
      <c r="A6" s="11" t="inlineStr">
        <is>
          <t>A-05</t>
        </is>
      </c>
      <c r="B6" s="12" t="inlineStr">
        <is>
          <t>A</t>
        </is>
      </c>
      <c r="C6" s="11" t="inlineStr">
        <is>
          <t>Alias / parkowanie domeny (domain pointer)</t>
        </is>
      </c>
      <c r="D6" s="11" t="inlineStr">
        <is>
          <t>TAK</t>
        </is>
      </c>
      <c r="E6" s="11" t="inlineStr">
        <is>
          <t>TAK</t>
        </is>
      </c>
      <c r="F6" s="11" t="inlineStr">
        <is>
          <t>TAK</t>
        </is>
      </c>
      <c r="G6" s="11" t="inlineStr">
        <is>
          <t>TAK</t>
        </is>
      </c>
      <c r="H6" s="11" t="inlineStr">
        <is>
          <t>TAK</t>
        </is>
      </c>
      <c r="I6" s="11" t="inlineStr">
        <is>
          <t>DZIAŁA</t>
        </is>
      </c>
      <c r="J6" s="12" t="inlineStr">
        <is>
          <t>services.controller.ts:562</t>
        </is>
      </c>
      <c r="K6" s="11" t="inlineStr">
        <is>
          <t>PARYTET</t>
        </is>
      </c>
      <c r="L6" s="11" t="inlineStr">
        <is>
          <t>—</t>
        </is>
      </c>
      <c r="M6" s="11" t="inlineStr">
        <is>
          <t>—</t>
        </is>
      </c>
      <c r="N6" s="12" t="inlineStr"/>
    </row>
    <row r="7">
      <c r="A7" s="11" t="inlineStr">
        <is>
          <t>A-06</t>
        </is>
      </c>
      <c r="B7" s="12" t="inlineStr">
        <is>
          <t>A</t>
        </is>
      </c>
      <c r="C7" s="11" t="inlineStr">
        <is>
          <t>Zmiana document root domeny</t>
        </is>
      </c>
      <c r="D7" s="11" t="inlineStr">
        <is>
          <t>TAK</t>
        </is>
      </c>
      <c r="E7" s="11" t="inlineStr">
        <is>
          <t>TAK</t>
        </is>
      </c>
      <c r="F7" s="11" t="inlineStr">
        <is>
          <t>TAK</t>
        </is>
      </c>
      <c r="G7" s="11" t="inlineStr">
        <is>
          <t>CZĘŚĆ</t>
        </is>
      </c>
      <c r="H7" s="11" t="inlineStr">
        <is>
          <t>TAK</t>
        </is>
      </c>
      <c r="I7" s="11" t="inlineStr">
        <is>
          <t>DZIAŁA</t>
        </is>
      </c>
      <c r="J7" s="12" t="inlineStr">
        <is>
          <t>servers/docroot.ts; servers/directadmin.service.ts getHostingDocroot/setHostingDocroot; GET/POST /services/:id/hosting-docroot; client components/hosting/DocrootPanel.tsx; test servers/docroot.spec.ts; D3 t1 28.09: odczyt zawsze błąd — GET CMD_API_CUSTOM_HTTPD zwraca surową treść .cust_httpd → docroot.ts trescCustomHttpd; retest; D3 t1 29.09 (panel klienta, d3.hvln.pl): „Katalog główny strony” → git-test: po ~1 min / serwuje git-test (v.php 8.1.34, readme Hello Dolly, wp-login 404); „Przywróć public_html” → WordPress znów 200</t>
        </is>
      </c>
      <c r="K7" s="11" t="inlineStr">
        <is>
          <t>PARYTET</t>
        </is>
      </c>
      <c r="L7" s="11" t="inlineStr">
        <is>
          <t>NISKA</t>
        </is>
      </c>
      <c r="M7" s="11" t="inlineStr">
        <is>
          <t>S</t>
        </is>
      </c>
      <c r="N7" s="12" t="inlineStr">
        <is>
          <t>DA to potrafi; brak UI | 2026-09-25 ROZPOZNANIE: DirectAdmin nie ma zmiany document root na poziomie użytkownika — robi się to jako administrator w Custom HTTPD Configurations tokenem |?DOCROOT=/home/&lt;user&gt;/domains/&lt;domena&gt;/public_html/&lt;katalog&gt;| (obejmuje http i https), potem przebudowa konfiguracji serwera WWW. Plan: zadanie węzła z białą listą katalogów wewnątrz public_html (np. public/, web/) — typowo pod Laravel/Symfony. Wymaga ustalenia serwera WWW na węźle (J-01: Apache/LiteSpeed/OpenLiteSpeed mają osobne pliki custom), więc budowa razem z D3 na węźle #1. | 2026-09-25 ŹRÓDŁA OFICJALNE: DirectAdmin „Customizing Apache” — token |?DOCROOT=/nowa/ścieżka| w Custom HTTPD (dla samej domeny: |*if !SUB| … |*endif|), plik data/users/&lt;user&gt;/domains/&lt;domena&gt;.cust_httpd, zastosowanie: task.queue action=rewrite&amp;value=httpd albo da build rewrite_confs. LiteSpeed Enterprise na DA czyta tę konfigurację Apache (dokumentacja LiteSpeed), więc na naszym węźle (webserver=litespeed) mechanizm zadziała. Wcześniejsza notka opierała się na źródle nieoficjalnym. | 2026-09-25 ZROBIONE (D2): strona domeny → PHP → „Katalog główny strony”: podkatalog public_html (do 4 poziomów, bez .., katalog musi istnieć). API GET/POST /services/:id/hosting-docroot (reguła FILES_MANAGE, RateLimit 20/h, dziennik HOSTING_DOCROOT_SET). Zapis przez CMD_API_CUSTOM_HTTPD (oficjalny changelog DA 1.26.0: domain + config) jako admin węzła: blok Verris między znacznikami z |*if !SUB| |?DOCROOT=…| |*endif|, wpisy administratora zostają; gdy DA nie odda bieżącego config — odmowa bez zapisu. Bez zadania węzła (DA sam przepisuje httpd.conf). D3 na węźle: format odpowiedzi GET CMD_API_CUSTOM_HTTPD (pole config), uprawnienie klucza admina do tej komendy, czas przebudowy, działanie pod LSWS i HTTPS.</t>
        </is>
      </c>
    </row>
    <row r="8">
      <c r="A8" s="11" t="inlineStr">
        <is>
          <t>A-07</t>
        </is>
      </c>
      <c r="B8" s="12" t="inlineStr">
        <is>
          <t>A</t>
        </is>
      </c>
      <c r="C8" s="11" t="inlineStr">
        <is>
          <t>Przekierowanie domeny (web forwarding)</t>
        </is>
      </c>
      <c r="D8" s="11" t="inlineStr">
        <is>
          <t>TAK</t>
        </is>
      </c>
      <c r="E8" s="11" t="inlineStr">
        <is>
          <t>TAK</t>
        </is>
      </c>
      <c r="F8" s="11" t="inlineStr">
        <is>
          <t>TAK</t>
        </is>
      </c>
      <c r="G8" s="11" t="inlineStr">
        <is>
          <t>TAK</t>
        </is>
      </c>
      <c r="H8" s="11" t="inlineStr">
        <is>
          <t>TAK</t>
        </is>
      </c>
      <c r="I8" s="11" t="inlineStr">
        <is>
          <t>DZIAŁA</t>
        </is>
      </c>
      <c r="J8" s="12" t="inlineStr">
        <is>
          <t>WebToolsTab.tsx:143</t>
        </is>
      </c>
      <c r="K8" s="11" t="inlineStr">
        <is>
          <t>PARYTET</t>
        </is>
      </c>
      <c r="L8" s="11" t="inlineStr">
        <is>
          <t>—</t>
        </is>
      </c>
      <c r="M8" s="11" t="inlineStr">
        <is>
          <t>—</t>
        </is>
      </c>
      <c r="N8" s="12" t="inlineStr">
        <is>
          <t>przez .htaccess</t>
        </is>
      </c>
    </row>
    <row r="9">
      <c r="A9" s="11" t="inlineStr">
        <is>
          <t>A-08</t>
        </is>
      </c>
      <c r="B9" s="12" t="inlineStr">
        <is>
          <t>A</t>
        </is>
      </c>
      <c r="C9" s="11" t="inlineStr">
        <is>
          <t>Rejestracja domeny z panelu</t>
        </is>
      </c>
      <c r="D9" s="11" t="inlineStr">
        <is>
          <t>NIE</t>
        </is>
      </c>
      <c r="E9" s="11" t="inlineStr">
        <is>
          <t>NIE</t>
        </is>
      </c>
      <c r="F9" s="11" t="inlineStr">
        <is>
          <t>NIE</t>
        </is>
      </c>
      <c r="G9" s="11" t="inlineStr">
        <is>
          <t>TAK</t>
        </is>
      </c>
      <c r="H9" s="11" t="inlineStr">
        <is>
          <t>TAK</t>
        </is>
      </c>
      <c r="I9" s="11" t="inlineStr">
        <is>
          <t>DZIAŁA</t>
        </is>
      </c>
      <c r="J9" s="12" t="inlineStr">
        <is>
          <t>domains.controller.ts:118</t>
        </is>
      </c>
      <c r="K9" s="11" t="inlineStr">
        <is>
          <t>PARYTET</t>
        </is>
      </c>
      <c r="L9" s="11" t="inlineStr">
        <is>
          <t>ŚREDNIA</t>
        </is>
      </c>
      <c r="M9" s="11" t="inlineStr">
        <is>
          <t>M</t>
        </is>
      </c>
      <c r="N9" s="12" t="inlineStr">
        <is>
          <t>Skorygowane: sekcja jest wpięta w panel (domains/actions.ts:165,181,198), backend kompletny. To brak wpisu w ENV, nie brak funkcji — hosting da się sprzedać na domenie klienta. | 2026-09-27 KOD (4cbc9d4): opłacona rejestracja zapisuje domenę na koncie płacącego także wtedy, gdy ktoś wcześniej dopisał tę nazwę do swojego konta bez weryfikacji (wcześniej zostawała u rezerwującego). Test integracyjny. | 2026-10-04: D3 (sandbox OpenProvidera (api.sandbox.openprovider.nl), panel klienta prod, klient d3 czasowo na portfelu) — rejestracja verris-test-d3-2026.com na 1 rok z kreatora: 70,99 zł z portfela, domena „zarejestrowana, wygasa 4.10.2027”, abonent na kliencie (uchwyt OP). Znalezione: domyślne NS ns1/ns2.verris.pl nie istnieją w DNS → 9eb936d4 (NS węzła/platformy). Prawdziwa rejestracja (produkcyjne konto OP) — PB-05 wg decyzji 27.09.</t>
        </is>
      </c>
    </row>
    <row r="10">
      <c r="A10" s="11" t="inlineStr">
        <is>
          <t>A-09</t>
        </is>
      </c>
      <c r="B10" s="12" t="inlineStr">
        <is>
          <t>A</t>
        </is>
      </c>
      <c r="C10" s="11" t="inlineStr">
        <is>
          <t>Transfer domeny (kod authinfo)</t>
        </is>
      </c>
      <c r="D10" s="11" t="inlineStr">
        <is>
          <t>NIE</t>
        </is>
      </c>
      <c r="E10" s="11" t="inlineStr">
        <is>
          <t>NIE</t>
        </is>
      </c>
      <c r="F10" s="11" t="inlineStr">
        <is>
          <t>NIE</t>
        </is>
      </c>
      <c r="G10" s="11" t="inlineStr">
        <is>
          <t>TAK</t>
        </is>
      </c>
      <c r="H10" s="11" t="inlineStr">
        <is>
          <t>TAK</t>
        </is>
      </c>
      <c r="I10" s="11" t="inlineStr">
        <is>
          <t>CZĘŚCIOWE</t>
        </is>
      </c>
      <c r="J10" s="12"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c r="K10" s="11" t="inlineStr">
        <is>
          <t>CZĘŚCIOWY</t>
        </is>
      </c>
      <c r="L10" s="11" t="inlineStr">
        <is>
          <t>WYSOKA</t>
        </is>
      </c>
      <c r="M10" s="11" t="inlineStr">
        <is>
          <t>M</t>
        </is>
      </c>
      <c r="N10" s="12" t="inlineStr">
        <is>
          <t>j.w. | 2026-09-23: kod transferu wychodzącego z panelu. ZNALEZISKO: formularz transferu przychodzącego nie wysyłał oświadczenia o odstąpieniu, a API go wymaga — każdy transfer kończył się błędem 400, bez komunikatu (akcja formularza). Przepisany na formularz z komunikatem błędu. FLAGA do konfiguracji OpenProvider (A-11). | 2026-09-27 KOD: klient zlecał transfer bez zobaczenia kwoty (obciążenie portfela). Nowy POST /domains/registrar/quote-transfer (ta sama ścieżka ceny co transfer()), formularz pokazuje koszt brutto i blokuje „Zleć transfer” bez ceny; pola z etykietami, historia zleceń po polsku (a186d54). D3 przy teście z węzłem. | 2026-09-27 KOD (4cbc9d4): transfer zostawał na zawsze „wysłany do rejestru” — domena nie pojawiała się na koncie po udanym przeniesieniu. Nowe zadanie co godzinę (domains:transfer-sync): stan u rejestratora ACT → domena na koncie płacącego z datą wygaśnięcia, FAI/DEL → zwrot na portfel. Kody stanów OpenProvidera do potwierdzenia przy pierwszym prawdziwym transferze (D3 z węzłem). | 2026-09-27 PRODUKCJA: cena transferu przed zleceniem działa (hvln.pl 0,99 zł brutto, przycisk zablokowany bez ceny, etykiety pól). Poprawka tekstu: transfer .pl nie przedłuża ważności (NASK) — usunięte pole lat i obietnica „przedłużenia o rok” dla .pl. | 2026-10-04: D3 (sandbox OpenProvidera (api.sandbox.openprovider.nl), panel klienta prod, klient d3 czasowo na portfelu) — kod transferu (AuthInfo) z rejestratora: 12 znaków, wyświetlenie w dzienniku; odblokowanie przed transferem działa (A-15). Sam transfer przychodzący — sandbox OP go nie obsługuje; zostaje do produkcyjnego konta OP. | 2026-10-04 DECYZJA WŁAŚCICIELA: prawdziwy transfer przychodzący w PB-05 (produkcyjne konto OP, grudzień).</t>
        </is>
      </c>
    </row>
    <row r="11">
      <c r="A11" s="11" t="inlineStr">
        <is>
          <t>A-10</t>
        </is>
      </c>
      <c r="B11" s="12" t="inlineStr">
        <is>
          <t>A</t>
        </is>
      </c>
      <c r="C11" s="11" t="inlineStr">
        <is>
          <t>Odnowienie domeny przez klienta</t>
        </is>
      </c>
      <c r="D11" s="11" t="inlineStr">
        <is>
          <t>NIE</t>
        </is>
      </c>
      <c r="E11" s="11" t="inlineStr">
        <is>
          <t>NIE</t>
        </is>
      </c>
      <c r="F11" s="11" t="inlineStr">
        <is>
          <t>NIE</t>
        </is>
      </c>
      <c r="G11" s="11" t="inlineStr">
        <is>
          <t>TAK</t>
        </is>
      </c>
      <c r="H11" s="11" t="inlineStr">
        <is>
          <t>TAK</t>
        </is>
      </c>
      <c r="I11" s="11" t="inlineStr">
        <is>
          <t>DZIAŁA</t>
        </is>
      </c>
      <c r="J11" s="12" t="inlineStr">
        <is>
          <t>panel: Domeny → domena → „Odnowienie domeny” (domain-renew-box.tsx: okres → cena z nowego POST domains/:id/registrar/renew-quote → potwierdzenie → POST domains/:id/registrar/renew, obciążenie portfela, zwrot przy błędzie rejestratora); liczba lat walidowana 1–10 (wcześniej body bez walidacji)</t>
        </is>
      </c>
      <c r="K11" s="11" t="inlineStr">
        <is>
          <t>PARYTET</t>
        </is>
      </c>
      <c r="L11" s="11" t="inlineStr">
        <is>
          <t>ŚREDNIA</t>
        </is>
      </c>
      <c r="M11" s="11" t="inlineStr">
        <is>
          <t>S</t>
        </is>
      </c>
      <c r="N11" s="12" t="inlineStr">
        <is>
          <t>Skorygowane: brak wywołania potwierdzony, ale obejście istnieje (panel rejestratora). Nie spełnia żadnego z czterech warunków blokera. | 2026-09-23: UI zrobione. Działa po włączeniu rejestratora (A-08/A-11 FLAGA — REGISTRAR_PROVIDER); do tego czasu pole pokazuje się tylko domenom z datą ważności z rejestratora. | 2026-10-04: D3 (sandbox OpenProvidera (api.sandbox.openprovider.nl), panel klienta prod, klient d3 czasowo na portfelu) — „Odnów za 70,99” → „Domena odnowiona”, portfel −70,99 (240,11 po rejestracji i odnowieniu). Błąd: data ważności w panelu została 4.10.2027 (odpowiedź renew bez expiration_date) → 9eb936d4 czyta datę z domeny u rejestratora; retest po wdrożeniu. | 2026-10-04 po c240269: drugie odnowienie w sandboxie — „Ważna do 4.10.2029” (data z rejestru, domainInfo), portfel −70,99 jednorazowo (169,12). Opis w historii „(1 lata/lat)” → „(1 rok)” poprawiony.</t>
        </is>
      </c>
    </row>
    <row r="12">
      <c r="A12" s="11" t="inlineStr">
        <is>
          <t>A-11</t>
        </is>
      </c>
      <c r="B12" s="12" t="inlineStr">
        <is>
          <t>A</t>
        </is>
      </c>
      <c r="C12" s="11" t="inlineStr">
        <is>
          <t>Wyszukiwarka wolnych domen</t>
        </is>
      </c>
      <c r="D12" s="11" t="inlineStr">
        <is>
          <t>NIE</t>
        </is>
      </c>
      <c r="E12" s="11" t="inlineStr">
        <is>
          <t>NIE</t>
        </is>
      </c>
      <c r="F12" s="11" t="inlineStr">
        <is>
          <t>NIE</t>
        </is>
      </c>
      <c r="G12" s="11" t="inlineStr">
        <is>
          <t>TAK</t>
        </is>
      </c>
      <c r="H12" s="11" t="inlineStr">
        <is>
          <t>TAK</t>
        </is>
      </c>
      <c r="I12" s="11" t="inlineStr">
        <is>
          <t>DZIAŁA</t>
        </is>
      </c>
      <c r="J12" s="12" t="inlineStr">
        <is>
          <t>domains.controller.ts:54</t>
        </is>
      </c>
      <c r="K12" s="11" t="inlineStr">
        <is>
          <t>PARYTET</t>
        </is>
      </c>
      <c r="L12" s="11" t="inlineStr">
        <is>
          <t>WYSOKA</t>
        </is>
      </c>
      <c r="M12" s="11" t="inlineStr">
        <is>
          <t>S</t>
        </is>
      </c>
      <c r="N12" s="12"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row>
    <row r="13">
      <c r="A13" s="11" t="inlineStr">
        <is>
          <t>A-12</t>
        </is>
      </c>
      <c r="B13" s="12" t="inlineStr">
        <is>
          <t>A</t>
        </is>
      </c>
      <c r="C13" s="11" t="inlineStr">
        <is>
          <t>Cennik rejestracji na 1–10 lat</t>
        </is>
      </c>
      <c r="D13" s="11" t="inlineStr">
        <is>
          <t>NIE</t>
        </is>
      </c>
      <c r="E13" s="11" t="inlineStr">
        <is>
          <t>NIE</t>
        </is>
      </c>
      <c r="F13" s="11" t="inlineStr">
        <is>
          <t>NIE</t>
        </is>
      </c>
      <c r="G13" s="11" t="inlineStr">
        <is>
          <t>TAK</t>
        </is>
      </c>
      <c r="H13" s="11" t="inlineStr">
        <is>
          <t>TAK</t>
        </is>
      </c>
      <c r="I13" s="11" t="inlineStr">
        <is>
          <t>DZIAŁA</t>
        </is>
      </c>
      <c r="J13" s="12" t="inlineStr">
        <is>
          <t>POST domains/registrar/quote-periods (domain-registrar.service.ts quotePeriods — ceny brutto dla 1, 2, 3, 5 i 10 lat + cena odnowienia/rok) → kreator zakupu: krok „Okres” z ceną każdego wariantu (domain-purchase-wizard.tsx YEAR_OPTIONS)</t>
        </is>
      </c>
      <c r="K13" s="11" t="inlineStr">
        <is>
          <t>PARYTET</t>
        </is>
      </c>
      <c r="L13" s="11" t="inlineStr">
        <is>
          <t>ŚREDNIA</t>
        </is>
      </c>
      <c r="M13" s="11" t="inlineStr">
        <is>
          <t>S</t>
        </is>
      </c>
      <c r="N13" s="12" t="inlineStr">
        <is>
          <t>2026-09-23 PORZĄDKI: funkcja była zrobiona, wpis „LUKA” był nieaktualny. Działa po włączeniu rejestratora (A-11 FLAGA — REGISTRAR_PROVIDER), tak jak A-10. | 2026-09-27 PRODUKCJA: okresy dla hvln-test-verris.pl — 1 rok 24,99 zł, 2 lata 91,99, 3 lata 192,99, 5 lat 360,99, 10 lat 781,99, odnowienie 83,99 zł/rok (ceny OpenProvider × marża, brutto). Zostaje do pełnego testu z węzłem. | 2026-10-04: D3 (sandbox OpenProvidera (api.sandbox.openprovider.nl), panel klienta prod, klient d3 czasowo na portfelu) — okres 1/2/3/5/10 lat: 70,99 / 140,99 / 211,99 / 352,99 / 705,99 zł brutto dla .com, odnowienie 70,99 zł/rok widoczne przed zakupem; podsumowanie netto 57,72 + VAT 13,27.</t>
        </is>
      </c>
    </row>
    <row r="14">
      <c r="A14" s="11" t="inlineStr">
        <is>
          <t>A-13</t>
        </is>
      </c>
      <c r="B14" s="12" t="inlineStr">
        <is>
          <t>A</t>
        </is>
      </c>
      <c r="C14" s="11" t="inlineStr">
        <is>
          <t>Zmiana danych abonenta domeny</t>
        </is>
      </c>
      <c r="D14" s="11" t="inlineStr">
        <is>
          <t>NIE</t>
        </is>
      </c>
      <c r="E14" s="11" t="inlineStr">
        <is>
          <t>NIE</t>
        </is>
      </c>
      <c r="F14" s="11" t="inlineStr">
        <is>
          <t>NIE</t>
        </is>
      </c>
      <c r="G14" s="11" t="inlineStr">
        <is>
          <t>TAK</t>
        </is>
      </c>
      <c r="H14" s="11" t="inlineStr">
        <is>
          <t>TAK</t>
        </is>
      </c>
      <c r="I14" s="11" t="inlineStr">
        <is>
          <t>DZIAŁA</t>
        </is>
      </c>
      <c r="J14" s="12" t="inlineStr">
        <is>
          <t>GET/PUT /domains/:id/registrar/registrant (tylko właściciel konta) → OpenProvider /v1/customers/{handle}; rejestracja i transfer zakładają uchwyt klienta (POST /v1/customers) przed obciążeniem portfela; panel: kreator zakupu, zamówienie hostingu z domeną, transfer, strona domeny; test domains/abonent-domeny.spec.ts</t>
        </is>
      </c>
      <c r="K14" s="11" t="inlineStr">
        <is>
          <t>PARYTET</t>
        </is>
      </c>
      <c r="L14" s="11" t="inlineStr">
        <is>
          <t>WYSOKA</t>
        </is>
      </c>
      <c r="M14" s="11" t="inlineStr">
        <is>
          <t>M</t>
        </is>
      </c>
      <c r="N14" s="12" t="inlineStr">
        <is>
          <t>wymóg operatorski przy własnej rejestracji | DECYZJA WŁAŚCICIELA 2026-09-23: abonentem jest KLIENT. ZNALEZISKO: kod rejestrował każdą domenę na uchwyt operatora (OPENPROVIDER_OWNER_HANDLE jako owner) — formalnie domeny należałyby do Verris, sprzecznie z projektem Regulaminu §12 ust. 4 („rejestrowana na dane Klienta”). Nic nie zostało zarejestrowane (rejestrator za flagą), więc zmiana bez migracji. Handle operatora zostaje jako admin/tech/billing. Imię, nazwisko i firmę zmienia tylko cesja (rejestrator nie modyfikuje nazwy uchwytu) — panel odmawia z wyjaśnieniem; adres, telefon, e-mail, NIP — z panelu. PRZY OKAZJI: /v1beta → /v1 (OpenProvider wyłącza v1beta 2027-06-30). D3 przy pierwszej domenie po konfiguracji OpenProvider. | 2026-10-04: D3 (sandbox OpenProvidera (api.sandbox.openprovider.nl), panel klienta prod, klient d3 czasowo na portfelu) — „Dane abonenta”: odczyt z rejestratora, zmiana miasta/kodu (Warszawa 00-001 → Kraków 30-001) „zapisane u rejestratora”, po przeładowaniu odczyt z OP pokazuje nowe dane; imię/nazwisko/firma tylko przez cesję (zgłoszenie).</t>
        </is>
      </c>
    </row>
    <row r="15">
      <c r="A15" s="11" t="inlineStr">
        <is>
          <t>A-14</t>
        </is>
      </c>
      <c r="B15" s="12" t="inlineStr">
        <is>
          <t>A</t>
        </is>
      </c>
      <c r="C15" s="11" t="inlineStr">
        <is>
          <t>Ukrycie danych WHOIS / domain privacy</t>
        </is>
      </c>
      <c r="D15" s="11" t="inlineStr">
        <is>
          <t>NIE</t>
        </is>
      </c>
      <c r="E15" s="11" t="inlineStr">
        <is>
          <t>NIE</t>
        </is>
      </c>
      <c r="F15" s="11" t="inlineStr">
        <is>
          <t>NIE</t>
        </is>
      </c>
      <c r="G15" s="11" t="inlineStr">
        <is>
          <t>b.d.</t>
        </is>
      </c>
      <c r="H15" s="11" t="inlineStr">
        <is>
          <t>TAK</t>
        </is>
      </c>
      <c r="I15" s="11" t="inlineStr">
        <is>
          <t>FLAGA</t>
        </is>
      </c>
      <c r="J15" s="12" t="inlineStr">
        <is>
          <t>domain-registrar.service.ts setWhoisPrivacy (OpenProvider PUT /v1/domains/{id} is_private_whois_enabled); Domain.whoisPrivacy; zamówienie WHOIS_PRIVACY; ustawienie domain.whoisPrivacyYearlyPrice (puste = ukryte); migracja 20261005160000_ukrycie_whois</t>
        </is>
      </c>
      <c r="K15" s="11" t="inlineStr">
        <is>
          <t>CZĘŚCIOWY</t>
        </is>
      </c>
      <c r="L15" s="11" t="inlineStr">
        <is>
          <t>NISKA</t>
        </is>
      </c>
      <c r="M15" s="11" t="inlineStr">
        <is>
          <t>S</t>
        </is>
      </c>
      <c r="N15" s="12" t="inlineStr">
        <is>
          <t>DECYZJA WŁAŚCICIELA 2026-09-24: po starcie — u OpenProvider ukrycie WHOIS to usługa płatna per domena, a dla osób fizycznych z .pl rejestr i tak nie publikuje danych; wracamy przy sprzedaży domen, gdy znane będą koszty. | 2026-10-05 KOD (decyzja właściciela: budujemy teraz; członkostwo OP Basic „S” — usługa płatna): dodatek płatny, cena brutto za rok w Ustawieniach platformy (puste = niedostępne), opłata za rozpoczęte lata do wygaśnięcia + dopłata przy odnowieniu, odmowa rejestru → zwrot (bc35db54). Zostaje: cena od właściciela, test w sandboxie OP (model opłat, kod błędu .pl). | 2026-10-05 KOREKTA STANU: kod jest (c2bd935), wpis zostawał „BRAK/LUKA” — teraz FLAGA (cena pusta = funkcja ukryta) · CZĘŚCIOWY do ceny i testu w sandboxie OP. | 2026-10-06 D3 SANDBOX: włączenie ukrycia dla verris-test-d3-2026.com (29,97 K = 3 lata do końca ważności) — OpenProvider „Wpp contract is not signed”; zwrot zadziałał; komunikat klienta poprawiony (0827480). Zostaje: akceptacja umowy WPP w panelu OpenProvidera (właściciel), ponowny test.</t>
        </is>
      </c>
    </row>
    <row r="16">
      <c r="A16" s="11" t="inlineStr">
        <is>
          <t>A-15</t>
        </is>
      </c>
      <c r="B16" s="12" t="inlineStr">
        <is>
          <t>A</t>
        </is>
      </c>
      <c r="C16" s="11" t="inlineStr">
        <is>
          <t>Blokada transferu domeny (transfer lock)</t>
        </is>
      </c>
      <c r="D16" s="11" t="inlineStr">
        <is>
          <t>NIE</t>
        </is>
      </c>
      <c r="E16" s="11" t="inlineStr">
        <is>
          <t>NIE</t>
        </is>
      </c>
      <c r="F16" s="11" t="inlineStr">
        <is>
          <t>NIE</t>
        </is>
      </c>
      <c r="G16" s="11" t="inlineStr">
        <is>
          <t>b.d.</t>
        </is>
      </c>
      <c r="H16" s="11" t="inlineStr">
        <is>
          <t>TAK</t>
        </is>
      </c>
      <c r="I16" s="11" t="inlineStr">
        <is>
          <t>DZIAŁA</t>
        </is>
      </c>
      <c r="J16" s="12" t="inlineStr">
        <is>
          <t>POST /domains/:id/registrar/lock → OpenProvider PUT /v1/domains/{id} {is_locked}; stan w Domain.transferLock + audyt DOMAIN_TRANSFER_LOCKED/UNLOCKED; panel: strona domeny „Transfer i abonent”; test domains/abonent-domeny.spec.ts</t>
        </is>
      </c>
      <c r="K16" s="11" t="inlineStr">
        <is>
          <t>PARYTET</t>
        </is>
      </c>
      <c r="L16" s="11" t="inlineStr">
        <is>
          <t>ŚREDNIA</t>
        </is>
      </c>
      <c r="M16" s="11" t="inlineStr">
        <is>
          <t>S</t>
        </is>
      </c>
      <c r="N16" s="12" t="inlineStr">
        <is>
          <t>2026-09-23: przełącznik blokady w panelu. FLAGA do konfiguracji OpenProvider (A-11). | 2026-10-04: D3 (sandbox OpenProvidera (api.sandbox.openprovider.nl), panel klienta prod, klient d3 czasowo na portfelu) — blokada transferu: domyślnie włączona, „Odblokuj” → wyłączona (po przeładowaniu z rejestratora nadal wyłączona), „Zablokuj” → włączona.</t>
        </is>
      </c>
    </row>
    <row r="17">
      <c r="A17" s="11" t="inlineStr">
        <is>
          <t>A-16</t>
        </is>
      </c>
      <c r="B17" s="12" t="inlineStr">
        <is>
          <t>A</t>
        </is>
      </c>
      <c r="C17" s="11" t="inlineStr">
        <is>
          <t>Weryfikacja własności domeny</t>
        </is>
      </c>
      <c r="D17" s="11" t="inlineStr">
        <is>
          <t>NIE</t>
        </is>
      </c>
      <c r="E17" s="11" t="inlineStr">
        <is>
          <t>NIE</t>
        </is>
      </c>
      <c r="F17" s="11" t="inlineStr">
        <is>
          <t>NIE</t>
        </is>
      </c>
      <c r="G17" s="11" t="inlineStr">
        <is>
          <t>b.d.</t>
        </is>
      </c>
      <c r="H17" s="11" t="inlineStr">
        <is>
          <t>b.d.</t>
        </is>
      </c>
      <c r="I17" s="11" t="inlineStr">
        <is>
          <t>DZIAŁA</t>
        </is>
      </c>
      <c r="J17" s="12" t="inlineStr">
        <is>
          <t>domains.service.ts verifyDomain — ACTIVE tylko po rekordzie TXT _verris-challenge.&lt;domena&gt; = verris-verify=&lt;HMAC(id,właściciel)&gt;; create zwalnia cudzą niezweryfikowaną rezerwację po 7 dniach; klient: domains/[id] — instrukcja TXT z kopiowaniem; testy D2 domains.service.spec.ts</t>
        </is>
      </c>
      <c r="K17" s="11" t="inlineStr">
        <is>
          <t>PARYTET</t>
        </is>
      </c>
      <c r="L17" s="11" t="inlineStr">
        <is>
          <t>WYSOKA</t>
        </is>
      </c>
      <c r="M17" s="11" t="inlineStr">
        <is>
          <t>M</t>
        </is>
      </c>
      <c r="N17" s="12" t="inlineStr">
        <is>
          <t>OBALONE w passie adwersaryjnym: to checklist konfiguracji, nie dowód własności. Brak wyzwania TXT i tokenu — dowolny użytkownik może dodać cudzą domenę i doprowadzić ją do statusu ACTIVE. | 2026-09-23: domena przechodzi w ACTIVE dopiero po opublikowaniu rekordu TXT (wartość różna dla każdego właściciela, liczona HMAC — bez migracji). Checklist A/NS/TLS zostaje jako asystent konfiguracji, nie dowód. Anty-squatting: niezweryfikowana cudza rezerwacja po 7 dniach nie blokuje nazwy. Domeny kupione przez rejestratora są ACTIVE z zakupu. D3 na pierwszej domenie klienta.</t>
        </is>
      </c>
    </row>
    <row r="18">
      <c r="A18" s="11" t="inlineStr">
        <is>
          <t>A-17</t>
        </is>
      </c>
      <c r="B18" s="12" t="inlineStr">
        <is>
          <t>A</t>
        </is>
      </c>
      <c r="C18" s="11" t="inlineStr">
        <is>
          <t>Rejestracja konta klienta (self-service)</t>
        </is>
      </c>
      <c r="D18" s="11" t="inlineStr">
        <is>
          <t>NIE</t>
        </is>
      </c>
      <c r="E18" s="11" t="inlineStr">
        <is>
          <t>NIE</t>
        </is>
      </c>
      <c r="F18" s="11" t="inlineStr">
        <is>
          <t>NIE</t>
        </is>
      </c>
      <c r="G18" s="11" t="inlineStr">
        <is>
          <t>TAK</t>
        </is>
      </c>
      <c r="H18" s="11" t="inlineStr">
        <is>
          <t>TAK</t>
        </is>
      </c>
      <c r="I18" s="11" t="inlineStr">
        <is>
          <t>DZIAŁA</t>
        </is>
      </c>
      <c r="J18" s="12" t="inlineStr">
        <is>
          <t>auth.controller.ts:67</t>
        </is>
      </c>
      <c r="K18" s="11" t="inlineStr">
        <is>
          <t>PARYTET</t>
        </is>
      </c>
      <c r="L18" s="11" t="inlineStr">
        <is>
          <t>—</t>
        </is>
      </c>
      <c r="M18" s="11" t="inlineStr">
        <is>
          <t>—</t>
        </is>
      </c>
      <c r="N18" s="12" t="inlineStr">
        <is>
          <t>captcha + weryfikacja e-mail</t>
        </is>
      </c>
    </row>
    <row r="19">
      <c r="A19" s="11" t="inlineStr">
        <is>
          <t>A-18</t>
        </is>
      </c>
      <c r="B19" s="12" t="inlineStr">
        <is>
          <t>A</t>
        </is>
      </c>
      <c r="C19" s="11" t="inlineStr">
        <is>
          <t>Logowanie hasłem</t>
        </is>
      </c>
      <c r="D19" s="11" t="inlineStr">
        <is>
          <t>TAK</t>
        </is>
      </c>
      <c r="E19" s="11" t="inlineStr">
        <is>
          <t>TAK</t>
        </is>
      </c>
      <c r="F19" s="11" t="inlineStr">
        <is>
          <t>TAK</t>
        </is>
      </c>
      <c r="G19" s="11" t="inlineStr">
        <is>
          <t>TAK</t>
        </is>
      </c>
      <c r="H19" s="11" t="inlineStr">
        <is>
          <t>TAK</t>
        </is>
      </c>
      <c r="I19" s="11" t="inlineStr">
        <is>
          <t>DZIAŁA</t>
        </is>
      </c>
      <c r="J19" s="12" t="inlineStr">
        <is>
          <t>auth.controller.ts:77</t>
        </is>
      </c>
      <c r="K19" s="11" t="inlineStr">
        <is>
          <t>PARYTET</t>
        </is>
      </c>
      <c r="L19" s="11" t="inlineStr">
        <is>
          <t>—</t>
        </is>
      </c>
      <c r="M19" s="11" t="inlineStr">
        <is>
          <t>—</t>
        </is>
      </c>
      <c r="N19" s="12" t="inlineStr"/>
    </row>
    <row r="20">
      <c r="A20" s="11" t="inlineStr">
        <is>
          <t>A-19</t>
        </is>
      </c>
      <c r="B20" s="12" t="inlineStr">
        <is>
          <t>A</t>
        </is>
      </c>
      <c r="C20" s="11" t="inlineStr">
        <is>
          <t>Zamówienie usługi z panelu</t>
        </is>
      </c>
      <c r="D20" s="11" t="inlineStr">
        <is>
          <t>NIE</t>
        </is>
      </c>
      <c r="E20" s="11" t="inlineStr">
        <is>
          <t>NIE</t>
        </is>
      </c>
      <c r="F20" s="11" t="inlineStr">
        <is>
          <t>NIE</t>
        </is>
      </c>
      <c r="G20" s="11" t="inlineStr">
        <is>
          <t>TAK</t>
        </is>
      </c>
      <c r="H20" s="11" t="inlineStr">
        <is>
          <t>TAK</t>
        </is>
      </c>
      <c r="I20" s="11" t="inlineStr">
        <is>
          <t>DZIAŁA</t>
        </is>
      </c>
      <c r="J20" s="12" t="inlineStr">
        <is>
          <t>subscriptions.controller.ts:97</t>
        </is>
      </c>
      <c r="K20" s="11" t="inlineStr">
        <is>
          <t>PARYTET</t>
        </is>
      </c>
      <c r="L20" s="11" t="inlineStr">
        <is>
          <t>—</t>
        </is>
      </c>
      <c r="M20" s="11" t="inlineStr">
        <is>
          <t>—</t>
        </is>
      </c>
      <c r="N20" s="12" t="inlineStr"/>
    </row>
    <row r="21">
      <c r="A21" s="11" t="inlineStr">
        <is>
          <t>A-20</t>
        </is>
      </c>
      <c r="B21" s="12" t="inlineStr">
        <is>
          <t>A</t>
        </is>
      </c>
      <c r="C21" s="11" t="inlineStr">
        <is>
          <t>Okres próbny / trial</t>
        </is>
      </c>
      <c r="D21" s="11" t="inlineStr">
        <is>
          <t>NIE</t>
        </is>
      </c>
      <c r="E21" s="11" t="inlineStr">
        <is>
          <t>NIE</t>
        </is>
      </c>
      <c r="F21" s="11" t="inlineStr">
        <is>
          <t>NIE</t>
        </is>
      </c>
      <c r="G21" s="11" t="inlineStr">
        <is>
          <t>CZĘŚĆ</t>
        </is>
      </c>
      <c r="H21" s="11" t="inlineStr">
        <is>
          <t>TAK</t>
        </is>
      </c>
      <c r="I21" s="11" t="inlineStr">
        <is>
          <t>DZIAŁA</t>
        </is>
      </c>
      <c r="J21" s="12" t="inlineStr">
        <is>
          <t>subscriptions.controller.ts:53</t>
        </is>
      </c>
      <c r="K21" s="11" t="inlineStr">
        <is>
          <t>PARYTET</t>
        </is>
      </c>
      <c r="L21" s="11" t="inlineStr">
        <is>
          <t>—</t>
        </is>
      </c>
      <c r="M21" s="11" t="inlineStr">
        <is>
          <t>—</t>
        </is>
      </c>
      <c r="N21" s="12" t="inlineStr">
        <is>
          <t>3 z 5 hostingów PL ma trial lub money-back | 2026-10-06: trial omijał blokadę PB-28 (rozliczani poza Verris) — 645a250 (test trial.billing-outside.spec.ts).</t>
        </is>
      </c>
    </row>
    <row r="22">
      <c r="A22" s="11" t="inlineStr">
        <is>
          <t>A-21</t>
        </is>
      </c>
      <c r="B22" s="12" t="inlineStr">
        <is>
          <t>A</t>
        </is>
      </c>
      <c r="C22" s="11" t="inlineStr">
        <is>
          <t>Anulowanie usługi przez klienta</t>
        </is>
      </c>
      <c r="D22" s="11" t="inlineStr">
        <is>
          <t>NIE</t>
        </is>
      </c>
      <c r="E22" s="11" t="inlineStr">
        <is>
          <t>NIE</t>
        </is>
      </c>
      <c r="F22" s="11" t="inlineStr">
        <is>
          <t>NIE</t>
        </is>
      </c>
      <c r="G22" s="11" t="inlineStr">
        <is>
          <t>TAK</t>
        </is>
      </c>
      <c r="H22" s="11" t="inlineStr">
        <is>
          <t>TAK</t>
        </is>
      </c>
      <c r="I22" s="11" t="inlineStr">
        <is>
          <t>DZIAŁA</t>
        </is>
      </c>
      <c r="J22" s="12" t="inlineStr">
        <is>
          <t>subscriptions.controller.ts:103; D3 t1 (d3.hvln.pl) 29.09 00:38: rezygnacja „od razu” z mailtest-verris.pl w panelu klienta → status Anulowana, konto DA zawieszone</t>
        </is>
      </c>
      <c r="K22" s="11" t="inlineStr">
        <is>
          <t>PARYTET</t>
        </is>
      </c>
      <c r="L22" s="11" t="inlineStr">
        <is>
          <t>—</t>
        </is>
      </c>
      <c r="M22" s="11" t="inlineStr">
        <is>
          <t>—</t>
        </is>
      </c>
      <c r="N22" s="12" t="inlineStr"/>
    </row>
    <row r="23">
      <c r="A23" s="11" t="inlineStr">
        <is>
          <t>A-22</t>
        </is>
      </c>
      <c r="B23" s="12" t="inlineStr">
        <is>
          <t>A</t>
        </is>
      </c>
      <c r="C23" s="11" t="inlineStr">
        <is>
          <t>Zmiana planu (upgrade/downgrade) z proratą</t>
        </is>
      </c>
      <c r="D23" s="11" t="inlineStr">
        <is>
          <t>NIE</t>
        </is>
      </c>
      <c r="E23" s="11" t="inlineStr">
        <is>
          <t>NIE</t>
        </is>
      </c>
      <c r="F23" s="11" t="inlineStr">
        <is>
          <t>NIE</t>
        </is>
      </c>
      <c r="G23" s="11" t="inlineStr">
        <is>
          <t>CZĘŚĆ</t>
        </is>
      </c>
      <c r="H23" s="11" t="inlineStr">
        <is>
          <t>TAK</t>
        </is>
      </c>
      <c r="I23" s="11" t="inlineStr">
        <is>
          <t>DZIAŁA</t>
        </is>
      </c>
      <c r="J23" s="12" t="inlineStr">
        <is>
          <t>subscriptions.controller.ts:146,161</t>
        </is>
      </c>
      <c r="K23" s="11" t="inlineStr">
        <is>
          <t>PRZEWAGA</t>
        </is>
      </c>
      <c r="L23" s="11" t="inlineStr">
        <is>
          <t>—</t>
        </is>
      </c>
      <c r="M23" s="11" t="inlineStr">
        <is>
          <t>—</t>
        </is>
      </c>
      <c r="N23" s="12" t="inlineStr">
        <is>
          <t>prorata cross-interval MONTH↔YEAR; test D1 | 2026-09-27 ZNALEZISKO (naprawione c0991f1): zmiana okresu rozliczeniowego liczyła koszt jak resztę starego okresu, a zaczynała nowy pełny okres — miesiąc→rok w połowie miesiąca = rok gratis + ~6 zł zwrotu; rok→miesiąc = dopłata ~136 zł zamiast zwrotu. Teraz pełna cena nowego okresu minus niewykorzystana część starego (Regulamin: zmiana okresu rozpoczyna nowy okres). Równoległe zmiany planu zajmują usługę warunkowo (drugie żądanie 409). Test integracyjny zmiana-planu.int-spec.ts. DO SPRAWDZENIA NA PRODUKCJI: czy ktoś zmieniał okres z portfela (zdarzenia PLAN_CHANGED z intervalChange=true). | 2026-09-27 PRODUKCJA: sprawdzone w dzienniku — 0 zmian okresu rozliczeniowego (PLAN_CHANGED z intervalChange=true), błąd nie został wykorzystany; bez korekt wstecz.</t>
        </is>
      </c>
    </row>
    <row r="24">
      <c r="A24" s="11" t="inlineStr">
        <is>
          <t>A-23</t>
        </is>
      </c>
      <c r="B24" s="12" t="inlineStr">
        <is>
          <t>A</t>
        </is>
      </c>
      <c r="C24" s="11" t="inlineStr">
        <is>
          <t>Dane dostępowe usługi (IP/FTP/NS/limity)</t>
        </is>
      </c>
      <c r="D24" s="11" t="inlineStr">
        <is>
          <t>TAK</t>
        </is>
      </c>
      <c r="E24" s="11" t="inlineStr">
        <is>
          <t>TAK</t>
        </is>
      </c>
      <c r="F24" s="11" t="inlineStr">
        <is>
          <t>TAK</t>
        </is>
      </c>
      <c r="G24" s="11" t="inlineStr">
        <is>
          <t>TAK</t>
        </is>
      </c>
      <c r="H24" s="11" t="inlineStr">
        <is>
          <t>TAK</t>
        </is>
      </c>
      <c r="I24" s="11" t="inlineStr">
        <is>
          <t>DZIAŁA</t>
        </is>
      </c>
      <c r="J24" s="12" t="inlineStr">
        <is>
          <t>services.controller.ts:355</t>
        </is>
      </c>
      <c r="K24" s="11" t="inlineStr">
        <is>
          <t>PARYTET</t>
        </is>
      </c>
      <c r="L24" s="11" t="inlineStr">
        <is>
          <t>—</t>
        </is>
      </c>
      <c r="M24" s="11" t="inlineStr">
        <is>
          <t>—</t>
        </is>
      </c>
      <c r="N24" s="12" t="inlineStr"/>
    </row>
    <row r="25">
      <c r="A25" s="11" t="inlineStr">
        <is>
          <t>A-24</t>
        </is>
      </c>
      <c r="B25" s="12" t="inlineStr">
        <is>
          <t>A</t>
        </is>
      </c>
      <c r="C25" s="11" t="inlineStr">
        <is>
          <t>Zakładanie konta klienta przez operatora</t>
        </is>
      </c>
      <c r="D25" s="11" t="inlineStr">
        <is>
          <t>TAK</t>
        </is>
      </c>
      <c r="E25" s="11" t="inlineStr">
        <is>
          <t>TAK</t>
        </is>
      </c>
      <c r="F25" s="11" t="inlineStr">
        <is>
          <t>TAK</t>
        </is>
      </c>
      <c r="G25" s="11" t="inlineStr">
        <is>
          <t>TAK</t>
        </is>
      </c>
      <c r="H25" s="11" t="inlineStr">
        <is>
          <t>TAK</t>
        </is>
      </c>
      <c r="I25" s="11" t="inlineStr">
        <is>
          <t>DZIAŁA</t>
        </is>
      </c>
      <c r="J25" s="12" t="inlineStr">
        <is>
          <t>POST /admin/users (users.admin.controller.ts createCustomer, CUSTOMERS_MANAGE) → UsersAdminService.createCustomerByOperator; admin: Klienci → „Nowy klient” (create-customer-button.tsx); testy D2 users.admin.create-customer.spec.ts + users.admin.controller.spec.ts</t>
        </is>
      </c>
      <c r="K25" s="11" t="inlineStr">
        <is>
          <t>PARYTET</t>
        </is>
      </c>
      <c r="L25" s="11" t="inlineStr">
        <is>
          <t>WYSOKA</t>
        </is>
      </c>
      <c r="M25" s="11" t="inlineStr">
        <is>
          <t>M</t>
        </is>
      </c>
      <c r="N25" s="12" t="inlineStr">
        <is>
          <t>Skorygowane: konta powstają też przez rejestrację (auth.service.ts:132) — operator może zarejestrować za klienta i wejść przez impersonację (users.admin.controller.ts:248). Pierwsze konto da się sprzedać. | 2026-09-23: operator zakłada konto bez znajomości hasła — klient dostaje link „ustaw hasło” (72 h, token PASSWORD_RESET), ustawienie hasła potwierdza e-mail. Zgód nie składamy w imieniu klienta: regulamin akceptuje sam przy pierwszym logowaniu. Audyt ADMIN_CUSTOMER_CREATED_BY_OPERATOR. D3 przy pierwszym koncie z telefonu.</t>
        </is>
      </c>
    </row>
    <row r="26">
      <c r="A26" s="11" t="inlineStr">
        <is>
          <t>A-25</t>
        </is>
      </c>
      <c r="B26" s="12" t="inlineStr">
        <is>
          <t>A</t>
        </is>
      </c>
      <c r="C26" s="11" t="inlineStr">
        <is>
          <t>Ręczne zawieszenie usługi przez operatora</t>
        </is>
      </c>
      <c r="D26" s="11" t="inlineStr">
        <is>
          <t>TAK</t>
        </is>
      </c>
      <c r="E26" s="11" t="inlineStr">
        <is>
          <t>TAK</t>
        </is>
      </c>
      <c r="F26" s="11" t="inlineStr">
        <is>
          <t>TAK</t>
        </is>
      </c>
      <c r="G26" s="11" t="inlineStr">
        <is>
          <t>TAK</t>
        </is>
      </c>
      <c r="H26" s="11" t="inlineStr">
        <is>
          <t>TAK</t>
        </is>
      </c>
      <c r="I26" s="11" t="inlineStr">
        <is>
          <t>DZIAŁA</t>
        </is>
      </c>
      <c r="J26" s="12"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K26" s="11" t="inlineStr">
        <is>
          <t>PARYTET</t>
        </is>
      </c>
      <c r="L26" s="11" t="inlineStr">
        <is>
          <t>—</t>
        </is>
      </c>
      <c r="M26" s="11" t="inlineStr">
        <is>
          <t>S</t>
        </is>
      </c>
      <c r="N26" s="12" t="inlineStr">
        <is>
          <t>Skorygowane: endpoint działa i jest osiągalny (curl + DirectAdmin), auto-suspend za brak płatności działa. Brakuje UI, nie możliwości zatrzymania szkody. | UI zrobione. OTWARTE do D3 (PB-21, serwer testowy): zawieszenie konta w DirectAdminie na żywym węźle.</t>
        </is>
      </c>
    </row>
    <row r="27">
      <c r="A27" s="11" t="inlineStr">
        <is>
          <t>A-26</t>
        </is>
      </c>
      <c r="B27" s="12" t="inlineStr">
        <is>
          <t>A</t>
        </is>
      </c>
      <c r="C27" s="11" t="inlineStr">
        <is>
          <t>Ręczne odwieszenie usługi przez operatora</t>
        </is>
      </c>
      <c r="D27" s="11" t="inlineStr">
        <is>
          <t>TAK</t>
        </is>
      </c>
      <c r="E27" s="11" t="inlineStr">
        <is>
          <t>TAK</t>
        </is>
      </c>
      <c r="F27" s="11" t="inlineStr">
        <is>
          <t>TAK</t>
        </is>
      </c>
      <c r="G27" s="11" t="inlineStr">
        <is>
          <t>TAK</t>
        </is>
      </c>
      <c r="H27" s="11" t="inlineStr">
        <is>
          <t>TAK</t>
        </is>
      </c>
      <c r="I27" s="11" t="inlineStr">
        <is>
          <t>DZIAŁA</t>
        </is>
      </c>
      <c r="J27" s="12" t="inlineStr">
        <is>
          <t>2026-09-23 D1: ten sam formularz — odwieszenie z opcją obciążenia za odnowienie (chargeRenewal); D3 t1 (d3.hvln.pl) 29.09: odwieszenie bez obciążenia → WordPress wraca po kilku sekundach</t>
        </is>
      </c>
      <c r="K27" s="11" t="inlineStr">
        <is>
          <t>PARYTET</t>
        </is>
      </c>
      <c r="L27" s="11" t="inlineStr">
        <is>
          <t>—</t>
        </is>
      </c>
      <c r="M27" s="11" t="inlineStr">
        <is>
          <t>S</t>
        </is>
      </c>
      <c r="N27" s="12" t="inlineStr">
        <is>
          <t>Skorygowane: jak A-25, endpoint subscriptions.admin.controller.ts:210 działa z chargeRenewal. | UI zrobione. OTWARTE do D3 (PB-21): odwieszenie konta w DA na żywym węźle.</t>
        </is>
      </c>
    </row>
    <row r="28">
      <c r="A28" s="11" t="inlineStr">
        <is>
          <t>A-27</t>
        </is>
      </c>
      <c r="B28" s="12" t="inlineStr">
        <is>
          <t>A</t>
        </is>
      </c>
      <c r="C28" s="11" t="inlineStr">
        <is>
          <t>Pakiety / plany zasobów po stronie operatora</t>
        </is>
      </c>
      <c r="D28" s="11" t="inlineStr">
        <is>
          <t>TAK</t>
        </is>
      </c>
      <c r="E28" s="11" t="inlineStr">
        <is>
          <t>TAK</t>
        </is>
      </c>
      <c r="F28" s="11" t="inlineStr">
        <is>
          <t>TAK</t>
        </is>
      </c>
      <c r="G28" s="11" t="inlineStr">
        <is>
          <t>TAK</t>
        </is>
      </c>
      <c r="H28" s="11" t="inlineStr">
        <is>
          <t>TAK</t>
        </is>
      </c>
      <c r="I28" s="11" t="inlineStr">
        <is>
          <t>DZIAŁA</t>
        </is>
      </c>
      <c r="J28" s="12" t="inlineStr">
        <is>
          <t>plans.admin.controller.ts:45</t>
        </is>
      </c>
      <c r="K28" s="11" t="inlineStr">
        <is>
          <t>PARYTET</t>
        </is>
      </c>
      <c r="L28" s="11" t="inlineStr">
        <is>
          <t>—</t>
        </is>
      </c>
      <c r="M28" s="11" t="inlineStr">
        <is>
          <t>—</t>
        </is>
      </c>
      <c r="N28" s="12" t="inlineStr"/>
    </row>
    <row r="29">
      <c r="A29" s="11" t="inlineStr">
        <is>
          <t>A-28</t>
        </is>
      </c>
      <c r="B29" s="12" t="inlineStr">
        <is>
          <t>A</t>
        </is>
      </c>
      <c r="C29" s="11" t="inlineStr">
        <is>
          <t>Impersonacja klienta przez operatora</t>
        </is>
      </c>
      <c r="D29" s="11" t="inlineStr">
        <is>
          <t>TAK</t>
        </is>
      </c>
      <c r="E29" s="11" t="inlineStr">
        <is>
          <t>TAK</t>
        </is>
      </c>
      <c r="F29" s="11" t="inlineStr">
        <is>
          <t>TAK</t>
        </is>
      </c>
      <c r="G29" s="11" t="inlineStr">
        <is>
          <t>b.d.</t>
        </is>
      </c>
      <c r="H29" s="11" t="inlineStr">
        <is>
          <t>b.d.</t>
        </is>
      </c>
      <c r="I29" s="11" t="inlineStr">
        <is>
          <t>DZIAŁA</t>
        </is>
      </c>
      <c r="J29" s="12" t="inlineStr">
        <is>
          <t>users.admin.controller.ts:248; common/auth/przekazanie-sesji.ts</t>
        </is>
      </c>
      <c r="K29" s="11" t="inlineStr">
        <is>
          <t>PARYTET</t>
        </is>
      </c>
      <c r="L29" s="11" t="inlineStr">
        <is>
          <t>—</t>
        </is>
      </c>
      <c r="M29" s="11" t="inlineStr">
        <is>
          <t>—</t>
        </is>
      </c>
      <c r="N29" s="12" t="inlineStr">
        <is>
          <t>z banerem u klienta | 2026-09-25 (impersonacja „jako klient”): (1) /impersonate przyjmował dowolny token — link ze zwykłym tokenem napastnika logował ofiarę na jego konto (login CSRF); teraz tylko token z claimem impersonatedBy (podpis sprawdza API). (2) returnTo „//host” przechodziło jako ścieżka → przekierowanie na obcą domenę; teraz tylko ścieżki panelu. (3) token impersonacji nie niósł wersji sesji, więc u klientów po „wyloguj wszędzie”/resecie hasła impersonacja od razu kończyła się 401; teraz tv = tokenVersion klienta. (4) działania w impersonacji trafiają do dziennika z impersonatedBy (G-18). Test apps/client-panel/src/app/impersonate/route.spec.ts. | 2026-09-25 (przegląd adwersaryjny paneli): token impersonacji nie idzie już w URL — API zwraca jednorazowy kod (60 s, jednorazowy), panel klienta wymienia go serwer-serwer na POST /auth/handoff; zły kod nie wylogowuje klienta; returnTo tylko ta sama origin (zamknięty open redirect „/\t/evil”). Dowód: common/auth/przekazanie-sesji.ts + spec, client-panel impersonate/route.spec.ts.</t>
        </is>
      </c>
    </row>
    <row r="30">
      <c r="A30" s="11" t="inlineStr">
        <is>
          <t>B-01</t>
        </is>
      </c>
      <c r="B30" s="12" t="inlineStr">
        <is>
          <t>B</t>
        </is>
      </c>
      <c r="C30" s="11" t="inlineStr">
        <is>
          <t>Zmiana wersji PHP dla całego konta</t>
        </is>
      </c>
      <c r="D30" s="11" t="inlineStr">
        <is>
          <t>TAK</t>
        </is>
      </c>
      <c r="E30" s="11" t="inlineStr">
        <is>
          <t>TAK</t>
        </is>
      </c>
      <c r="F30" s="11" t="inlineStr">
        <is>
          <t>TAK</t>
        </is>
      </c>
      <c r="G30" s="11" t="inlineStr">
        <is>
          <t>TAK</t>
        </is>
      </c>
      <c r="H30" s="11" t="inlineStr">
        <is>
          <t>TAK</t>
        </is>
      </c>
      <c r="I30" s="11" t="inlineStr">
        <is>
          <t>DZIAŁA</t>
        </is>
      </c>
      <c r="J30" s="12"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K30" s="11" t="inlineStr">
        <is>
          <t>PARYTET</t>
        </is>
      </c>
      <c r="L30" s="11" t="inlineStr">
        <is>
          <t>—</t>
        </is>
      </c>
      <c r="M30" s="11" t="inlineStr">
        <is>
          <t>S</t>
        </is>
      </c>
      <c r="N30" s="12"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row>
    <row r="31">
      <c r="A31" s="11" t="inlineStr">
        <is>
          <t>B-02</t>
        </is>
      </c>
      <c r="B31" s="12" t="inlineStr">
        <is>
          <t>B</t>
        </is>
      </c>
      <c r="C31" s="11" t="inlineStr">
        <is>
          <t>Zmiana wersji PHP per domena</t>
        </is>
      </c>
      <c r="D31" s="11" t="inlineStr">
        <is>
          <t>TAK</t>
        </is>
      </c>
      <c r="E31" s="11" t="inlineStr">
        <is>
          <t>TAK</t>
        </is>
      </c>
      <c r="F31" s="11" t="inlineStr">
        <is>
          <t>TAK</t>
        </is>
      </c>
      <c r="G31" s="11" t="inlineStr">
        <is>
          <t>TAK</t>
        </is>
      </c>
      <c r="H31" s="11" t="inlineStr">
        <is>
          <t>TAK</t>
        </is>
      </c>
      <c r="I31" s="11" t="inlineStr">
        <is>
          <t>DZIAŁA</t>
        </is>
      </c>
      <c r="J31" s="12" t="inlineStr">
        <is>
          <t>services.controller.ts — GET/POST /services/:id/hosting-domain-php; directadmin.service.ts:2058; D3 t1 28.09: slot DA php1_select wskazywał nieistniejące php2_release i wyłączał selektor CL → teraz alt-php w bloku Verris .htaccess domeny: htaccess.service.ts phpDomeny/phpDomenyStatus, node-htaccess.sh „zachowaj”; retest po alt-php; 29.09 profil: [OK] handlery alt-php 83/82/81/80/74 w LiteSpeed — retest PHP domeny do zrobienia; D3 t1 29.09 rano: PHP 8.1 per domena z panelu cofany przez sondę node-htaccess (LiteSpeed potrzebuje chwili po zmianie .htaccess; ręcznie 7.4/8.1/8.2 działają) — poprawka 3273ffa (6 prób, https) czeka na push; D3 t1 (d3.hvln.pl) 29.09 po wdrożeniu (panel klienta): PHP 8.1 dla domeny z panelu → „używana teraz”, strona odpowiada PHP/8.1.34; powrót „Jak konto” działa (3273ffa)</t>
        </is>
      </c>
      <c r="K31" s="11" t="inlineStr">
        <is>
          <t>PARYTET</t>
        </is>
      </c>
      <c r="L31" s="11" t="inlineStr">
        <is>
          <t>—</t>
        </is>
      </c>
      <c r="M31" s="11" t="inlineStr">
        <is>
          <t>S</t>
        </is>
      </c>
      <c r="N31" s="12" t="inlineStr">
        <is>
          <t>Decyzja produktowa: ustawienie per domena wygrywa nad ustawieniem konta, a UI musi to pokazywać — php-client.tsx wypisuje domeny z własną wersją PHP przy karcie konta. Zamknięte 2026-08-21 (commit 6f2833d). Strażnik: apps/api/src/test/ui-routes-coverage.spec.ts porównuje wszystkie wywołania apiFetch z panelu ze wszystkimi trasami API — nawrót tej klasy błędu zapala test.</t>
        </is>
      </c>
    </row>
    <row r="32">
      <c r="A32" s="11" t="inlineStr">
        <is>
          <t>B-03</t>
        </is>
      </c>
      <c r="B32" s="12" t="inlineStr">
        <is>
          <t>B</t>
        </is>
      </c>
      <c r="C32" s="11" t="inlineStr">
        <is>
          <t>Zmiana wersji PHP per katalog</t>
        </is>
      </c>
      <c r="D32" s="11" t="inlineStr">
        <is>
          <t>TAK</t>
        </is>
      </c>
      <c r="E32" s="11" t="inlineStr">
        <is>
          <t>TAK</t>
        </is>
      </c>
      <c r="F32" s="11" t="inlineStr">
        <is>
          <t>TAK</t>
        </is>
      </c>
      <c r="G32" s="11" t="inlineStr">
        <is>
          <t>CZĘŚĆ</t>
        </is>
      </c>
      <c r="H32" s="11" t="inlineStr">
        <is>
          <t>NIE</t>
        </is>
      </c>
      <c r="I32" s="11" t="inlineStr">
        <is>
          <t>DZIAŁA</t>
        </is>
      </c>
      <c r="J32" s="12" t="inlineStr">
        <is>
          <t>ops/scripts/node-htaccess.sh (HT_DIR, HT_PHP); htaccess.service.ts phpKatalogu; services.controller.ts :id/hosting-htaccess/php-dir; client-panel PhpKatalogPanel (widok strony → PHP i serwer); test htaccess.service.spec.ts; D3 t1 29.09 (panel klienta, d3.hvln.pl): „PHP w podkatalogu” git-test → PHP 8.1: /git-test/v.php zwraca 8.1.34, reszta strony dalej 8.2.33</t>
        </is>
      </c>
      <c r="K32" s="11" t="inlineStr">
        <is>
          <t>PARYTET</t>
        </is>
      </c>
      <c r="L32" s="11" t="inlineStr">
        <is>
          <t>NISKA</t>
        </is>
      </c>
      <c r="M32" s="11" t="inlineStr">
        <is>
          <t>M</t>
        </is>
      </c>
      <c r="N32" s="12" t="inlineStr">
        <is>
          <t xml:space="preserve"> | ZROBIONE W KODZIE 2026-09-25: wersja PHP podkatalogu wg dokumentacji LiteSpeed (DirectAdmin → PHP): &lt;IfModule LiteSpeed&gt; AddHandler application/x-httpd-alt-phpXY .php w bloku Verris pliku .htaccess tego katalogu (CloudLinux alt-php). Katalog sprawdzany jako klient po rozwinięciu dowiązań (dowiązanie poza stronę → odmowa), wersja musi być zainstalowana (/opt/alt/phpXY), po zapisie kontrola katalogu i powrót poprzedniego pliku przy 5xx. Sprawdzone lokalnie (zapis, odczyt, wyczyszczenie, 5 odmów). D3 w wezel.csv.</t>
        </is>
      </c>
    </row>
    <row r="33">
      <c r="A33" s="11" t="inlineStr">
        <is>
          <t>B-04</t>
        </is>
      </c>
      <c r="B33" s="12" t="inlineStr">
        <is>
          <t>B</t>
        </is>
      </c>
      <c r="C33" s="11" t="inlineStr">
        <is>
          <t>Włączanie/wyłączanie rozszerzeń PHP</t>
        </is>
      </c>
      <c r="D33" s="11" t="inlineStr">
        <is>
          <t>TAK</t>
        </is>
      </c>
      <c r="E33" s="11" t="inlineStr">
        <is>
          <t>TAK</t>
        </is>
      </c>
      <c r="F33" s="11" t="inlineStr">
        <is>
          <t>TAK</t>
        </is>
      </c>
      <c r="G33" s="11" t="inlineStr">
        <is>
          <t>CZĘŚĆ</t>
        </is>
      </c>
      <c r="H33" s="11" t="inlineStr">
        <is>
          <t>TAK</t>
        </is>
      </c>
      <c r="I33" s="11" t="inlineStr">
        <is>
          <t>DZIAŁA</t>
        </is>
      </c>
      <c r="J33" s="12" t="inlineStr">
        <is>
          <t>ops/scripts/node-php-info.sh (selektor); ops/scripts/node-php-apply.sh (PHP_EXT_ENABLE/DISABLE); subscriptions/php.service.ts setExtensionsForSubscription; POST /services/:id/hosting-php/extensions; client PhpInfoPanel.tsx; testy php.service.spec.ts, php-info.service.spec.ts; D3 t1 29.09 (panel klienta, d3.hvln.pl): włączenie opcache i redis dla PHP 8.2 z panelu → ponowny odczyt: 59 rozszerzeń, opcache.enable = włączone, redis załadowany</t>
        </is>
      </c>
      <c r="K33" s="11" t="inlineStr">
        <is>
          <t>PARYTET</t>
        </is>
      </c>
      <c r="L33" s="11" t="inlineStr">
        <is>
          <t>ŚREDNIA</t>
        </is>
      </c>
      <c r="M33" s="11" t="inlineStr">
        <is>
          <t>M</t>
        </is>
      </c>
      <c r="N33" s="12" t="inlineStr">
        <is>
          <t>2026-09-24: podgląd włączonych rozszerzeń jest (B-06). Przełączanie z panelu wymaga selektora PHP na węźle (CloudLinux/alt-php) — do decyzji przy konfiguracji węzła w sprincie 21; do tego czasu włączamy na prośbę w zgłoszeniu (tekst w panelu). | 2026-09-25 ZROBIONE (D2) wg oficjalnej dokumentacji CloudLinux (selectorctl): odczyt PHP_INFO dokłada --user-current i --list-user-extensions --all (+ włączone, - wyłączone, ~ wbudowane); panel strony → PHP → „Aktualna konfiguracja PHP” ma przełączniki rozszerzeń (wbudowane zablokowane) i „Zastosuj zmiany” → zadanie PHP_APPLY z --enable/--disable-user-extensions dla bieżącej wersji. Przy okazji PHP_APPLY poprawione na oficjalne --set-user-current (było --set-current-version, którego nie ma w dokumentacji) i usunięty „zapasowy” wpis do task.queue DA, który zgłaszał sukces bez zmiany — bez selectorctl zadanie kończy się czytelnym błędem. D3 na węźle: selectorctl dostępny, konto na alt-php (nie native), przełączenie intl/imagick widoczne w ponownym odczycie.</t>
        </is>
      </c>
    </row>
    <row r="34">
      <c r="A34" s="11" t="inlineStr">
        <is>
          <t>B-05</t>
        </is>
      </c>
      <c r="B34" s="12" t="inlineStr">
        <is>
          <t>B</t>
        </is>
      </c>
      <c r="C34" s="11" t="inlineStr">
        <is>
          <t>Edycja dyrektyw php.ini z panelu</t>
        </is>
      </c>
      <c r="D34" s="11" t="inlineStr">
        <is>
          <t>TAK</t>
        </is>
      </c>
      <c r="E34" s="11" t="inlineStr">
        <is>
          <t>TAK</t>
        </is>
      </c>
      <c r="F34" s="11" t="inlineStr">
        <is>
          <t>TAK</t>
        </is>
      </c>
      <c r="G34" s="11" t="inlineStr">
        <is>
          <t>TAK</t>
        </is>
      </c>
      <c r="H34" s="11" t="inlineStr">
        <is>
          <t>TAK</t>
        </is>
      </c>
      <c r="I34" s="11" t="inlineStr">
        <is>
          <t>DZIAŁA</t>
        </is>
      </c>
      <c r="J34" s="12" t="inlineStr">
        <is>
          <t>servers/php-ini.ts (lista dozwolonych dyrektyw, zakresy), directadmin.service.ts getHostingPhpIni/setHostingPhpIni (blok panelu w .user.ini domeny), services.controller.ts :id/hosting-php-ini, client-panel components/hosting/PhpIniForm.tsx (widok strony → PHP); testy php-ini.spec.ts + directadmin.domeny.spec.ts; D3 t1 (d3.hvln.pl) 29.09 po wdrożeniu (panel klienta): memory_limit 256M z panelu → blok Verris w .user.ini domeny; D3 t1 29.09: memory_limit 256M z .user.ini nie działał na LiteSpeed (LSAPI bez LSPHP_ENABLE_USER_INI); php_value w .htaccess działa (test 300M) — 98e6f24 zapisuje oba</t>
        </is>
      </c>
      <c r="K34" s="11" t="inlineStr">
        <is>
          <t>PARYTET</t>
        </is>
      </c>
      <c r="L34" s="11" t="inlineStr">
        <is>
          <t>—</t>
        </is>
      </c>
      <c r="M34" s="11" t="inlineStr">
        <is>
          <t>M</t>
        </is>
      </c>
      <c r="N34" s="12" t="inlineStr">
        <is>
          <t>2026-09-24: KOD (D2) — ustawienia PHP per domena z panelu: memory_limit, upload_max_filesize, post_max_size, max_execution_time, max_input_time, max_input_vars, display_errors, date.timezone. Zapis w bloku zarządzanym .user.ini; wpisy klienta poza blokiem zostają. OTWARTE do D3 (sprint 18, węzeł): czy PHP (FPM/LSAPI) czyta .user.ini z docroot i po ilu minutach. | 4 z 5 hostingów PL to ma | 2026-09-24 SKALA DOWODU (decyzja PM): funkcja bez pieniędzy, danych klienta i dostępu — D2 (test w CI) wystarcza do „zrobione”, więc werdykt PARYTET. Stan zostaje CZĘŚCIOWE do testu na węźle (audyt/dane/wezel.csv). | 2026-09-29 D3 t1: memory_limit 512M ustawiony w panelu działa na LiteSpeed (odczyt przez serwer WWW) — blok php_value w .htaccess (98e6f24).</t>
        </is>
      </c>
    </row>
    <row r="35">
      <c r="A35" s="11" t="inlineStr">
        <is>
          <t>B-06</t>
        </is>
      </c>
      <c r="B35" s="12" t="inlineStr">
        <is>
          <t>B</t>
        </is>
      </c>
      <c r="C35" s="11" t="inlineStr">
        <is>
          <t>Podgląd aktualnej konfiguracji PHP (phpinfo)</t>
        </is>
      </c>
      <c r="D35" s="11" t="inlineStr">
        <is>
          <t>TAK</t>
        </is>
      </c>
      <c r="E35" s="11" t="inlineStr">
        <is>
          <t>TAK</t>
        </is>
      </c>
      <c r="F35" s="11" t="inlineStr">
        <is>
          <t>TAK</t>
        </is>
      </c>
      <c r="G35" s="11" t="inlineStr">
        <is>
          <t>CZĘŚĆ</t>
        </is>
      </c>
      <c r="H35" s="11" t="inlineStr">
        <is>
          <t>TAK</t>
        </is>
      </c>
      <c r="I35" s="11" t="inlineStr">
        <is>
          <t>DZIAŁA</t>
        </is>
      </c>
      <c r="J35" s="12" t="inlineStr">
        <is>
          <t>ops/scripts/node-php-info.sh; subscriptions/php-info.service.ts; PhpInfoPanel.tsx (strona → PHP i serwer); D3 t1 28.09: FAIL — odczyt przez 127.0.0.1 trafiał w stronę domyślną (vhosty DA na IP konta) → ip= z user.conf; retest; D3 t1 (d3.hvln.pl) 28.09 23:39: podgląd konfiguracji PHP zakończony po poprawce ip= z user.conf</t>
        </is>
      </c>
      <c r="K35" s="11" t="inlineStr">
        <is>
          <t>PARYTET</t>
        </is>
      </c>
      <c r="L35" s="11" t="inlineStr">
        <is>
          <t>—</t>
        </is>
      </c>
      <c r="M35" s="11" t="inlineStr">
        <is>
          <t>S</t>
        </is>
      </c>
      <c r="N35" s="12" t="inlineStr">
        <is>
          <t>2026-09-24: KOD (D2) + skrypt sprawdzony lokalnie na serwerze PHP — konfiguracja tak, jak widzi ją serwer WWW strony (nie PHP z konsoli): wersja, SAPI, 22 dyrektywy i lista rozszerzeń. Plik o losowej nazwie w katalogu strony, odczyt przez 127.0.0.1 z nagłówkiem Host (HTTP, potem HTTPS), usuwany zawsze — także przy błędzie. Bez pełnego phpinfo() (zmienne środowiska, ścieżki). OTWARTE do D3 (sprint 21). | 2026-09-24 SKALA DOWODU (decyzja PM): funkcja bez pieniędzy, danych klienta i dostępu — D2 (test w CI) wystarcza do „zrobione”, więc werdykt PARYTET. Stan zostaje CZĘŚCIOWE do testu na węźle (audyt/dane/wezel.csv).</t>
        </is>
      </c>
    </row>
    <row r="36">
      <c r="A36" s="11" t="inlineStr">
        <is>
          <t>B-07</t>
        </is>
      </c>
      <c r="B36" s="12" t="inlineStr">
        <is>
          <t>B</t>
        </is>
      </c>
      <c r="C36" s="11" t="inlineStr">
        <is>
          <t>Wybór handlera PHP (LSAPI/FPM/CGI)</t>
        </is>
      </c>
      <c r="D36" s="11" t="inlineStr">
        <is>
          <t>TAK</t>
        </is>
      </c>
      <c r="E36" s="11" t="inlineStr">
        <is>
          <t>TAK</t>
        </is>
      </c>
      <c r="F36" s="11" t="inlineStr">
        <is>
          <t>TAK</t>
        </is>
      </c>
      <c r="G36" s="11" t="inlineStr">
        <is>
          <t>NIE</t>
        </is>
      </c>
      <c r="H36" s="11" t="inlineStr">
        <is>
          <t>NIE</t>
        </is>
      </c>
      <c r="I36" s="11" t="inlineStr">
        <is>
          <t>BRAK</t>
        </is>
      </c>
      <c r="J36" s="12" t="inlineStr">
        <is>
          <t>—</t>
        </is>
      </c>
      <c r="K36" s="11" t="inlineStr">
        <is>
          <t>POZA ZAKRESEM</t>
        </is>
      </c>
      <c r="L36" s="11" t="inlineStr">
        <is>
          <t>NISKA</t>
        </is>
      </c>
      <c r="M36" s="11" t="inlineStr">
        <is>
          <t>—</t>
        </is>
      </c>
      <c r="N36" s="12" t="inlineStr">
        <is>
          <t>decyzja operatorska, nie klienta</t>
        </is>
      </c>
    </row>
    <row r="37">
      <c r="A37" s="11" t="inlineStr">
        <is>
          <t>B-08</t>
        </is>
      </c>
      <c r="B37" s="12" t="inlineStr">
        <is>
          <t>B</t>
        </is>
      </c>
      <c r="C37" s="11" t="inlineStr">
        <is>
          <t>Aplikacje Node.js</t>
        </is>
      </c>
      <c r="D37" s="11" t="inlineStr">
        <is>
          <t>TAK</t>
        </is>
      </c>
      <c r="E37" s="11" t="inlineStr">
        <is>
          <t>TAK</t>
        </is>
      </c>
      <c r="F37" s="11" t="inlineStr">
        <is>
          <t>CZĘŚĆ</t>
        </is>
      </c>
      <c r="G37" s="11" t="inlineStr">
        <is>
          <t>NIE</t>
        </is>
      </c>
      <c r="H37" s="11" t="inlineStr">
        <is>
          <t>TAK</t>
        </is>
      </c>
      <c r="I37" s="11" t="inlineStr">
        <is>
          <t>DZIAŁA</t>
        </is>
      </c>
      <c r="J37"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7" s="11" t="inlineStr">
        <is>
          <t>PARYTET</t>
        </is>
      </c>
      <c r="L37" s="11" t="inlineStr">
        <is>
          <t>NISKA</t>
        </is>
      </c>
      <c r="M37" s="11" t="inlineStr">
        <is>
          <t>L</t>
        </is>
      </c>
      <c r="N37" s="12" t="inlineStr">
        <is>
          <t>żaden z 5 hostingów PL tego nie ma | 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„Utwórz aplikację” (Node.js, d3.hvln.pl/nodetest) → „zmienne środowiskowe są niepoprawne” dla każdej aplikacji: agent ucinał końcowe „=” base64 (IFS='=' read) — to samo psuło klucze SSH → 4569ee5. Retest po wdrożeniu. | 2026-10-01 D3 t1: 01.10 po 4569ee5: Node.js d3.hvln.pl/nodetest — tworzenie, „Zależności” (Express 5.2.1 z package.json), zmienne środowiskowe, zatrzymaj/uruchom, restart, usuń działają. „Edytuj” → surowy błąd selektora (pełna wersja zamiast głównej) → d284195, retest. | 01.10 na t1 z panelu: utwórz, zależności, zmienne, zatrzymaj/uruchom, restart, edytuj, usuń — Node (Express) i Python (Flask) działają.</t>
        </is>
      </c>
    </row>
    <row r="38">
      <c r="A38" s="11" t="inlineStr">
        <is>
          <t>B-09</t>
        </is>
      </c>
      <c r="B38" s="12" t="inlineStr">
        <is>
          <t>B</t>
        </is>
      </c>
      <c r="C38" s="11" t="inlineStr">
        <is>
          <t>Aplikacje Python</t>
        </is>
      </c>
      <c r="D38" s="11" t="inlineStr">
        <is>
          <t>TAK</t>
        </is>
      </c>
      <c r="E38" s="11" t="inlineStr">
        <is>
          <t>TAK</t>
        </is>
      </c>
      <c r="F38" s="11" t="inlineStr">
        <is>
          <t>CZĘŚĆ</t>
        </is>
      </c>
      <c r="G38" s="11" t="inlineStr">
        <is>
          <t>CZĘŚĆ</t>
        </is>
      </c>
      <c r="H38" s="11" t="inlineStr">
        <is>
          <t>CZĘŚĆ</t>
        </is>
      </c>
      <c r="I38" s="11" t="inlineStr">
        <is>
          <t>DZIAŁA</t>
        </is>
      </c>
      <c r="J38" s="12" t="inlineStr">
        <is>
          <t>ops/scripts/node-app-selector.sh (zadanie APP_SELECTOR); subscriptions/app-selector.service.ts; services.controller.ts :id/hosting-apps; client-panel components/hosting/AplikacjeSelektorPanel.tsx (zakładka Aplikacje); node-hosting-profile.sh (alt-nodejs/alt-python + selektory włączone); testy test/aplikacje-selektor.spec.ts, app-selector.service.spec.ts</t>
        </is>
      </c>
      <c r="K38" s="11" t="inlineStr">
        <is>
          <t>PARYTET</t>
        </is>
      </c>
      <c r="L38" s="11" t="inlineStr">
        <is>
          <t>NISKA</t>
        </is>
      </c>
      <c r="M38" s="11" t="inlineStr">
        <is>
          <t>L</t>
        </is>
      </c>
      <c r="N38" s="12" t="inlineStr">
        <is>
          <t>2026-09-25 KOD (D2): CloudLinux Selector wg oficjalnej dokumentacji (docs.cloudlinux.com → Command-line tools → Node.js/Python Selector; instalacja DirectAdmin: alt-nodejs/alt-python, lvemanager lve-utils alt-python-virtualenv alt-mod-passenger, --selector-status enabled). Zakładka Aplikacje → „Aplikacje Node.js i Python”: utwórz (język, wersja z serwera, domena + ścieżka, katalog poza public_html, plik startowy, obiekt WSGI, zmienne środowiskowe), edytuj (wersja, plik startowy, zmienne), uruchom/zatrzymaj/restart, zależności (npm install / pip -r requirements.txt), usuń. Wartości klienta w osobnych argumentach selektora (bez powłoki), zmienne nie trafiają do dziennika zdarzeń. Subkonto: FILES_MANAGE. D3 w wezel.csv. | 2026-09-30 D3 t1: 30.09: ten sam błąd co B-08 (base64 zmiennych bez końcowego „=”) → 4569ee5. Retest po wdrożeniu. | 2026-10-01 D3 t1: 01.10: Python dawał 503 (brak lswsgi: 3552440 profil, 972a40e bez wersji bez lswsgi — 3.14), potem 500 (passenger_wsgi.py jako plik startowy ładował sam siebie → 39df336). Z app.py: d3.hvln.pl/flask — Flask 3.1.3 z requirements.txt przez „Zależności”, restart działają. Retest „Edytuj” po d284195. | 01.10 na t1 z panelu: utwórz, zależności, zmienne, zatrzymaj/uruchom, restart, edytuj, usuń — Node (Express) i Python (Flask) działają. | 2026-10-03: profil instaluje brakujący alt-pythonXY-wsgi-lsapi (skrypt LSWS ma listę wersji do 3.13); t1: python314 dostał lswsgi, profil „[OK] Python przez LiteSpeed (lswsgi)”, WARN=0. Bez pakietu wersja jest wyłączana w selektorze (cloudlinux-selector disable-version).</t>
        </is>
      </c>
    </row>
    <row r="39">
      <c r="A39" s="11" t="inlineStr">
        <is>
          <t>B-10</t>
        </is>
      </c>
      <c r="B39" s="12" t="inlineStr">
        <is>
          <t>B</t>
        </is>
      </c>
      <c r="C39" s="11" t="inlineStr">
        <is>
          <t>Aplikacje Ruby</t>
        </is>
      </c>
      <c r="D39" s="11" t="inlineStr">
        <is>
          <t>TAK</t>
        </is>
      </c>
      <c r="E39" s="11" t="inlineStr">
        <is>
          <t>TAK</t>
        </is>
      </c>
      <c r="F39" s="11" t="inlineStr">
        <is>
          <t>NIE</t>
        </is>
      </c>
      <c r="G39" s="11" t="inlineStr">
        <is>
          <t>NIE</t>
        </is>
      </c>
      <c r="H39" s="11" t="inlineStr">
        <is>
          <t>NIE</t>
        </is>
      </c>
      <c r="I39" s="11" t="inlineStr">
        <is>
          <t>BRAK</t>
        </is>
      </c>
      <c r="J39" s="12" t="inlineStr">
        <is>
          <t>—</t>
        </is>
      </c>
      <c r="K39" s="11" t="inlineStr">
        <is>
          <t>POZA ZAKRESEM</t>
        </is>
      </c>
      <c r="L39" s="11" t="inlineStr">
        <is>
          <t>NISKA</t>
        </is>
      </c>
      <c r="M39" s="11" t="inlineStr">
        <is>
          <t>—</t>
        </is>
      </c>
      <c r="N39" s="12" t="inlineStr">
        <is>
          <t>rynek PL tego nie oczekuje</t>
        </is>
      </c>
    </row>
    <row r="40">
      <c r="A40" s="11" t="inlineStr">
        <is>
          <t>B-11</t>
        </is>
      </c>
      <c r="B40" s="12" t="inlineStr">
        <is>
          <t>B</t>
        </is>
      </c>
      <c r="C40" s="11" t="inlineStr">
        <is>
          <t>Wymuszenie HTTPS</t>
        </is>
      </c>
      <c r="D40" s="11" t="inlineStr">
        <is>
          <t>TAK</t>
        </is>
      </c>
      <c r="E40" s="11" t="inlineStr">
        <is>
          <t>TAK</t>
        </is>
      </c>
      <c r="F40" s="11" t="inlineStr">
        <is>
          <t>TAK</t>
        </is>
      </c>
      <c r="G40" s="11" t="inlineStr">
        <is>
          <t>TAK</t>
        </is>
      </c>
      <c r="H40" s="11" t="inlineStr">
        <is>
          <t>TAK</t>
        </is>
      </c>
      <c r="I40" s="11" t="inlineStr">
        <is>
          <t>DZIAŁA</t>
        </is>
      </c>
      <c r="J40" s="12" t="inlineStr">
        <is>
          <t>WebToolsTab.tsx:120</t>
        </is>
      </c>
      <c r="K40" s="11" t="inlineStr">
        <is>
          <t>PARYTET</t>
        </is>
      </c>
      <c r="L40" s="11" t="inlineStr">
        <is>
          <t>—</t>
        </is>
      </c>
      <c r="M40" s="11" t="inlineStr">
        <is>
          <t>—</t>
        </is>
      </c>
      <c r="N40" s="12" t="inlineStr"/>
    </row>
    <row r="41">
      <c r="A41" s="11" t="inlineStr">
        <is>
          <t>B-12</t>
        </is>
      </c>
      <c r="B41" s="12" t="inlineStr">
        <is>
          <t>B</t>
        </is>
      </c>
      <c r="C41" s="11" t="inlineStr">
        <is>
          <t>Kanonizacja www / non-www</t>
        </is>
      </c>
      <c r="D41" s="11" t="inlineStr">
        <is>
          <t>TAK</t>
        </is>
      </c>
      <c r="E41" s="11" t="inlineStr">
        <is>
          <t>TAK</t>
        </is>
      </c>
      <c r="F41" s="11" t="inlineStr">
        <is>
          <t>TAK</t>
        </is>
      </c>
      <c r="G41" s="11" t="inlineStr">
        <is>
          <t>TAK</t>
        </is>
      </c>
      <c r="H41" s="11" t="inlineStr">
        <is>
          <t>TAK</t>
        </is>
      </c>
      <c r="I41" s="11" t="inlineStr">
        <is>
          <t>DZIAŁA</t>
        </is>
      </c>
      <c r="J41" s="12" t="inlineStr">
        <is>
          <t>WebToolsTab.tsx:124</t>
        </is>
      </c>
      <c r="K41" s="11" t="inlineStr">
        <is>
          <t>PARYTET</t>
        </is>
      </c>
      <c r="L41" s="11" t="inlineStr">
        <is>
          <t>—</t>
        </is>
      </c>
      <c r="M41" s="11" t="inlineStr">
        <is>
          <t>—</t>
        </is>
      </c>
      <c r="N41" s="12" t="inlineStr"/>
    </row>
    <row r="42">
      <c r="A42" s="11" t="inlineStr">
        <is>
          <t>B-13</t>
        </is>
      </c>
      <c r="B42" s="12" t="inlineStr">
        <is>
          <t>B</t>
        </is>
      </c>
      <c r="C42" s="11" t="inlineStr">
        <is>
          <t>Przekierowania 301/302 z panelu</t>
        </is>
      </c>
      <c r="D42" s="11" t="inlineStr">
        <is>
          <t>TAK</t>
        </is>
      </c>
      <c r="E42" s="11" t="inlineStr">
        <is>
          <t>TAK</t>
        </is>
      </c>
      <c r="F42" s="11" t="inlineStr">
        <is>
          <t>TAK</t>
        </is>
      </c>
      <c r="G42" s="11" t="inlineStr">
        <is>
          <t>TAK</t>
        </is>
      </c>
      <c r="H42" s="11" t="inlineStr">
        <is>
          <t>TAK</t>
        </is>
      </c>
      <c r="I42" s="11" t="inlineStr">
        <is>
          <t>DZIAŁA</t>
        </is>
      </c>
      <c r="J42" s="12" t="inlineStr">
        <is>
          <t>WebToolsTab.tsx:143; D3 t1 (d3.hvln.pl) 29.09: 301 /verris-test-301 dodane z panelu → przekierowanie działa, usunięte z panelu → 404</t>
        </is>
      </c>
      <c r="K42" s="11" t="inlineStr">
        <is>
          <t>PARYTET</t>
        </is>
      </c>
      <c r="L42" s="11" t="inlineStr">
        <is>
          <t>—</t>
        </is>
      </c>
      <c r="M42" s="11" t="inlineStr">
        <is>
          <t>—</t>
        </is>
      </c>
      <c r="N42" s="12" t="inlineStr"/>
    </row>
    <row r="43">
      <c r="A43" s="11" t="inlineStr">
        <is>
          <t>B-14</t>
        </is>
      </c>
      <c r="B43" s="12" t="inlineStr">
        <is>
          <t>B</t>
        </is>
      </c>
      <c r="C43" s="11" t="inlineStr">
        <is>
          <t>Ochrona przed hotlinkingiem</t>
        </is>
      </c>
      <c r="D43" s="11" t="inlineStr">
        <is>
          <t>TAK</t>
        </is>
      </c>
      <c r="E43" s="11" t="inlineStr">
        <is>
          <t>TAK</t>
        </is>
      </c>
      <c r="F43" s="11" t="inlineStr">
        <is>
          <t>CZĘŚĆ</t>
        </is>
      </c>
      <c r="G43" s="11" t="inlineStr">
        <is>
          <t>CZĘŚĆ</t>
        </is>
      </c>
      <c r="H43" s="11" t="inlineStr">
        <is>
          <t>NIE</t>
        </is>
      </c>
      <c r="I43" s="11" t="inlineStr">
        <is>
          <t>DZIAŁA</t>
        </is>
      </c>
      <c r="J43" s="12" t="inlineStr">
        <is>
          <t>WebToolsTab.tsx:185</t>
        </is>
      </c>
      <c r="K43" s="11" t="inlineStr">
        <is>
          <t>PRZEWAGA</t>
        </is>
      </c>
      <c r="L43" s="11" t="inlineStr">
        <is>
          <t>—</t>
        </is>
      </c>
      <c r="M43" s="11" t="inlineStr">
        <is>
          <t>—</t>
        </is>
      </c>
      <c r="N43" s="12" t="inlineStr"/>
    </row>
    <row r="44">
      <c r="A44" s="11" t="inlineStr">
        <is>
          <t>B-15</t>
        </is>
      </c>
      <c r="B44" s="12" t="inlineStr">
        <is>
          <t>B</t>
        </is>
      </c>
      <c r="C44" s="11" t="inlineStr">
        <is>
          <t>Blokowanie adresów IP</t>
        </is>
      </c>
      <c r="D44" s="11" t="inlineStr">
        <is>
          <t>TAK</t>
        </is>
      </c>
      <c r="E44" s="11" t="inlineStr">
        <is>
          <t>TAK</t>
        </is>
      </c>
      <c r="F44" s="11" t="inlineStr">
        <is>
          <t>TAK</t>
        </is>
      </c>
      <c r="G44" s="11" t="inlineStr">
        <is>
          <t>CZĘŚĆ</t>
        </is>
      </c>
      <c r="H44" s="11" t="inlineStr">
        <is>
          <t>TAK</t>
        </is>
      </c>
      <c r="I44" s="11" t="inlineStr">
        <is>
          <t>DZIAŁA</t>
        </is>
      </c>
      <c r="J44" s="12" t="inlineStr">
        <is>
          <t>WebToolsTab.tsx:198</t>
        </is>
      </c>
      <c r="K44" s="11" t="inlineStr">
        <is>
          <t>PARYTET</t>
        </is>
      </c>
      <c r="L44" s="11" t="inlineStr">
        <is>
          <t>—</t>
        </is>
      </c>
      <c r="M44" s="11" t="inlineStr">
        <is>
          <t>—</t>
        </is>
      </c>
      <c r="N44" s="12" t="inlineStr"/>
    </row>
    <row r="45">
      <c r="A45" s="11" t="inlineStr">
        <is>
          <t>B-16</t>
        </is>
      </c>
      <c r="B45" s="12" t="inlineStr">
        <is>
          <t>B</t>
        </is>
      </c>
      <c r="C45" s="11" t="inlineStr">
        <is>
          <t>Ochrona katalogu hasłem (.htpasswd)</t>
        </is>
      </c>
      <c r="D45" s="11" t="inlineStr">
        <is>
          <t>TAK</t>
        </is>
      </c>
      <c r="E45" s="11" t="inlineStr">
        <is>
          <t>TAK</t>
        </is>
      </c>
      <c r="F45" s="11" t="inlineStr">
        <is>
          <t>TAK</t>
        </is>
      </c>
      <c r="G45" s="11" t="inlineStr">
        <is>
          <t>CZĘŚĆ</t>
        </is>
      </c>
      <c r="H45" s="11" t="inlineStr">
        <is>
          <t>TAK</t>
        </is>
      </c>
      <c r="I45" s="11" t="inlineStr">
        <is>
          <t>DZIAŁA</t>
        </is>
      </c>
      <c r="J45" s="12" t="inlineStr">
        <is>
          <t>WebToolsTab.tsx:91</t>
        </is>
      </c>
      <c r="K45" s="11" t="inlineStr">
        <is>
          <t>PARYTET</t>
        </is>
      </c>
      <c r="L45" s="11" t="inlineStr">
        <is>
          <t>—</t>
        </is>
      </c>
      <c r="M45" s="11" t="inlineStr">
        <is>
          <t>—</t>
        </is>
      </c>
      <c r="N45" s="12" t="inlineStr"/>
    </row>
    <row r="46">
      <c r="A46" s="11" t="inlineStr">
        <is>
          <t>B-17</t>
        </is>
      </c>
      <c r="B46" s="12" t="inlineStr">
        <is>
          <t>B</t>
        </is>
      </c>
      <c r="C46" s="11" t="inlineStr">
        <is>
          <t>Własne strony błędów</t>
        </is>
      </c>
      <c r="D46" s="11" t="inlineStr">
        <is>
          <t>TAK</t>
        </is>
      </c>
      <c r="E46" s="11" t="inlineStr">
        <is>
          <t>TAK</t>
        </is>
      </c>
      <c r="F46" s="11" t="inlineStr">
        <is>
          <t>TAK</t>
        </is>
      </c>
      <c r="G46" s="11" t="inlineStr">
        <is>
          <t>CZĘŚĆ</t>
        </is>
      </c>
      <c r="H46" s="11" t="inlineStr">
        <is>
          <t>TAK</t>
        </is>
      </c>
      <c r="I46" s="11" t="inlineStr">
        <is>
          <t>DZIAŁA</t>
        </is>
      </c>
      <c r="J46" s="12" t="inlineStr">
        <is>
          <t>ops/scripts/node-htaccess.sh; subscriptions/htaccess.service.ts; HtaccessPanel.tsx (strona → PHP i serwer)</t>
        </is>
      </c>
      <c r="K46" s="11" t="inlineStr">
        <is>
          <t>PARYTET</t>
        </is>
      </c>
      <c r="L46" s="11" t="inlineStr">
        <is>
          <t>NISKA</t>
        </is>
      </c>
      <c r="M46" s="11" t="inlineStr">
        <is>
          <t>S</t>
        </is>
      </c>
      <c r="N46" s="12" t="inlineStr">
        <is>
          <t>2026-09-24: KOD (D2) + skrypt sprawdzony lokalnie — własne strony błędów 403/404/500 (ErrorDocument, ścieżka w witrynie walidowana w API i w skrypcie).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 | 2026-09-30 D3 t1: 30.09 test2.d3.hvln.pl: w panelu „Własne strony błędów” 404 → /404.html; zadanie .htaccess zakończone, nieistniejąca ścieżka zwraca status 404 z własną treścią. | 2026-10-06 D3 t1: przy braku własnej strony odwiedzający widział domyślną stronę serwera „Proudly powered by LiteSpeed”; f5c79c5 — profil węzła ustawia strony 403/404/500/503 Verris (httpd-includes.conf + ErrorDocument, .htaccess klienta ma pierwszeństwo). Do potwierdzenia na t1 po profilu. | 2026-10-06 D3 NA ŻYWO: serwerowe strony błędów Verris (ErrorDocument w CUSTOM.4.pre, 170028e) — d3.hvln.pl/&lt;brak&gt; zwraca 404 ze stroną Verris; profil meldował fałszywy FAIL (sprawdzał na 127.0.0.1) → cf87d80; wygląd w marce Verris → adb7778. | 2026-10-06 wieczór: profil t1 OK=65 FAIL=0 ([OK] strony błędów — sprawdzenie na IP konta), d3.hvln.pl/&lt;brak&gt; pokazuje stronę 404 w marce Verris.</t>
        </is>
      </c>
    </row>
    <row r="47">
      <c r="A47" s="11" t="inlineStr">
        <is>
          <t>B-18</t>
        </is>
      </c>
      <c r="B47" s="12" t="inlineStr">
        <is>
          <t>B</t>
        </is>
      </c>
      <c r="C47" s="11" t="inlineStr">
        <is>
          <t>Menedżer indeksowania katalogu</t>
        </is>
      </c>
      <c r="D47" s="11" t="inlineStr">
        <is>
          <t>TAK</t>
        </is>
      </c>
      <c r="E47" s="11" t="inlineStr">
        <is>
          <t>TAK</t>
        </is>
      </c>
      <c r="F47" s="11" t="inlineStr">
        <is>
          <t>TAK</t>
        </is>
      </c>
      <c r="G47" s="11" t="inlineStr">
        <is>
          <t>b.d.</t>
        </is>
      </c>
      <c r="H47" s="11" t="inlineStr">
        <is>
          <t>NIE</t>
        </is>
      </c>
      <c r="I47" s="11" t="inlineStr">
        <is>
          <t>DZIAŁA</t>
        </is>
      </c>
      <c r="J47" s="12" t="inlineStr">
        <is>
          <t>ops/scripts/node-htaccess.sh; subscriptions/htaccess.service.ts; HtaccessPanel.tsx (strona → PHP i serwer); D3 t1 29.09 (panel klienta, d3.hvln.pl): lista plików „Ukryta” → /wp-includes/ zwraca 403</t>
        </is>
      </c>
      <c r="K47" s="11" t="inlineStr">
        <is>
          <t>PARYTET</t>
        </is>
      </c>
      <c r="L47" s="11" t="inlineStr">
        <is>
          <t>NISKA</t>
        </is>
      </c>
      <c r="M47" s="11" t="inlineStr">
        <is>
          <t>S</t>
        </is>
      </c>
      <c r="N47" s="12" t="inlineStr">
        <is>
          <t>2026-09-24: KOD (D2) + skrypt sprawdzony lokalnie — lista plików w katalogu bez strony głównej: domyślnie / ukryta (Options -Indexes) / widoczna.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48">
      <c r="A48" s="11" t="inlineStr">
        <is>
          <t>B-19</t>
        </is>
      </c>
      <c r="B48" s="12" t="inlineStr">
        <is>
          <t>B</t>
        </is>
      </c>
      <c r="C48" s="11" t="inlineStr">
        <is>
          <t>Kreator stron WWW</t>
        </is>
      </c>
      <c r="D48" s="11" t="inlineStr">
        <is>
          <t>TAK</t>
        </is>
      </c>
      <c r="E48" s="11" t="inlineStr">
        <is>
          <t>TAK</t>
        </is>
      </c>
      <c r="F48" s="11" t="inlineStr">
        <is>
          <t>CZĘŚĆ</t>
        </is>
      </c>
      <c r="G48" s="11" t="inlineStr">
        <is>
          <t>CZĘŚĆ</t>
        </is>
      </c>
      <c r="H48" s="11" t="inlineStr">
        <is>
          <t>TAK</t>
        </is>
      </c>
      <c r="I48" s="11" t="inlineStr">
        <is>
          <t>BRAK</t>
        </is>
      </c>
      <c r="J48" s="12" t="inlineStr">
        <is>
          <t>SiteBuilderTab.tsx usunięty 2026-09-25</t>
        </is>
      </c>
      <c r="K48" s="11" t="inlineStr">
        <is>
          <t>LUKA</t>
        </is>
      </c>
      <c r="L48" s="11" t="inlineStr">
        <is>
          <t>NISKA</t>
        </is>
      </c>
      <c r="M48" s="11" t="inlineStr">
        <is>
          <t>M</t>
        </is>
      </c>
      <c r="N48" s="12" t="inlineStr">
        <is>
          <t>DECYZJA 2026-09-24: kreator usunięty z cennika verris.pl („Menedżer plików w panelu” zamiast „Kreator stron i menedżer plików”) — obietnica zgodna z produktem; kod zostaje wyłączony, powrót jako osobna funkcja po starcie. | kod napisany i zakomentowany — decyzja: dokończyć albo usunąć | DECYZJA WŁAŚCICIELA 2026-09-25: wyłączony kod usunięty (1612 linii bez importów i bez API); kreator wraca po starcie jako nowa funkcja.</t>
        </is>
      </c>
    </row>
    <row r="49">
      <c r="A49" s="11" t="inlineStr">
        <is>
          <t>C-01</t>
        </is>
      </c>
      <c r="B49" s="12" t="inlineStr">
        <is>
          <t>C</t>
        </is>
      </c>
      <c r="C49" s="11" t="inlineStr">
        <is>
          <t>Menedżer plików — lista katalogu</t>
        </is>
      </c>
      <c r="D49" s="11" t="inlineStr">
        <is>
          <t>TAK</t>
        </is>
      </c>
      <c r="E49" s="11" t="inlineStr">
        <is>
          <t>TAK</t>
        </is>
      </c>
      <c r="F49" s="11" t="inlineStr">
        <is>
          <t>TAK</t>
        </is>
      </c>
      <c r="G49" s="11" t="inlineStr">
        <is>
          <t>TAK</t>
        </is>
      </c>
      <c r="H49" s="11" t="inlineStr">
        <is>
          <t>TAK</t>
        </is>
      </c>
      <c r="I49" s="11" t="inlineStr">
        <is>
          <t>DZIAŁA</t>
        </is>
      </c>
      <c r="J49" s="12" t="inlineStr">
        <is>
          <t>files.controller.ts:27; D3 t1 (d3.hvln.pl) 29.09: lista katalogu domowego z datami i rozmiarami</t>
        </is>
      </c>
      <c r="K49" s="11" t="inlineStr">
        <is>
          <t>PARYTET</t>
        </is>
      </c>
      <c r="L49" s="11" t="inlineStr">
        <is>
          <t>—</t>
        </is>
      </c>
      <c r="M49" s="11" t="inlineStr">
        <is>
          <t>—</t>
        </is>
      </c>
      <c r="N49" s="12" t="inlineStr"/>
    </row>
    <row r="50">
      <c r="A50" s="11" t="inlineStr">
        <is>
          <t>C-02</t>
        </is>
      </c>
      <c r="B50" s="12" t="inlineStr">
        <is>
          <t>C</t>
        </is>
      </c>
      <c r="C50" s="11" t="inlineStr">
        <is>
          <t>Podgląd i edycja pliku tekstowego</t>
        </is>
      </c>
      <c r="D50" s="11" t="inlineStr">
        <is>
          <t>TAK</t>
        </is>
      </c>
      <c r="E50" s="11" t="inlineStr">
        <is>
          <t>TAK</t>
        </is>
      </c>
      <c r="F50" s="11" t="inlineStr">
        <is>
          <t>TAK</t>
        </is>
      </c>
      <c r="G50" s="11" t="inlineStr">
        <is>
          <t>TAK</t>
        </is>
      </c>
      <c r="H50" s="11" t="inlineStr">
        <is>
          <t>TAK</t>
        </is>
      </c>
      <c r="I50" s="11" t="inlineStr">
        <is>
          <t>DZIAŁA</t>
        </is>
      </c>
      <c r="J50" s="12" t="inlineStr">
        <is>
          <t>files.controller.ts:36,61; D3 t1 (d3.hvln.pl) 29.09: edycja pliku .php w edytorze panelu, zapis działa</t>
        </is>
      </c>
      <c r="K50" s="11" t="inlineStr">
        <is>
          <t>PARYTET</t>
        </is>
      </c>
      <c r="L50" s="11" t="inlineStr">
        <is>
          <t>—</t>
        </is>
      </c>
      <c r="M50" s="11" t="inlineStr">
        <is>
          <t>—</t>
        </is>
      </c>
      <c r="N50" s="12" t="inlineStr"/>
    </row>
    <row r="51">
      <c r="A51" s="11" t="inlineStr">
        <is>
          <t>C-03</t>
        </is>
      </c>
      <c r="B51" s="12" t="inlineStr">
        <is>
          <t>C</t>
        </is>
      </c>
      <c r="C51" s="11" t="inlineStr">
        <is>
          <t>Tworzenie katalogu</t>
        </is>
      </c>
      <c r="D51" s="11" t="inlineStr">
        <is>
          <t>TAK</t>
        </is>
      </c>
      <c r="E51" s="11" t="inlineStr">
        <is>
          <t>TAK</t>
        </is>
      </c>
      <c r="F51" s="11" t="inlineStr">
        <is>
          <t>TAK</t>
        </is>
      </c>
      <c r="G51" s="11" t="inlineStr">
        <is>
          <t>TAK</t>
        </is>
      </c>
      <c r="H51" s="11" t="inlineStr">
        <is>
          <t>TAK</t>
        </is>
      </c>
      <c r="I51" s="11" t="inlineStr">
        <is>
          <t>DZIAŁA</t>
        </is>
      </c>
      <c r="J51" s="12" t="inlineStr">
        <is>
          <t>files.controller.ts:71; D3 t1 (d3.hvln.pl) 29.09: nowy folder z panelu</t>
        </is>
      </c>
      <c r="K51" s="11" t="inlineStr">
        <is>
          <t>PARYTET</t>
        </is>
      </c>
      <c r="L51" s="11" t="inlineStr">
        <is>
          <t>—</t>
        </is>
      </c>
      <c r="M51" s="11" t="inlineStr">
        <is>
          <t>—</t>
        </is>
      </c>
      <c r="N51" s="12" t="inlineStr"/>
    </row>
    <row r="52">
      <c r="A52" s="11" t="inlineStr">
        <is>
          <t>C-04</t>
        </is>
      </c>
      <c r="B52" s="12" t="inlineStr">
        <is>
          <t>C</t>
        </is>
      </c>
      <c r="C52" s="11" t="inlineStr">
        <is>
          <t>Tworzenie pliku</t>
        </is>
      </c>
      <c r="D52" s="11" t="inlineStr">
        <is>
          <t>TAK</t>
        </is>
      </c>
      <c r="E52" s="11" t="inlineStr">
        <is>
          <t>TAK</t>
        </is>
      </c>
      <c r="F52" s="11" t="inlineStr">
        <is>
          <t>TAK</t>
        </is>
      </c>
      <c r="G52" s="11" t="inlineStr">
        <is>
          <t>TAK</t>
        </is>
      </c>
      <c r="H52" s="11" t="inlineStr">
        <is>
          <t>TAK</t>
        </is>
      </c>
      <c r="I52" s="11" t="inlineStr">
        <is>
          <t>DZIAŁA</t>
        </is>
      </c>
      <c r="J52" s="12" t="inlineStr">
        <is>
          <t>files.controller.ts:61; D3 t1 (d3.hvln.pl) 29.09: nowy plik verris-cron-test.php z panelu + edycja i zapis treści</t>
        </is>
      </c>
      <c r="K52" s="11" t="inlineStr">
        <is>
          <t>PARYTET</t>
        </is>
      </c>
      <c r="L52" s="11" t="inlineStr">
        <is>
          <t>—</t>
        </is>
      </c>
      <c r="M52" s="11" t="inlineStr">
        <is>
          <t>—</t>
        </is>
      </c>
      <c r="N52" s="12" t="inlineStr"/>
    </row>
    <row r="53">
      <c r="A53" s="11" t="inlineStr">
        <is>
          <t>C-05</t>
        </is>
      </c>
      <c r="B53" s="12" t="inlineStr">
        <is>
          <t>C</t>
        </is>
      </c>
      <c r="C53" s="11" t="inlineStr">
        <is>
          <t>Zmiana nazwy pliku/katalogu</t>
        </is>
      </c>
      <c r="D53" s="11" t="inlineStr">
        <is>
          <t>TAK</t>
        </is>
      </c>
      <c r="E53" s="11" t="inlineStr">
        <is>
          <t>TAK</t>
        </is>
      </c>
      <c r="F53" s="11" t="inlineStr">
        <is>
          <t>TAK</t>
        </is>
      </c>
      <c r="G53" s="11" t="inlineStr">
        <is>
          <t>TAK</t>
        </is>
      </c>
      <c r="H53" s="11" t="inlineStr">
        <is>
          <t>TAK</t>
        </is>
      </c>
      <c r="I53" s="11" t="inlineStr">
        <is>
          <t>DZIAŁA</t>
        </is>
      </c>
      <c r="J53" s="12" t="inlineStr">
        <is>
          <t>files.controller.ts:81; D3 t1 (d3.hvln.pl) 29.09 FAIL: zmiana nazwy → „Wewnętrzny błąd serwera” (DA 1.710: old = sama nazwa, nie pełna ścieżka; sprawdzone na t1); poprawka 3434c1a czeka na wdrożenie; D3 t1 (d3.hvln.pl) 29.09 po wdrożeniu: zmiana nazwy verris-r1.txt → verris-r2.txt z panelu — „Zmieniono nazwę”, plik pod nową nazwą (3434c1a: old = sama nazwa)</t>
        </is>
      </c>
      <c r="K53" s="11" t="inlineStr">
        <is>
          <t>PARYTET</t>
        </is>
      </c>
      <c r="L53" s="11" t="inlineStr">
        <is>
          <t>—</t>
        </is>
      </c>
      <c r="M53" s="11" t="inlineStr">
        <is>
          <t>—</t>
        </is>
      </c>
      <c r="N53" s="12" t="inlineStr"/>
    </row>
    <row r="54">
      <c r="A54" s="11" t="inlineStr">
        <is>
          <t>C-06</t>
        </is>
      </c>
      <c r="B54" s="12" t="inlineStr">
        <is>
          <t>C</t>
        </is>
      </c>
      <c r="C54" s="11" t="inlineStr">
        <is>
          <t>Usuwanie plików (także zaznaczonych)</t>
        </is>
      </c>
      <c r="D54" s="11" t="inlineStr">
        <is>
          <t>TAK</t>
        </is>
      </c>
      <c r="E54" s="11" t="inlineStr">
        <is>
          <t>TAK</t>
        </is>
      </c>
      <c r="F54" s="11" t="inlineStr">
        <is>
          <t>TAK</t>
        </is>
      </c>
      <c r="G54" s="11" t="inlineStr">
        <is>
          <t>TAK</t>
        </is>
      </c>
      <c r="H54" s="11" t="inlineStr">
        <is>
          <t>TAK</t>
        </is>
      </c>
      <c r="I54" s="11" t="inlineStr">
        <is>
          <t>DZIAŁA</t>
        </is>
      </c>
      <c r="J54" s="12" t="inlineStr">
        <is>
          <t>files.controller.ts:91; D3 t1 (d3.hvln.pl) 29.09 FAIL: „Usuń zaznaczone” → komunikat sukcesu, pliki zostają (DA 1.710 wymaga selectN = pełna ścieżka; sprawdzone na t1: nazwa → bez zmian, pełna ścieżka → usunięty); poprawka 464dd72 (SDK) czeka na wdrożenie; retest; 29.09: usuwanie pełnymi ścieżkami sprawdzone na t1 bezpośrednio w DA (6 elementów naraz); retest z panelu po wdrożeniu 347e8ae; D3 t1 (d3.hvln.pl) 29.09 po wdrożeniu: zaznaczenie 2 plików (verris-r2.tar.gz, verris-r2.txt) → Usuń → potwierdzenie; API DA: pliki usunięte (347e8ae: CMD_API_FILE_MANAGER + pełne ścieżki)</t>
        </is>
      </c>
      <c r="K54" s="11" t="inlineStr">
        <is>
          <t>PARYTET</t>
        </is>
      </c>
      <c r="L54" s="11" t="inlineStr">
        <is>
          <t>—</t>
        </is>
      </c>
      <c r="M54" s="11" t="inlineStr">
        <is>
          <t>—</t>
        </is>
      </c>
      <c r="N54" s="12" t="inlineStr"/>
    </row>
    <row r="55">
      <c r="A55" s="11" t="inlineStr">
        <is>
          <t>C-07</t>
        </is>
      </c>
      <c r="B55" s="12" t="inlineStr">
        <is>
          <t>C</t>
        </is>
      </c>
      <c r="C55" s="11" t="inlineStr">
        <is>
          <t>Kopiowanie plików</t>
        </is>
      </c>
      <c r="D55" s="11" t="inlineStr">
        <is>
          <t>TAK</t>
        </is>
      </c>
      <c r="E55" s="11" t="inlineStr">
        <is>
          <t>TAK</t>
        </is>
      </c>
      <c r="F55" s="11" t="inlineStr">
        <is>
          <t>TAK</t>
        </is>
      </c>
      <c r="G55" s="11" t="inlineStr">
        <is>
          <t>TAK</t>
        </is>
      </c>
      <c r="H55" s="11" t="inlineStr">
        <is>
          <t>TAK</t>
        </is>
      </c>
      <c r="I55" s="11" t="inlineStr">
        <is>
          <t>DZIAŁA</t>
        </is>
      </c>
      <c r="J55" s="12" t="inlineStr">
        <is>
          <t>files.controller.ts:101; D3 t1 (d3.hvln.pl) 29.09: ten sam format zaznaczenia co C-06 (schowek DA) — poprawka razem z C-06; D3 do potwierdzenia; D3 t1 (d3.hvln.pl) 29.09 po wdrożeniu: kopiowanie verris-a.txt do folderu z panelu — plik w obu miejscach</t>
        </is>
      </c>
      <c r="K55" s="11" t="inlineStr">
        <is>
          <t>PARYTET</t>
        </is>
      </c>
      <c r="L55" s="11" t="inlineStr">
        <is>
          <t>—</t>
        </is>
      </c>
      <c r="M55" s="11" t="inlineStr">
        <is>
          <t>—</t>
        </is>
      </c>
      <c r="N55" s="12" t="inlineStr"/>
    </row>
    <row r="56">
      <c r="A56" s="11" t="inlineStr">
        <is>
          <t>C-08</t>
        </is>
      </c>
      <c r="B56" s="12" t="inlineStr">
        <is>
          <t>C</t>
        </is>
      </c>
      <c r="C56" s="11" t="inlineStr">
        <is>
          <t>Przenoszenie plików</t>
        </is>
      </c>
      <c r="D56" s="11" t="inlineStr">
        <is>
          <t>TAK</t>
        </is>
      </c>
      <c r="E56" s="11" t="inlineStr">
        <is>
          <t>TAK</t>
        </is>
      </c>
      <c r="F56" s="11" t="inlineStr">
        <is>
          <t>TAK</t>
        </is>
      </c>
      <c r="G56" s="11" t="inlineStr">
        <is>
          <t>TAK</t>
        </is>
      </c>
      <c r="H56" s="11" t="inlineStr">
        <is>
          <t>TAK</t>
        </is>
      </c>
      <c r="I56" s="11" t="inlineStr">
        <is>
          <t>DZIAŁA</t>
        </is>
      </c>
      <c r="J56" s="12" t="inlineStr">
        <is>
          <t>files.controller.ts:111; D3 t1 (d3.hvln.pl) 29.09: jak C-07; D3 t1 (d3.hvln.pl) 29.09 po wdrożeniu: przeniesienie verris-b.txt do folderu — zniknął z katalogu źródłowego</t>
        </is>
      </c>
      <c r="K56" s="11" t="inlineStr">
        <is>
          <t>PARYTET</t>
        </is>
      </c>
      <c r="L56" s="11" t="inlineStr">
        <is>
          <t>—</t>
        </is>
      </c>
      <c r="M56" s="11" t="inlineStr">
        <is>
          <t>—</t>
        </is>
      </c>
      <c r="N56" s="12" t="inlineStr"/>
    </row>
    <row r="57">
      <c r="A57" s="11" t="inlineStr">
        <is>
          <t>C-09</t>
        </is>
      </c>
      <c r="B57" s="12" t="inlineStr">
        <is>
          <t>C</t>
        </is>
      </c>
      <c r="C57" s="11" t="inlineStr">
        <is>
          <t>Zmiana uprawnień (chmod)</t>
        </is>
      </c>
      <c r="D57" s="11" t="inlineStr">
        <is>
          <t>TAK</t>
        </is>
      </c>
      <c r="E57" s="11" t="inlineStr">
        <is>
          <t>TAK</t>
        </is>
      </c>
      <c r="F57" s="11" t="inlineStr">
        <is>
          <t>TAK</t>
        </is>
      </c>
      <c r="G57" s="11" t="inlineStr">
        <is>
          <t>TAK</t>
        </is>
      </c>
      <c r="H57" s="11" t="inlineStr">
        <is>
          <t>TAK</t>
        </is>
      </c>
      <c r="I57" s="11" t="inlineStr">
        <is>
          <t>DZIAŁA</t>
        </is>
      </c>
      <c r="J57" s="12" t="inlineStr">
        <is>
          <t>files.controller.ts:131; D3 t1 (d3.hvln.pl) 29.09: chmod zaznaczonych — ten sam format co C-06; D3 do potwierdzenia po wdrożeniu; D3 t1 (d3.hvln.pl) 29.09 po wdrożeniu: chmod 600 z panelu, DA pokazuje permission=600</t>
        </is>
      </c>
      <c r="K57" s="11" t="inlineStr">
        <is>
          <t>PARYTET</t>
        </is>
      </c>
      <c r="L57" s="11" t="inlineStr">
        <is>
          <t>—</t>
        </is>
      </c>
      <c r="M57" s="11" t="inlineStr">
        <is>
          <t>—</t>
        </is>
      </c>
      <c r="N57" s="12" t="inlineStr"/>
    </row>
    <row r="58">
      <c r="A58" s="11" t="inlineStr">
        <is>
          <t>C-10</t>
        </is>
      </c>
      <c r="B58" s="12" t="inlineStr">
        <is>
          <t>C</t>
        </is>
      </c>
      <c r="C58" s="11" t="inlineStr">
        <is>
          <t>Rozpakowanie archiwum</t>
        </is>
      </c>
      <c r="D58" s="11" t="inlineStr">
        <is>
          <t>TAK</t>
        </is>
      </c>
      <c r="E58" s="11" t="inlineStr">
        <is>
          <t>TAK</t>
        </is>
      </c>
      <c r="F58" s="11" t="inlineStr">
        <is>
          <t>TAK</t>
        </is>
      </c>
      <c r="G58" s="11" t="inlineStr">
        <is>
          <t>TAK</t>
        </is>
      </c>
      <c r="H58" s="11" t="inlineStr">
        <is>
          <t>TAK</t>
        </is>
      </c>
      <c r="I58" s="11" t="inlineStr">
        <is>
          <t>DZIAŁA</t>
        </is>
      </c>
      <c r="J58" s="12" t="inlineStr">
        <is>
          <t>files.controller.ts:121</t>
        </is>
      </c>
      <c r="K58" s="11" t="inlineStr">
        <is>
          <t>PARYTET</t>
        </is>
      </c>
      <c r="L58" s="11" t="inlineStr">
        <is>
          <t>—</t>
        </is>
      </c>
      <c r="M58" s="11" t="inlineStr">
        <is>
          <t>—</t>
        </is>
      </c>
      <c r="N58" s="12" t="inlineStr"/>
    </row>
    <row r="59">
      <c r="A59" s="11" t="inlineStr">
        <is>
          <t>C-11</t>
        </is>
      </c>
      <c r="B59" s="12" t="inlineStr">
        <is>
          <t>C</t>
        </is>
      </c>
      <c r="C59" s="11" t="inlineStr">
        <is>
          <t>Spakowanie do archiwum</t>
        </is>
      </c>
      <c r="D59" s="11" t="inlineStr">
        <is>
          <t>TAK</t>
        </is>
      </c>
      <c r="E59" s="11" t="inlineStr">
        <is>
          <t>TAK</t>
        </is>
      </c>
      <c r="F59" s="11" t="inlineStr">
        <is>
          <t>TAK</t>
        </is>
      </c>
      <c r="G59" s="11" t="inlineStr">
        <is>
          <t>TAK</t>
        </is>
      </c>
      <c r="H59" s="11" t="inlineStr">
        <is>
          <t>TAK</t>
        </is>
      </c>
      <c r="I59" s="11" t="inlineStr">
        <is>
          <t>DZIAŁA</t>
        </is>
      </c>
      <c r="J59" s="12"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K59" s="11" t="inlineStr">
        <is>
          <t>PARYTET</t>
        </is>
      </c>
      <c r="L59" s="11" t="inlineStr">
        <is>
          <t>—</t>
        </is>
      </c>
      <c r="M59" s="11" t="inlineStr">
        <is>
          <t>S</t>
        </is>
      </c>
      <c r="N59" s="12" t="inlineStr">
        <is>
          <t>standard we wszystkich panelach | OTWARTE do D3 (PB-21): format action=compress na żywym DA.</t>
        </is>
      </c>
    </row>
    <row r="60">
      <c r="A60" s="11" t="inlineStr">
        <is>
          <t>C-12</t>
        </is>
      </c>
      <c r="B60" s="12" t="inlineStr">
        <is>
          <t>C</t>
        </is>
      </c>
      <c r="C60" s="11" t="inlineStr">
        <is>
          <t>Upload pliku</t>
        </is>
      </c>
      <c r="D60" s="11" t="inlineStr">
        <is>
          <t>TAK</t>
        </is>
      </c>
      <c r="E60" s="11" t="inlineStr">
        <is>
          <t>TAK</t>
        </is>
      </c>
      <c r="F60" s="11" t="inlineStr">
        <is>
          <t>TAK</t>
        </is>
      </c>
      <c r="G60" s="11" t="inlineStr">
        <is>
          <t>TAK</t>
        </is>
      </c>
      <c r="H60" s="11" t="inlineStr">
        <is>
          <t>TAK</t>
        </is>
      </c>
      <c r="I60" s="11" t="inlineStr">
        <is>
          <t>DZIAŁA</t>
        </is>
      </c>
      <c r="J60" s="12" t="inlineStr">
        <is>
          <t>files.controller.ts:141</t>
        </is>
      </c>
      <c r="K60" s="11" t="inlineStr">
        <is>
          <t>PARYTET</t>
        </is>
      </c>
      <c r="L60" s="11" t="inlineStr">
        <is>
          <t>—</t>
        </is>
      </c>
      <c r="M60" s="11" t="inlineStr">
        <is>
          <t>—</t>
        </is>
      </c>
      <c r="N60" s="12" t="inlineStr"/>
    </row>
    <row r="61">
      <c r="A61" s="11" t="inlineStr">
        <is>
          <t>C-13</t>
        </is>
      </c>
      <c r="B61" s="12" t="inlineStr">
        <is>
          <t>C</t>
        </is>
      </c>
      <c r="C61" s="11" t="inlineStr">
        <is>
          <t>Pobranie pliku</t>
        </is>
      </c>
      <c r="D61" s="11" t="inlineStr">
        <is>
          <t>TAK</t>
        </is>
      </c>
      <c r="E61" s="11" t="inlineStr">
        <is>
          <t>TAK</t>
        </is>
      </c>
      <c r="F61" s="11" t="inlineStr">
        <is>
          <t>TAK</t>
        </is>
      </c>
      <c r="G61" s="11" t="inlineStr">
        <is>
          <t>TAK</t>
        </is>
      </c>
      <c r="H61" s="11" t="inlineStr">
        <is>
          <t>TAK</t>
        </is>
      </c>
      <c r="I61" s="11" t="inlineStr">
        <is>
          <t>DZIAŁA</t>
        </is>
      </c>
      <c r="J61" s="12" t="inlineStr">
        <is>
          <t>files.controller.ts:45</t>
        </is>
      </c>
      <c r="K61" s="11" t="inlineStr">
        <is>
          <t>PARYTET</t>
        </is>
      </c>
      <c r="L61" s="11" t="inlineStr">
        <is>
          <t>—</t>
        </is>
      </c>
      <c r="M61" s="11" t="inlineStr">
        <is>
          <t>—</t>
        </is>
      </c>
      <c r="N61" s="12" t="inlineStr"/>
    </row>
    <row r="62">
      <c r="A62" s="11" t="inlineStr">
        <is>
          <t>C-14</t>
        </is>
      </c>
      <c r="B62" s="12" t="inlineStr">
        <is>
          <t>C</t>
        </is>
      </c>
      <c r="C62" s="11" t="inlineStr">
        <is>
          <t>Wyszukiwanie plików</t>
        </is>
      </c>
      <c r="D62" s="11" t="inlineStr">
        <is>
          <t>TAK</t>
        </is>
      </c>
      <c r="E62" s="11" t="inlineStr">
        <is>
          <t>TAK</t>
        </is>
      </c>
      <c r="F62" s="11" t="inlineStr">
        <is>
          <t>CZĘŚĆ</t>
        </is>
      </c>
      <c r="G62" s="11" t="inlineStr">
        <is>
          <t>CZĘŚĆ</t>
        </is>
      </c>
      <c r="H62" s="11" t="inlineStr">
        <is>
          <t>TAK</t>
        </is>
      </c>
      <c r="I62" s="11" t="inlineStr">
        <is>
          <t>DZIAŁA</t>
        </is>
      </c>
      <c r="J62" s="12" t="inlineStr">
        <is>
          <t>ops/scripts/node-file-search.sh; subscriptions/file-search.service.ts; FileSearchPanel.tsx (strona → Pliki); D3 t1 29.09 (panel klienta, d3.hvln.pl): szukanie nazwa „config” + tekst „DB_NAME” → 3 pliki (wp-config.php, wp-config-sample.php, wp-admin/setup-config.php)</t>
        </is>
      </c>
      <c r="K62" s="11" t="inlineStr">
        <is>
          <t>PARYTET</t>
        </is>
      </c>
      <c r="L62" s="11" t="inlineStr">
        <is>
          <t>NISKA</t>
        </is>
      </c>
      <c r="M62" s="11" t="inlineStr">
        <is>
          <t>S</t>
        </is>
      </c>
      <c r="N62" s="12" t="inlineStr">
        <is>
          <t>2026-09-24: KOD (D2) + skrypt sprawdzony lokalnie — szukanie w public_html domeny po fragmencie nazwy i/lub tekście w treści (grep -F, tylko pliki tekstowe do 5 MB), szuka klient (runuser, bez podążania za dowiązaniami), do 500 wyników, limit 90 s z komunikatem. Przydatne też przy infekcji (np. „eval(base64_decode”). OTWARTE do D3 (sprint 21): czas na dużych stronach w CageFS. | 2026-09-24 SKALA DOWODU (decyzja PM): funkcja bez pieniędzy, danych klienta i dostępu — D2 (test w CI) wystarcza do „zrobione”, więc werdykt PARYTET. Stan zostaje CZĘŚCIOWE do testu na węźle (audyt/dane/wezel.csv).</t>
        </is>
      </c>
    </row>
    <row r="63">
      <c r="A63" s="11" t="inlineStr">
        <is>
          <t>C-15</t>
        </is>
      </c>
      <c r="B63" s="12" t="inlineStr">
        <is>
          <t>C</t>
        </is>
      </c>
      <c r="C63" s="11" t="inlineStr">
        <is>
          <t>Podgląd zajętości katalogów (disk usage)</t>
        </is>
      </c>
      <c r="D63" s="11" t="inlineStr">
        <is>
          <t>TAK</t>
        </is>
      </c>
      <c r="E63" s="11" t="inlineStr">
        <is>
          <t>TAK</t>
        </is>
      </c>
      <c r="F63" s="11" t="inlineStr">
        <is>
          <t>TAK</t>
        </is>
      </c>
      <c r="G63" s="11" t="inlineStr">
        <is>
          <t>CZĘŚĆ</t>
        </is>
      </c>
      <c r="H63" s="11" t="inlineStr">
        <is>
          <t>TAK</t>
        </is>
      </c>
      <c r="I63" s="11" t="inlineStr">
        <is>
          <t>DZIAŁA</t>
        </is>
      </c>
      <c r="J63" s="12" t="inlineStr">
        <is>
          <t>ops/scripts/node-disk-usage.sh (zadanie DISK_USAGE, du jako klient, 2 poziomy), subscriptions/disk-usage.service.ts, services.controller.ts :id/hosting-disk-usage, client-panel components/hosting/DiskUsagePanel.tsx (Zużycie zasobów → Co zajmuje miejsce); test disk-usage.service.spec.ts; D3 t1 29.09 (panel klienta, d3.hvln.pl): „Co zajmuje miejsce” → razem 271,5 MB / 5821 plików, podział na domains, backups, poczta, eksporty baz itd. (2 poziomy)</t>
        </is>
      </c>
      <c r="K63" s="11" t="inlineStr">
        <is>
          <t>PARYTET</t>
        </is>
      </c>
      <c r="L63" s="11" t="inlineStr">
        <is>
          <t>ŚREDNIA</t>
        </is>
      </c>
      <c r="M63" s="11" t="inlineStr">
        <is>
          <t>S</t>
        </is>
      </c>
      <c r="N63" s="12" t="inlineStr">
        <is>
          <t>2026-09-24: KOD (D2) + skrypt sprawdzony lokalnie — rozmiar i liczba plików w katalogach konta (drzewo 2 poziomów, opisy: poczta, kopie, pliki stron), liczone na żądanie. OTWARTE do D3 (sprint 21): czas du na dużych kontach, CageFS. | częste źródło ticketów „skończyło się miejsce” | 2026-09-24 SKALA DOWODU (decyzja PM): funkcja bez pieniędzy, danych klienta i dostępu — D2 (test w CI) wystarcza do „zrobione”, więc werdykt PARYTET. Stan zostaje CZĘŚCIOWE do testu na węźle (audyt/dane/wezel.csv).</t>
        </is>
      </c>
    </row>
    <row r="64">
      <c r="A64" s="11" t="inlineStr">
        <is>
          <t>C-16</t>
        </is>
      </c>
      <c r="B64" s="12" t="inlineStr">
        <is>
          <t>C</t>
        </is>
      </c>
      <c r="C64" s="11" t="inlineStr">
        <is>
          <t>Konto FTP — utworzenie</t>
        </is>
      </c>
      <c r="D64" s="11" t="inlineStr">
        <is>
          <t>TAK</t>
        </is>
      </c>
      <c r="E64" s="11" t="inlineStr">
        <is>
          <t>TAK</t>
        </is>
      </c>
      <c r="F64" s="11" t="inlineStr">
        <is>
          <t>TAK</t>
        </is>
      </c>
      <c r="G64" s="11" t="inlineStr">
        <is>
          <t>TAK</t>
        </is>
      </c>
      <c r="H64" s="11" t="inlineStr">
        <is>
          <t>TAK</t>
        </is>
      </c>
      <c r="I64" s="11" t="inlineStr">
        <is>
          <t>DZIAŁA</t>
        </is>
      </c>
      <c r="J64" s="12" t="inlineStr">
        <is>
          <t>services.controller.ts:406</t>
        </is>
      </c>
      <c r="K64" s="11" t="inlineStr">
        <is>
          <t>PARYTET</t>
        </is>
      </c>
      <c r="L64" s="11" t="inlineStr">
        <is>
          <t>—</t>
        </is>
      </c>
      <c r="M64" s="11" t="inlineStr">
        <is>
          <t>—</t>
        </is>
      </c>
      <c r="N64" s="12" t="inlineStr"/>
    </row>
    <row r="65">
      <c r="A65" s="11" t="inlineStr">
        <is>
          <t>C-17</t>
        </is>
      </c>
      <c r="B65" s="12" t="inlineStr">
        <is>
          <t>C</t>
        </is>
      </c>
      <c r="C65" s="11" t="inlineStr">
        <is>
          <t>Konto FTP — usunięcie</t>
        </is>
      </c>
      <c r="D65" s="11" t="inlineStr">
        <is>
          <t>TAK</t>
        </is>
      </c>
      <c r="E65" s="11" t="inlineStr">
        <is>
          <t>TAK</t>
        </is>
      </c>
      <c r="F65" s="11" t="inlineStr">
        <is>
          <t>TAK</t>
        </is>
      </c>
      <c r="G65" s="11" t="inlineStr">
        <is>
          <t>TAK</t>
        </is>
      </c>
      <c r="H65" s="11" t="inlineStr">
        <is>
          <t>TAK</t>
        </is>
      </c>
      <c r="I65" s="11" t="inlineStr">
        <is>
          <t>DZIAŁA</t>
        </is>
      </c>
      <c r="J65" s="12" t="inlineStr">
        <is>
          <t>services.controller.ts:415; D3 t1 (d3.hvln.pl) 29.09: DA 1.710 zwraca listę FTP jako login@domena=ścieżka (nie user0/path0) — dodatkowe konta niewidoczne w panelu, więc bez usuwania i zmiany hasła; poprawka bcce42d czeka na wdrożenie; D3 na koncie dodatkowym</t>
        </is>
      </c>
      <c r="K65" s="11" t="inlineStr">
        <is>
          <t>PARYTET</t>
        </is>
      </c>
      <c r="L65" s="11" t="inlineStr">
        <is>
          <t>ŚREDNIA</t>
        </is>
      </c>
      <c r="M65" s="11" t="inlineStr">
        <is>
          <t>—</t>
        </is>
      </c>
      <c r="N65" s="12" t="inlineStr">
        <is>
          <t xml:space="preserve"> | 2026-10-02 D3: tworzenie działa (po 9e362ed), usunięcie z panelu dawało fałszywy sukces (select0=login@domena) → poprawka 2f0d9a2 (select0=login + kontrola listy); retest po wdrożeniu. | 2026-10-02 D3: 02.10 t1 (po 2f0d9a2): „Usuń konto FTP” przy d3test@d3.hvln.pl → „Konto FTP usunięte”, po odświeżeniu „Brak dodatkowych kont FTP” (wcześniej fałszywy sukces: select0=login@domena, DA OK bez efektu). Tworzenie (po 9e362ed) i zmiana hasła sprawdzone tego samego dnia (C-18).</t>
        </is>
      </c>
    </row>
    <row r="66">
      <c r="A66" s="11" t="inlineStr">
        <is>
          <t>C-18</t>
        </is>
      </c>
      <c r="B66" s="12" t="inlineStr">
        <is>
          <t>C</t>
        </is>
      </c>
      <c r="C66" s="11" t="inlineStr">
        <is>
          <t>Konto FTP — zmiana hasła</t>
        </is>
      </c>
      <c r="D66" s="11" t="inlineStr">
        <is>
          <t>TAK</t>
        </is>
      </c>
      <c r="E66" s="11" t="inlineStr">
        <is>
          <t>TAK</t>
        </is>
      </c>
      <c r="F66" s="11" t="inlineStr">
        <is>
          <t>TAK</t>
        </is>
      </c>
      <c r="G66" s="11" t="inlineStr">
        <is>
          <t>TAK</t>
        </is>
      </c>
      <c r="H66" s="11" t="inlineStr">
        <is>
          <t>TAK</t>
        </is>
      </c>
      <c r="I66" s="11" t="inlineStr">
        <is>
          <t>DZIAŁA</t>
        </is>
      </c>
      <c r="J66" s="12" t="inlineStr">
        <is>
          <t>2026-09-23 D1: POST /services/:id/hosting-ftp/:username/password (ZmienHasloFtpDto) → directadmin.service changeHostingFtpPassword (action=modify, katalog zachowany) + audyt HOSTING_FTP_PASSWORD_CHANGED; UI FtpTab — kluczyk przy koncie; test servers/zmiana-hasla-ftp.spec.ts</t>
        </is>
      </c>
      <c r="K66" s="11" t="inlineStr">
        <is>
          <t>PARYTET</t>
        </is>
      </c>
      <c r="L66" s="11" t="inlineStr">
        <is>
          <t>WYSOKA</t>
        </is>
      </c>
      <c r="M66" s="11" t="inlineStr">
        <is>
          <t>S</t>
        </is>
      </c>
      <c r="N66" s="12"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row>
    <row r="67">
      <c r="A67" s="11" t="inlineStr">
        <is>
          <t>C-19</t>
        </is>
      </c>
      <c r="B67" s="12" t="inlineStr">
        <is>
          <t>C</t>
        </is>
      </c>
      <c r="C67" s="11" t="inlineStr">
        <is>
          <t>Konto FTP — limit powierzchni (quota)</t>
        </is>
      </c>
      <c r="D67" s="11" t="inlineStr">
        <is>
          <t>TAK</t>
        </is>
      </c>
      <c r="E67" s="11" t="inlineStr">
        <is>
          <t>TAK</t>
        </is>
      </c>
      <c r="F67" s="11" t="inlineStr">
        <is>
          <t>TAK</t>
        </is>
      </c>
      <c r="G67" s="11" t="inlineStr">
        <is>
          <t>CZĘŚĆ</t>
        </is>
      </c>
      <c r="H67" s="11" t="inlineStr">
        <is>
          <t>NIE</t>
        </is>
      </c>
      <c r="I67" s="11" t="inlineStr">
        <is>
          <t>BRAK</t>
        </is>
      </c>
      <c r="J67" s="12" t="inlineStr">
        <is>
          <t>—</t>
        </is>
      </c>
      <c r="K67" s="11" t="inlineStr">
        <is>
          <t>POZA ZAKRESEM</t>
        </is>
      </c>
      <c r="L67" s="11" t="inlineStr">
        <is>
          <t>NISKA</t>
        </is>
      </c>
      <c r="M67" s="11" t="inlineStr">
        <is>
          <t>S</t>
        </is>
      </c>
      <c r="N67" s="12"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68">
      <c r="A68" s="11" t="inlineStr">
        <is>
          <t>C-20</t>
        </is>
      </c>
      <c r="B68" s="12" t="inlineStr">
        <is>
          <t>C</t>
        </is>
      </c>
      <c r="C68" s="11" t="inlineStr">
        <is>
          <t>FTP anonimowy</t>
        </is>
      </c>
      <c r="D68" s="11" t="inlineStr">
        <is>
          <t>TAK</t>
        </is>
      </c>
      <c r="E68" s="11" t="inlineStr">
        <is>
          <t>TAK</t>
        </is>
      </c>
      <c r="F68" s="11" t="inlineStr">
        <is>
          <t>TAK</t>
        </is>
      </c>
      <c r="G68" s="11" t="inlineStr">
        <is>
          <t>NIE</t>
        </is>
      </c>
      <c r="H68" s="11" t="inlineStr">
        <is>
          <t>NIE</t>
        </is>
      </c>
      <c r="I68" s="11" t="inlineStr">
        <is>
          <t>BRAK</t>
        </is>
      </c>
      <c r="J68" s="12" t="inlineStr">
        <is>
          <t>—</t>
        </is>
      </c>
      <c r="K68" s="11" t="inlineStr">
        <is>
          <t>POZA ZAKRESEM</t>
        </is>
      </c>
      <c r="L68" s="11" t="inlineStr">
        <is>
          <t>NISKA</t>
        </is>
      </c>
      <c r="M68" s="11" t="inlineStr">
        <is>
          <t>—</t>
        </is>
      </c>
      <c r="N68" s="12" t="inlineStr">
        <is>
          <t>funkcja schyłkowa, ryzyko nadużyć</t>
        </is>
      </c>
    </row>
    <row r="69">
      <c r="A69" s="11" t="inlineStr">
        <is>
          <t>C-21</t>
        </is>
      </c>
      <c r="B69" s="12" t="inlineStr">
        <is>
          <t>C</t>
        </is>
      </c>
      <c r="C69" s="11" t="inlineStr">
        <is>
          <t>Dostęp SSH</t>
        </is>
      </c>
      <c r="D69" s="11" t="inlineStr">
        <is>
          <t>TAK</t>
        </is>
      </c>
      <c r="E69" s="11" t="inlineStr">
        <is>
          <t>TAK</t>
        </is>
      </c>
      <c r="F69" s="11" t="inlineStr">
        <is>
          <t>TAK</t>
        </is>
      </c>
      <c r="G69" s="11" t="inlineStr">
        <is>
          <t>TAK</t>
        </is>
      </c>
      <c r="H69" s="11" t="inlineStr">
        <is>
          <t>TAK</t>
        </is>
      </c>
      <c r="I69" s="11" t="inlineStr">
        <is>
          <t>DZIAŁA</t>
        </is>
      </c>
      <c r="J69" s="12" t="inlineStr">
        <is>
          <t>ops/scripts/node-ssh-access.sh (zadanie SSH_ACCESS), subscriptions/ssh-access.service.ts, services.controller.ts :id/hosting-ssh(/keys), client-panel components/hosting/SshPanel.tsx (FTP → Dostęp SSH); test ssh-access.service.spec.ts; D3 t1 (d3.hvln.pl) 29.09 po wdrożeniu (panel klienta): włączenie SSH z panelu → DA ssh=ON; logowania z zewnątrz nie sprawdziłem (brak ruchu TCP/22 ze środowiska testowego) — do potwierdzenia przez właściciela; D3 t1 29.09 13:58: logowanie kluczem ed25519 wgranym w panelu (zakładka FTP i SSH) jako ovsekucx@t1.verris.pl:22 działa; konto w klatce CageFS (ls /home → tylko ovsekucx, /etc/passwd 23 linie zamiast systemowego)</t>
        </is>
      </c>
      <c r="K69" s="11" t="inlineStr">
        <is>
          <t>PARYTET</t>
        </is>
      </c>
      <c r="L69" s="11" t="inlineStr">
        <is>
          <t>WYSOKA</t>
        </is>
      </c>
      <c r="M69" s="11" t="inlineStr">
        <is>
          <t>M</t>
        </is>
      </c>
      <c r="N69" s="12" t="inlineStr">
        <is>
          <t>2026-09-24: KOD (D2) + skrypt sprawdzony lokalnie — włączanie/wyłączanie SSH z panelu tylko w klatce CageFS (bez niej odmowa), user.conf + powłoka + AllowUsers spójnie. DECYZJA WŁAŚCICIELA 2026-09-24: SSH w klatce na start. OTWARTE do D3 (sprint 21): CageFS na węźle, reload sshd, logowanie kluczem i hasłem, ochrona przed zgadywaniem haseł (fail2ban/CSF w profilu węzła). | klient widzi status, nie może włączyć | 2026-10-01 D3 t1: 01.10: fail2ban z utwardzania usunął CustomBuild 29.09 (options.conf fail2ban=no), BFM bez block_ip.sh nie blokuje — węzeł bez blokowania zgadywania haseł → 073123f (fail2ban przez CustomBuild). Retest po da build fail2ban.</t>
        </is>
      </c>
    </row>
    <row r="70">
      <c r="A70" s="11" t="inlineStr">
        <is>
          <t>C-22</t>
        </is>
      </c>
      <c r="B70" s="12" t="inlineStr">
        <is>
          <t>C</t>
        </is>
      </c>
      <c r="C70" s="11" t="inlineStr">
        <is>
          <t>Zarządzanie kluczami SSH konta hostingowego</t>
        </is>
      </c>
      <c r="D70" s="11" t="inlineStr">
        <is>
          <t>TAK</t>
        </is>
      </c>
      <c r="E70" s="11" t="inlineStr">
        <is>
          <t>TAK</t>
        </is>
      </c>
      <c r="F70" s="11" t="inlineStr">
        <is>
          <t>TAK</t>
        </is>
      </c>
      <c r="G70" s="11" t="inlineStr">
        <is>
          <t>CZĘŚĆ</t>
        </is>
      </c>
      <c r="H70" s="11" t="inlineStr">
        <is>
          <t>TAK</t>
        </is>
      </c>
      <c r="I70" s="11" t="inlineStr">
        <is>
          <t>DZIAŁA</t>
        </is>
      </c>
      <c r="J70" s="12" t="inlineStr">
        <is>
          <t>ops/scripts/node-ssh-access.sh (zadanie SSH_ACCESS), subscriptions/ssh-access.service.ts, services.controller.ts :id/hosting-ssh(/keys), client-panel components/hosting/SshPanel.tsx (FTP → Dostęp SSH); test ssh-access.service.spec.ts; D3 t1 (d3.hvln.pl) 29.09 po wdrożeniu (panel klienta): klucz publiczny z panelu → blok Verris w ~/.ssh/authorized_keys; logowanie kluczem do potwierdzenia (jak C-21); D3 t1 (d3.hvln.pl) 29.09 po wdrożeniu 13:00 (panel klienta): klucz testowy usunięty z panelu (blok Verris w authorized_keys aktualizowany); D3 t1 29.09 13:58: logowanie kluczem ed25519 wgranym w panelu (zakładka FTP i SSH) jako ovsekucx@t1.verris.pl:22 działa; konto w klatce CageFS (ls /home → tylko ovsekucx, /etc/passwd 23 linie zamiast systemowego)</t>
        </is>
      </c>
      <c r="K70" s="11" t="inlineStr">
        <is>
          <t>PARYTET</t>
        </is>
      </c>
      <c r="L70" s="11" t="inlineStr">
        <is>
          <t>WYSOKA</t>
        </is>
      </c>
      <c r="M70" s="11" t="inlineStr">
        <is>
          <t>M</t>
        </is>
      </c>
      <c r="N70" s="12" t="inlineStr">
        <is>
          <t>2026-09-24: KOD (D2) + skrypt sprawdzony lokalnie — klucze w bloku Verris ~/.ssh/authorized_keys (zapis jako klient, walidacja ssh-keygen, bez opcji), klucze klienta poza blokiem zostają. DECYZJA WŁAŚCICIELA 2026-09-24: SSH w klatce na start. OTWARTE do D3 (sprint 21): CageFS na węźle, reload sshd, logowanie kluczem i hasłem, ochrona przed zgadywaniem haseł (fail2ban/CSF w profilu węzła). | klucze są tylko dla VPS, nie dla hostingu</t>
        </is>
      </c>
    </row>
    <row r="71">
      <c r="A71" s="11" t="inlineStr">
        <is>
          <t>C-23</t>
        </is>
      </c>
      <c r="B71" s="12" t="inlineStr">
        <is>
          <t>C</t>
        </is>
      </c>
      <c r="C71" s="11" t="inlineStr">
        <is>
          <t>Terminal SSH w przeglądarce</t>
        </is>
      </c>
      <c r="D71" s="11" t="inlineStr">
        <is>
          <t>TAK</t>
        </is>
      </c>
      <c r="E71" s="11" t="inlineStr">
        <is>
          <t>NIE</t>
        </is>
      </c>
      <c r="F71" s="11" t="inlineStr">
        <is>
          <t>NIE</t>
        </is>
      </c>
      <c r="G71" s="11" t="inlineStr">
        <is>
          <t>NIE</t>
        </is>
      </c>
      <c r="H71" s="11" t="inlineStr">
        <is>
          <t>CZĘŚĆ</t>
        </is>
      </c>
      <c r="I71" s="11" t="inlineStr">
        <is>
          <t>BRAK</t>
        </is>
      </c>
      <c r="J71" s="12" t="inlineStr">
        <is>
          <t>—</t>
        </is>
      </c>
      <c r="K71" s="11" t="inlineStr">
        <is>
          <t>POZA ZAKRESEM</t>
        </is>
      </c>
      <c r="L71" s="11" t="inlineStr">
        <is>
          <t>NISKA</t>
        </is>
      </c>
      <c r="M71" s="11" t="inlineStr">
        <is>
          <t>L</t>
        </is>
      </c>
      <c r="N71" s="12" t="inlineStr">
        <is>
          <t>żaden hosting PL tego nie daje</t>
        </is>
      </c>
    </row>
    <row r="72">
      <c r="A72" s="11" t="inlineStr">
        <is>
          <t>C-24</t>
        </is>
      </c>
      <c r="B72" s="12" t="inlineStr">
        <is>
          <t>C</t>
        </is>
      </c>
      <c r="C72" s="11" t="inlineStr">
        <is>
          <t>WebDAV / Web Disk</t>
        </is>
      </c>
      <c r="D72" s="11" t="inlineStr">
        <is>
          <t>TAK</t>
        </is>
      </c>
      <c r="E72" s="11" t="inlineStr">
        <is>
          <t>TAK</t>
        </is>
      </c>
      <c r="F72" s="11" t="inlineStr">
        <is>
          <t>NIE</t>
        </is>
      </c>
      <c r="G72" s="11" t="inlineStr">
        <is>
          <t>NIE</t>
        </is>
      </c>
      <c r="H72" s="11" t="inlineStr">
        <is>
          <t>NIE</t>
        </is>
      </c>
      <c r="I72" s="11" t="inlineStr">
        <is>
          <t>BRAK</t>
        </is>
      </c>
      <c r="J72" s="12" t="inlineStr">
        <is>
          <t>—</t>
        </is>
      </c>
      <c r="K72" s="11" t="inlineStr">
        <is>
          <t>POZA ZAKRESEM</t>
        </is>
      </c>
      <c r="L72" s="11" t="inlineStr">
        <is>
          <t>NISKA</t>
        </is>
      </c>
      <c r="M72" s="11" t="inlineStr">
        <is>
          <t>—</t>
        </is>
      </c>
      <c r="N72" s="12" t="inlineStr">
        <is>
          <t>Protokół schyłkowy — żaden z pięciu badanych hostingów PL go nie wystawia, a menedżer plików i SFTP pokrywają ten sam scenariusz.</t>
        </is>
      </c>
    </row>
    <row r="73">
      <c r="A73" s="11" t="inlineStr">
        <is>
          <t>C-25</t>
        </is>
      </c>
      <c r="B73" s="12" t="inlineStr">
        <is>
          <t>C</t>
        </is>
      </c>
      <c r="C73" s="11" t="inlineStr">
        <is>
          <t>Klonowanie repozytorium Git z panelu</t>
        </is>
      </c>
      <c r="D73" s="11" t="inlineStr">
        <is>
          <t>TAK</t>
        </is>
      </c>
      <c r="E73" s="11" t="inlineStr">
        <is>
          <t>TAK</t>
        </is>
      </c>
      <c r="F73" s="11" t="inlineStr">
        <is>
          <t>CZĘŚĆ</t>
        </is>
      </c>
      <c r="G73" s="11" t="inlineStr">
        <is>
          <t>NIE</t>
        </is>
      </c>
      <c r="H73" s="11" t="inlineStr">
        <is>
          <t>TAK</t>
        </is>
      </c>
      <c r="I73" s="11" t="inlineStr">
        <is>
          <t>DZIAŁA</t>
        </is>
      </c>
      <c r="J73"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D3 t1 29.09 (panel klienta, d3.hvln.pl): „Sklonuj” https://github.com/WordPress/hello-dolly.git do public_html/git-test → gotowe, HEAD 5a6f8b3; pliki serwowane, katalog .git zwraca 403</t>
        </is>
      </c>
      <c r="K73" s="11" t="inlineStr">
        <is>
          <t>PARYTET</t>
        </is>
      </c>
      <c r="L73" s="11" t="inlineStr">
        <is>
          <t>ŚREDNIA</t>
        </is>
      </c>
      <c r="M73" s="11" t="inlineStr">
        <is>
          <t>M</t>
        </is>
      </c>
      <c r="N73" s="12" t="inlineStr">
        <is>
          <t>2026-09-24: KOD (D2) + skrypt sprawdzony lokalnie (klucz 0600 jako klient, pull z HEAD, odmowy: file://, gałąź „--…”, katalog z „..”). OTWARTE do D3 (sprint 21): git i ssh w klatce CageFS, klon z GitHuba kluczem wdrożeniowym. | „Deploy” to wyłącznie cron z git pull</t>
        </is>
      </c>
    </row>
    <row r="74">
      <c r="A74" s="11" t="inlineStr">
        <is>
          <t>C-26</t>
        </is>
      </c>
      <c r="B74" s="12" t="inlineStr">
        <is>
          <t>C</t>
        </is>
      </c>
      <c r="C74" s="11" t="inlineStr">
        <is>
          <t>Deploy z repozytorium (pull na żądanie)</t>
        </is>
      </c>
      <c r="D74" s="11" t="inlineStr">
        <is>
          <t>TAK</t>
        </is>
      </c>
      <c r="E74" s="11" t="inlineStr">
        <is>
          <t>TAK</t>
        </is>
      </c>
      <c r="F74" s="11" t="inlineStr">
        <is>
          <t>CZĘŚĆ</t>
        </is>
      </c>
      <c r="G74" s="11" t="inlineStr">
        <is>
          <t>NIE</t>
        </is>
      </c>
      <c r="H74" s="11" t="inlineStr">
        <is>
          <t>TAK</t>
        </is>
      </c>
      <c r="I74" s="11" t="inlineStr">
        <is>
          <t>DZIAŁA</t>
        </is>
      </c>
      <c r="J74" s="12" t="inlineStr">
        <is>
          <t>ops/scripts/node-git-deploy.sh (zadanie GIT_DEPLOY: klucz ed25519 ~/.ssh/verris_deploy, git clone --depth 50 z odłożeniem dotychczasowych plików, pull --ff-only, HEAD w wyniku; jako klient), subscriptions/git-deploy.service.ts, :id/hosting-git(/key|/clone|/pull), panel GitRepoPanel.tsx (Deploy (Git) → Repozytorium strony); test git-deploy.service.spec.ts; harmonogram: services.controller.ts:717, directadmin.service.ts createDeployJob; D3 t1 29.09 (panel klienta, d3.hvln.pl): „Pobierz zmiany teraz” dla git-test → pobranie zmian gotowe, HEAD w wyniku</t>
        </is>
      </c>
      <c r="K74" s="11" t="inlineStr">
        <is>
          <t>PARYTET</t>
        </is>
      </c>
      <c r="L74" s="11" t="inlineStr">
        <is>
          <t>ŚREDNIA</t>
        </is>
      </c>
      <c r="M74" s="11" t="inlineStr">
        <is>
          <t>M</t>
        </is>
      </c>
      <c r="N74" s="12" t="inlineStr">
        <is>
          <t>2026-09-24: dołożone „Pobierz zmiany teraz”, klucz wdrożeniowy i wynik (HEAD / błąd) w panelu — zostają webhook (C-27) i logi builda. | tylko harmonogram cron; brak „uruchom teraz”, kluczy deploy, webhooka, logów</t>
        </is>
      </c>
    </row>
    <row r="75">
      <c r="A75" s="11" t="inlineStr">
        <is>
          <t>C-27</t>
        </is>
      </c>
      <c r="B75" s="12" t="inlineStr">
        <is>
          <t>C</t>
        </is>
      </c>
      <c r="C75" s="11" t="inlineStr">
        <is>
          <t>Webhook deploy z GitHuba</t>
        </is>
      </c>
      <c r="D75" s="11" t="inlineStr">
        <is>
          <t>CZĘŚĆ</t>
        </is>
      </c>
      <c r="E75" s="11" t="inlineStr">
        <is>
          <t>TAK</t>
        </is>
      </c>
      <c r="F75" s="11" t="inlineStr">
        <is>
          <t>NIE</t>
        </is>
      </c>
      <c r="G75" s="11" t="inlineStr">
        <is>
          <t>NIE</t>
        </is>
      </c>
      <c r="H75" s="11" t="inlineStr">
        <is>
          <t>TAK</t>
        </is>
      </c>
      <c r="I75" s="11" t="inlineStr">
        <is>
          <t>DZIAŁA</t>
        </is>
      </c>
      <c r="J75" s="12" t="inlineStr">
        <is>
          <t>subscriptions/git-webhook.controller.ts (POST /hooks/git/:token, bez logowania, limit), GitDeployService.utworzWebhook/usunWebhook/wyzwolWebhook (model GitWebhook: tylko skrót tokenu), :id/hosting-git-webhook(/delete), GitRepoPanel.tsx (adres pokazany raz, lista z datą ostatniego wywołania); test git-deploy.service.spec.ts</t>
        </is>
      </c>
      <c r="K75" s="11" t="inlineStr">
        <is>
          <t>PARYTET</t>
        </is>
      </c>
      <c r="L75" s="11" t="inlineStr">
        <is>
          <t>NISKA</t>
        </is>
      </c>
      <c r="M75" s="11" t="inlineStr">
        <is>
          <t>M</t>
        </is>
      </c>
      <c r="N75" s="12" t="inlineStr">
        <is>
          <t>2026-09-24: KOD (D2) — webhook GitHub/GitLab/Bitbucket kolejkuje git pull w katalogu strony; treść żądania nie jest czytana (każde wywołanie = pobierz zmiany), więc podrobiony payload nic nie zmieni. OTWARTE do D3 (sprint 21) razem z C-25. | 2026-10-04: D3 na t1 (d3.hvln.pl) — prywatne repo GitHub: klucz wdrożeniowy z panelu → dodany jako deploy key (tylko odczyt) → klon do public_html/payload (c681f57); webhook z panelu dodany w GitHubie, push → „pobranie zmian (webhook) · gotowe”, HEAD 615cdbe. Po drodze: egress węzła wpuszcza TCP/22 tylko dla roota — klon git@github.com wisiał i kończył się „sprawdź klucz”; poprawka 33e4722 (SSH na 443: ssh.github.com/altssh.gitlab.com/altssh.bitbucket.org, klucz i adres zapisane w repo dla crona, ConnectTimeout, komunikat o porcie 22). .git i pliki z kropką → 403 z WWW. Panel: „Odśwież” nie wczytywał sekcji repo — poprawione.</t>
        </is>
      </c>
    </row>
    <row r="76">
      <c r="A76" s="11" t="inlineStr">
        <is>
          <t>C-28</t>
        </is>
      </c>
      <c r="B76" s="12" t="inlineStr">
        <is>
          <t>C</t>
        </is>
      </c>
      <c r="C76" s="11" t="inlineStr">
        <is>
          <t>Composer / narzędzia CLI przez SSH</t>
        </is>
      </c>
      <c r="D76" s="11" t="inlineStr">
        <is>
          <t>TAK</t>
        </is>
      </c>
      <c r="E76" s="11" t="inlineStr">
        <is>
          <t>TAK</t>
        </is>
      </c>
      <c r="F76" s="11" t="inlineStr">
        <is>
          <t>TAK</t>
        </is>
      </c>
      <c r="G76" s="11" t="inlineStr">
        <is>
          <t>TAK</t>
        </is>
      </c>
      <c r="H76" s="11" t="inlineStr">
        <is>
          <t>TAK</t>
        </is>
      </c>
      <c r="I76" s="11" t="inlineStr">
        <is>
          <t>DZIAŁA</t>
        </is>
      </c>
      <c r="J76" s="12" t="inlineStr">
        <is>
          <t>zależne od C-21</t>
        </is>
      </c>
      <c r="K76" s="11" t="inlineStr">
        <is>
          <t>PARYTET</t>
        </is>
      </c>
      <c r="L76" s="11" t="inlineStr">
        <is>
          <t>ŚREDNIA</t>
        </is>
      </c>
      <c r="M76" s="11" t="inlineStr">
        <is>
          <t>M</t>
        </is>
      </c>
      <c r="N76" s="12" t="inlineStr">
        <is>
          <t>2026-09-24: odblokowane przez C-21 (SSH w klatce z panelu) — do potwierdzenia na węźle. | dziedziczy ograniczenie SSH | WYCENA 2026-09-19: krytycznosc i naklad uzupelnione przy wznowieniu. Pozycje przepisane 2026-08-28 w ramach X-49 zostaly bez wyceny, przez co nie liczyly sie do budzetu godzin i nie stały w zadnym sprincie. Podstawa wyceny: Composer i narzedzia CLI przez SSH — wymaga uzgodnienia z limitami LVE i obrazem kontenera klienta. | 2026-10-02 D3: SSH w CageFS działa (wp), ale „composer: command not found” → profil instaluje oficjalny composer.phar z sumą SHA-256 (b9370db); retest po przebiegu profilu. | 2026-10-03: D3 na t1 — composer --version przez SSH (2.10.3, PHP 8.3) i wp --version działają w CageFS; SSH przetrwało przebieg profilu (synchronizacja pakietów nie nadpisuje istniejących — a25b3cc).</t>
        </is>
      </c>
    </row>
    <row r="77">
      <c r="A77" s="11" t="inlineStr">
        <is>
          <t>D-01</t>
        </is>
      </c>
      <c r="B77" s="12" t="inlineStr">
        <is>
          <t>D</t>
        </is>
      </c>
      <c r="C77" s="11" t="inlineStr">
        <is>
          <t>Lista baz MySQL/MariaDB</t>
        </is>
      </c>
      <c r="D77" s="11" t="inlineStr">
        <is>
          <t>TAK</t>
        </is>
      </c>
      <c r="E77" s="11" t="inlineStr">
        <is>
          <t>TAK</t>
        </is>
      </c>
      <c r="F77" s="11" t="inlineStr">
        <is>
          <t>TAK</t>
        </is>
      </c>
      <c r="G77" s="11" t="inlineStr">
        <is>
          <t>TAK</t>
        </is>
      </c>
      <c r="H77" s="11" t="inlineStr">
        <is>
          <t>TAK</t>
        </is>
      </c>
      <c r="I77" s="11" t="inlineStr">
        <is>
          <t>DZIAŁA</t>
        </is>
      </c>
      <c r="J77" s="12" t="inlineStr">
        <is>
          <t>services.controller.ts:323; D3 t1 (d3.hvln.pl) 29.09 FAIL: baza WordPressa istnieje, panel „Brak baz” — DA 1.710 zwraca list[]=nazwa; poprawka bcce42d (SDK daPayloadToParams) czeka na wdrożenie; retest; D3 t1 (d3.hvln.pl) 29.09 08:3x po wdrożeniu: lista pokazuje bazę WordPressa (ovsekucx_wp8664)</t>
        </is>
      </c>
      <c r="K77" s="11" t="inlineStr">
        <is>
          <t>PARYTET</t>
        </is>
      </c>
      <c r="L77" s="11" t="inlineStr">
        <is>
          <t>—</t>
        </is>
      </c>
      <c r="M77" s="11" t="inlineStr">
        <is>
          <t>—</t>
        </is>
      </c>
      <c r="N77" s="12" t="inlineStr">
        <is>
          <t>+ realny silnik i wersja z węzła</t>
        </is>
      </c>
    </row>
    <row r="78">
      <c r="A78" s="11" t="inlineStr">
        <is>
          <t>D-02</t>
        </is>
      </c>
      <c r="B78" s="12" t="inlineStr">
        <is>
          <t>D</t>
        </is>
      </c>
      <c r="C78" s="11" t="inlineStr">
        <is>
          <t>Utworzenie bazy z użytkownikiem</t>
        </is>
      </c>
      <c r="D78" s="11" t="inlineStr">
        <is>
          <t>TAK</t>
        </is>
      </c>
      <c r="E78" s="11" t="inlineStr">
        <is>
          <t>TAK</t>
        </is>
      </c>
      <c r="F78" s="11" t="inlineStr">
        <is>
          <t>TAK</t>
        </is>
      </c>
      <c r="G78" s="11" t="inlineStr">
        <is>
          <t>TAK</t>
        </is>
      </c>
      <c r="H78" s="11" t="inlineStr">
        <is>
          <t>TAK</t>
        </is>
      </c>
      <c r="I78" s="11" t="inlineStr">
        <is>
          <t>DZIAŁA</t>
        </is>
      </c>
      <c r="J78" s="12" t="inlineStr">
        <is>
          <t>services.controller.ts:328</t>
        </is>
      </c>
      <c r="K78" s="11" t="inlineStr">
        <is>
          <t>PARYTET</t>
        </is>
      </c>
      <c r="L78" s="11" t="inlineStr">
        <is>
          <t>—</t>
        </is>
      </c>
      <c r="M78" s="11" t="inlineStr">
        <is>
          <t>—</t>
        </is>
      </c>
      <c r="N78" s="12" t="inlineStr"/>
    </row>
    <row r="79">
      <c r="A79" s="11" t="inlineStr">
        <is>
          <t>D-03</t>
        </is>
      </c>
      <c r="B79" s="12" t="inlineStr">
        <is>
          <t>D</t>
        </is>
      </c>
      <c r="C79" s="11" t="inlineStr">
        <is>
          <t>Usunięcie bazy</t>
        </is>
      </c>
      <c r="D79" s="11" t="inlineStr">
        <is>
          <t>TAK</t>
        </is>
      </c>
      <c r="E79" s="11" t="inlineStr">
        <is>
          <t>TAK</t>
        </is>
      </c>
      <c r="F79" s="11" t="inlineStr">
        <is>
          <t>TAK</t>
        </is>
      </c>
      <c r="G79" s="11" t="inlineStr">
        <is>
          <t>TAK</t>
        </is>
      </c>
      <c r="H79" s="11" t="inlineStr">
        <is>
          <t>TAK</t>
        </is>
      </c>
      <c r="I79" s="11" t="inlineStr">
        <is>
          <t>DZIAŁA</t>
        </is>
      </c>
      <c r="J79" s="12" t="inlineStr">
        <is>
          <t>services.controller.ts:341</t>
        </is>
      </c>
      <c r="K79" s="11" t="inlineStr">
        <is>
          <t>PARYTET</t>
        </is>
      </c>
      <c r="L79" s="11" t="inlineStr">
        <is>
          <t>—</t>
        </is>
      </c>
      <c r="M79" s="11" t="inlineStr">
        <is>
          <t>—</t>
        </is>
      </c>
      <c r="N79" s="12" t="inlineStr"/>
    </row>
    <row r="80">
      <c r="A80" s="11" t="inlineStr">
        <is>
          <t>D-04</t>
        </is>
      </c>
      <c r="B80" s="12" t="inlineStr">
        <is>
          <t>D</t>
        </is>
      </c>
      <c r="C80" s="11" t="inlineStr">
        <is>
          <t>Dodatkowy użytkownik bazy — utworzenie</t>
        </is>
      </c>
      <c r="D80" s="11" t="inlineStr">
        <is>
          <t>TAK</t>
        </is>
      </c>
      <c r="E80" s="11" t="inlineStr">
        <is>
          <t>TAK</t>
        </is>
      </c>
      <c r="F80" s="11" t="inlineStr">
        <is>
          <t>TAK</t>
        </is>
      </c>
      <c r="G80" s="11" t="inlineStr">
        <is>
          <t>TAK</t>
        </is>
      </c>
      <c r="H80" s="11" t="inlineStr">
        <is>
          <t>TAK</t>
        </is>
      </c>
      <c r="I80" s="11" t="inlineStr">
        <is>
          <t>DZIAŁA</t>
        </is>
      </c>
      <c r="J80" s="12" t="inlineStr">
        <is>
          <t>services.controller.ts — POST /services/:id/hosting-db-users; serwis directadmin.service.ts:1900</t>
        </is>
      </c>
      <c r="K80" s="11" t="inlineStr">
        <is>
          <t>PARYTET</t>
        </is>
      </c>
      <c r="L80" s="11" t="inlineStr">
        <is>
          <t>—</t>
        </is>
      </c>
      <c r="M80" s="11" t="inlineStr">
        <is>
          <t>S</t>
        </is>
      </c>
      <c r="N80" s="12" t="inlineStr">
        <is>
          <t>Nie było to martwe UI, tylko niedokończona praca z 25–26.07 — brakowało samego kontrolera. Zamknięte 2026-08-21 (commit 6f2833d). Strażnik: apps/api/src/test/ui-routes-coverage.spec.ts porównuje wszystkie wywołania apiFetch z panelu ze wszystkimi trasami API — nawrót tej klasy błędu zapala test.</t>
        </is>
      </c>
    </row>
    <row r="81">
      <c r="A81" s="11" t="inlineStr">
        <is>
          <t>D-05</t>
        </is>
      </c>
      <c r="B81" s="12" t="inlineStr">
        <is>
          <t>D</t>
        </is>
      </c>
      <c r="C81" s="11" t="inlineStr">
        <is>
          <t>Użytkownik bazy — usunięcie</t>
        </is>
      </c>
      <c r="D81" s="11" t="inlineStr">
        <is>
          <t>TAK</t>
        </is>
      </c>
      <c r="E81" s="11" t="inlineStr">
        <is>
          <t>TAK</t>
        </is>
      </c>
      <c r="F81" s="11" t="inlineStr">
        <is>
          <t>TAK</t>
        </is>
      </c>
      <c r="G81" s="11" t="inlineStr">
        <is>
          <t>TAK</t>
        </is>
      </c>
      <c r="H81" s="11" t="inlineStr">
        <is>
          <t>TAK</t>
        </is>
      </c>
      <c r="I81" s="11" t="inlineStr">
        <is>
          <t>DZIAŁA</t>
        </is>
      </c>
      <c r="J81" s="12" t="inlineStr">
        <is>
          <t>services.controller.ts — POST /services/:id/hosting-db-users/remove; serwis directadmin.service.ts:1925</t>
        </is>
      </c>
      <c r="K81" s="11" t="inlineStr">
        <is>
          <t>PARYTET</t>
        </is>
      </c>
      <c r="L81" s="11" t="inlineStr">
        <is>
          <t>—</t>
        </is>
      </c>
      <c r="M81" s="11" t="inlineStr">
        <is>
          <t>S</t>
        </is>
      </c>
      <c r="N81" s="12" t="inlineStr">
        <is>
          <t>Zamknięte 2026-08-21 (commit 6f2833d). Strażnik: apps/api/src/test/ui-routes-coverage.spec.ts porównuje wszystkie wywołania apiFetch z panelu ze wszystkimi trasami API — nawrót tej klasy błędu zapala test.</t>
        </is>
      </c>
    </row>
    <row r="82">
      <c r="A82" s="11" t="inlineStr">
        <is>
          <t>D-06</t>
        </is>
      </c>
      <c r="B82" s="12" t="inlineStr">
        <is>
          <t>D</t>
        </is>
      </c>
      <c r="C82" s="11" t="inlineStr">
        <is>
          <t>Użytkownik bazy — zmiana hasła</t>
        </is>
      </c>
      <c r="D82" s="11" t="inlineStr">
        <is>
          <t>TAK</t>
        </is>
      </c>
      <c r="E82" s="11" t="inlineStr">
        <is>
          <t>TAK</t>
        </is>
      </c>
      <c r="F82" s="11" t="inlineStr">
        <is>
          <t>TAK</t>
        </is>
      </c>
      <c r="G82" s="11" t="inlineStr">
        <is>
          <t>TAK</t>
        </is>
      </c>
      <c r="H82" s="11" t="inlineStr">
        <is>
          <t>TAK</t>
        </is>
      </c>
      <c r="I82" s="11" t="inlineStr">
        <is>
          <t>DZIAŁA</t>
        </is>
      </c>
      <c r="J82" s="12" t="inlineStr">
        <is>
          <t>services.controller.ts — POST /services/:id/hosting-db-users/password; serwis directadmin.service.ts:1945</t>
        </is>
      </c>
      <c r="K82" s="11" t="inlineStr">
        <is>
          <t>PARYTET</t>
        </is>
      </c>
      <c r="L82" s="11" t="inlineStr">
        <is>
          <t>—</t>
        </is>
      </c>
      <c r="M82" s="11" t="inlineStr">
        <is>
          <t>S</t>
        </is>
      </c>
      <c r="N82" s="12" t="inlineStr">
        <is>
          <t>Zamknięte 2026-08-21 (commit 6f2833d). Strażnik: apps/api/src/test/ui-routes-coverage.spec.ts porównuje wszystkie wywołania apiFetch z panelu ze wszystkimi trasami API — nawrót tej klasy błędu zapala test.</t>
        </is>
      </c>
    </row>
    <row r="83">
      <c r="A83" s="11" t="inlineStr">
        <is>
          <t>D-07</t>
        </is>
      </c>
      <c r="B83" s="12" t="inlineStr">
        <is>
          <t>D</t>
        </is>
      </c>
      <c r="C83" s="11" t="inlineStr">
        <is>
          <t>Użytkownik bazy — lista</t>
        </is>
      </c>
      <c r="D83" s="11" t="inlineStr">
        <is>
          <t>TAK</t>
        </is>
      </c>
      <c r="E83" s="11" t="inlineStr">
        <is>
          <t>TAK</t>
        </is>
      </c>
      <c r="F83" s="11" t="inlineStr">
        <is>
          <t>TAK</t>
        </is>
      </c>
      <c r="G83" s="11" t="inlineStr">
        <is>
          <t>TAK</t>
        </is>
      </c>
      <c r="H83" s="11" t="inlineStr">
        <is>
          <t>TAK</t>
        </is>
      </c>
      <c r="I83" s="11" t="inlineStr">
        <is>
          <t>DZIAŁA</t>
        </is>
      </c>
      <c r="J83" s="12" t="inlineStr">
        <is>
          <t>services.controller.ts — GET /services/:id/hosting-db-users; D3 t1 (d3.hvln.pl) 29.09: lista użytkowników bazy (ovsekucx_wp8664, pełne uprawnienia)</t>
        </is>
      </c>
      <c r="K83" s="11" t="inlineStr">
        <is>
          <t>PARYTET</t>
        </is>
      </c>
      <c r="L83" s="11" t="inlineStr">
        <is>
          <t>—</t>
        </is>
      </c>
      <c r="M83" s="11" t="inlineStr">
        <is>
          <t>S</t>
        </is>
      </c>
      <c r="N83" s="12" t="inlineStr">
        <is>
          <t>Zamknięte 2026-08-21 (commit 6f2833d). Strażnik: apps/api/src/test/ui-routes-coverage.spec.ts porównuje wszystkie wywołania apiFetch z panelu ze wszystkimi trasami API — nawrót tej klasy błędu zapala test.</t>
        </is>
      </c>
    </row>
    <row r="84">
      <c r="A84" s="11" t="inlineStr">
        <is>
          <t>D-08</t>
        </is>
      </c>
      <c r="B84" s="12" t="inlineStr">
        <is>
          <t>D</t>
        </is>
      </c>
      <c r="C84" s="11" t="inlineStr">
        <is>
          <t>Nadawanie uprawnień użytkownikowi bazy</t>
        </is>
      </c>
      <c r="D84" s="11" t="inlineStr">
        <is>
          <t>TAK</t>
        </is>
      </c>
      <c r="E84" s="11" t="inlineStr">
        <is>
          <t>TAK</t>
        </is>
      </c>
      <c r="F84" s="11" t="inlineStr">
        <is>
          <t>TAK</t>
        </is>
      </c>
      <c r="G84" s="11" t="inlineStr">
        <is>
          <t>CZĘŚĆ</t>
        </is>
      </c>
      <c r="H84" s="11" t="inlineStr">
        <is>
          <t>TAK</t>
        </is>
      </c>
      <c r="I84" s="11" t="inlineStr">
        <is>
          <t>DZIAŁA</t>
        </is>
      </c>
      <c r="J84" s="12" t="inlineStr">
        <is>
          <t>ops/scripts/node-db-transfer.sh (privileges); db-transfer.service.ts zlecUprawnienia; DbUsers.tsx</t>
        </is>
      </c>
      <c r="K84" s="11" t="inlineStr">
        <is>
          <t>PARYTET</t>
        </is>
      </c>
      <c r="L84" s="11" t="inlineStr">
        <is>
          <t>ŚREDNIA</t>
        </is>
      </c>
      <c r="M84" s="11" t="inlineStr">
        <is>
          <t>S</t>
        </is>
      </c>
      <c r="N84" s="12" t="inlineStr">
        <is>
          <t>2026-09-24: KOD (D2) + skrypt sprawdzony lokalnie na MariaDB 10.11 — przy każdym użytkowniku bazy wybór: pełne / odczyt i zapis danych / tylko odczyt. GRANT na węźle dla wszystkich hostów użytkownika (localhost i zdalne z D-09), obie formy nazwy bazy zdejmowane (DA nadaje bez ucieczki „_”), nadawane z ucieczką; baza i użytkownik tylko z prefiksem konta, zestaw z białej listy. Sprawdzone: „tylko odczyt” → INSERT odrzucony, SELECT działa. Panel pamięta ostatni zestaw ustawiony w panelu (zmiana w phpMyAdmin nie jest odczytywana). | 2026-09-29 D3 t1: po 66a685a i przeinstalowaniu agenta „Tylko odczyt” dla ovsekucx_test → SHOW GRANTS: SELECT, SHOW VIEW na ovsekucx_wp8664 (wcześniej ALL PRIVILEGES).</t>
        </is>
      </c>
    </row>
    <row r="85">
      <c r="A85" s="11" t="inlineStr">
        <is>
          <t>D-09</t>
        </is>
      </c>
      <c r="B85" s="12" t="inlineStr">
        <is>
          <t>D</t>
        </is>
      </c>
      <c r="C85" s="11" t="inlineStr">
        <is>
          <t>Zdalny dostęp do bazy (whitelist hostów)</t>
        </is>
      </c>
      <c r="D85" s="11" t="inlineStr">
        <is>
          <t>TAK</t>
        </is>
      </c>
      <c r="E85" s="11" t="inlineStr">
        <is>
          <t>TAK</t>
        </is>
      </c>
      <c r="F85" s="11" t="inlineStr">
        <is>
          <t>TAK</t>
        </is>
      </c>
      <c r="G85" s="11" t="inlineStr">
        <is>
          <t>CZĘŚĆ</t>
        </is>
      </c>
      <c r="H85" s="11" t="inlineStr">
        <is>
          <t>TAK</t>
        </is>
      </c>
      <c r="I85" s="11" t="inlineStr">
        <is>
          <t>DZIAŁA</t>
        </is>
      </c>
      <c r="J85" s="12" t="inlineStr">
        <is>
          <t>services.controller.ts:617,626; D3 t1 (d3.hvln.pl) 29.09: lista hostów (localhost), dodanie 192.0.2.10 i usunięcie z panelu</t>
        </is>
      </c>
      <c r="K85" s="11" t="inlineStr">
        <is>
          <t>PARYTET</t>
        </is>
      </c>
      <c r="L85" s="11" t="inlineStr">
        <is>
          <t>—</t>
        </is>
      </c>
      <c r="M85" s="11" t="inlineStr">
        <is>
          <t>—</t>
        </is>
      </c>
      <c r="N85" s="12" t="inlineStr"/>
    </row>
    <row r="86">
      <c r="A86" s="11" t="inlineStr">
        <is>
          <t>D-10</t>
        </is>
      </c>
      <c r="B86" s="12" t="inlineStr">
        <is>
          <t>D</t>
        </is>
      </c>
      <c r="C86" s="11" t="inlineStr">
        <is>
          <t>phpMyAdmin — dostęp</t>
        </is>
      </c>
      <c r="D86" s="11" t="inlineStr">
        <is>
          <t>TAK</t>
        </is>
      </c>
      <c r="E86" s="11" t="inlineStr">
        <is>
          <t>TAK</t>
        </is>
      </c>
      <c r="F86" s="11" t="inlineStr">
        <is>
          <t>TAK</t>
        </is>
      </c>
      <c r="G86" s="11" t="inlineStr">
        <is>
          <t>TAK</t>
        </is>
      </c>
      <c r="H86" s="11" t="inlineStr">
        <is>
          <t>TAK</t>
        </is>
      </c>
      <c r="I86" s="11" t="inlineStr">
        <is>
          <t>DZIAŁA</t>
        </is>
      </c>
      <c r="J86" s="12" t="inlineStr">
        <is>
          <t>dostęp przez auto-logowanie z panelu (D-11: POST /services/:id/hosting-sso-url) — DatabasesTab</t>
        </is>
      </c>
      <c r="K86" s="11" t="inlineStr">
        <is>
          <t>PARYTET</t>
        </is>
      </c>
      <c r="L86" s="11" t="inlineStr">
        <is>
          <t>ŚREDNIA</t>
        </is>
      </c>
      <c r="M86" s="11" t="inlineStr">
        <is>
          <t>S</t>
        </is>
      </c>
      <c r="N86" s="12" t="inlineStr">
        <is>
          <t>dostępny, ale przez wyjście do DirectAdmina | 2026-09-23 PORZĄDKI: wpis „link do DA” sprzed D-11 (SSO, DZIAŁA od 2026-08-21) — dostęp jest z panelu bez wychodzenia do DirectAdmina.</t>
        </is>
      </c>
    </row>
    <row r="87">
      <c r="A87" s="11" t="inlineStr">
        <is>
          <t>D-11</t>
        </is>
      </c>
      <c r="B87" s="12" t="inlineStr">
        <is>
          <t>D</t>
        </is>
      </c>
      <c r="C87" s="11" t="inlineStr">
        <is>
          <t>phpMyAdmin — auto-logowanie (SSO)</t>
        </is>
      </c>
      <c r="D87" s="11" t="inlineStr">
        <is>
          <t>TAK</t>
        </is>
      </c>
      <c r="E87" s="11" t="inlineStr">
        <is>
          <t>TAK</t>
        </is>
      </c>
      <c r="F87" s="11" t="inlineStr">
        <is>
          <t>TAK</t>
        </is>
      </c>
      <c r="G87" s="11" t="inlineStr">
        <is>
          <t>TAK</t>
        </is>
      </c>
      <c r="H87" s="11" t="inlineStr">
        <is>
          <t>TAK</t>
        </is>
      </c>
      <c r="I87" s="11" t="inlineStr">
        <is>
          <t>DZIAŁA</t>
        </is>
      </c>
      <c r="J87" s="12" t="inlineStr">
        <is>
          <t>services.controller.ts — POST /services/:id/hosting-sso-url; directadmin.service.ts:1977; D3 t1 (d3.hvln.pl) 29.09 po wdrożeniu 13:00 (panel klienta): phpMyAdmin z panelu otwiera się jednorazowym skryptem /phpMyAdmin/sso/ na 443, bez sesji DirectAdmina (white label, ab64241)</t>
        </is>
      </c>
      <c r="K87" s="11" t="inlineStr">
        <is>
          <t>PARYTET</t>
        </is>
      </c>
      <c r="L87" s="11" t="inlineStr">
        <is>
          <t>—</t>
        </is>
      </c>
      <c r="M87" s="11" t="inlineStr">
        <is>
          <t>S</t>
        </is>
      </c>
      <c r="N87" s="12" t="inlineStr">
        <is>
          <t>Cichy fallback „Auto-logowanie niedostępne" (DatabasesTab.tsx:65) sprawiał, że nikt tego nie zgłaszał — dlatego strażnik tras jest ważniejszy niż pojedynczy test. Zamknięte 2026-08-21 (commit 6f2833d). Strażnik: apps/api/src/test/ui-routes-coverage.spec.ts porównuje wszystkie wywołania apiFetch z panelu ze wszystkimi trasami API — nawrót tej klasy błędu zapala test.</t>
        </is>
      </c>
    </row>
    <row r="88">
      <c r="A88" s="11" t="inlineStr">
        <is>
          <t>D-12</t>
        </is>
      </c>
      <c r="B88" s="12" t="inlineStr">
        <is>
          <t>D</t>
        </is>
      </c>
      <c r="C88" s="11" t="inlineStr">
        <is>
          <t>Import / eksport bazy z panelu</t>
        </is>
      </c>
      <c r="D88" s="11" t="inlineStr">
        <is>
          <t>TAK</t>
        </is>
      </c>
      <c r="E88" s="11" t="inlineStr">
        <is>
          <t>TAK</t>
        </is>
      </c>
      <c r="F88" s="11" t="inlineStr">
        <is>
          <t>TAK</t>
        </is>
      </c>
      <c r="G88" s="11" t="inlineStr">
        <is>
          <t>TAK</t>
        </is>
      </c>
      <c r="H88" s="11" t="inlineStr">
        <is>
          <t>TAK</t>
        </is>
      </c>
      <c r="I88" s="11" t="inlineStr">
        <is>
          <t>DZIAŁA</t>
        </is>
      </c>
      <c r="J88" s="12" t="inlineStr">
        <is>
          <t>ops/scripts/node-db-transfer.sh (zadanie DB_TRANSFER), subscriptions/db-transfer.service.ts, services.controller.ts :id/hosting-db-transfer|hosting-db-export|hosting-db-import, client-panel components/hosting/DbTransferPanel.tsx; testy db-transfer.service.spec.ts, agent-wezla-jedno-zrodlo.spec.ts; D3 t1 (d3.hvln.pl) 29.09 po wdrożeniu (panel klienta): eksport bazy WordPressa → plik .sql.gz 34 KB w verris-bazy; import tego pliku z potwierdzeniem → kopia przed importem + import, strona działa</t>
        </is>
      </c>
      <c r="K88" s="11" t="inlineStr">
        <is>
          <t>PARYTET</t>
        </is>
      </c>
      <c r="L88" s="11" t="inlineStr">
        <is>
          <t>—</t>
        </is>
      </c>
      <c r="M88" s="11" t="inlineStr">
        <is>
          <t>M</t>
        </is>
      </c>
      <c r="N88" s="12" t="inlineStr">
        <is>
          <t>2026-09-24: KOD (D2) + skrypt sprawdzony lokalnie na MariaDB 10.11 — eksport .sql.gz do ~/verris-bazy, import z automatyczną kopią i tymczasowym użytkownikiem MySQL tylko do tej bazy (USE obcej bazy, baza „loginXnazwa” przez „_” w GRANT → odmowa; dowiązanie do pliku roota → „brak pliku”). ZNALEZISKO NAPRAWIONE przy okazji: kopie agenta w ops/scripts (onboarding węzła) nie przekazywały PHP_APPLY/APP_INSTALL/OFFSITE_RESTORE/FLEET_UPDATE, a runner dla nieznanego rodzaju uruchamiał profil hostingu; teraz jedno źródło + strażnik. OTWARTE do D3 (sprint 21, węzeł #1): przebieg na DirectAdmin/CloudLinux (runuser w CageFS, my.cnf DA). | standard u wszystkich 5 hostingów PL | 2026-10-06 D3 t1: eksport ovsekucx_wp0922 → import tego pliku (kopia sprzed importu w verris-bazy) → beta.d3.hvln.pl działa.</t>
        </is>
      </c>
    </row>
    <row r="89">
      <c r="A89" s="11" t="inlineStr">
        <is>
          <t>D-13</t>
        </is>
      </c>
      <c r="B89" s="12" t="inlineStr">
        <is>
          <t>D</t>
        </is>
      </c>
      <c r="C89" s="11" t="inlineStr">
        <is>
          <t>Kopia bazy na żądanie</t>
        </is>
      </c>
      <c r="D89" s="11" t="inlineStr">
        <is>
          <t>TAK</t>
        </is>
      </c>
      <c r="E89" s="11" t="inlineStr">
        <is>
          <t>TAK</t>
        </is>
      </c>
      <c r="F89" s="11" t="inlineStr">
        <is>
          <t>TAK</t>
        </is>
      </c>
      <c r="G89" s="11" t="inlineStr">
        <is>
          <t>TAK</t>
        </is>
      </c>
      <c r="H89" s="11" t="inlineStr">
        <is>
          <t>TAK</t>
        </is>
      </c>
      <c r="I89" s="11" t="inlineStr">
        <is>
          <t>DZIAŁA</t>
        </is>
      </c>
      <c r="J89" s="12" t="inlineStr">
        <is>
          <t>D-12: DbTransferPanel „Eksportuj bazę” (zadanie DB_TRANSFER export → ~/verris-bazy/&lt;baza&gt;-&lt;czas&gt;.sql.gz, pobranie z panelu); D3 t1 29.09 (panel klienta, d3.hvln.pl): eksport bazy w verris-bazy + pobranie przez /api/services/:id/files/download: 34 696 B, nagłówek gzip</t>
        </is>
      </c>
      <c r="K89" s="11" t="inlineStr">
        <is>
          <t>PARYTET</t>
        </is>
      </c>
      <c r="L89" s="11" t="inlineStr">
        <is>
          <t>ŚREDNIA</t>
        </is>
      </c>
      <c r="M89" s="11" t="inlineStr">
        <is>
          <t>S</t>
        </is>
      </c>
      <c r="N89" s="12" t="inlineStr">
        <is>
          <t>brak osobnej akcji „zrzuć bazę” | 2026-09-24: osobna akcja „zrzuć bazę” jest — to eksport z D-12 (plik .sql.gz na koncie, do pobrania z panelu), a import robi kopię przed nadpisaniem. Dane klienta → D3: OTWARTE do D3 (sprint 21) razem z D-12.</t>
        </is>
      </c>
    </row>
    <row r="90">
      <c r="A90" s="11" t="inlineStr">
        <is>
          <t>D-14</t>
        </is>
      </c>
      <c r="B90" s="12" t="inlineStr">
        <is>
          <t>D</t>
        </is>
      </c>
      <c r="C90" s="11" t="inlineStr">
        <is>
          <t>PostgreSQL</t>
        </is>
      </c>
      <c r="D90" s="11" t="inlineStr">
        <is>
          <t>TAK</t>
        </is>
      </c>
      <c r="E90" s="11" t="inlineStr">
        <is>
          <t>TAK</t>
        </is>
      </c>
      <c r="F90" s="11" t="inlineStr">
        <is>
          <t>CZĘŚĆ</t>
        </is>
      </c>
      <c r="G90" s="11" t="inlineStr">
        <is>
          <t>CZĘŚĆ</t>
        </is>
      </c>
      <c r="H90" s="11" t="inlineStr">
        <is>
          <t>CZĘŚĆ</t>
        </is>
      </c>
      <c r="I90" s="11" t="inlineStr">
        <is>
          <t>DZIAŁA</t>
        </is>
      </c>
      <c r="J90" s="12" t="inlineStr">
        <is>
          <t>ops/scripts/node-pgsql.sh (zadanie PGSQL, migracja 20260925210000); subscriptions/pgsql.service.ts; services.controller.ts :id/hosting-pgsql; client-panel PgsqlPanel (zakładka Bazy danych); node-hosting-profile.sh (PostgreSQL 16 z AppStream, localhost, scram-sha-256); test pgsql.service.spec.ts</t>
        </is>
      </c>
      <c r="K90" s="11" t="inlineStr">
        <is>
          <t>PARYTET</t>
        </is>
      </c>
      <c r="L90" s="11" t="inlineStr">
        <is>
          <t>NISKA</t>
        </is>
      </c>
      <c r="M90" s="11" t="inlineStr">
        <is>
          <t>L</t>
        </is>
      </c>
      <c r="N90" s="12" t="inlineStr">
        <is>
          <t>2 z 5 hostingów PL | DECYZJA WŁAŚCICIELA 2026-09-25: PostgreSQL robimy teraz (kod + instalacja wg dokumentacji, D3 na węźle testowym). | ZROBIONE W KODZIE 2026-09-25: DirectAdmin nie ma natywnej obsługi serwera PostgreSQL (w CustomBuild tylko rozszerzenia PHP: php_pgsql, od 1.707 pdo_pgsql), więc serwer to PostgreSQL 16 z AppStream systemu (bez obcych repozytoriów, wg postgresql.org → Red Hat family), tylko localhost, hasła scram-sha-256, superużytkownik tylko przez peer. Panel → Bazy danych → „PostgreSQL”: do 5 baz na konto, baza i użytkownik &lt;login&gt;_&lt;nazwa&gt;, hasło generowane i pokazane raz, zmiana hasła, usuwanie z potwierdzeniem, rozmiar każdej bazy. Izolacja sprawdzona na prawdziwym PostgreSQL 16: brak CONNECT do cudzej bazy i do postgres, brak CREATE DATABASE, złe hasło odrzucone; hasło idzie do psql przez stdin. Kopia: codzienny pg_dump do ~/.verris-pgsql/ konta (zapis jako właściciel konta) — wchodzi do kopii DirectAdmina; usunięcie konta w DA usuwa bazy (hook user_destroy_post). Przy okazji: hasła z payloadu zadań węzła (też instalatory aplikacji i WordPressa) są usuwane po wykonaniu i maskowane w panelu administratora. D3 w wezel.csv. | 2026-10-02 D3: 02.10 t1: postgresql active, 5432 tylko 127.0.0.1 i [::1]; panel klienta → Bazy danych → PostgreSQL: utworzone ovsekucx_test1 i ovsekucx_test2 (hasło pokazane raz, rozmiar w panelu); pdo_pgsql włączone z panelu (d3 → PHP i serwer → rozszerzenia) → `php -m` konta: pdo_pgsql, pgsql; PDO na 127.0.0.1 → „OK: ovsekucx_test1”; izolacja: ovsekucx_test2 → własna baza weszło, ovsekucx_test1 i postgres „permission denied for database”; „Nowe hasło” → stare hasło odrzucone; verris-pgsql-dump → ~/.verris-pgsql/&lt;baza&gt;.dump (600, właściciel konta); hook DA user_destroy_post/verris-pgsql.sh na miejscu (samego usunięcia konta nie wykonywano); opcja CustomBuild natywnego PHP: php_pdo_pgsql (na t1 =no; strony działają na alt-php z selektora); usunięcie obu baz z panelu (potwierdzenie) → „Bazy: 0 z 5”. Poprawione po drodze: lista baz wychodziła poza kartę w wąskiej kolumnie (a38baf8).</t>
        </is>
      </c>
    </row>
    <row r="91">
      <c r="A91" s="11" t="inlineStr">
        <is>
          <t>D-15</t>
        </is>
      </c>
      <c r="B91" s="12" t="inlineStr">
        <is>
          <t>D</t>
        </is>
      </c>
      <c r="C91" s="11" t="inlineStr">
        <is>
          <t>Redis / cache obiektowy dla klienta</t>
        </is>
      </c>
      <c r="D91" s="11" t="inlineStr">
        <is>
          <t>CZĘŚĆ</t>
        </is>
      </c>
      <c r="E91" s="11" t="inlineStr">
        <is>
          <t>TAK</t>
        </is>
      </c>
      <c r="F91" s="11" t="inlineStr">
        <is>
          <t>CZĘŚĆ</t>
        </is>
      </c>
      <c r="G91" s="11" t="inlineStr">
        <is>
          <t>TAK</t>
        </is>
      </c>
      <c r="H91" s="11" t="inlineStr">
        <is>
          <t>TAK</t>
        </is>
      </c>
      <c r="I91" s="11" t="inlineStr">
        <is>
          <t>DZIAŁA</t>
        </is>
      </c>
      <c r="J91"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Redis konta włączony z panelu → gniazdo ~/.verris-redis/redis.sock</t>
        </is>
      </c>
      <c r="K91" s="11" t="inlineStr">
        <is>
          <t>PARYTET</t>
        </is>
      </c>
      <c r="L91" s="11" t="inlineStr">
        <is>
          <t>—</t>
        </is>
      </c>
      <c r="M91" s="11" t="inlineStr">
        <is>
          <t>M</t>
        </is>
      </c>
      <c r="N91" s="12" t="inlineStr">
        <is>
          <t>2026-09-24: KOD (D2) + skrypt sprawdzony lokalnie z prawdziwym redis-server (inny użytkownik → Permission denied, CONFIG SET → odrzucone). Wybór: własna instancja na konto (systemd verris-redis@) zamiast per-user Redis DA — testowalne bez węzła i limit pamięci pod naszą kontrolą. OTWARTE do D3 (sprint 21): redis-server z CustomBuild na węźle, gniazdo widoczne w klatce CageFS, PHP redis extension. | 3 z 5 hostingów PL ma w cenie — realny wyróżnik dla WordPressa</t>
        </is>
      </c>
    </row>
    <row r="92">
      <c r="A92" s="11" t="inlineStr">
        <is>
          <t>D-16</t>
        </is>
      </c>
      <c r="B92" s="12" t="inlineStr">
        <is>
          <t>D</t>
        </is>
      </c>
      <c r="C92" s="11" t="inlineStr">
        <is>
          <t>Memcached</t>
        </is>
      </c>
      <c r="D92" s="11" t="inlineStr">
        <is>
          <t>TAK</t>
        </is>
      </c>
      <c r="E92" s="11" t="inlineStr">
        <is>
          <t>TAK</t>
        </is>
      </c>
      <c r="F92" s="11" t="inlineStr">
        <is>
          <t>CZĘŚĆ</t>
        </is>
      </c>
      <c r="G92" s="11" t="inlineStr">
        <is>
          <t>CZĘŚĆ</t>
        </is>
      </c>
      <c r="H92" s="11" t="inlineStr">
        <is>
          <t>CZĘŚĆ</t>
        </is>
      </c>
      <c r="I92" s="11" t="inlineStr">
        <is>
          <t>DZIAŁA</t>
        </is>
      </c>
      <c r="J92" s="12" t="inlineStr">
        <is>
          <t>ops/scripts/node-memcached.sh (zadanie MEMCACHED_ACCESS, migracja 20260925201000); redis-access.service.ts (silnik memcached); services.controller.ts :id/hosting-memcached; client-panel RedisPanel silnik="memcached" (zakładka PHP i serwer); node-hosting-profile.sh (pakiet memcached, usługa TCP wyłączona)</t>
        </is>
      </c>
      <c r="K92" s="11" t="inlineStr">
        <is>
          <t>PARYTET</t>
        </is>
      </c>
      <c r="L92" s="11" t="inlineStr">
        <is>
          <t>NISKA</t>
        </is>
      </c>
      <c r="M92" s="11" t="inlineStr">
        <is>
          <t>M</t>
        </is>
      </c>
      <c r="N92" s="12" t="inlineStr">
        <is>
          <t>2026-09-25 KOD (D2): tym samym torem co Redis (D-15) — instancja na konto jako klient (systemd verris-memcached@, MemoryMax), wyłącznie gniazdo UNIX ~/.verris-memcached/memcached.sock z maską 0700 (dokumentacja memcached, wiki ConfiguringServer: „-s &lt;file&gt; … TCP/UDP will be disabled”), 64 MB. Domyślna usługa memcached (port 11211) na węźle wyłączona. Test redis-access.service.spec.ts. D3 w wezel.csv. | 2026-09-30 D3 t1: 30.09 d3.hvln.pl: Memcached włączony z panelu → gniazdo w katalogu konta, set/get z PHP działa. Rozszerzenie memcached PHP nie było włączane (tak samo OPcache po zmianie wersji) → 8958de1; na d3 włączone z panelu. | 2026-10-01: werdykt PARYTET — działa na węźle (D3).</t>
        </is>
      </c>
    </row>
    <row r="93">
      <c r="A93" s="11" t="inlineStr">
        <is>
          <t>D-17</t>
        </is>
      </c>
      <c r="B93" s="12" t="inlineStr">
        <is>
          <t>D</t>
        </is>
      </c>
      <c r="C93" s="11" t="inlineStr">
        <is>
          <t>Podgląd rozmiaru bazy</t>
        </is>
      </c>
      <c r="D93" s="11" t="inlineStr">
        <is>
          <t>TAK</t>
        </is>
      </c>
      <c r="E93" s="11" t="inlineStr">
        <is>
          <t>TAK</t>
        </is>
      </c>
      <c r="F93" s="11" t="inlineStr">
        <is>
          <t>TAK</t>
        </is>
      </c>
      <c r="G93" s="11" t="inlineStr">
        <is>
          <t>TAK</t>
        </is>
      </c>
      <c r="H93" s="11" t="inlineStr">
        <is>
          <t>TAK</t>
        </is>
      </c>
      <c r="I93" s="11" t="inlineStr">
        <is>
          <t>DZIAŁA</t>
        </is>
      </c>
      <c r="J93" s="12" t="inlineStr">
        <is>
          <t>ops/scripts/node-db-transfer.sh (sizes); db-transfer.service.ts zlecRozmiary/rozmiaryZLogu; DbTransferPanel.tsx „Rozmiar baz”; D3 t1 (d3.hvln.pl) 29.09 po wdrożeniu (panel klienta): Przelicz rozmiary → 1008 KB · 14 tabel</t>
        </is>
      </c>
      <c r="K93" s="11" t="inlineStr">
        <is>
          <t>PARYTET</t>
        </is>
      </c>
      <c r="L93" s="11" t="inlineStr">
        <is>
          <t>—</t>
        </is>
      </c>
      <c r="M93" s="11" t="inlineStr">
        <is>
          <t>S</t>
        </is>
      </c>
      <c r="N93" s="12" t="inlineStr">
        <is>
          <t>2026-09-24: KOD (D2) + skrypt sprawdzony lokalnie na MariaDB 10.11 — rozmiar (dane + indeksy) i liczba tabel każdej bazy konta z information_schema, przeliczane na żądanie; LIKE z ucieczką „_” (baza loginXnazwa nie wchodzi). Tylko odczyt — wg skali D2 wystarcza (PARYTET). Stan CZĘŚCIOWE do testu na węźle (wezel.csv).</t>
        </is>
      </c>
    </row>
    <row r="94">
      <c r="A94" s="11" t="inlineStr">
        <is>
          <t>D-18</t>
        </is>
      </c>
      <c r="B94" s="12" t="inlineStr">
        <is>
          <t>D</t>
        </is>
      </c>
      <c r="C94" s="11" t="inlineStr">
        <is>
          <t>Naprawa / optymalizacja tabel</t>
        </is>
      </c>
      <c r="D94" s="11" t="inlineStr">
        <is>
          <t>TAK</t>
        </is>
      </c>
      <c r="E94" s="11" t="inlineStr">
        <is>
          <t>TAK</t>
        </is>
      </c>
      <c r="F94" s="11" t="inlineStr">
        <is>
          <t>TAK</t>
        </is>
      </c>
      <c r="G94" s="11" t="inlineStr">
        <is>
          <t>CZĘŚĆ</t>
        </is>
      </c>
      <c r="H94" s="11" t="inlineStr">
        <is>
          <t>NIE</t>
        </is>
      </c>
      <c r="I94" s="11" t="inlineStr">
        <is>
          <t>DZIAŁA</t>
        </is>
      </c>
      <c r="J94" s="12" t="inlineStr">
        <is>
          <t>ops/scripts/node-db-transfer.sh (repair/optimize); db-transfer.service.ts zlecKonserwacje; DbTransferPanel.tsx; D3 t1 (d3.hvln.pl) 29.09 po wdrożeniu (panel klienta): Sprawdź i napraw oraz Optymalizuj → „Tabel: 14. Wszystkie w porządku”</t>
        </is>
      </c>
      <c r="K94" s="11" t="inlineStr">
        <is>
          <t>PARYTET</t>
        </is>
      </c>
      <c r="L94" s="11" t="inlineStr">
        <is>
          <t>—</t>
        </is>
      </c>
      <c r="M94" s="11" t="inlineStr">
        <is>
          <t>S</t>
        </is>
      </c>
      <c r="N94" s="12" t="inlineStr">
        <is>
          <t>2026-09-24: KOD (D2) + skrypt sprawdzony lokalnie na MariaDB 10.11 — „Sprawdź i napraw” (mysqlcheck --check --auto-repair) i „Optymalizuj” (--optimize; InnoDB: recreate + analyze) na jednej bazie konta (prefiks loginu sprawdzany w API i w skrypcie, obca baza → odmowa). Wynik: liczba tabel i uwagi (naprawione/uszkodzone), bez szumu „already up to date”. OTWARTE do D3 (sprint 21).</t>
        </is>
      </c>
    </row>
    <row r="95">
      <c r="A95" s="11" t="inlineStr">
        <is>
          <t>E-01</t>
        </is>
      </c>
      <c r="B95" s="12" t="inlineStr">
        <is>
          <t>E</t>
        </is>
      </c>
      <c r="C95" s="11" t="inlineStr">
        <is>
          <t>Utworzenie skrzynki e-mail</t>
        </is>
      </c>
      <c r="D95" s="11" t="inlineStr">
        <is>
          <t>TAK</t>
        </is>
      </c>
      <c r="E95" s="11" t="inlineStr">
        <is>
          <t>TAK</t>
        </is>
      </c>
      <c r="F95" s="11" t="inlineStr">
        <is>
          <t>TAK</t>
        </is>
      </c>
      <c r="G95" s="11" t="inlineStr">
        <is>
          <t>TAK</t>
        </is>
      </c>
      <c r="H95" s="11" t="inlineStr">
        <is>
          <t>TAK</t>
        </is>
      </c>
      <c r="I95" s="11" t="inlineStr">
        <is>
          <t>DZIAŁA</t>
        </is>
      </c>
      <c r="J95" s="12" t="inlineStr">
        <is>
          <t>services.controller.ts:429</t>
        </is>
      </c>
      <c r="K95" s="11" t="inlineStr">
        <is>
          <t>PARYTET</t>
        </is>
      </c>
      <c r="L95" s="11" t="inlineStr">
        <is>
          <t>—</t>
        </is>
      </c>
      <c r="M95" s="11" t="inlineStr">
        <is>
          <t>—</t>
        </is>
      </c>
      <c r="N95" s="12" t="inlineStr"/>
    </row>
    <row r="96">
      <c r="A96" s="11" t="inlineStr">
        <is>
          <t>E-02</t>
        </is>
      </c>
      <c r="B96" s="12" t="inlineStr">
        <is>
          <t>E</t>
        </is>
      </c>
      <c r="C96" s="11" t="inlineStr">
        <is>
          <t>Zmiana hasła skrzynki</t>
        </is>
      </c>
      <c r="D96" s="11" t="inlineStr">
        <is>
          <t>TAK</t>
        </is>
      </c>
      <c r="E96" s="11" t="inlineStr">
        <is>
          <t>TAK</t>
        </is>
      </c>
      <c r="F96" s="11" t="inlineStr">
        <is>
          <t>TAK</t>
        </is>
      </c>
      <c r="G96" s="11" t="inlineStr">
        <is>
          <t>TAK</t>
        </is>
      </c>
      <c r="H96" s="11" t="inlineStr">
        <is>
          <t>TAK</t>
        </is>
      </c>
      <c r="I96" s="11" t="inlineStr">
        <is>
          <t>DZIAŁA</t>
        </is>
      </c>
      <c r="J96" s="12" t="inlineStr">
        <is>
          <t>services.controller.ts:438</t>
        </is>
      </c>
      <c r="K96" s="11" t="inlineStr">
        <is>
          <t>PARYTET</t>
        </is>
      </c>
      <c r="L96" s="11" t="inlineStr">
        <is>
          <t>—</t>
        </is>
      </c>
      <c r="M96" s="11" t="inlineStr">
        <is>
          <t>—</t>
        </is>
      </c>
      <c r="N96" s="12" t="inlineStr"/>
    </row>
    <row r="97">
      <c r="A97" s="11" t="inlineStr">
        <is>
          <t>E-03</t>
        </is>
      </c>
      <c r="B97" s="12" t="inlineStr">
        <is>
          <t>E</t>
        </is>
      </c>
      <c r="C97" s="11" t="inlineStr">
        <is>
          <t>Usunięcie skrzynki</t>
        </is>
      </c>
      <c r="D97" s="11" t="inlineStr">
        <is>
          <t>TAK</t>
        </is>
      </c>
      <c r="E97" s="11" t="inlineStr">
        <is>
          <t>TAK</t>
        </is>
      </c>
      <c r="F97" s="11" t="inlineStr">
        <is>
          <t>TAK</t>
        </is>
      </c>
      <c r="G97" s="11" t="inlineStr">
        <is>
          <t>TAK</t>
        </is>
      </c>
      <c r="H97" s="11" t="inlineStr">
        <is>
          <t>TAK</t>
        </is>
      </c>
      <c r="I97" s="11" t="inlineStr">
        <is>
          <t>DZIAŁA</t>
        </is>
      </c>
      <c r="J97" s="12" t="inlineStr">
        <is>
          <t>services.controller.ts:447</t>
        </is>
      </c>
      <c r="K97" s="11" t="inlineStr">
        <is>
          <t>PARYTET</t>
        </is>
      </c>
      <c r="L97" s="11" t="inlineStr">
        <is>
          <t>—</t>
        </is>
      </c>
      <c r="M97" s="11" t="inlineStr">
        <is>
          <t>—</t>
        </is>
      </c>
      <c r="N97" s="12" t="inlineStr"/>
    </row>
    <row r="98">
      <c r="A98" s="11" t="inlineStr">
        <is>
          <t>E-04</t>
        </is>
      </c>
      <c r="B98" s="12" t="inlineStr">
        <is>
          <t>E</t>
        </is>
      </c>
      <c r="C98" s="11" t="inlineStr">
        <is>
          <t>Ustawienie quoty przy tworzeniu skrzynki</t>
        </is>
      </c>
      <c r="D98" s="11" t="inlineStr">
        <is>
          <t>TAK</t>
        </is>
      </c>
      <c r="E98" s="11" t="inlineStr">
        <is>
          <t>TAK</t>
        </is>
      </c>
      <c r="F98" s="11" t="inlineStr">
        <is>
          <t>TAK</t>
        </is>
      </c>
      <c r="G98" s="11" t="inlineStr">
        <is>
          <t>TAK</t>
        </is>
      </c>
      <c r="H98" s="11" t="inlineStr">
        <is>
          <t>TAK</t>
        </is>
      </c>
      <c r="I98" s="11" t="inlineStr">
        <is>
          <t>DZIAŁA</t>
        </is>
      </c>
      <c r="J98" s="12" t="inlineStr">
        <is>
          <t>MailTab.tsx:139</t>
        </is>
      </c>
      <c r="K98" s="11" t="inlineStr">
        <is>
          <t>PARYTET</t>
        </is>
      </c>
      <c r="L98" s="11" t="inlineStr">
        <is>
          <t>—</t>
        </is>
      </c>
      <c r="M98" s="11" t="inlineStr">
        <is>
          <t>—</t>
        </is>
      </c>
      <c r="N98" s="12" t="inlineStr"/>
    </row>
    <row r="99">
      <c r="A99" s="11" t="inlineStr">
        <is>
          <t>E-05</t>
        </is>
      </c>
      <c r="B99" s="12" t="inlineStr">
        <is>
          <t>E</t>
        </is>
      </c>
      <c r="C99" s="11" t="inlineStr">
        <is>
          <t>Zmiana quoty ISTNIEJĄCEJ skrzynki</t>
        </is>
      </c>
      <c r="D99" s="11" t="inlineStr">
        <is>
          <t>TAK</t>
        </is>
      </c>
      <c r="E99" s="11" t="inlineStr">
        <is>
          <t>TAK</t>
        </is>
      </c>
      <c r="F99" s="11" t="inlineStr">
        <is>
          <t>TAK</t>
        </is>
      </c>
      <c r="G99" s="11" t="inlineStr">
        <is>
          <t>TAK</t>
        </is>
      </c>
      <c r="H99" s="11" t="inlineStr">
        <is>
          <t>TAK</t>
        </is>
      </c>
      <c r="I99" s="11" t="inlineStr">
        <is>
          <t>DZIAŁA</t>
        </is>
      </c>
      <c r="J99" s="12"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K99" s="11" t="inlineStr">
        <is>
          <t>PARYTET</t>
        </is>
      </c>
      <c r="L99" s="11" t="inlineStr">
        <is>
          <t>—</t>
        </is>
      </c>
      <c r="M99" s="11" t="inlineStr">
        <is>
          <t>S</t>
        </is>
      </c>
      <c r="N99" s="12"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row>
    <row r="100">
      <c r="A100" s="11" t="inlineStr">
        <is>
          <t>E-06</t>
        </is>
      </c>
      <c r="B100" s="12" t="inlineStr">
        <is>
          <t>E</t>
        </is>
      </c>
      <c r="C100" s="11" t="inlineStr">
        <is>
          <t>Podgląd zużycia skrzynki</t>
        </is>
      </c>
      <c r="D100" s="11" t="inlineStr">
        <is>
          <t>TAK</t>
        </is>
      </c>
      <c r="E100" s="11" t="inlineStr">
        <is>
          <t>TAK</t>
        </is>
      </c>
      <c r="F100" s="11" t="inlineStr">
        <is>
          <t>TAK</t>
        </is>
      </c>
      <c r="G100" s="11" t="inlineStr">
        <is>
          <t>TAK</t>
        </is>
      </c>
      <c r="H100" s="11" t="inlineStr">
        <is>
          <t>TAK</t>
        </is>
      </c>
      <c r="I100" s="11" t="inlineStr">
        <is>
          <t>DZIAŁA</t>
        </is>
      </c>
      <c r="J100" s="12" t="inlineStr">
        <is>
          <t>ops/scripts/node-disk-usage.sh (VERRIS_DU_SKRZYNKA: du ~/imap/&lt;domena&gt;/&lt;login&gt; jako klient), DiskUsageService.skrzynki, MailTab.tsx („X MB z Y MB” przy skrzynce + „Przelicz zajętość”); test disk-usage.service.spec.ts; D3 t1 29.09 (panel klienta, d3.hvln.pl): przy skrzynce „0,2 MB z 1024 MB” po „Przelicz zajętość” (zgodne z du imap)</t>
        </is>
      </c>
      <c r="K100" s="11" t="inlineStr">
        <is>
          <t>PARYTET</t>
        </is>
      </c>
      <c r="L100" s="11" t="inlineStr">
        <is>
          <t>ŚREDNIA</t>
        </is>
      </c>
      <c r="M100" s="11" t="inlineStr">
        <is>
          <t>S</t>
        </is>
      </c>
      <c r="N100" s="12" t="inlineStr">
        <is>
          <t>2026-09-24: KOD (D2) + skrypt sprawdzony lokalnie — zajętość każdej skrzynki liczona z katalogu poczty konta (bez zgadywania formatu CMD_API_POP), z datą pomiaru i przeliczeniem na żądanie. OTWARTE do D3 (sprint 21): układ katalogów poczty DA (imap/&lt;domena&gt;/&lt;login&gt;/Maildir) na węźle. |  | 2026-09-24 SKALA DOWODU (decyzja PM): funkcja bez pieniędzy, danych klienta i dostępu — D2 (test w CI) wystarcza do „zrobione”, więc werdykt PARYTET. Stan zostaje CZĘŚCIOWE do testu na węźle (audyt/dane/wezel.csv).</t>
        </is>
      </c>
    </row>
    <row r="101">
      <c r="A101" s="11" t="inlineStr">
        <is>
          <t>E-07</t>
        </is>
      </c>
      <c r="B101" s="12" t="inlineStr">
        <is>
          <t>E</t>
        </is>
      </c>
      <c r="C101" s="11" t="inlineStr">
        <is>
          <t>Alias / forwarder — dodanie</t>
        </is>
      </c>
      <c r="D101" s="11" t="inlineStr">
        <is>
          <t>TAK</t>
        </is>
      </c>
      <c r="E101" s="11" t="inlineStr">
        <is>
          <t>TAK</t>
        </is>
      </c>
      <c r="F101" s="11" t="inlineStr">
        <is>
          <t>TAK</t>
        </is>
      </c>
      <c r="G101" s="11" t="inlineStr">
        <is>
          <t>TAK</t>
        </is>
      </c>
      <c r="H101" s="11" t="inlineStr">
        <is>
          <t>TAK</t>
        </is>
      </c>
      <c r="I101" s="11" t="inlineStr">
        <is>
          <t>DZIAŁA</t>
        </is>
      </c>
      <c r="J101" s="12" t="inlineStr">
        <is>
          <t>services.controller.ts:461</t>
        </is>
      </c>
      <c r="K101" s="11" t="inlineStr">
        <is>
          <t>PARYTET</t>
        </is>
      </c>
      <c r="L101" s="11" t="inlineStr">
        <is>
          <t>—</t>
        </is>
      </c>
      <c r="M101" s="11" t="inlineStr">
        <is>
          <t>—</t>
        </is>
      </c>
      <c r="N101" s="12" t="inlineStr"/>
    </row>
    <row r="102">
      <c r="A102" s="11" t="inlineStr">
        <is>
          <t>E-08</t>
        </is>
      </c>
      <c r="B102" s="12" t="inlineStr">
        <is>
          <t>E</t>
        </is>
      </c>
      <c r="C102" s="11" t="inlineStr">
        <is>
          <t>Alias / forwarder — usunięcie</t>
        </is>
      </c>
      <c r="D102" s="11" t="inlineStr">
        <is>
          <t>TAK</t>
        </is>
      </c>
      <c r="E102" s="11" t="inlineStr">
        <is>
          <t>TAK</t>
        </is>
      </c>
      <c r="F102" s="11" t="inlineStr">
        <is>
          <t>TAK</t>
        </is>
      </c>
      <c r="G102" s="11" t="inlineStr">
        <is>
          <t>TAK</t>
        </is>
      </c>
      <c r="H102" s="11" t="inlineStr">
        <is>
          <t>TAK</t>
        </is>
      </c>
      <c r="I102" s="11" t="inlineStr">
        <is>
          <t>DZIAŁA</t>
        </is>
      </c>
      <c r="J102" s="12" t="inlineStr">
        <is>
          <t>services.controller.ts:470</t>
        </is>
      </c>
      <c r="K102" s="11" t="inlineStr">
        <is>
          <t>PARYTET</t>
        </is>
      </c>
      <c r="L102" s="11" t="inlineStr">
        <is>
          <t>—</t>
        </is>
      </c>
      <c r="M102" s="11" t="inlineStr">
        <is>
          <t>—</t>
        </is>
      </c>
      <c r="N102" s="12" t="inlineStr"/>
    </row>
    <row r="103">
      <c r="A103" s="11" t="inlineStr">
        <is>
          <t>E-09</t>
        </is>
      </c>
      <c r="B103" s="12" t="inlineStr">
        <is>
          <t>E</t>
        </is>
      </c>
      <c r="C103" s="11" t="inlineStr">
        <is>
          <t>Autoresponder</t>
        </is>
      </c>
      <c r="D103" s="11" t="inlineStr">
        <is>
          <t>TAK</t>
        </is>
      </c>
      <c r="E103" s="11" t="inlineStr">
        <is>
          <t>TAK</t>
        </is>
      </c>
      <c r="F103" s="11" t="inlineStr">
        <is>
          <t>TAK</t>
        </is>
      </c>
      <c r="G103" s="11" t="inlineStr">
        <is>
          <t>TAK</t>
        </is>
      </c>
      <c r="H103" s="11" t="inlineStr">
        <is>
          <t>TAK</t>
        </is>
      </c>
      <c r="I103" s="11" t="inlineStr">
        <is>
          <t>DZIAŁA</t>
        </is>
      </c>
      <c r="J103" s="12" t="inlineStr">
        <is>
          <t>services.controller.ts:484,493</t>
        </is>
      </c>
      <c r="K103" s="11" t="inlineStr">
        <is>
          <t>PARYTET</t>
        </is>
      </c>
      <c r="L103" s="11" t="inlineStr">
        <is>
          <t>—</t>
        </is>
      </c>
      <c r="M103" s="11" t="inlineStr">
        <is>
          <t>—</t>
        </is>
      </c>
      <c r="N103" s="12" t="inlineStr"/>
    </row>
    <row r="104">
      <c r="A104" s="11" t="inlineStr">
        <is>
          <t>E-10</t>
        </is>
      </c>
      <c r="B104" s="12" t="inlineStr">
        <is>
          <t>E</t>
        </is>
      </c>
      <c r="C104" s="11" t="inlineStr">
        <is>
          <t>Catch-all</t>
        </is>
      </c>
      <c r="D104" s="11" t="inlineStr">
        <is>
          <t>TAK</t>
        </is>
      </c>
      <c r="E104" s="11" t="inlineStr">
        <is>
          <t>TAK</t>
        </is>
      </c>
      <c r="F104" s="11" t="inlineStr">
        <is>
          <t>TAK</t>
        </is>
      </c>
      <c r="G104" s="11" t="inlineStr">
        <is>
          <t>TAK</t>
        </is>
      </c>
      <c r="H104" s="11" t="inlineStr">
        <is>
          <t>TAK</t>
        </is>
      </c>
      <c r="I104" s="11" t="inlineStr">
        <is>
          <t>DZIAŁA</t>
        </is>
      </c>
      <c r="J104" s="12" t="inlineStr">
        <is>
          <t>services.controller.ts:585; D3 t1 (d3.hvln.pl) 28.09 FAIL: CMD_API_EMAIL_CATCH_ALL 500 — pakiet bez catchall=ON; poprawka e047077 (pakiety) + wypchnięcie pakietów na flotę; retest; D3 t1 (d3.hvln.pl) 29.09 po wdrożeniu: po wypchnięciu pakietów (catchall=ON) catch-all zapisany z panelu</t>
        </is>
      </c>
      <c r="K104" s="11" t="inlineStr">
        <is>
          <t>PARYTET</t>
        </is>
      </c>
      <c r="L104" s="11" t="inlineStr">
        <is>
          <t>—</t>
        </is>
      </c>
      <c r="M104" s="11" t="inlineStr">
        <is>
          <t>—</t>
        </is>
      </c>
      <c r="N104" s="12" t="inlineStr">
        <is>
          <t>fail/blackhole/adres</t>
        </is>
      </c>
    </row>
    <row r="105">
      <c r="A105" s="11" t="inlineStr">
        <is>
          <t>E-11</t>
        </is>
      </c>
      <c r="B105" s="12" t="inlineStr">
        <is>
          <t>E</t>
        </is>
      </c>
      <c r="C105" s="11" t="inlineStr">
        <is>
          <t>Filtr antyspamowy (próg + tag)</t>
        </is>
      </c>
      <c r="D105" s="11" t="inlineStr">
        <is>
          <t>TAK</t>
        </is>
      </c>
      <c r="E105" s="11" t="inlineStr">
        <is>
          <t>TAK</t>
        </is>
      </c>
      <c r="F105" s="11" t="inlineStr">
        <is>
          <t>TAK</t>
        </is>
      </c>
      <c r="G105" s="11" t="inlineStr">
        <is>
          <t>TAK</t>
        </is>
      </c>
      <c r="H105" s="11" t="inlineStr">
        <is>
          <t>TAK</t>
        </is>
      </c>
      <c r="I105" s="11" t="inlineStr">
        <is>
          <t>DZIAŁA</t>
        </is>
      </c>
      <c r="J105" s="12" t="inlineStr">
        <is>
          <t>services.controller.ts:599; D3 t1 (d3.hvln.pl) 28.09 FAIL: „Spamd nie jest uruchomiony” — węzeł bez filtra; poprawka e047077 (rspamd w profilu) + uruchomienie profilu; retest; 29.09 po profilu: rspamd działa, odczyt filtra w panelu OK (5.0, tag), zapis → błąd DA (required_hits, blacklist/whitelist) — poprawka 2495c13, sprawdzona na t1 bezpośrednio; D3 t1 (d3.hvln.pl) 29.09 po wdrożeniu: rspamd/spamd w profilu OK; zapis antyspamu (próg własny) z panelu przechodzi (2495c13: required_hits + blacklist/whitelist)</t>
        </is>
      </c>
      <c r="K105" s="11" t="inlineStr">
        <is>
          <t>PARYTET</t>
        </is>
      </c>
      <c r="L105" s="11" t="inlineStr">
        <is>
          <t>—</t>
        </is>
      </c>
      <c r="M105" s="11" t="inlineStr">
        <is>
          <t>—</t>
        </is>
      </c>
      <c r="N105" s="12" t="inlineStr">
        <is>
          <t>SpamAssassin przez DA</t>
        </is>
      </c>
    </row>
    <row r="106">
      <c r="A106" s="11" t="inlineStr">
        <is>
          <t>E-12</t>
        </is>
      </c>
      <c r="B106" s="12" t="inlineStr">
        <is>
          <t>E</t>
        </is>
      </c>
      <c r="C106" s="11" t="inlineStr">
        <is>
          <t>Reguły filtrowania poczty (Sieve)</t>
        </is>
      </c>
      <c r="D106" s="11" t="inlineStr">
        <is>
          <t>TAK</t>
        </is>
      </c>
      <c r="E106" s="11" t="inlineStr">
        <is>
          <t>TAK</t>
        </is>
      </c>
      <c r="F106" s="11" t="inlineStr">
        <is>
          <t>TAK</t>
        </is>
      </c>
      <c r="G106" s="11" t="inlineStr">
        <is>
          <t>TAK</t>
        </is>
      </c>
      <c r="H106" s="11" t="inlineStr">
        <is>
          <t>TAK</t>
        </is>
      </c>
      <c r="I106" s="11" t="inlineStr">
        <is>
          <t>DZIAŁA</t>
        </is>
      </c>
      <c r="J106" s="12" t="inlineStr">
        <is>
          <t>ops/scripts/node-hosting-profile.sh (da build dovecot_pigeonhole); client-panel MailTab.tsx (Filtry w webmailu); D3 t1 29.09: `da build dovecot_pigeonhole` w DA 1.710 niewspierane („use da build dovecot”) — profil poprawiony w 98e6f24 (pigeonhole=yes + da build dovecot), czeka na profil</t>
        </is>
      </c>
      <c r="K106" s="11" t="inlineStr">
        <is>
          <t>PARYTET</t>
        </is>
      </c>
      <c r="L106" s="11" t="inlineStr">
        <is>
          <t>ŚREDNIA</t>
        </is>
      </c>
      <c r="M106" s="11" t="inlineStr">
        <is>
          <t>M</t>
        </is>
      </c>
      <c r="N106" s="12" t="inlineStr">
        <is>
          <t>wszystkie 5 hostingów PL to ma | 2026-09-25 KOD: DirectAdmin nie ma API do reguł Sieve per skrzynka (dokumentacja i changelogi); filtry ustawia się w webmailu (Roundcube managesieve) na wtyczce Dovecot Pigeonhole. Węzeł: `da build dovecot_pigeonhole` (changelog DA 1.665) w profilu hostingowym; panel mówi klientowi, gdzie są filtry. D3 w wezel.csv. | 2026-10-02 D3: 02.10 t1: panel klienta → Poczta → „Webmail →” przy test@d3.hvln.pl (logowanie jednym kliknięciem, bez hasła) → Ustawienia → Filtry (managesieve działa, zestaw „roundcube”): filtr „Temat zawiera SIEVE-TEST-D3 → przenieś do Kosza” zapisany („Filter saved successfully”); wiadomość z tym tematem wysłana z webmaila na test@d3.hvln.pl trafiła od razu do Kosza (Inbox bez niej). Filtr usunięty po teście.</t>
        </is>
      </c>
    </row>
    <row r="107">
      <c r="A107" s="11" t="inlineStr">
        <is>
          <t>E-13</t>
        </is>
      </c>
      <c r="B107" s="12" t="inlineStr">
        <is>
          <t>E</t>
        </is>
      </c>
      <c r="C107" s="11" t="inlineStr">
        <is>
          <t>Webmail — dostęp</t>
        </is>
      </c>
      <c r="D107" s="11" t="inlineStr">
        <is>
          <t>TAK</t>
        </is>
      </c>
      <c r="E107" s="11" t="inlineStr">
        <is>
          <t>TAK</t>
        </is>
      </c>
      <c r="F107" s="11" t="inlineStr">
        <is>
          <t>TAK</t>
        </is>
      </c>
      <c r="G107" s="11" t="inlineStr">
        <is>
          <t>TAK</t>
        </is>
      </c>
      <c r="H107" s="11" t="inlineStr">
        <is>
          <t>TAK</t>
        </is>
      </c>
      <c r="I107" s="11" t="inlineStr">
        <is>
          <t>DZIAŁA</t>
        </is>
      </c>
      <c r="J107" s="12" t="inlineStr">
        <is>
          <t>dostęp przez auto-logowanie z panelu (E-14: POST /services/:id/hosting-sso-url) — MailTab.tsx:71,239,401 „Webmail”; D3 t1 (d3.hvln.pl) 29.09 FAIL: „Webmail →” otwiera listę skrzynek DA bez logowania do Roundcube; poprawka f8cfd8d (one_click_webmail_login + roundcube direct_login) + profil; retest; D3 t1 (d3.hvln.pl) 29.09 po profilu: w DA przy skrzynce logowanie jednym kliknięciem → Roundcube, skrzynka test@d3.hvln.pl otwarta bez hasła (CMD_WEBMAIL_LOGIN → /roundcube/direct_login/)</t>
        </is>
      </c>
      <c r="K107" s="11" t="inlineStr">
        <is>
          <t>PARYTET</t>
        </is>
      </c>
      <c r="L107" s="11" t="inlineStr">
        <is>
          <t>—</t>
        </is>
      </c>
      <c r="M107" s="11" t="inlineStr">
        <is>
          <t>S</t>
        </is>
      </c>
      <c r="N107" s="12" t="inlineStr">
        <is>
          <t>2026-09-23 PORZĄDKI: wpis „link do DA” sprzed E-14 (SSO, DZIAŁA od 2026-08-21) — dostęp jest z panelu bez wychodzenia do DirectAdmina. | 2026-10-06 D3 t1: webmail w marce Verris Poczta (plugin verris_marka: logo, kolory, czcionka, watermark) i po polsku dla nowych skrzynek; profil t1 OK=64 FAIL=0 po d293f12 (ops/roundcube w obrazie API, ścieżka configu po da build).</t>
        </is>
      </c>
    </row>
    <row r="108">
      <c r="A108" s="11" t="inlineStr">
        <is>
          <t>E-14</t>
        </is>
      </c>
      <c r="B108" s="12" t="inlineStr">
        <is>
          <t>E</t>
        </is>
      </c>
      <c r="C108" s="11" t="inlineStr">
        <is>
          <t>Webmail — auto-logowanie (SSO)</t>
        </is>
      </c>
      <c r="D108" s="11" t="inlineStr">
        <is>
          <t>TAK</t>
        </is>
      </c>
      <c r="E108" s="11" t="inlineStr">
        <is>
          <t>TAK</t>
        </is>
      </c>
      <c r="F108" s="11" t="inlineStr">
        <is>
          <t>TAK</t>
        </is>
      </c>
      <c r="G108" s="11" t="inlineStr">
        <is>
          <t>TAK</t>
        </is>
      </c>
      <c r="H108" s="11" t="inlineStr">
        <is>
          <t>TAK</t>
        </is>
      </c>
      <c r="I108" s="11" t="inlineStr">
        <is>
          <t>DZIAŁA</t>
        </is>
      </c>
      <c r="J108" s="12" t="inlineStr">
        <is>
          <t>services.controller.ts — POST /services/:id/hosting-sso-url (wspólna trasa z D-11); MailTab.tsx:68; D3 t1 (d3.hvln.pl) 29.09: SSO działa do DA, nie do webmaila (jak E-13); retest po f8cfd8d; 29.09: przycisk „Webmail →” w Verris prowadzi do listy skrzynek DA (drugi klik); poprawka 3434c1a — prosto do Roundcube tokenem z CMD_WEBMAIL_LOGIN; D3 t1 (d3.hvln.pl) 29.09 po wdrożeniu (panel klienta): API zwraca poprawny adres Roundcube i token, ale CSP panelu (form-action self) blokuje POST w nowym oknie; poprawka fce8430 (form-action *.verris.pl) czeka na push; D3 t1 (d3.hvln.pl) 29.09 po wdrożeniu 13:00 (panel klienta): „Webmail →” przy skrzynce otwiera Roundcube zalogowany na test@d3.hvln.pl (Inbox), bez DirectAdmina</t>
        </is>
      </c>
      <c r="K108" s="11" t="inlineStr">
        <is>
          <t>PARYTET</t>
        </is>
      </c>
      <c r="L108" s="11" t="inlineStr">
        <is>
          <t>—</t>
        </is>
      </c>
      <c r="M108" s="11" t="inlineStr">
        <is>
          <t>S</t>
        </is>
      </c>
      <c r="N108" s="12" t="inlineStr">
        <is>
          <t>Zamknięte 2026-08-21 (commit 6f2833d). Strażnik: apps/api/src/test/ui-routes-coverage.spec.ts porównuje wszystkie wywołania apiFetch z panelu ze wszystkimi trasami API — nawrót tej klasy błędu zapala test.</t>
        </is>
      </c>
    </row>
    <row r="109">
      <c r="A109" s="11" t="inlineStr">
        <is>
          <t>E-15</t>
        </is>
      </c>
      <c r="B109" s="12" t="inlineStr">
        <is>
          <t>E</t>
        </is>
      </c>
      <c r="C109" s="11" t="inlineStr">
        <is>
          <t>Rekordy SPF — kreator</t>
        </is>
      </c>
      <c r="D109" s="11" t="inlineStr">
        <is>
          <t>TAK</t>
        </is>
      </c>
      <c r="E109" s="11" t="inlineStr">
        <is>
          <t>TAK</t>
        </is>
      </c>
      <c r="F109" s="11" t="inlineStr">
        <is>
          <t>TAK</t>
        </is>
      </c>
      <c r="G109" s="11" t="inlineStr">
        <is>
          <t>TAK</t>
        </is>
      </c>
      <c r="H109" s="11" t="inlineStr">
        <is>
          <t>TAK</t>
        </is>
      </c>
      <c r="I109" s="11" t="inlineStr">
        <is>
          <t>DZIAŁA</t>
        </is>
      </c>
      <c r="J109" s="12"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K109" s="11" t="inlineStr">
        <is>
          <t>PARYTET</t>
        </is>
      </c>
      <c r="L109" s="11" t="inlineStr">
        <is>
          <t>—</t>
        </is>
      </c>
      <c r="M109" s="11" t="inlineStr">
        <is>
          <t>S</t>
        </is>
      </c>
      <c r="N109" s="12"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row>
    <row r="110">
      <c r="A110" s="11" t="inlineStr">
        <is>
          <t>E-16</t>
        </is>
      </c>
      <c r="B110" s="12" t="inlineStr">
        <is>
          <t>E</t>
        </is>
      </c>
      <c r="C110" s="11" t="inlineStr">
        <is>
          <t>Rekordy DKIM — konfiguracja</t>
        </is>
      </c>
      <c r="D110" s="11" t="inlineStr">
        <is>
          <t>TAK</t>
        </is>
      </c>
      <c r="E110" s="11" t="inlineStr">
        <is>
          <t>TAK</t>
        </is>
      </c>
      <c r="F110" s="11" t="inlineStr">
        <is>
          <t>TAK</t>
        </is>
      </c>
      <c r="G110" s="11" t="inlineStr">
        <is>
          <t>TAK</t>
        </is>
      </c>
      <c r="H110" s="11" t="inlineStr">
        <is>
          <t>TAK</t>
        </is>
      </c>
      <c r="I110" s="11" t="inlineStr">
        <is>
          <t>DZIAŁA</t>
        </is>
      </c>
      <c r="J110" s="12" t="inlineStr">
        <is>
          <t>deliverability/mail-auth.ts (akcja enable-dkim); servers/directadmin.service.ts enableHostingDkim; POST /services/:id/hosting-email/dkim; email/deliverability-panel.tsx; testy mail-auth.spec.ts, directadmin.narzedzia.spec.ts</t>
        </is>
      </c>
      <c r="K110" s="11" t="inlineStr">
        <is>
          <t>PARYTET</t>
        </is>
      </c>
      <c r="L110" s="11" t="inlineStr">
        <is>
          <t>WYSOKA</t>
        </is>
      </c>
      <c r="M110" s="11" t="inlineStr">
        <is>
          <t>S</t>
        </is>
      </c>
      <c r="N110" s="12"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row>
    <row r="111">
      <c r="A111" s="11" t="inlineStr">
        <is>
          <t>E-17</t>
        </is>
      </c>
      <c r="B111" s="12" t="inlineStr">
        <is>
          <t>E</t>
        </is>
      </c>
      <c r="C111" s="11" t="inlineStr">
        <is>
          <t>Rekord DMARC — konfiguracja</t>
        </is>
      </c>
      <c r="D111" s="11" t="inlineStr">
        <is>
          <t>TAK</t>
        </is>
      </c>
      <c r="E111" s="11" t="inlineStr">
        <is>
          <t>TAK</t>
        </is>
      </c>
      <c r="F111" s="11" t="inlineStr">
        <is>
          <t>TAK</t>
        </is>
      </c>
      <c r="G111" s="11" t="inlineStr">
        <is>
          <t>TAK</t>
        </is>
      </c>
      <c r="H111" s="11" t="inlineStr">
        <is>
          <t>TAK</t>
        </is>
      </c>
      <c r="I111" s="11" t="inlineStr">
        <is>
          <t>DZIAŁA</t>
        </is>
      </c>
      <c r="J111" s="12" t="inlineStr">
        <is>
          <t>2026-09-23 D1: mail-auth.ts dmarcCheck (brak / p=none / kilka rekordów) + lib/dmarc.ts tuneDmarc (polityka + adres raportów) w deliverability-panel.tsx; testy mail-auth.spec.ts, dmarc.spec.ts; D3 t1 (d3.hvln.pl) 29.09 00:07: DMARC dodany z panelu, sprawdzenie pokazuje p=quarantine</t>
        </is>
      </c>
      <c r="K111" s="11" t="inlineStr">
        <is>
          <t>PARYTET</t>
        </is>
      </c>
      <c r="L111" s="11" t="inlineStr">
        <is>
          <t>—</t>
        </is>
      </c>
      <c r="M111" s="11" t="inlineStr">
        <is>
          <t>S</t>
        </is>
      </c>
      <c r="N111" s="12" t="inlineStr">
        <is>
          <t>j.w. | KOD: kreator DMARC — wybór polityki i opcjonalny adres raportów, zachowuje pozostałe tagi. Sugestia bez rua na verris.pl (raporty do obcej domeny wymagają rekordu autoryzacji). OTWARTE do D3: zapis do strefy DA.</t>
        </is>
      </c>
    </row>
    <row r="112">
      <c r="A112" s="11" t="inlineStr">
        <is>
          <t>E-18</t>
        </is>
      </c>
      <c r="B112" s="12" t="inlineStr">
        <is>
          <t>E</t>
        </is>
      </c>
      <c r="C112" s="11" t="inlineStr">
        <is>
          <t>Sprawdzenie obecności na RBL</t>
        </is>
      </c>
      <c r="D112" s="11" t="inlineStr">
        <is>
          <t>TAK</t>
        </is>
      </c>
      <c r="E112" s="11" t="inlineStr">
        <is>
          <t>TAK</t>
        </is>
      </c>
      <c r="F112" s="11" t="inlineStr">
        <is>
          <t>CZĘŚĆ</t>
        </is>
      </c>
      <c r="G112" s="11" t="inlineStr">
        <is>
          <t>CZĘŚĆ</t>
        </is>
      </c>
      <c r="H112" s="11" t="inlineStr">
        <is>
          <t>CZĘŚĆ</t>
        </is>
      </c>
      <c r="I112" s="11" t="inlineStr">
        <is>
          <t>DZIAŁA</t>
        </is>
      </c>
      <c r="J112" s="12" t="inlineStr">
        <is>
          <t>deliverability.service.ts check → wiersz „Blacklisty (RBL)” w panelu Poczta → Dostarczalność (deliverability-panel.tsx, E-15); stan trójwartościowy: wpis / brak / nie udało się sprawdzić (timeout, 127.255.255.x); test D2 rbl-raport.spec.ts + rbl.spec.ts; D3 t1 (d3.hvln.pl) 29.09: 3 listy sprawdzone, zen.spamhaus.org „nie udało się sprawdzić” (Spamhaus odrzuca zapytania z publicznych resolverów — potrzebny własny resolver albo klucz DQS)</t>
        </is>
      </c>
      <c r="K112" s="11" t="inlineStr">
        <is>
          <t>PARYTET</t>
        </is>
      </c>
      <c r="L112" s="11" t="inlineStr">
        <is>
          <t>ŚREDNIA</t>
        </is>
      </c>
      <c r="M112" s="11" t="inlineStr">
        <is>
          <t>S</t>
        </is>
      </c>
      <c r="N112" s="12" t="inlineStr">
        <is>
          <t>2026-09-23: wejście z UI istniało już od E-15 (wiersz RBL w raporcie). Poprawione: timeout albo odmowa listy (127.255.255.x) pokazywały się jako „nie figuruje” — teraz ostrzeżenie „nie udało się sprawdzić” z nazwą listy.</t>
        </is>
      </c>
    </row>
    <row r="113">
      <c r="A113" s="11" t="inlineStr">
        <is>
          <t>E-19</t>
        </is>
      </c>
      <c r="B113" s="12" t="inlineStr">
        <is>
          <t>E</t>
        </is>
      </c>
      <c r="C113" s="11" t="inlineStr">
        <is>
          <t>Podgląd kolejki i logów dostarczania</t>
        </is>
      </c>
      <c r="D113" s="11" t="inlineStr">
        <is>
          <t>TAK</t>
        </is>
      </c>
      <c r="E113" s="11" t="inlineStr">
        <is>
          <t>TAK</t>
        </is>
      </c>
      <c r="F113" s="11" t="inlineStr">
        <is>
          <t>TAK</t>
        </is>
      </c>
      <c r="G113" s="11" t="inlineStr">
        <is>
          <t>CZĘŚĆ</t>
        </is>
      </c>
      <c r="H113" s="11" t="inlineStr">
        <is>
          <t>CZĘŚĆ</t>
        </is>
      </c>
      <c r="I113" s="11" t="inlineStr">
        <is>
          <t>DZIAŁA</t>
        </is>
      </c>
      <c r="J113" s="12" t="inlineStr">
        <is>
          <t>ops/scripts/node-mail-log.sh (zadanie MAIL_LOG: log exima mainlog + mainlog.1, tylko wiadomości z nadawcą lub odbiorcą w domenach usługi — lista domen z API), subscriptions/mail-log.service.ts, :id/hosting-mail-log, panel MailLogPanel.tsx (Poczta → Dziennik dostarczania); test mail-log.service.spec.ts; D3 t1 (d3.hvln.pl) 29.09 po wdrożeniu: wysyłka test@d3.hvln.pl → sama do siebie: dostarczone do Inbox; dziennik doręczeń w panelu pokazuje odebranie i doręczenie (surowe pola exima — do wygładzenia)</t>
        </is>
      </c>
      <c r="K113" s="11" t="inlineStr">
        <is>
          <t>PARYTET</t>
        </is>
      </c>
      <c r="L113" s="11" t="inlineStr">
        <is>
          <t>NISKA</t>
        </is>
      </c>
      <c r="M113" s="11" t="inlineStr">
        <is>
          <t>M</t>
        </is>
      </c>
      <c r="N113" s="12" t="inlineStr">
        <is>
          <t>2026-09-24: KOD (D2) + skrypt sprawdzony lokalnie na próbce logu exima — przyjęta/dostarczona/odrzucona (z powodem)/opóźniona, filtr adresu, cudza poczta z logu nie wychodzi. OTWARTE do D3 (sprint 21): format logu exima DA na węźle, rozmiar mainlog (czytany w całości). | „gdzie jest mój mail” to najczęstszy ticket poczty</t>
        </is>
      </c>
    </row>
    <row r="114">
      <c r="A114" s="11" t="inlineStr">
        <is>
          <t>E-20</t>
        </is>
      </c>
      <c r="B114" s="12" t="inlineStr">
        <is>
          <t>E</t>
        </is>
      </c>
      <c r="C114" s="11" t="inlineStr">
        <is>
          <t>Limity wysyłki pokazane klientowi</t>
        </is>
      </c>
      <c r="D114" s="11" t="inlineStr">
        <is>
          <t>TAK</t>
        </is>
      </c>
      <c r="E114" s="11" t="inlineStr">
        <is>
          <t>TAK</t>
        </is>
      </c>
      <c r="F114" s="11" t="inlineStr">
        <is>
          <t>TAK</t>
        </is>
      </c>
      <c r="G114" s="11" t="inlineStr">
        <is>
          <t>CZĘŚĆ</t>
        </is>
      </c>
      <c r="H114" s="11" t="inlineStr">
        <is>
          <t>TAK</t>
        </is>
      </c>
      <c r="I114" s="11" t="inlineStr">
        <is>
          <t>DZIAŁA</t>
        </is>
      </c>
      <c r="J114" s="12" t="inlineStr">
        <is>
          <t>MailTab.tsx KPI „Limit wysyłki” ← libs/contracts mail-limits.ts; node-hosting-profile.sh zapisuje /etc/virtual/limit; test src/test/limit-wysylki.spec.ts</t>
        </is>
      </c>
      <c r="K114" s="11" t="inlineStr">
        <is>
          <t>PARYTET</t>
        </is>
      </c>
      <c r="L114" s="11" t="inlineStr">
        <is>
          <t>ŚREDNIA</t>
        </is>
      </c>
      <c r="M114" s="11" t="inlineStr">
        <is>
          <t>S</t>
        </is>
      </c>
      <c r="N114" s="12" t="inlineStr">
        <is>
          <t>cyber_Folks publikuje jawnie: 1000/dobę, 300/15 min | 2026-09-23: 1000 wiadomości/dobę na konto, pokazane w zakładce Poczta; ta sama liczba zapisywana na węźle (exim DA), zgodność pod testem (D2). D3: po profilu na węźle `cat /etc/virtual/limit` = 1000. Limitu 15-minutowego nie wprowadzamy — nie ma go na węźle, więc nie pokazujemy.</t>
        </is>
      </c>
    </row>
    <row r="115">
      <c r="A115" s="11" t="inlineStr">
        <is>
          <t>E-21</t>
        </is>
      </c>
      <c r="B115" s="12" t="inlineStr">
        <is>
          <t>E</t>
        </is>
      </c>
      <c r="C115" s="11" t="inlineStr">
        <is>
          <t>Samodzielny import skrzynek przez IMAP</t>
        </is>
      </c>
      <c r="D115" s="11" t="inlineStr">
        <is>
          <t>CZĘŚĆ</t>
        </is>
      </c>
      <c r="E115" s="11" t="inlineStr">
        <is>
          <t>TAK</t>
        </is>
      </c>
      <c r="F115" s="11" t="inlineStr">
        <is>
          <t>CZĘŚĆ</t>
        </is>
      </c>
      <c r="G115" s="11" t="inlineStr">
        <is>
          <t>CZĘŚĆ</t>
        </is>
      </c>
      <c r="H115" s="11" t="inlineStr">
        <is>
          <t>TAK</t>
        </is>
      </c>
      <c r="I115" s="11" t="inlineStr">
        <is>
          <t>DZIAŁA</t>
        </is>
      </c>
      <c r="J115" s="12" t="inlineStr">
        <is>
          <t>migrations/migracja-poczty.tsx (źródło+test, cel z listy skrzynek+test, start); migrations-client.tsx wybór „Co przenosimy”; migration-orchestrator.service.ts createBundle (IMAP_SYNC, bez HTTP_POST_CHECK dla samej poczty); node-migration-worker.sh run_imap; node-hosting-profile.sh configure_dovecot_migration_master; testy migracja-poczty.spec.tsx, migration-orchestrator.service.spec.ts, wezel-zgodnie-z-dokumentacja.spec.ts</t>
        </is>
      </c>
      <c r="K115" s="11" t="inlineStr">
        <is>
          <t>PARYTET</t>
        </is>
      </c>
      <c r="L115" s="11" t="inlineStr">
        <is>
          <t>ŚREDNIA</t>
        </is>
      </c>
      <c r="M115" s="11" t="inlineStr">
        <is>
          <t>S</t>
        </is>
      </c>
      <c r="N115" s="12" t="inlineStr">
        <is>
          <t>2026-09-25: KOD (D2) — samodzielny import poczty jako osobne wejście: w zakładce Poczta przycisk „Przenieś pocztę z innego serwera” otwiera kreator migracji od razu na kroku skrzynek (bez plików, jedna pusta skrzynka, opis co się stanie). Pod spodem ta sama ścieżka co migracja: imapsync z sejfem haseł, delta-sync, postęp na żywo. ZNALEZIONE I NAPRAWIONE (bezpieczeństwo): adres docelowy skrzynki nie był sprawdzany — imapsync pisze przez master-login dovecota, więc klient mógł dopisać wiadomości do skrzynki innego klienta na tym samym węźle. Teraz domena skrzynki musi należeć do usługi, a brak adresu (sam login) to odmowa. Dane klienta — zostaje CZĘŚCIOWY do D3 (import na węźle). | 2026-09-25 (2): decyzja PM — skrzynka = adres + serwer + hasło (port opcjonalny, domyślnie 993, loginem jest adres; ten sam adres u nas). Bramka po stronie serwera: zlecenie przyjmujemy dopiero po udanym logowaniu IMAP do starego serwera (ten sam test co „Test dostępów”), więc złe hasło wychodzi od razu, a nie w kolejce. Transfer: imapsync (idempotentny, dedup po Message-Id). Przyjęcie zlecenia ma limit 30/h wspólny z „Test dostępów” — logowanie do cudzych serwerów nie może służyć do zgadywania haseł. | 2026-10-03: D3 na t1 — import test@ → import@ (inny adres) przez panel klienta zakończony, wiadomości i foldery (Inbox, Sent) w skrzynce docelowej. Naprawione po drodze: brak konta master Dovecota na węzłach (9f72524), jeden adres na źródło i cel w kreatorze (b6d1368 — osobny formularz poczty).</t>
        </is>
      </c>
    </row>
    <row r="116">
      <c r="A116" s="11" t="inlineStr">
        <is>
          <t>E-22</t>
        </is>
      </c>
      <c r="B116" s="12" t="inlineStr">
        <is>
          <t>E</t>
        </is>
      </c>
      <c r="C116" s="11" t="inlineStr">
        <is>
          <t>Listy mailingowe</t>
        </is>
      </c>
      <c r="D116" s="11" t="inlineStr">
        <is>
          <t>TAK</t>
        </is>
      </c>
      <c r="E116" s="11" t="inlineStr">
        <is>
          <t>TAK</t>
        </is>
      </c>
      <c r="F116" s="11" t="inlineStr">
        <is>
          <t>TAK</t>
        </is>
      </c>
      <c r="G116" s="11" t="inlineStr">
        <is>
          <t>CZĘŚĆ</t>
        </is>
      </c>
      <c r="H116" s="11" t="inlineStr">
        <is>
          <t>NIE</t>
        </is>
      </c>
      <c r="I116" s="11" t="inlineStr">
        <is>
          <t>BRAK</t>
        </is>
      </c>
      <c r="J116" s="12" t="inlineStr">
        <is>
          <t>—</t>
        </is>
      </c>
      <c r="K116" s="11" t="inlineStr">
        <is>
          <t>POZA ZAKRESEM</t>
        </is>
      </c>
      <c r="L116" s="11" t="inlineStr">
        <is>
          <t>NISKA</t>
        </is>
      </c>
      <c r="M116" s="11" t="inlineStr">
        <is>
          <t>—</t>
        </is>
      </c>
      <c r="N116" s="12" t="inlineStr">
        <is>
          <t>zastąpione modułem email-marketing</t>
        </is>
      </c>
    </row>
    <row r="117">
      <c r="A117" s="11" t="inlineStr">
        <is>
          <t>E-23</t>
        </is>
      </c>
      <c r="B117" s="12" t="inlineStr">
        <is>
          <t>E</t>
        </is>
      </c>
      <c r="C117" s="11" t="inlineStr">
        <is>
          <t>Kalendarz i kontakty (CalDAV/CardDAV)</t>
        </is>
      </c>
      <c r="D117" s="11" t="inlineStr">
        <is>
          <t>TAK</t>
        </is>
      </c>
      <c r="E117" s="11" t="inlineStr">
        <is>
          <t>TAK</t>
        </is>
      </c>
      <c r="F117" s="11" t="inlineStr">
        <is>
          <t>CZĘŚĆ</t>
        </is>
      </c>
      <c r="G117" s="11" t="inlineStr">
        <is>
          <t>CZĘŚĆ</t>
        </is>
      </c>
      <c r="H117" s="11" t="inlineStr">
        <is>
          <t>NIE</t>
        </is>
      </c>
      <c r="I117" s="11" t="inlineStr">
        <is>
          <t>DZIAŁA</t>
        </is>
      </c>
      <c r="J117" s="12" t="inlineStr">
        <is>
          <t>node-hosting-profile.sh (Radicale 3.8.1 w venv, verris-radicale.service, verris-dav-backup); security-hardening-baseline.sh (5232/tcp); client-panel MailTab (adres i instrukcja); test kalendarz-kontakty.spec.ts</t>
        </is>
      </c>
      <c r="K117" s="11" t="inlineStr">
        <is>
          <t>PARYTET</t>
        </is>
      </c>
      <c r="L117" s="11" t="inlineStr">
        <is>
          <t>NISKA</t>
        </is>
      </c>
      <c r="M117" s="11" t="inlineStr">
        <is>
          <t>L</t>
        </is>
      </c>
      <c r="N117" s="12" t="inlineStr">
        <is>
          <t>dhosting i home.pl mają w produkcie „poczta biznesowa” | DECYZJA WŁAŚCICIELA 2026-09-25: kalendarz i kontakty (CalDAV/CardDAV) robimy teraz (kod + instalacja wg dokumentacji, D3 na węźle testowym). | ZROBIONE W KODZIE 2026-09-25: Radicale 3.8.1 (radicale.org, DOCUMENTATION.md): logowanie danymi skrzynki przez gniazdo auth Dovecota (Dovecot dostaje IP klienta → blokady jak dla IMAP), rights owner_only, TLS na 5232 z certyfikatem hosta (LoadCredential), bez interfejsu WWW, domyślny Kalendarz i Kontakty. Kopia nocna do ~/.verris-dav/ właściciela (zapis jako właściciel), kalendarz usuniętej skrzynki do kosza na 30 dni. Konfiguracja sprawdzona na Radicale 3.8.1 (403 cudza ścieżka, 401 złe hasło). D3 w wezel.csv. | 2026-10-04: D3 na t1 — usługa padała od 03.10 (LoadCredential na systemd 257 nie podał certyfikatu, profil mimo to raportował [OK]); poprawka f5b85e72 (kopia certyfikatu przez ExecStartPre=+ do /run, [OK] tylko gdy is-active). Po nakładce z poprawką: active, nasłuch 5232 z SSL; PROPFIND z Maca: własna kolekcja 207, cudza 403, złe hasło 401.</t>
        </is>
      </c>
    </row>
    <row r="118">
      <c r="A118" s="11" t="inlineStr">
        <is>
          <t>E-24</t>
        </is>
      </c>
      <c r="B118" s="12" t="inlineStr">
        <is>
          <t>E</t>
        </is>
      </c>
      <c r="C118" s="11" t="inlineStr">
        <is>
          <t>2FA dla webmaila</t>
        </is>
      </c>
      <c r="D118" s="11" t="inlineStr">
        <is>
          <t>CZĘŚĆ</t>
        </is>
      </c>
      <c r="E118" s="11" t="inlineStr">
        <is>
          <t>TAK</t>
        </is>
      </c>
      <c r="F118" s="11" t="inlineStr">
        <is>
          <t>CZĘŚĆ</t>
        </is>
      </c>
      <c r="G118" s="11" t="inlineStr">
        <is>
          <t>CZĘŚĆ</t>
        </is>
      </c>
      <c r="H118" s="11" t="inlineStr">
        <is>
          <t>TAK</t>
        </is>
      </c>
      <c r="I118" s="11" t="inlineStr">
        <is>
          <t>BRAK</t>
        </is>
      </c>
      <c r="J118" s="12" t="inlineStr">
        <is>
          <t>—</t>
        </is>
      </c>
      <c r="K118" s="11" t="inlineStr">
        <is>
          <t>LUKA</t>
        </is>
      </c>
      <c r="L118" s="11" t="inlineStr">
        <is>
          <t>NISKA</t>
        </is>
      </c>
      <c r="M118" s="11" t="inlineStr">
        <is>
          <t>M</t>
        </is>
      </c>
      <c r="N118" s="12" t="inlineStr">
        <is>
          <t>cyber_Folks ma nawet 2FA dla IMAP/SMTP</t>
        </is>
      </c>
    </row>
    <row r="119">
      <c r="A119" s="11" t="inlineStr">
        <is>
          <t>E-25</t>
        </is>
      </c>
      <c r="B119" s="12" t="inlineStr">
        <is>
          <t>E</t>
        </is>
      </c>
      <c r="C119" s="11" t="inlineStr">
        <is>
          <t>Osobny produkt „poczta biznesowa”</t>
        </is>
      </c>
      <c r="D119" s="11" t="inlineStr">
        <is>
          <t>NIE</t>
        </is>
      </c>
      <c r="E119" s="11" t="inlineStr">
        <is>
          <t>NIE</t>
        </is>
      </c>
      <c r="F119" s="11" t="inlineStr">
        <is>
          <t>NIE</t>
        </is>
      </c>
      <c r="G119" s="11" t="inlineStr">
        <is>
          <t>TAK</t>
        </is>
      </c>
      <c r="H119" s="11" t="inlineStr">
        <is>
          <t>NIE</t>
        </is>
      </c>
      <c r="I119" s="11" t="inlineStr">
        <is>
          <t>DZIAŁA</t>
        </is>
      </c>
      <c r="J119" s="12" t="inlineStr">
        <is>
          <t>plans/new-email w admin-panel</t>
        </is>
      </c>
      <c r="K119" s="11" t="inlineStr">
        <is>
          <t>PARYTET</t>
        </is>
      </c>
      <c r="L119" s="11" t="inlineStr">
        <is>
          <t>—</t>
        </is>
      </c>
      <c r="M119" s="11" t="inlineStr">
        <is>
          <t>—</t>
        </is>
      </c>
      <c r="N119" s="12" t="inlineStr">
        <is>
          <t>plan e-mail istnieje jako osobny produkt</t>
        </is>
      </c>
    </row>
    <row r="120">
      <c r="A120" s="11" t="inlineStr">
        <is>
          <t>F-01</t>
        </is>
      </c>
      <c r="B120" s="12" t="inlineStr">
        <is>
          <t>F</t>
        </is>
      </c>
      <c r="C120" s="11" t="inlineStr">
        <is>
          <t>Edytor rekordów DNS (A/CNAME/MX/TXT)</t>
        </is>
      </c>
      <c r="D120" s="11" t="inlineStr">
        <is>
          <t>TAK</t>
        </is>
      </c>
      <c r="E120" s="11" t="inlineStr">
        <is>
          <t>TAK</t>
        </is>
      </c>
      <c r="F120" s="11" t="inlineStr">
        <is>
          <t>TAK</t>
        </is>
      </c>
      <c r="G120" s="11" t="inlineStr">
        <is>
          <t>TAK</t>
        </is>
      </c>
      <c r="H120" s="11" t="inlineStr">
        <is>
          <t>TAK</t>
        </is>
      </c>
      <c r="I120" s="11" t="inlineStr">
        <is>
          <t>DZIAŁA</t>
        </is>
      </c>
      <c r="J120"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K120" s="11" t="inlineStr">
        <is>
          <t>PARYTET</t>
        </is>
      </c>
      <c r="L120" s="11" t="inlineStr">
        <is>
          <t>—</t>
        </is>
      </c>
      <c r="M120" s="11" t="inlineStr">
        <is>
          <t>S</t>
        </is>
      </c>
      <c r="N120" s="12"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1">
      <c r="A121" s="11" t="inlineStr">
        <is>
          <t>F-02</t>
        </is>
      </c>
      <c r="B121" s="12" t="inlineStr">
        <is>
          <t>F</t>
        </is>
      </c>
      <c r="C121" s="11" t="inlineStr">
        <is>
          <t>Rekordy SRV / CAA</t>
        </is>
      </c>
      <c r="D121" s="11" t="inlineStr">
        <is>
          <t>TAK</t>
        </is>
      </c>
      <c r="E121" s="11" t="inlineStr">
        <is>
          <t>TAK</t>
        </is>
      </c>
      <c r="F121" s="11" t="inlineStr">
        <is>
          <t>TAK</t>
        </is>
      </c>
      <c r="G121" s="11" t="inlineStr">
        <is>
          <t>TAK</t>
        </is>
      </c>
      <c r="H121" s="11" t="inlineStr">
        <is>
          <t>TAK</t>
        </is>
      </c>
      <c r="I121" s="11" t="inlineStr">
        <is>
          <t>DZIAŁA</t>
        </is>
      </c>
      <c r="J121" s="12"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K121" s="11" t="inlineStr">
        <is>
          <t>PARYTET</t>
        </is>
      </c>
      <c r="L121" s="11" t="inlineStr">
        <is>
          <t>WYSOKA</t>
        </is>
      </c>
      <c r="M121" s="11" t="inlineStr">
        <is>
          <t>S</t>
        </is>
      </c>
      <c r="N121" s="12"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row>
    <row r="122">
      <c r="A122" s="11" t="inlineStr">
        <is>
          <t>F-03</t>
        </is>
      </c>
      <c r="B122" s="12" t="inlineStr">
        <is>
          <t>F</t>
        </is>
      </c>
      <c r="C122" s="11" t="inlineStr">
        <is>
          <t>Link do strefy DNS w DirectAdmin</t>
        </is>
      </c>
      <c r="D122" s="11" t="inlineStr">
        <is>
          <t>—</t>
        </is>
      </c>
      <c r="E122" s="11" t="inlineStr">
        <is>
          <t>—</t>
        </is>
      </c>
      <c r="F122" s="11" t="inlineStr">
        <is>
          <t>—</t>
        </is>
      </c>
      <c r="G122" s="11" t="inlineStr">
        <is>
          <t>CZĘŚĆ</t>
        </is>
      </c>
      <c r="H122" s="11" t="inlineStr">
        <is>
          <t>NIE</t>
        </is>
      </c>
      <c r="I122" s="11" t="inlineStr">
        <is>
          <t>DZIAŁA</t>
        </is>
      </c>
      <c r="J122" s="12" t="inlineStr">
        <is>
          <t>client-panel DomainsTab.tsx, DomainPointingPanel.tsx, ServiceOverviewV2/Tab — bez links.dnsUrl</t>
        </is>
      </c>
      <c r="K122" s="11" t="inlineStr">
        <is>
          <t>PARYTET</t>
        </is>
      </c>
      <c r="L122" s="11" t="inlineStr">
        <is>
          <t>—</t>
        </is>
      </c>
      <c r="M122" s="11" t="inlineStr">
        <is>
          <t>—</t>
        </is>
      </c>
      <c r="N122" s="12" t="inlineStr">
        <is>
          <t>obejście braku edytora — pokazuje klientowi obcy panel | 2026-09-25: link do strefy DNS w panelu DirectAdmin usunięty z zakładki Domeny, panelu kierowania domeny i przeglądu usługi — strefę edytuje się własnym edytorem Verris (F-01/F-02, DnsZoneSection) w tej samej zakładce. Zgodne z decyzją o pełnym white label.</t>
        </is>
      </c>
    </row>
    <row r="123">
      <c r="A123" s="11" t="inlineStr">
        <is>
          <t>F-04</t>
        </is>
      </c>
      <c r="B123" s="12" t="inlineStr">
        <is>
          <t>F</t>
        </is>
      </c>
      <c r="C123" s="11" t="inlineStr">
        <is>
          <t>Instrukcja skierowania domeny (NS / rekord A)</t>
        </is>
      </c>
      <c r="D123" s="11" t="inlineStr">
        <is>
          <t>CZĘŚĆ</t>
        </is>
      </c>
      <c r="E123" s="11" t="inlineStr">
        <is>
          <t>CZĘŚĆ</t>
        </is>
      </c>
      <c r="F123" s="11" t="inlineStr">
        <is>
          <t>CZĘŚĆ</t>
        </is>
      </c>
      <c r="G123" s="11" t="inlineStr">
        <is>
          <t>CZĘŚĆ</t>
        </is>
      </c>
      <c r="H123" s="11" t="inlineStr">
        <is>
          <t>TAK</t>
        </is>
      </c>
      <c r="I123" s="11" t="inlineStr">
        <is>
          <t>DZIAŁA</t>
        </is>
      </c>
      <c r="J123" s="12" t="inlineStr">
        <is>
          <t>DomainPointingPanel.tsx:232</t>
        </is>
      </c>
      <c r="K123" s="11" t="inlineStr">
        <is>
          <t>PRZEWAGA</t>
        </is>
      </c>
      <c r="L123" s="11" t="inlineStr">
        <is>
          <t>—</t>
        </is>
      </c>
      <c r="M123" s="11" t="inlineStr">
        <is>
          <t>—</t>
        </is>
      </c>
      <c r="N123" s="12" t="inlineStr"/>
    </row>
    <row r="124">
      <c r="A124" s="11" t="inlineStr">
        <is>
          <t>F-05</t>
        </is>
      </c>
      <c r="B124" s="12" t="inlineStr">
        <is>
          <t>F</t>
        </is>
      </c>
      <c r="C124" s="11" t="inlineStr">
        <is>
          <t>Weryfikacja skierowania domeny na żywo</t>
        </is>
      </c>
      <c r="D124" s="11" t="inlineStr">
        <is>
          <t>NIE</t>
        </is>
      </c>
      <c r="E124" s="11" t="inlineStr">
        <is>
          <t>CZĘŚĆ</t>
        </is>
      </c>
      <c r="F124" s="11" t="inlineStr">
        <is>
          <t>NIE</t>
        </is>
      </c>
      <c r="G124" s="11" t="inlineStr">
        <is>
          <t>CZĘŚĆ</t>
        </is>
      </c>
      <c r="H124" s="11" t="inlineStr">
        <is>
          <t>TAK</t>
        </is>
      </c>
      <c r="I124" s="11" t="inlineStr">
        <is>
          <t>DZIAŁA</t>
        </is>
      </c>
      <c r="J124" s="12" t="inlineStr">
        <is>
          <t>services.controller.ts:365</t>
        </is>
      </c>
      <c r="K124" s="11" t="inlineStr">
        <is>
          <t>PRZEWAGA</t>
        </is>
      </c>
      <c r="L124" s="11" t="inlineStr">
        <is>
          <t>—</t>
        </is>
      </c>
      <c r="M124" s="11" t="inlineStr">
        <is>
          <t>—</t>
        </is>
      </c>
      <c r="N124" s="12" t="inlineStr">
        <is>
          <t>z auto-pollingiem</t>
        </is>
      </c>
    </row>
    <row r="125">
      <c r="A125" s="11" t="inlineStr">
        <is>
          <t>F-06</t>
        </is>
      </c>
      <c r="B125" s="12" t="inlineStr">
        <is>
          <t>F</t>
        </is>
      </c>
      <c r="C125" s="11" t="inlineStr">
        <is>
          <t>DNSSEC</t>
        </is>
      </c>
      <c r="D125" s="11" t="inlineStr">
        <is>
          <t>TAK</t>
        </is>
      </c>
      <c r="E125" s="11" t="inlineStr">
        <is>
          <t>TAK</t>
        </is>
      </c>
      <c r="F125" s="11" t="inlineStr">
        <is>
          <t>TAK</t>
        </is>
      </c>
      <c r="G125" s="11" t="inlineStr">
        <is>
          <t>b.d.</t>
        </is>
      </c>
      <c r="H125" s="11" t="inlineStr">
        <is>
          <t>CZĘŚĆ</t>
        </is>
      </c>
      <c r="I125" s="11" t="inlineStr">
        <is>
          <t>DZIAŁA</t>
        </is>
      </c>
      <c r="J125" s="12" t="inlineStr">
        <is>
          <t>servers/directadmin.service.ts getHostingDnssec/enableHostingDnssec/disableHostingDnssec; services.controller.ts :id/hosting-dns/dnssec; client-panel components/hosting/DnssecPanel.tsx; ops/scripts/node-hosting-profile.sh dnssec=1; test directadmin.dnssec.spec.ts; D3 t1 29.09 (panel klienta, d3.hvln.pl): „Włącz DNSSEC” → strefa podpisana, rekord DS (13 2 …) do rejestratora, „Kopiuj rekordy DS”; data podpisu z sekund Unix poprawiona w d93c86e</t>
        </is>
      </c>
      <c r="K125" s="11" t="inlineStr">
        <is>
          <t>PARYTET</t>
        </is>
      </c>
      <c r="L125" s="11" t="inlineStr">
        <is>
          <t>ŚREDNIA</t>
        </is>
      </c>
      <c r="M125" s="11" t="inlineStr">
        <is>
          <t>M</t>
        </is>
      </c>
      <c r="N125" s="12" t="inlineStr">
        <is>
          <t>żaden z 5 hostingów PL nie potwierdza publicznie | 2026-09-25 KOD (D2): DNSSEC wg oficjalnej dokumentacji DirectAdmina (CMD_API_DNS_ADMIN action=dnssec: get_keys / generate_keys / sign_zone / remove_dnssec; dnssec=1 w directadmin.conf; DA sam odnawia podpisy). Widok strony → Domena i DNS → DNSSEC: stan, włącz (klucze tylko gdy ich nie ma — nowe klucze zmieniłyby DS już wpisany u rejestratora), rekordy DS do skopiowania, wyłącz z ostrzeżeniem (najpierw usuń DS u rejestratora). Subkonto: DNS_MANAGE. Audyt: HOSTING_DNSSEC_ENABLED/DISABLED. D3 w wezel.csv. PO STARCIE: automatyczne wysłanie DS do OpenProvider dla domen rejestrowanych u nas.</t>
        </is>
      </c>
    </row>
    <row r="126">
      <c r="A126" s="11" t="inlineStr">
        <is>
          <t>F-07</t>
        </is>
      </c>
      <c r="B126" s="12" t="inlineStr">
        <is>
          <t>F</t>
        </is>
      </c>
      <c r="C126" s="11" t="inlineStr">
        <is>
          <t>Secondary / slave DNS</t>
        </is>
      </c>
      <c r="D126" s="11" t="inlineStr">
        <is>
          <t>TAK</t>
        </is>
      </c>
      <c r="E126" s="11" t="inlineStr">
        <is>
          <t>TAK</t>
        </is>
      </c>
      <c r="F126" s="11" t="inlineStr">
        <is>
          <t>TAK</t>
        </is>
      </c>
      <c r="G126" s="11" t="inlineStr">
        <is>
          <t>b.d.</t>
        </is>
      </c>
      <c r="H126" s="11" t="inlineStr">
        <is>
          <t>NIE</t>
        </is>
      </c>
      <c r="I126" s="11" t="inlineStr">
        <is>
          <t>BRAK</t>
        </is>
      </c>
      <c r="J126" s="12" t="inlineStr">
        <is>
          <t>—</t>
        </is>
      </c>
      <c r="K126" s="11" t="inlineStr">
        <is>
          <t>POZA ZAKRESEM</t>
        </is>
      </c>
      <c r="L126" s="11" t="inlineStr">
        <is>
          <t>NISKA</t>
        </is>
      </c>
      <c r="M126" s="11" t="inlineStr">
        <is>
          <t>—</t>
        </is>
      </c>
      <c r="N126" s="12" t="inlineStr">
        <is>
          <t>Wtórny DNS ma sens przy własnej infrastrukturze DNS wielolokalizacyjnej; przy jednym operatorze i delegacji na zewnątrz (F-09) nie wnosi odporności, którą obiecuje.</t>
        </is>
      </c>
    </row>
    <row r="127">
      <c r="A127" s="11" t="inlineStr">
        <is>
          <t>F-08</t>
        </is>
      </c>
      <c r="B127" s="12" t="inlineStr">
        <is>
          <t>F</t>
        </is>
      </c>
      <c r="C127" s="11" t="inlineStr">
        <is>
          <t>Własne nameservery (vanity NS)</t>
        </is>
      </c>
      <c r="D127" s="11" t="inlineStr">
        <is>
          <t>TAK</t>
        </is>
      </c>
      <c r="E127" s="11" t="inlineStr">
        <is>
          <t>TAK</t>
        </is>
      </c>
      <c r="F127" s="11" t="inlineStr">
        <is>
          <t>TAK</t>
        </is>
      </c>
      <c r="G127" s="11" t="inlineStr">
        <is>
          <t>CZĘŚĆ</t>
        </is>
      </c>
      <c r="H127" s="11" t="inlineStr">
        <is>
          <t>CZĘŚĆ</t>
        </is>
      </c>
      <c r="I127" s="11" t="inlineStr">
        <is>
          <t>DZIAŁA</t>
        </is>
      </c>
      <c r="J127" s="12" t="inlineStr">
        <is>
          <t>servers.admin.controller.ts:204,209</t>
        </is>
      </c>
      <c r="K127" s="11" t="inlineStr">
        <is>
          <t>PARYTET</t>
        </is>
      </c>
      <c r="L127" s="11" t="inlineStr">
        <is>
          <t>—</t>
        </is>
      </c>
      <c r="M127" s="11" t="inlineStr">
        <is>
          <t>—</t>
        </is>
      </c>
      <c r="N127" s="12" t="inlineStr">
        <is>
          <t>po stronie operatora, per węzeł</t>
        </is>
      </c>
    </row>
    <row r="128">
      <c r="A128" s="11" t="inlineStr">
        <is>
          <t>F-09</t>
        </is>
      </c>
      <c r="B128" s="12" t="inlineStr">
        <is>
          <t>F</t>
        </is>
      </c>
      <c r="C128" s="11" t="inlineStr">
        <is>
          <t>Delegacja domeny na zewnętrzny DNS</t>
        </is>
      </c>
      <c r="D128" s="11" t="inlineStr">
        <is>
          <t>TAK</t>
        </is>
      </c>
      <c r="E128" s="11" t="inlineStr">
        <is>
          <t>TAK</t>
        </is>
      </c>
      <c r="F128" s="11" t="inlineStr">
        <is>
          <t>TAK</t>
        </is>
      </c>
      <c r="G128" s="11" t="inlineStr">
        <is>
          <t>TAK</t>
        </is>
      </c>
      <c r="H128" s="11" t="inlineStr">
        <is>
          <t>TAK</t>
        </is>
      </c>
      <c r="I128" s="11" t="inlineStr">
        <is>
          <t>DZIAŁA</t>
        </is>
      </c>
      <c r="J128" s="12" t="inlineStr">
        <is>
          <t>brak wymuszania własnych NS</t>
        </is>
      </c>
      <c r="K128" s="11" t="inlineStr">
        <is>
          <t>PARYTET</t>
        </is>
      </c>
      <c r="L128" s="11" t="inlineStr">
        <is>
          <t>—</t>
        </is>
      </c>
      <c r="M128" s="11" t="inlineStr">
        <is>
          <t>—</t>
        </is>
      </c>
      <c r="N128" s="12" t="inlineStr">
        <is>
          <t>home.pl tego zabrania — nasza przewaga narracyjna</t>
        </is>
      </c>
    </row>
    <row r="129">
      <c r="A129" s="11" t="inlineStr">
        <is>
          <t>F-10</t>
        </is>
      </c>
      <c r="B129" s="12" t="inlineStr">
        <is>
          <t>F</t>
        </is>
      </c>
      <c r="C129" s="11" t="inlineStr">
        <is>
          <t>Szablony stref DNS</t>
        </is>
      </c>
      <c r="D129" s="11" t="inlineStr">
        <is>
          <t>TAK</t>
        </is>
      </c>
      <c r="E129" s="11" t="inlineStr">
        <is>
          <t>TAK</t>
        </is>
      </c>
      <c r="F129" s="11" t="inlineStr">
        <is>
          <t>TAK</t>
        </is>
      </c>
      <c r="G129" s="11" t="inlineStr">
        <is>
          <t>NIE</t>
        </is>
      </c>
      <c r="H129" s="11" t="inlineStr">
        <is>
          <t>NIE</t>
        </is>
      </c>
      <c r="I129" s="11" t="inlineStr">
        <is>
          <t>BRAK</t>
        </is>
      </c>
      <c r="J129" s="12" t="inlineStr">
        <is>
          <t>—</t>
        </is>
      </c>
      <c r="K129" s="11" t="inlineStr">
        <is>
          <t>POZA ZAKRESEM</t>
        </is>
      </c>
      <c r="L129" s="11" t="inlineStr">
        <is>
          <t>NISKA</t>
        </is>
      </c>
      <c r="M129" s="11" t="inlineStr">
        <is>
          <t>—</t>
        </is>
      </c>
      <c r="N129" s="12" t="inlineStr">
        <is>
          <t>Szablony stref są narzędziem resellera zarządzającego setkami domen. Do rozważenia razem z epikiem E-07, nie wcześniej.</t>
        </is>
      </c>
    </row>
    <row r="130">
      <c r="A130" s="11" t="inlineStr">
        <is>
          <t>F-11</t>
        </is>
      </c>
      <c r="B130" s="12" t="inlineStr">
        <is>
          <t>F</t>
        </is>
      </c>
      <c r="C130" s="11" t="inlineStr">
        <is>
          <t>Zmiana TTL rekordów</t>
        </is>
      </c>
      <c r="D130" s="11" t="inlineStr">
        <is>
          <t>TAK</t>
        </is>
      </c>
      <c r="E130" s="11" t="inlineStr">
        <is>
          <t>TAK</t>
        </is>
      </c>
      <c r="F130" s="11" t="inlineStr">
        <is>
          <t>TAK</t>
        </is>
      </c>
      <c r="G130" s="11" t="inlineStr">
        <is>
          <t>CZĘŚĆ</t>
        </is>
      </c>
      <c r="H130" s="11" t="inlineStr">
        <is>
          <t>TAK</t>
        </is>
      </c>
      <c r="I130" s="11" t="inlineStr">
        <is>
          <t>DZIAŁA</t>
        </is>
      </c>
      <c r="J130" s="12" t="inlineStr">
        <is>
          <t>dns-manager.tsx:287,349 — pole TTL w formularzu rekordu → UtworzRekordDnsDto.ttl (60–86400) → directadmin.service createHostingDnsRecord ttl; D3 t1 (d3.hvln.pl) 29.09 po wdrożeniu 13:00 (panel klienta): FAIL: zmiana TTL rekordu → „zapisano”, TTL bez zmian (panel: dodaj+usuń); do tego usuwanie rekordów ze spacją w wartości (MX/TXT/CAA/SRV) nie działało (kodowanie „+”); poprawka 3b508f6 (DA action=edit, %20) czeka na push; D3 t1 29.09 13:43 po wdrożeniu 3b508f6 (panel klienta): TTL rekordu CAA 3600 → 1800 → 3600 zapisany w strefie (PUT /services/:id/hosting-dns → DA action=edit)</t>
        </is>
      </c>
      <c r="K130" s="11" t="inlineStr">
        <is>
          <t>PARYTET</t>
        </is>
      </c>
      <c r="L130" s="11" t="inlineStr">
        <is>
          <t>ŚREDNIA</t>
        </is>
      </c>
      <c r="M130" s="11" t="inlineStr">
        <is>
          <t>S</t>
        </is>
      </c>
      <c r="N130" s="12" t="inlineStr">
        <is>
          <t>2026-09-23: już nie atrapa — TTL wybierany i wysyłany do DA (D1). OTWARTE do D3 razem z F-01 (PB-21): czy DA zapisuje TTL rekordu.</t>
        </is>
      </c>
    </row>
    <row r="131">
      <c r="A131" s="11" t="inlineStr">
        <is>
          <t>F-12</t>
        </is>
      </c>
      <c r="B131" s="12" t="inlineStr">
        <is>
          <t>F</t>
        </is>
      </c>
      <c r="C131" s="11" t="inlineStr">
        <is>
          <t>Anycast DNS</t>
        </is>
      </c>
      <c r="D131" s="11" t="inlineStr">
        <is>
          <t>NIE</t>
        </is>
      </c>
      <c r="E131" s="11" t="inlineStr">
        <is>
          <t>NIE</t>
        </is>
      </c>
      <c r="F131" s="11" t="inlineStr">
        <is>
          <t>NIE</t>
        </is>
      </c>
      <c r="G131" s="11" t="inlineStr">
        <is>
          <t>CZĘŚĆ</t>
        </is>
      </c>
      <c r="H131" s="11" t="inlineStr">
        <is>
          <t>CZĘŚĆ</t>
        </is>
      </c>
      <c r="I131" s="11" t="inlineStr">
        <is>
          <t>BRAK</t>
        </is>
      </c>
      <c r="J131" s="12" t="inlineStr">
        <is>
          <t>—</t>
        </is>
      </c>
      <c r="K131" s="11" t="inlineStr">
        <is>
          <t>LUKA</t>
        </is>
      </c>
      <c r="L131" s="11" t="inlineStr">
        <is>
          <t>NISKA</t>
        </is>
      </c>
      <c r="M131" s="11" t="inlineStr">
        <is>
          <t>L</t>
        </is>
      </c>
      <c r="N131" s="12" t="inlineStr">
        <is>
          <t>tylko nazwa.pl na rynku PL</t>
        </is>
      </c>
    </row>
    <row r="132">
      <c r="A132" s="11" t="inlineStr">
        <is>
          <t>G-01</t>
        </is>
      </c>
      <c r="B132" s="12" t="inlineStr">
        <is>
          <t>G</t>
        </is>
      </c>
      <c r="C132" s="11" t="inlineStr">
        <is>
          <t>Certyfikat Let's Encrypt — wystawienie</t>
        </is>
      </c>
      <c r="D132" s="11" t="inlineStr">
        <is>
          <t>TAK</t>
        </is>
      </c>
      <c r="E132" s="11" t="inlineStr">
        <is>
          <t>TAK</t>
        </is>
      </c>
      <c r="F132" s="11" t="inlineStr">
        <is>
          <t>TAK</t>
        </is>
      </c>
      <c r="G132" s="11" t="inlineStr">
        <is>
          <t>TAK</t>
        </is>
      </c>
      <c r="H132" s="11" t="inlineStr">
        <is>
          <t>TAK</t>
        </is>
      </c>
      <c r="I132" s="11" t="inlineStr">
        <is>
          <t>DZIAŁA</t>
        </is>
      </c>
      <c r="J132" s="12" t="inlineStr">
        <is>
          <t>services.controller.ts:741; D3 t1 (d3.hvln.pl) 28.09 22:45: LE dla d3.hvln.pl + www (89 dni); poprawki le_select i wystawianie dopiero po DNS</t>
        </is>
      </c>
      <c r="K132" s="11" t="inlineStr">
        <is>
          <t>PARYTET</t>
        </is>
      </c>
      <c r="L132" s="11" t="inlineStr">
        <is>
          <t>—</t>
        </is>
      </c>
      <c r="M132" s="11" t="inlineStr">
        <is>
          <t>—</t>
        </is>
      </c>
      <c r="N132" s="12" t="inlineStr"/>
    </row>
    <row r="133">
      <c r="A133" s="11" t="inlineStr">
        <is>
          <t>G-02</t>
        </is>
      </c>
      <c r="B133" s="12" t="inlineStr">
        <is>
          <t>G</t>
        </is>
      </c>
      <c r="C133" s="11" t="inlineStr">
        <is>
          <t>Certyfikat z www i bez www</t>
        </is>
      </c>
      <c r="D133" s="11" t="inlineStr">
        <is>
          <t>TAK</t>
        </is>
      </c>
      <c r="E133" s="11" t="inlineStr">
        <is>
          <t>TAK</t>
        </is>
      </c>
      <c r="F133" s="11" t="inlineStr">
        <is>
          <t>TAK</t>
        </is>
      </c>
      <c r="G133" s="11" t="inlineStr">
        <is>
          <t>TAK</t>
        </is>
      </c>
      <c r="H133" s="11" t="inlineStr">
        <is>
          <t>TAK</t>
        </is>
      </c>
      <c r="I133" s="11" t="inlineStr">
        <is>
          <t>DZIAŁA</t>
        </is>
      </c>
      <c r="J133" s="12" t="inlineStr">
        <is>
          <t>HostingSslForms.tsx:93</t>
        </is>
      </c>
      <c r="K133" s="11" t="inlineStr">
        <is>
          <t>PARYTET</t>
        </is>
      </c>
      <c r="L133" s="11" t="inlineStr">
        <is>
          <t>—</t>
        </is>
      </c>
      <c r="M133" s="11" t="inlineStr">
        <is>
          <t>—</t>
        </is>
      </c>
      <c r="N133" s="12" t="inlineStr"/>
    </row>
    <row r="134">
      <c r="A134" s="11" t="inlineStr">
        <is>
          <t>G-03</t>
        </is>
      </c>
      <c r="B134" s="12" t="inlineStr">
        <is>
          <t>G</t>
        </is>
      </c>
      <c r="C134" s="11" t="inlineStr">
        <is>
          <t>Certyfikat wildcard (DNS-01)</t>
        </is>
      </c>
      <c r="D134" s="11" t="inlineStr">
        <is>
          <t>TAK</t>
        </is>
      </c>
      <c r="E134" s="11" t="inlineStr">
        <is>
          <t>TAK</t>
        </is>
      </c>
      <c r="F134" s="11" t="inlineStr">
        <is>
          <t>TAK</t>
        </is>
      </c>
      <c r="G134" s="11" t="inlineStr">
        <is>
          <t>CZĘŚĆ</t>
        </is>
      </c>
      <c r="H134" s="11" t="inlineStr">
        <is>
          <t>CZĘŚĆ</t>
        </is>
      </c>
      <c r="I134" s="11" t="inlineStr">
        <is>
          <t>DZIAŁA</t>
        </is>
      </c>
      <c r="J134" s="12" t="inlineStr">
        <is>
          <t>HostingSslForms.tsx:103; D3 t1 (d3.hvln.pl) 29.09 00:51 FAIL: zamówienie z panelu → wiadomość DA „Musi być wybrana co najmniej jedna pozycja Let's Encrypt” (tryb wildcard czyta le_wc_selectN); z le_wc_select0/1 wystawiony CN=*.d3.hvln.pl w ~1 min; poprawka 44d0875 czeka na wdrożenie; retest z panelu; D3 t1 (d3.hvln.pl) 29.09 08:00 po wdrożeniu: wildcard z panelu → CN=*.d3.hvln.pl wystawiony w ~1 min</t>
        </is>
      </c>
      <c r="K134" s="11" t="inlineStr">
        <is>
          <t>PRZEWAGA</t>
        </is>
      </c>
      <c r="L134" s="11" t="inlineStr">
        <is>
          <t>—</t>
        </is>
      </c>
      <c r="M134" s="11" t="inlineStr">
        <is>
          <t>—</t>
        </is>
      </c>
      <c r="N134" s="12" t="inlineStr"/>
    </row>
    <row r="135">
      <c r="A135" s="11" t="inlineStr">
        <is>
          <t>G-04</t>
        </is>
      </c>
      <c r="B135" s="12" t="inlineStr">
        <is>
          <t>G</t>
        </is>
      </c>
      <c r="C135" s="11" t="inlineStr">
        <is>
          <t>Automatyczne odnawianie certyfikatu</t>
        </is>
      </c>
      <c r="D135" s="11" t="inlineStr">
        <is>
          <t>TAK</t>
        </is>
      </c>
      <c r="E135" s="11" t="inlineStr">
        <is>
          <t>TAK</t>
        </is>
      </c>
      <c r="F135" s="11" t="inlineStr">
        <is>
          <t>TAK</t>
        </is>
      </c>
      <c r="G135" s="11" t="inlineStr">
        <is>
          <t>TAK</t>
        </is>
      </c>
      <c r="H135" s="11" t="inlineStr">
        <is>
          <t>TAK</t>
        </is>
      </c>
      <c r="I135" s="11" t="inlineStr">
        <is>
          <t>DZIAŁA</t>
        </is>
      </c>
      <c r="J135" s="12" t="inlineStr">
        <is>
          <t>przez DA</t>
        </is>
      </c>
      <c r="K135" s="11" t="inlineStr">
        <is>
          <t>PARYTET</t>
        </is>
      </c>
      <c r="L135" s="11" t="inlineStr">
        <is>
          <t>—</t>
        </is>
      </c>
      <c r="M135" s="11" t="inlineStr">
        <is>
          <t>—</t>
        </is>
      </c>
      <c r="N135" s="12" t="inlineStr"/>
    </row>
    <row r="136">
      <c r="A136" s="11" t="inlineStr">
        <is>
          <t>G-05</t>
        </is>
      </c>
      <c r="B136" s="12" t="inlineStr">
        <is>
          <t>G</t>
        </is>
      </c>
      <c r="C136" s="11" t="inlineStr">
        <is>
          <t>Wgranie własnego certyfikatu i klucza</t>
        </is>
      </c>
      <c r="D136" s="11" t="inlineStr">
        <is>
          <t>TAK</t>
        </is>
      </c>
      <c r="E136" s="11" t="inlineStr">
        <is>
          <t>TAK</t>
        </is>
      </c>
      <c r="F136" s="11" t="inlineStr">
        <is>
          <t>TAK</t>
        </is>
      </c>
      <c r="G136" s="11" t="inlineStr">
        <is>
          <t>TAK</t>
        </is>
      </c>
      <c r="H136" s="11" t="inlineStr">
        <is>
          <t>TAK</t>
        </is>
      </c>
      <c r="I136" s="11" t="inlineStr">
        <is>
          <t>DZIAŁA</t>
        </is>
      </c>
      <c r="J136" s="12" t="inlineStr">
        <is>
          <t>services.controller.ts:754</t>
        </is>
      </c>
      <c r="K136" s="11" t="inlineStr">
        <is>
          <t>PARYTET</t>
        </is>
      </c>
      <c r="L136" s="11" t="inlineStr">
        <is>
          <t>—</t>
        </is>
      </c>
      <c r="M136" s="11" t="inlineStr">
        <is>
          <t>—</t>
        </is>
      </c>
      <c r="N136" s="12" t="inlineStr"/>
    </row>
    <row r="137">
      <c r="A137" s="11" t="inlineStr">
        <is>
          <t>G-06</t>
        </is>
      </c>
      <c r="B137" s="12" t="inlineStr">
        <is>
          <t>G</t>
        </is>
      </c>
      <c r="C137" s="11" t="inlineStr">
        <is>
          <t>Lista certyfikatów ze statusem i datą wygaśnięcia</t>
        </is>
      </c>
      <c r="D137" s="11" t="inlineStr">
        <is>
          <t>TAK</t>
        </is>
      </c>
      <c r="E137" s="11" t="inlineStr">
        <is>
          <t>TAK</t>
        </is>
      </c>
      <c r="F137" s="11" t="inlineStr">
        <is>
          <t>TAK</t>
        </is>
      </c>
      <c r="G137" s="11" t="inlineStr">
        <is>
          <t>CZĘŚĆ</t>
        </is>
      </c>
      <c r="H137" s="11" t="inlineStr">
        <is>
          <t>TAK</t>
        </is>
      </c>
      <c r="I137" s="11" t="inlineStr">
        <is>
          <t>DZIAŁA</t>
        </is>
      </c>
      <c r="J137" s="12" t="inlineStr">
        <is>
          <t>services.controller.ts:736; directadmin.service.ts:2547</t>
        </is>
      </c>
      <c r="K137" s="11" t="inlineStr">
        <is>
          <t>PARYTET</t>
        </is>
      </c>
      <c r="L137" s="11" t="inlineStr">
        <is>
          <t>—</t>
        </is>
      </c>
      <c r="M137" s="11" t="inlineStr">
        <is>
          <t>—</t>
        </is>
      </c>
      <c r="N137" s="12" t="inlineStr">
        <is>
          <t>realny odczyt PEM</t>
        </is>
      </c>
    </row>
    <row r="138">
      <c r="A138" s="11" t="inlineStr">
        <is>
          <t>G-07</t>
        </is>
      </c>
      <c r="B138" s="12" t="inlineStr">
        <is>
          <t>G</t>
        </is>
      </c>
      <c r="C138" s="11" t="inlineStr">
        <is>
          <t>HSTS</t>
        </is>
      </c>
      <c r="D138" s="11" t="inlineStr">
        <is>
          <t>TAK</t>
        </is>
      </c>
      <c r="E138" s="11" t="inlineStr">
        <is>
          <t>TAK</t>
        </is>
      </c>
      <c r="F138" s="11" t="inlineStr">
        <is>
          <t>CZĘŚĆ</t>
        </is>
      </c>
      <c r="G138" s="11" t="inlineStr">
        <is>
          <t>CZĘŚĆ</t>
        </is>
      </c>
      <c r="H138" s="11" t="inlineStr">
        <is>
          <t>CZĘŚĆ</t>
        </is>
      </c>
      <c r="I138" s="11" t="inlineStr">
        <is>
          <t>DZIAŁA</t>
        </is>
      </c>
      <c r="J138" s="12" t="inlineStr">
        <is>
          <t>ops/scripts/node-htaccess.sh; subscriptions/htaccess.service.ts; HtaccessPanel.tsx (strona → PHP i serwer); D3 t1 29.09 (panel klienta, d3.hvln.pl): HSTS włączony w „PHP i serwer” → nagłówek strict-transport-security: max-age=31536000 na /, /wp-login.php i plikach statycznych</t>
        </is>
      </c>
      <c r="K138" s="11" t="inlineStr">
        <is>
          <t>PARYTET</t>
        </is>
      </c>
      <c r="L138" s="11" t="inlineStr">
        <is>
          <t>NISKA</t>
        </is>
      </c>
      <c r="M138" s="11" t="inlineStr">
        <is>
          <t>S</t>
        </is>
      </c>
      <c r="N138" s="12" t="inlineStr">
        <is>
          <t>2026-09-24: KOD (D2) + skrypt sprawdzony lokalnie — HSTS na rok jednym przełącznikiem (Header always set w IfModule mod_headers; przeglądarki ignorują go po HTTP, więc bez warunku). Panel zarządza tylko blokiem „# BEGIN Verris” na początku public_html/.htaccess (reguły WordPressa i klienta zostają), plik czyta i zapisuje klient (dowiązanie → odmowa), po zapisie kontrola strony i przy 5xx powrót poprzedniego pliku. OTWARTE do D3 (sprint 21): Apache/LiteSpeed na węźle. | 2026-09-24 SKALA DOWODU (decyzja PM): funkcja bez pieniędzy, danych klienta i dostępu — D2 (test w CI) wystarcza do „zrobione”, więc werdykt PARYTET. Stan zostaje CZĘŚCIOWE do testu na węźle (audyt/dane/wezel.csv).</t>
        </is>
      </c>
    </row>
    <row r="139">
      <c r="A139" s="11" t="inlineStr">
        <is>
          <t>G-08</t>
        </is>
      </c>
      <c r="B139" s="12" t="inlineStr">
        <is>
          <t>G</t>
        </is>
      </c>
      <c r="C139" s="11" t="inlineStr">
        <is>
          <t>Sprzedaż certyfikatów DV/OV/EV</t>
        </is>
      </c>
      <c r="D139" s="11" t="inlineStr">
        <is>
          <t>NIE</t>
        </is>
      </c>
      <c r="E139" s="11" t="inlineStr">
        <is>
          <t>NIE</t>
        </is>
      </c>
      <c r="F139" s="11" t="inlineStr">
        <is>
          <t>NIE</t>
        </is>
      </c>
      <c r="G139" s="11" t="inlineStr">
        <is>
          <t>TAK</t>
        </is>
      </c>
      <c r="H139" s="11" t="inlineStr">
        <is>
          <t>CZĘŚĆ</t>
        </is>
      </c>
      <c r="I139" s="11" t="inlineStr">
        <is>
          <t>DZIAŁA</t>
        </is>
      </c>
      <c r="J139" s="12" t="inlineStr">
        <is>
          <t>apps/api/src/ssl/ssl.service.ts (zamówienie, klucz+CSR na serwerze, szyfrowany), registrar.provider.ts /v1/ssl/*, SslOrder (migracja 20261006090000_certyfikaty_ssl); client SslPlatne.tsx; admin ssl-prices-form.tsx</t>
        </is>
      </c>
      <c r="K139" s="11" t="inlineStr">
        <is>
          <t>CZĘŚCIOWY</t>
        </is>
      </c>
      <c r="L139" s="11" t="inlineStr">
        <is>
          <t>NISKA</t>
        </is>
      </c>
      <c r="M139" s="11" t="inlineStr">
        <is>
          <t>M</t>
        </is>
      </c>
      <c r="N139" s="12" t="inlineStr">
        <is>
          <t>wszystkie 5 hostingów PL to sprzedaje | 2026-10-05 KOD (D2): certyfikaty DV (single, wildcard) z portfela, cena brutto w adminie (puste = ukryte), walidacja DNS w naszej strefie albo e-mail, instalacja na koncie po wydaniu, przypomnienie 30 dni; OV/EV na zapytanie. Zostaje sandbox OP + D3 na t1. | 2026-10-06/07 D3 SANDBOX OpenProvider (test2.d3.hvln.pl, EssentialSSL 48,99 K): trzy pierwsze zamówienia odrzucone, zwrot do portfela zadziałał za każdym razem; przyczyna widoczna dopiero po 19f9613/086016a — „CSR contains an invalid country code” → b449a39 (C=PL w CSR). Czwarte zamówienie przyjęte: stan „oczekuje na weryfikację”, opłata pobrana. Zostaje: rekord DNS od wystawcy, wydanie i instalacja.</t>
        </is>
      </c>
    </row>
    <row r="140">
      <c r="A140" s="11" t="inlineStr">
        <is>
          <t>G-09</t>
        </is>
      </c>
      <c r="B140" s="12" t="inlineStr">
        <is>
          <t>G</t>
        </is>
      </c>
      <c r="C140" s="11" t="inlineStr">
        <is>
          <t>WAF — włączenie i tryb pracy</t>
        </is>
      </c>
      <c r="D140" s="11" t="inlineStr">
        <is>
          <t>CZĘŚĆ</t>
        </is>
      </c>
      <c r="E140" s="11" t="inlineStr">
        <is>
          <t>TAK</t>
        </is>
      </c>
      <c r="F140" s="11" t="inlineStr">
        <is>
          <t>CZĘŚĆ</t>
        </is>
      </c>
      <c r="G140" s="11" t="inlineStr">
        <is>
          <t>CZĘŚĆ</t>
        </is>
      </c>
      <c r="H140" s="11" t="inlineStr">
        <is>
          <t>CZĘŚĆ</t>
        </is>
      </c>
      <c r="I140" s="11" t="inlineStr">
        <is>
          <t>DZIAŁA</t>
        </is>
      </c>
      <c r="J140" s="12" t="inlineStr">
        <is>
          <t>services.controller.ts:203; D3 t1 (d3.hvln.pl) 29.09 po wdrożeniu (panel klienta): WAF aktywny: log błędów domeny pokazuje ModSecurity 406 (CRS 949110) dla ataku na xmlrpc.php</t>
        </is>
      </c>
      <c r="K140" s="11" t="inlineStr">
        <is>
          <t>PARYTET</t>
        </is>
      </c>
      <c r="L140" s="11" t="inlineStr">
        <is>
          <t>—</t>
        </is>
      </c>
      <c r="M140" s="11" t="inlineStr">
        <is>
          <t>—</t>
        </is>
      </c>
      <c r="N140" s="12" t="inlineStr">
        <is>
          <t>OFF/DETECTION/ON per konto; dhosting WAF-u nie ma | 2026-09-25 AUDYT SKRYPTÓW WĘZŁA z oficjalną dokumentacją (DA/CloudLinux/LiteSpeed), test src/test/wezel-zgodnie-z-dokumentacja.spec.ts: (1) BEZPIECZEŃSTWO: root dopisywał do .htaccess klienta i robił chown — dowiązanie symboliczne .htaccess → /etc/passwd dawało klientowi zapis do pliku systemowego; teraz edycja jako klient (runuser), walidacja loginu i domeny. (2) Dokumentacja LiteSpeed opisuje w .htaccess tylko `SecRuleEngine Off`; DetectionOnly/On w .htaccess i per-domenowy WAF DA (strona użytkownika „Web Application Firewall”) do weryfikacji na węźle. (3) profil węzła ustawiał modsecurity w CustomBuild bez `da build modsecurity` (log „włączony” bez instalacji) i nieistniejący klucz modsecurity_enabled — teraz build wg dokumentacji DA. | 2026-09-25 (cd.): blok WAF wg dokumentacji LiteSpeed — wyłączenie `&lt;IfModule mod_security.c&gt; SecRuleEngine Off / SecRequestBodyAccess Off`, tryb ON = brak bloku (konfiguracja serwera); DetectionOnly w .htaccess niedokumentowane w LiteSpeed — do sprawdzenia na węźle.</t>
        </is>
      </c>
    </row>
    <row r="141">
      <c r="A141" s="11" t="inlineStr">
        <is>
          <t>G-10</t>
        </is>
      </c>
      <c r="B141" s="12" t="inlineStr">
        <is>
          <t>G</t>
        </is>
      </c>
      <c r="C141" s="11" t="inlineStr">
        <is>
          <t>ModSecurity — zarządzanie regułami</t>
        </is>
      </c>
      <c r="D141" s="11" t="inlineStr">
        <is>
          <t>TAK</t>
        </is>
      </c>
      <c r="E141" s="11" t="inlineStr">
        <is>
          <t>TAK</t>
        </is>
      </c>
      <c r="F141" s="11" t="inlineStr">
        <is>
          <t>TAK</t>
        </is>
      </c>
      <c r="G141" s="11" t="inlineStr">
        <is>
          <t>NIE</t>
        </is>
      </c>
      <c r="H141" s="11" t="inlineStr">
        <is>
          <t>NIE</t>
        </is>
      </c>
      <c r="I141" s="11" t="inlineStr">
        <is>
          <t>BRAK</t>
        </is>
      </c>
      <c r="J141" s="12" t="inlineStr">
        <is>
          <t>—</t>
        </is>
      </c>
      <c r="K141" s="11" t="inlineStr">
        <is>
          <t>POZA ZAKRESEM</t>
        </is>
      </c>
      <c r="L141" s="11" t="inlineStr">
        <is>
          <t>NISKA</t>
        </is>
      </c>
      <c r="M141" s="11" t="inlineStr">
        <is>
          <t>—</t>
        </is>
      </c>
      <c r="N141" s="12" t="inlineStr">
        <is>
          <t>poziom operatora</t>
        </is>
      </c>
    </row>
    <row r="142">
      <c r="A142" s="11" t="inlineStr">
        <is>
          <t>G-11</t>
        </is>
      </c>
      <c r="B142" s="12" t="inlineStr">
        <is>
          <t>G</t>
        </is>
      </c>
      <c r="C142" s="11" t="inlineStr">
        <is>
          <t>Skaner malware dla klienta</t>
        </is>
      </c>
      <c r="D142" s="11" t="inlineStr">
        <is>
          <t>PŁATNE</t>
        </is>
      </c>
      <c r="E142" s="11" t="inlineStr">
        <is>
          <t>PŁATNE</t>
        </is>
      </c>
      <c r="F142" s="11" t="inlineStr">
        <is>
          <t>PŁATNE</t>
        </is>
      </c>
      <c r="G142" s="11" t="inlineStr">
        <is>
          <t>CZĘŚĆ</t>
        </is>
      </c>
      <c r="H142" s="11" t="inlineStr">
        <is>
          <t>TAK</t>
        </is>
      </c>
      <c r="I142" s="11" t="inlineStr">
        <is>
          <t>DZIAŁA</t>
        </is>
      </c>
      <c r="J142" s="12" t="inlineStr">
        <is>
          <t>ops/scripts/node-malware-scan.sh (zadanie MALWARE_SCAN: imunify-antivirus on-demand + malicious list, tylko pliki konta), instalacja ImunifyAV w node-hosting-profile.sh, subscriptions/malware-scan.service.ts, :id/hosting-malware(/scan|/refresh), panel MalwarePanel.tsx (Bezpieczeństwo); test malware-scan.service.spec.ts</t>
        </is>
      </c>
      <c r="K142" s="11" t="inlineStr">
        <is>
          <t>PARYTET</t>
        </is>
      </c>
      <c r="L142" s="11" t="inlineStr">
        <is>
          <t>WYSOKA</t>
        </is>
      </c>
      <c r="M142" s="11" t="inlineStr">
        <is>
          <t>L</t>
        </is>
      </c>
      <c r="N142" s="12" t="inlineStr">
        <is>
          <t>DECYZJA WŁAŚCICIELA 2026-09-24: na start darmowy ImunifyAV (skan + lista zainfekowanych plików z instrukcją), później płatny (czyszczenie). 2026-09-24: KOD (D2) + skrypt sprawdzony lokalnie na atrapie CLI. OTWARTE do D3 (sprint 21): instalacja ImunifyAV na węźle, faktyczny format JSON `malware malicious list`, czas pełnego skanu. | Imunify to koszt licencyjny — pozycja do unit economics | 2026-09-24 SKALA DOWODU (decyzja PM): funkcja bez pieniędzy, danych klienta i dostępu — D2 (test w CI) wystarcza do „zrobione”, więc werdykt PARYTET. Stan zostaje CZĘŚCIOWE do testu na węźle (audyt/dane/wezel.csv). | 2026-09-30 D3 t1: 30.09 d3.hvln.pl: skan z panelu wykrył testowy plik EICAR w public_html i pokazał go w wyniku; plik usunięty po teście.</t>
        </is>
      </c>
    </row>
    <row r="143">
      <c r="A143" s="11" t="inlineStr">
        <is>
          <t>G-12</t>
        </is>
      </c>
      <c r="B143" s="12" t="inlineStr">
        <is>
          <t>G</t>
        </is>
      </c>
      <c r="C143" s="11" t="inlineStr">
        <is>
          <t>Czyszczenie zainfekowanych plików</t>
        </is>
      </c>
      <c r="D143" s="11" t="inlineStr">
        <is>
          <t>PŁATNE</t>
        </is>
      </c>
      <c r="E143" s="11" t="inlineStr">
        <is>
          <t>PŁATNE</t>
        </is>
      </c>
      <c r="F143" s="11" t="inlineStr">
        <is>
          <t>PŁATNE</t>
        </is>
      </c>
      <c r="G143" s="11" t="inlineStr">
        <is>
          <t>CZĘŚĆ</t>
        </is>
      </c>
      <c r="H143" s="11" t="inlineStr">
        <is>
          <t>CZĘŚĆ</t>
        </is>
      </c>
      <c r="I143" s="11" t="inlineStr">
        <is>
          <t>DZIAŁA</t>
        </is>
      </c>
      <c r="J143" s="12" t="inlineStr">
        <is>
          <t>ops/scripts/node-malware-scan.sh (kwarantanna/przywroc/usun, manifest w ~/.verris-kwarantanna); subscriptions/malware-scan.service.ts; POST /services/:id/hosting-malware/kwarantanna[/przywroc|/usun]; client MalwarePanel.tsx; testy malware-scan.service.spec.ts, MalwarePanel.spec.tsx</t>
        </is>
      </c>
      <c r="K143" s="11" t="inlineStr">
        <is>
          <t>PARYTET</t>
        </is>
      </c>
      <c r="L143" s="11" t="inlineStr">
        <is>
          <t>ŚREDNIA</t>
        </is>
      </c>
      <c r="M143" s="11" t="inlineStr">
        <is>
          <t>L</t>
        </is>
      </c>
      <c r="N143" s="12" t="inlineStr">
        <is>
          <t xml:space="preserve"> | DECYZJA WŁAŚCICIELA 2026-09-25: na start darmowy ImunifyAV (wykrywanie, G-11), czyszczenie robi obsługa na zgłoszenie; płatny ImunifyAV+ po starcie (wybór „po starcie”). | 2026-10-05 KOD (decyzja właściciela): kwarantanna plików wykrytych przez darmowy ImunifyAV — przeniesienie poza public_html (tryb 000, manifest sha256), przywrócenie bez nadpisywania, usunięcie; podwójna walidacja ścieżek API + węzeł (8f0199ce). Czyszczenie kodu w pliku (ImunifyAV+) — nie. Zostaje: D3 na t1 z plikiem EICAR po reinstalacji agenta zadań. | 2026-10-05 D3 t1 (panel klienta, d3): EICAR w test2.d3.hvln.pl (.txt i .php) wykryty pełnym skanem, kwarantanna (strona 404), przywrócenie (200), trwałe usunięcie z kwarantanny; skan ponownie „czysto”. Poprawione przy teście: odmiana „2 pliki znikną … trafią”, „ostatni pełny skan” znikał po 5 operacjach kwarantanny.</t>
        </is>
      </c>
    </row>
    <row r="144">
      <c r="A144" s="11" t="inlineStr">
        <is>
          <t>G-13</t>
        </is>
      </c>
      <c r="B144" s="12" t="inlineStr">
        <is>
          <t>G</t>
        </is>
      </c>
      <c r="C144" s="11" t="inlineStr">
        <is>
          <t>2FA (TOTP) w panelu klienta</t>
        </is>
      </c>
      <c r="D144" s="11" t="inlineStr">
        <is>
          <t>TAK</t>
        </is>
      </c>
      <c r="E144" s="11" t="inlineStr">
        <is>
          <t>TAK</t>
        </is>
      </c>
      <c r="F144" s="11" t="inlineStr">
        <is>
          <t>TAK</t>
        </is>
      </c>
      <c r="G144" s="11" t="inlineStr">
        <is>
          <t>TAK</t>
        </is>
      </c>
      <c r="H144" s="11" t="inlineStr">
        <is>
          <t>TAK</t>
        </is>
      </c>
      <c r="I144" s="11" t="inlineStr">
        <is>
          <t>DZIAŁA</t>
        </is>
      </c>
      <c r="J144" s="12" t="inlineStr">
        <is>
          <t>auth.controller.ts:206,213</t>
        </is>
      </c>
      <c r="K144" s="11" t="inlineStr">
        <is>
          <t>PARYTET</t>
        </is>
      </c>
      <c r="L144" s="11" t="inlineStr">
        <is>
          <t>—</t>
        </is>
      </c>
      <c r="M144" s="11" t="inlineStr">
        <is>
          <t>—</t>
        </is>
      </c>
      <c r="N144" s="12" t="inlineStr">
        <is>
          <t>u nazwa.pl 2FA jest PŁATNE — nasza przewaga narracyjna | 2026-09-25: kod TOTP jest jednorazowy przy logowaniu — zapamiętany krok ostatnio przyjętego kodu (User.twoFactorLastStep, migracja 20260925100000_totp_replay), warunek w UPDATE atomowy także przy równoległych próbach. Wcześniej ten sam kod (np. podejrzany) logował ponownie przez ~90 s okna. Test two-factor.replay.spec.ts.</t>
        </is>
      </c>
    </row>
    <row r="145">
      <c r="A145" s="11" t="inlineStr">
        <is>
          <t>G-14</t>
        </is>
      </c>
      <c r="B145" s="12" t="inlineStr">
        <is>
          <t>G</t>
        </is>
      </c>
      <c r="C145" s="11" t="inlineStr">
        <is>
          <t>Kody odzyskiwania do 2FA</t>
        </is>
      </c>
      <c r="D145" s="11" t="inlineStr">
        <is>
          <t>TAK</t>
        </is>
      </c>
      <c r="E145" s="11" t="inlineStr">
        <is>
          <t>TAK</t>
        </is>
      </c>
      <c r="F145" s="11" t="inlineStr">
        <is>
          <t>CZĘŚĆ</t>
        </is>
      </c>
      <c r="G145" s="11" t="inlineStr">
        <is>
          <t>b.d.</t>
        </is>
      </c>
      <c r="H145" s="11" t="inlineStr">
        <is>
          <t>TAK</t>
        </is>
      </c>
      <c r="I145" s="11" t="inlineStr">
        <is>
          <t>DZIAŁA</t>
        </is>
      </c>
      <c r="J145" s="12" t="inlineStr">
        <is>
          <t>auth.controller.ts:206</t>
        </is>
      </c>
      <c r="K145" s="11" t="inlineStr">
        <is>
          <t>PARYTET</t>
        </is>
      </c>
      <c r="L145" s="11" t="inlineStr">
        <is>
          <t>—</t>
        </is>
      </c>
      <c r="M145" s="11" t="inlineStr">
        <is>
          <t>—</t>
        </is>
      </c>
      <c r="N145" s="12" t="inlineStr"/>
    </row>
    <row r="146">
      <c r="A146" s="11" t="inlineStr">
        <is>
          <t>G-15</t>
        </is>
      </c>
      <c r="B146" s="12" t="inlineStr">
        <is>
          <t>G</t>
        </is>
      </c>
      <c r="C146" s="11" t="inlineStr">
        <is>
          <t>Passkeys / WebAuthn</t>
        </is>
      </c>
      <c r="D146" s="11" t="inlineStr">
        <is>
          <t>NIE</t>
        </is>
      </c>
      <c r="E146" s="11" t="inlineStr">
        <is>
          <t>CZĘŚĆ</t>
        </is>
      </c>
      <c r="F146" s="11" t="inlineStr">
        <is>
          <t>NIE</t>
        </is>
      </c>
      <c r="G146" s="11" t="inlineStr">
        <is>
          <t>NIE</t>
        </is>
      </c>
      <c r="H146" s="11" t="inlineStr">
        <is>
          <t>CZĘŚĆ</t>
        </is>
      </c>
      <c r="I146" s="11" t="inlineStr">
        <is>
          <t>DZIAŁA</t>
        </is>
      </c>
      <c r="J146" s="12" t="inlineStr">
        <is>
          <t>auth.controller.ts:260,268,283</t>
        </is>
      </c>
      <c r="K146" s="11" t="inlineStr">
        <is>
          <t>PRZEWAGA</t>
        </is>
      </c>
      <c r="L146" s="11" t="inlineStr">
        <is>
          <t>—</t>
        </is>
      </c>
      <c r="M146" s="11" t="inlineStr">
        <is>
          <t>—</t>
        </is>
      </c>
      <c r="N146" s="12" t="inlineStr">
        <is>
          <t>nikt na rynku PL tego nie ma</t>
        </is>
      </c>
    </row>
    <row r="147">
      <c r="A147" s="11" t="inlineStr">
        <is>
          <t>G-16</t>
        </is>
      </c>
      <c r="B147" s="12" t="inlineStr">
        <is>
          <t>G</t>
        </is>
      </c>
      <c r="C147" s="11" t="inlineStr">
        <is>
          <t>Lista aktywnych sesji i zdalne wylogowanie</t>
        </is>
      </c>
      <c r="D147" s="11" t="inlineStr">
        <is>
          <t>CZĘŚĆ</t>
        </is>
      </c>
      <c r="E147" s="11" t="inlineStr">
        <is>
          <t>TAK</t>
        </is>
      </c>
      <c r="F147" s="11" t="inlineStr">
        <is>
          <t>CZĘŚĆ</t>
        </is>
      </c>
      <c r="G147" s="11" t="inlineStr">
        <is>
          <t>NIE</t>
        </is>
      </c>
      <c r="H147" s="11" t="inlineStr">
        <is>
          <t>CZĘŚĆ</t>
        </is>
      </c>
      <c r="I147" s="11" t="inlineStr">
        <is>
          <t>DZIAŁA</t>
        </is>
      </c>
      <c r="J147" s="12" t="inlineStr">
        <is>
          <t>auth.controller.ts:329,338</t>
        </is>
      </c>
      <c r="K147" s="11" t="inlineStr">
        <is>
          <t>PRZEWAGA</t>
        </is>
      </c>
      <c r="L147" s="11" t="inlineStr">
        <is>
          <t>—</t>
        </is>
      </c>
      <c r="M147" s="11" t="inlineStr">
        <is>
          <t>—</t>
        </is>
      </c>
      <c r="N147" s="12" t="inlineStr">
        <is>
          <t>2026-09-25: zmiana hasła w ustawieniach wylogowuje pozostałe urządzenia (unieważnia wszystkie sesje poza bieżącą) — wcześniej przejęta sesja przetrwałaby zmianę hasła; zmiana hasła ma też limit 10/h (bez niego przejęta sesja pozwalała zgadywać aktualne hasło). Test users.password.spec.ts.</t>
        </is>
      </c>
    </row>
    <row r="148">
      <c r="A148" s="11" t="inlineStr">
        <is>
          <t>G-17</t>
        </is>
      </c>
      <c r="B148" s="12" t="inlineStr">
        <is>
          <t>G</t>
        </is>
      </c>
      <c r="C148" s="11" t="inlineStr">
        <is>
          <t>Historia logowań</t>
        </is>
      </c>
      <c r="D148" s="11" t="inlineStr">
        <is>
          <t>TAK</t>
        </is>
      </c>
      <c r="E148" s="11" t="inlineStr">
        <is>
          <t>TAK</t>
        </is>
      </c>
      <c r="F148" s="11" t="inlineStr">
        <is>
          <t>TAK</t>
        </is>
      </c>
      <c r="G148" s="11" t="inlineStr">
        <is>
          <t>CZĘŚĆ</t>
        </is>
      </c>
      <c r="H148" s="11" t="inlineStr">
        <is>
          <t>TAK</t>
        </is>
      </c>
      <c r="I148" s="11" t="inlineStr">
        <is>
          <t>DZIAŁA</t>
        </is>
      </c>
      <c r="J148" s="12" t="inlineStr">
        <is>
          <t>users.controller.ts:38</t>
        </is>
      </c>
      <c r="K148" s="11" t="inlineStr">
        <is>
          <t>PARYTET</t>
        </is>
      </c>
      <c r="L148" s="11" t="inlineStr">
        <is>
          <t>—</t>
        </is>
      </c>
      <c r="M148" s="11" t="inlineStr">
        <is>
          <t>—</t>
        </is>
      </c>
      <c r="N148" s="12" t="inlineStr">
        <is>
          <t>bez geolokalizacji</t>
        </is>
      </c>
    </row>
    <row r="149">
      <c r="A149" s="11" t="inlineStr">
        <is>
          <t>G-18</t>
        </is>
      </c>
      <c r="B149" s="12" t="inlineStr">
        <is>
          <t>G</t>
        </is>
      </c>
      <c r="C149" s="11" t="inlineStr">
        <is>
          <t>Dziennik aktywności konta</t>
        </is>
      </c>
      <c r="D149" s="11" t="inlineStr">
        <is>
          <t>TAK</t>
        </is>
      </c>
      <c r="E149" s="11" t="inlineStr">
        <is>
          <t>TAK</t>
        </is>
      </c>
      <c r="F149" s="11" t="inlineStr">
        <is>
          <t>CZĘŚĆ</t>
        </is>
      </c>
      <c r="G149" s="11" t="inlineStr">
        <is>
          <t>CZĘŚĆ</t>
        </is>
      </c>
      <c r="H149" s="11" t="inlineStr">
        <is>
          <t>CZĘŚĆ</t>
        </is>
      </c>
      <c r="I149" s="11" t="inlineStr">
        <is>
          <t>CZĘŚCIOWE</t>
        </is>
      </c>
      <c r="J149" s="12" t="inlineStr">
        <is>
          <t>users.controller.ts:44; users.service.ts listMyActivity; lib/etykiety-dziennika.ts; settings/activity-log-section.tsx; test users.activity.spec.ts</t>
        </is>
      </c>
      <c r="K149" s="11" t="inlineStr">
        <is>
          <t>PARYTET</t>
        </is>
      </c>
      <c r="L149" s="11" t="inlineStr">
        <is>
          <t>ŚREDNIA</t>
        </is>
      </c>
      <c r="M149" s="11" t="inlineStr">
        <is>
          <t>S</t>
        </is>
      </c>
      <c r="N149" s="12" t="inlineStr">
        <is>
          <t>OSŁABIONE: users.service.ts:664-707 filtruje przez białą listę 14 akcji HOSTING_*. Poza dziennikiem zostają logowania, zmiany 2FA, odtworzenia z kopii, publikacje staging, zmiany planu i billing. Rekord nie ma pola aktora. | 2026-09-25: KOD (D2) — biała lista zastąpiona: dziennik pokazuje wszystkie akcje HOSTING_* (62) oraz zdarzenia konta (asystent, webhooki, program partnerski), zdarzenia własne i wykonane przez subkonta na koncie; każdy wpis ma „wykonał(a)” (e-mail subkonta albo „obsługa Verris” dla działań operatora). Etykiety wspólne z dziennikiem IAM. Logowania/2FA nadal poza dziennikiem (osobna sekcja bezpieczeństwa). D3: podgląd na produkcji po deployu. | 2026-09-25 (2): działania operatora „jako klient” (impersonacja) zapisywały się w dzienniku jak działania klienta (actorUserId = klient, bez śladu operatora). Teraz globalny kontekst żądania dopisuje impersonatedBy do każdego wpisu z takiej sesji, a dziennik klienta pokazuje „wykonał(a): obsługa Verris”. Test kontekst-zadania.spec.ts (także po await), users.activity.spec.ts. | SPRAWDZONE NA PRODUKCJI 26.09: sekcja „Aktywność konta” w Ustawieniach → Bezpieczeństwo pokazuje wpisy (reseller, poddomena) z datami; wykonawca spoza konta dopisywany jako „wykonał(a)”.</t>
        </is>
      </c>
    </row>
    <row r="150">
      <c r="A150" s="11" t="inlineStr">
        <is>
          <t>G-19</t>
        </is>
      </c>
      <c r="B150" s="12" t="inlineStr">
        <is>
          <t>G</t>
        </is>
      </c>
      <c r="C150" s="11" t="inlineStr">
        <is>
          <t>Auto-wylogowanie po bezczynności</t>
        </is>
      </c>
      <c r="D150" s="11" t="inlineStr">
        <is>
          <t>CZĘŚĆ</t>
        </is>
      </c>
      <c r="E150" s="11" t="inlineStr">
        <is>
          <t>TAK</t>
        </is>
      </c>
      <c r="F150" s="11" t="inlineStr">
        <is>
          <t>CZĘŚĆ</t>
        </is>
      </c>
      <c r="G150" s="11" t="inlineStr">
        <is>
          <t>b.d.</t>
        </is>
      </c>
      <c r="H150" s="11" t="inlineStr">
        <is>
          <t>CZĘŚĆ</t>
        </is>
      </c>
      <c r="I150" s="11" t="inlineStr">
        <is>
          <t>DZIAŁA</t>
        </is>
      </c>
      <c r="J150" s="12" t="inlineStr">
        <is>
          <t>session-idle-guard.tsx | 2026-09-23: POST /auth/logout → AuthService.logoutCurrentSession (UserSession.revokedAt dla sid bieżącego tokenu; JwtStrategy odrzuca odwołaną sesję od następnego żądania); wołane przed usunięciem ciasteczka w panelu klienta (także wylogowanie po bezczynności — session-idle-guard → logoutAction), admina i staffu; test D2 auth.service.spec.ts</t>
        </is>
      </c>
      <c r="K150" s="11" t="inlineStr">
        <is>
          <t>PARYTET</t>
        </is>
      </c>
      <c r="L150" s="11" t="inlineStr">
        <is>
          <t>ŚREDNIA</t>
        </is>
      </c>
      <c r="M150" s="11" t="inlineStr">
        <is>
          <t>S</t>
        </is>
      </c>
      <c r="N150" s="12" t="inlineStr">
        <is>
          <t>OSŁABIONE: wygaszenie to samo usunięcie ciasteczka (dashboard/actions.ts:6-9). UserSession.revokedAt zostaje null, JWT jest ważny do TTL. To timeout UI, nie kontrola bezpieczeństwa. | 2026-09-23: naprawione — wylogowanie (ręczne i po bezczynności) unieważnia sesję po stronie serwera we wszystkich trzech panelach. Token impersonacji nie ma sid i wygasa po 30 min.</t>
        </is>
      </c>
    </row>
    <row r="151">
      <c r="A151" s="11" t="inlineStr">
        <is>
          <t>G-20</t>
        </is>
      </c>
      <c r="B151" s="12" t="inlineStr">
        <is>
          <t>G</t>
        </is>
      </c>
      <c r="C151" s="11" t="inlineStr">
        <is>
          <t>Ochrona przed atakiem słownikowym na panel</t>
        </is>
      </c>
      <c r="D151" s="11" t="inlineStr">
        <is>
          <t>TAK</t>
        </is>
      </c>
      <c r="E151" s="11" t="inlineStr">
        <is>
          <t>TAK</t>
        </is>
      </c>
      <c r="F151" s="11" t="inlineStr">
        <is>
          <t>TAK</t>
        </is>
      </c>
      <c r="G151" s="11" t="inlineStr">
        <is>
          <t>TAK</t>
        </is>
      </c>
      <c r="H151" s="11" t="inlineStr">
        <is>
          <t>TAK</t>
        </is>
      </c>
      <c r="I151" s="11" t="inlineStr">
        <is>
          <t>DZIAŁA</t>
        </is>
      </c>
      <c r="J151" s="12" t="inlineStr">
        <is>
          <t>2026-09-23 D2: common/guards/rate-limit.guard.spec.ts (6 testów: limit per IP, per e-mail z wielu IP, reset okna, zakresy i @SkipRateLimit, przepełnienie mapy, awaria Redisa)</t>
        </is>
      </c>
      <c r="K151" s="11" t="inlineStr">
        <is>
          <t>PARYTET</t>
        </is>
      </c>
      <c r="L151" s="11" t="inlineStr">
        <is>
          <t>WYSOKA</t>
        </is>
      </c>
      <c r="M151" s="11" t="inlineStr">
        <is>
          <t>S</t>
        </is>
      </c>
      <c r="N151" s="12"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row>
    <row r="152">
      <c r="A152" s="11" t="inlineStr">
        <is>
          <t>G-21</t>
        </is>
      </c>
      <c r="B152" s="12" t="inlineStr">
        <is>
          <t>G</t>
        </is>
      </c>
      <c r="C152" s="11" t="inlineStr">
        <is>
          <t>Anty-DDoS</t>
        </is>
      </c>
      <c r="D152" s="11" t="inlineStr">
        <is>
          <t>NIE</t>
        </is>
      </c>
      <c r="E152" s="11" t="inlineStr">
        <is>
          <t>NIE</t>
        </is>
      </c>
      <c r="F152" s="11" t="inlineStr">
        <is>
          <t>NIE</t>
        </is>
      </c>
      <c r="G152" s="11" t="inlineStr">
        <is>
          <t>TAK</t>
        </is>
      </c>
      <c r="H152" s="11" t="inlineStr">
        <is>
          <t>CZĘŚĆ</t>
        </is>
      </c>
      <c r="I152" s="11" t="inlineStr">
        <is>
          <t>DZIAŁA</t>
        </is>
      </c>
      <c r="J152" s="12" t="inlineStr">
        <is>
          <t>ops/docs/DDOS.md; Hetzner DDoS Protection (L3/L4, w cenie); RateLimitGuard + Turnstile (L7 panel/API); LiteSpeed Per-Client Throttling (węzeł, onboarding)</t>
        </is>
      </c>
      <c r="K152" s="11" t="inlineStr">
        <is>
          <t>CZĘŚCIOWY</t>
        </is>
      </c>
      <c r="L152" s="11" t="inlineStr">
        <is>
          <t>ŚREDNIA</t>
        </is>
      </c>
      <c r="M152" s="11" t="inlineStr">
        <is>
          <t>L</t>
        </is>
      </c>
      <c r="N152" s="12" t="inlineStr">
        <is>
          <t>wszystkie 5 hostingów PL to deklaruje — brak w ofercie będzie widoczny | DECYZJA WŁAŚCICIELA 2026-09-25: na start ochrona DDoS Hetznera (w cenie), Cloudflare przed panelem/verris.pl po starcie. | 2026-09-25: ops/docs/DDOS.md — warstwy wg oficjalnych źródeł: Hetzner (hetzner.com → DDoS-Schutz: L3/L4 UDP/SYN/DNS/NTP, automatycznie, bezpłatnie dla wszystkich, bez opisu L7), L7 panel/API po naszej stronie (RateLimitGuard, Turnstile), L7 stron klientów: LiteSpeed Per-Client Throttling z wartościami z dokumentacji LiteSpeed (Static 40/s, Dynamic 2/s, Soft 15, Hard 20, Grace 15 s, Ban 60 s) + reCAPTCHA serwera w czasie ataku. Na verris.pl nie ma dziś żadnej obietnicy anty-DDoS — ewentualny opis w PB-07 tylko w tym zakresie. ZOSTAJE: ustawienie throttlingu na węźle przy onboardingu (D3), Cloudflare po starcie. | 2026-10-02 D3: 02.10 t1: profil (efcb7e7) ustawia Per-Client Throttling — httpd_config.xml: dynReqPerSec 20, softLimit 100, hardLimit 150, grace 15, ban 60 (log profilu [OK]); accessControl bez wyjątków poza zakresami Cloudflare. Testy: z t1 200 żądań PHP 7,3 s vs statyki 1,2 s (niejednoznaczne — limity LVE); z Maca ab -c 130 -k 25 s → 496 odpowiedzi uciętych (Length), 0 odrzuconych połączeń (zgodnie z dokumentacją LSWS rozłącza keep-alive ponad soft limit); 130 wolnych pobrań z Maca przez 30 s → BLOCKED_IP w /tmp/lshttpd/.rtreport pusty, strona odpowiada 200. ZOSTAJE: blokady IP nie udało się wywołać — sprawdzić edycję licencji LSWS (lshttpd -V) i czy throttling dotyczy HTTP/2. | 2026-10-04: DECYZJA WŁAŚCICIELA — G-21 domknięte na zgodności konfiguracji z dokumentacją LiteSpeed, bez celowego wywoływania bana. Wg docs.litespeedtech.com/cp/cpanel/antiddos i docs.openlitespeed.org/security/throttling: przekroczenie req/s tylko dławi (bez bana); ban wyłącznie za równoczesne połączenia z IP (hard limit od razu, soft limit przez grace period). Na t1 (LSWS 6.3.7 Enterprise) httpd_config.xml zgodny z ops/docs/DDOS.md (dynReqPerSec 20, softLimit 100, hardLimit 150, grace 15, ban 60), a obserwacja z 02.10 (ucinanie połączeń keep-alive ponad soft limit, inne IP bez wpływu) potwierdza działanie dławienia. Brak bana w teście = zgodne z dokumentacją (test nie utrzymywał połączeń ponad limit). L3/L4: Hetzner; Cloudflare przed panelem po starcie.</t>
        </is>
      </c>
    </row>
    <row r="153">
      <c r="A153" s="11" t="inlineStr">
        <is>
          <t>G-22</t>
        </is>
      </c>
      <c r="B153" s="12" t="inlineStr">
        <is>
          <t>G</t>
        </is>
      </c>
      <c r="C153" s="11" t="inlineStr">
        <is>
          <t>Powiadomienie o podejrzanym logowaniu</t>
        </is>
      </c>
      <c r="D153" s="11" t="inlineStr">
        <is>
          <t>CZĘŚĆ</t>
        </is>
      </c>
      <c r="E153" s="11" t="inlineStr">
        <is>
          <t>TAK</t>
        </is>
      </c>
      <c r="F153" s="11" t="inlineStr">
        <is>
          <t>CZĘŚĆ</t>
        </is>
      </c>
      <c r="G153" s="11" t="inlineStr">
        <is>
          <t>b.d.</t>
        </is>
      </c>
      <c r="H153" s="11" t="inlineStr">
        <is>
          <t>CZĘŚĆ</t>
        </is>
      </c>
      <c r="I153" s="11" t="inlineStr">
        <is>
          <t>DZIAŁA</t>
        </is>
      </c>
      <c r="J153" s="12" t="inlineStr">
        <is>
          <t>auth/login-event.service.ts record → notifyNewDevice (newDeviceLoginTemplate, nadawca SECURITY): odcisk UA + sieć /24 (/48), znane urządzenie = 90 dni, bez alertu przy pierwszym logowaniu, wyłączane preferencją loginAlertsEmail; test D2 login-event.service.spec.ts</t>
        </is>
      </c>
      <c r="K153" s="11" t="inlineStr">
        <is>
          <t>PARYTET</t>
        </is>
      </c>
      <c r="L153" s="11" t="inlineStr">
        <is>
          <t>NISKA</t>
        </is>
      </c>
      <c r="M153" s="11" t="inlineStr">
        <is>
          <t>S</t>
        </is>
      </c>
      <c r="N153" s="12" t="inlineStr">
        <is>
          <t>2026-09-23 PORZĄDKI: funkcja istniała (E-8), macierz miała BRAK. Dopisany test.</t>
        </is>
      </c>
    </row>
    <row r="154">
      <c r="A154" s="11" t="inlineStr">
        <is>
          <t>G-23</t>
        </is>
      </c>
      <c r="B154" s="12" t="inlineStr">
        <is>
          <t>G</t>
        </is>
      </c>
      <c r="C154" s="11" t="inlineStr">
        <is>
          <t>Blokada logowania klienta przez operatora</t>
        </is>
      </c>
      <c r="D154" s="11" t="inlineStr">
        <is>
          <t>TAK</t>
        </is>
      </c>
      <c r="E154" s="11" t="inlineStr">
        <is>
          <t>TAK</t>
        </is>
      </c>
      <c r="F154" s="11" t="inlineStr">
        <is>
          <t>TAK</t>
        </is>
      </c>
      <c r="G154" s="11" t="inlineStr">
        <is>
          <t>b.d.</t>
        </is>
      </c>
      <c r="H154" s="11" t="inlineStr">
        <is>
          <t>b.d.</t>
        </is>
      </c>
      <c r="I154" s="11" t="inlineStr">
        <is>
          <t>DZIAŁA</t>
        </is>
      </c>
      <c r="J154" s="12" t="inlineStr">
        <is>
          <t>users.admin.controller.ts:142</t>
        </is>
      </c>
      <c r="K154" s="11" t="inlineStr">
        <is>
          <t>PARYTET</t>
        </is>
      </c>
      <c r="L154" s="11" t="inlineStr">
        <is>
          <t>—</t>
        </is>
      </c>
      <c r="M154" s="11" t="inlineStr">
        <is>
          <t>—</t>
        </is>
      </c>
      <c r="N154" s="12" t="inlineStr">
        <is>
          <t>uwaga: blokuje logowanie, NIE wyłącza hostingu</t>
        </is>
      </c>
    </row>
    <row r="155">
      <c r="A155" s="11" t="inlineStr">
        <is>
          <t>G-24</t>
        </is>
      </c>
      <c r="B155" s="12" t="inlineStr">
        <is>
          <t>G</t>
        </is>
      </c>
      <c r="C155" s="11" t="inlineStr">
        <is>
          <t>Break-glass / dostęp awaryjny operatora</t>
        </is>
      </c>
      <c r="D155" s="11" t="inlineStr">
        <is>
          <t>CZĘŚĆ</t>
        </is>
      </c>
      <c r="E155" s="11" t="inlineStr">
        <is>
          <t>CZĘŚĆ</t>
        </is>
      </c>
      <c r="F155" s="11" t="inlineStr">
        <is>
          <t>CZĘŚĆ</t>
        </is>
      </c>
      <c r="G155" s="11" t="inlineStr">
        <is>
          <t>b.d.</t>
        </is>
      </c>
      <c r="H155" s="11" t="inlineStr">
        <is>
          <t>b.d.</t>
        </is>
      </c>
      <c r="I155" s="11" t="inlineStr">
        <is>
          <t>DZIAŁA</t>
        </is>
      </c>
      <c r="J155" s="12" t="inlineStr">
        <is>
          <t>settings/security/actions.ts:15,23</t>
        </is>
      </c>
      <c r="K155" s="11" t="inlineStr">
        <is>
          <t>PRZEWAGA</t>
        </is>
      </c>
      <c r="L155" s="11" t="inlineStr">
        <is>
          <t>—</t>
        </is>
      </c>
      <c r="M155" s="11" t="inlineStr">
        <is>
          <t>—</t>
        </is>
      </c>
      <c r="N155" s="12" t="inlineStr"/>
    </row>
    <row r="156">
      <c r="A156" s="11" t="inlineStr">
        <is>
          <t>Z-03</t>
        </is>
      </c>
      <c r="B156" s="12" t="inlineStr">
        <is>
          <t>G</t>
        </is>
      </c>
      <c r="C156" s="11" t="inlineStr">
        <is>
          <t>Walidacja danych migracji przed użyciem w poleceniu powłoki</t>
        </is>
      </c>
      <c r="D156" s="11" t="inlineStr">
        <is>
          <t>—</t>
        </is>
      </c>
      <c r="E156" s="11" t="inlineStr">
        <is>
          <t>—</t>
        </is>
      </c>
      <c r="F156" s="11" t="inlineStr">
        <is>
          <t>—</t>
        </is>
      </c>
      <c r="G156" s="11" t="inlineStr">
        <is>
          <t>—</t>
        </is>
      </c>
      <c r="H156" s="11" t="inlineStr">
        <is>
          <t>—</t>
        </is>
      </c>
      <c r="I156" s="11" t="inlineStr">
        <is>
          <t>DZIAŁA</t>
        </is>
      </c>
      <c r="J156" s="12"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K156" s="11" t="inlineStr">
        <is>
          <t>PARYTET</t>
        </is>
      </c>
      <c r="L156" s="11" t="inlineStr">
        <is>
          <t>—</t>
        </is>
      </c>
      <c r="M156" s="11" t="inlineStr">
        <is>
          <t>M</t>
        </is>
      </c>
      <c r="N156" s="12"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row>
    <row r="157">
      <c r="A157" s="11" t="inlineStr">
        <is>
          <t>H-01</t>
        </is>
      </c>
      <c r="B157" s="12" t="inlineStr">
        <is>
          <t>H</t>
        </is>
      </c>
      <c r="C157" s="11" t="inlineStr">
        <is>
          <t>Kopia zapasowa na żądanie</t>
        </is>
      </c>
      <c r="D157" s="11" t="inlineStr">
        <is>
          <t>TAK</t>
        </is>
      </c>
      <c r="E157" s="11" t="inlineStr">
        <is>
          <t>TAK</t>
        </is>
      </c>
      <c r="F157" s="11" t="inlineStr">
        <is>
          <t>TAK</t>
        </is>
      </c>
      <c r="G157" s="11" t="inlineStr">
        <is>
          <t>TAK</t>
        </is>
      </c>
      <c r="H157" s="11" t="inlineStr">
        <is>
          <t>TAK</t>
        </is>
      </c>
      <c r="I157" s="11" t="inlineStr">
        <is>
          <t>DZIAŁA</t>
        </is>
      </c>
      <c r="J157" s="12" t="inlineStr">
        <is>
          <t>services.controller.ts:915; D3 t1 (d3.hvln.pl) 29.09 00:40: „Utwórz kopię teraz” → backup-Sep-29-2026-1.tar.zst w /backups</t>
        </is>
      </c>
      <c r="K157" s="11" t="inlineStr">
        <is>
          <t>PARYTET</t>
        </is>
      </c>
      <c r="L157" s="11" t="inlineStr">
        <is>
          <t>—</t>
        </is>
      </c>
      <c r="M157" s="11" t="inlineStr">
        <is>
          <t>—</t>
        </is>
      </c>
      <c r="N157" s="12" t="inlineStr">
        <is>
          <t>CMD_API_SITE_BACKUP | 2026-10-06 D3 t1 (próba bety, scenariusz 6): „Utwórz kopię teraz” na d3 → backup-Oct-06-2026-2.tar.zst na liście kopii po ok. 2 min.</t>
        </is>
      </c>
    </row>
    <row r="158">
      <c r="A158" s="11" t="inlineStr">
        <is>
          <t>H-02</t>
        </is>
      </c>
      <c r="B158" s="12" t="inlineStr">
        <is>
          <t>H</t>
        </is>
      </c>
      <c r="C158" s="11" t="inlineStr">
        <is>
          <t>Harmonogram kopii (dzienny/tygodniowy)</t>
        </is>
      </c>
      <c r="D158" s="11" t="inlineStr">
        <is>
          <t>TAK</t>
        </is>
      </c>
      <c r="E158" s="11" t="inlineStr">
        <is>
          <t>TAK</t>
        </is>
      </c>
      <c r="F158" s="11" t="inlineStr">
        <is>
          <t>TAK</t>
        </is>
      </c>
      <c r="G158" s="11" t="inlineStr">
        <is>
          <t>TAK</t>
        </is>
      </c>
      <c r="H158" s="11" t="inlineStr">
        <is>
          <t>TAK</t>
        </is>
      </c>
      <c r="I158" s="11" t="inlineStr">
        <is>
          <t>DZIAŁA</t>
        </is>
      </c>
      <c r="J158" s="12" t="inlineStr">
        <is>
          <t>services.controller.ts:926; D3 t1 (d3.hvln.pl) 29.09: harmonogram z panelu (codziennie 03:00 UTC) — kopia wykonana 05:00 CEST, status OK w panelu</t>
        </is>
      </c>
      <c r="K158" s="11" t="inlineStr">
        <is>
          <t>PARYTET</t>
        </is>
      </c>
      <c r="L158" s="11" t="inlineStr">
        <is>
          <t>—</t>
        </is>
      </c>
      <c r="M158" s="11" t="inlineStr">
        <is>
          <t>—</t>
        </is>
      </c>
      <c r="N158" s="12" t="inlineStr">
        <is>
          <t xml:space="preserve"> | 2026-09-25: provisioning zakłada codzienny harmonogram kopii (7 ostatnich) w tej samej transakcji co konto — obietnica verris.pl „kopie w ramach usługi” od pierwszego dnia; klient zmienia/wyłącza w zakładce kopii. Test plans/plan-produkcyjny.spec.ts.</t>
        </is>
      </c>
    </row>
    <row r="159">
      <c r="A159" s="11" t="inlineStr">
        <is>
          <t>H-03</t>
        </is>
      </c>
      <c r="B159" s="12" t="inlineStr">
        <is>
          <t>H</t>
        </is>
      </c>
      <c r="C159" s="11" t="inlineStr">
        <is>
          <t>Konfigurowalna retencja kopii</t>
        </is>
      </c>
      <c r="D159" s="11" t="inlineStr">
        <is>
          <t>TAK</t>
        </is>
      </c>
      <c r="E159" s="11" t="inlineStr">
        <is>
          <t>TAK</t>
        </is>
      </c>
      <c r="F159" s="11" t="inlineStr">
        <is>
          <t>TAK</t>
        </is>
      </c>
      <c r="G159" s="11" t="inlineStr">
        <is>
          <t>TAK</t>
        </is>
      </c>
      <c r="H159" s="11" t="inlineStr">
        <is>
          <t>TAK</t>
        </is>
      </c>
      <c r="I159" s="11" t="inlineStr">
        <is>
          <t>DZIAŁA</t>
        </is>
      </c>
      <c r="J159" s="12" t="inlineStr">
        <is>
          <t>services.controller.ts:926; D3 t1 (d3.hvln.pl) 29.09: DA 1.710 robi .tar.zst z datą epoch — retencja pomijała .tar.zst, a przy dacie NaN sortowała po nazwie (Sep &gt; Oct = kasowanie najnowszych); poprawka 8f7b043 + test; retest po wdrożeniu</t>
        </is>
      </c>
      <c r="K159" s="11" t="inlineStr">
        <is>
          <t>PARYTET</t>
        </is>
      </c>
      <c r="L159" s="11" t="inlineStr">
        <is>
          <t>WYSOKA</t>
        </is>
      </c>
      <c r="M159" s="11" t="inlineStr">
        <is>
          <t>—</t>
        </is>
      </c>
      <c r="N159" s="12" t="inlineStr">
        <is>
          <t>2026-10-04: D3 na t1 — retencja po poprawce 8f7b043 działa: harmonogram dobowy 03:00, „zachowaj 7”; w panelu klienta (Kopie zapasowe) 04.10 kopie automatyczne z 02.10–04.10 (6 plików .tar.zst) + kopie WordPress, kopie z 29–30.09 usunięte jako najstarsze (nie najnowsze, jak przed poprawką); ostatnia kopia automatyczna 04.10 05:00 OK, off-site 04.10 03:41.</t>
        </is>
      </c>
    </row>
    <row r="160">
      <c r="A160" s="11" t="inlineStr">
        <is>
          <t>H-04</t>
        </is>
      </c>
      <c r="B160" s="12" t="inlineStr">
        <is>
          <t>H</t>
        </is>
      </c>
      <c r="C160" s="11" t="inlineStr">
        <is>
          <t>Retencja co najmniej 28 dni w cenie</t>
        </is>
      </c>
      <c r="D160" s="11" t="inlineStr">
        <is>
          <t>—</t>
        </is>
      </c>
      <c r="E160" s="11" t="inlineStr">
        <is>
          <t>—</t>
        </is>
      </c>
      <c r="F160" s="11" t="inlineStr">
        <is>
          <t>—</t>
        </is>
      </c>
      <c r="G160" s="11" t="inlineStr">
        <is>
          <t>CZĘŚĆ</t>
        </is>
      </c>
      <c r="H160" s="11" t="inlineStr">
        <is>
          <t>CZĘŚĆ</t>
        </is>
      </c>
      <c r="I160" s="11" t="inlineStr">
        <is>
          <t>DZIAŁA</t>
        </is>
      </c>
      <c r="J160" s="12" t="inlineStr">
        <is>
          <t>off-site: 30 dni (node-offsite-backup.sh:101); libs/contracts/src/kopie.ts; hosting-offsite-panel.tsx; test kopie-30-dni.spec.ts</t>
        </is>
      </c>
      <c r="K160" s="11" t="inlineStr">
        <is>
          <t>PARYTET</t>
        </is>
      </c>
      <c r="L160" s="11" t="inlineStr">
        <is>
          <t>WYSOKA</t>
        </is>
      </c>
      <c r="M160" s="11" t="inlineStr">
        <is>
          <t>M</t>
        </is>
      </c>
      <c r="N160" s="12" t="inlineStr">
        <is>
          <t>cyber_Folks 28 dni, seohost do 60 dni — to jest poprzeczka rynkowa | DECYZJA WŁAŚCICIELA 2026-09-25: pokazujemy 30 dni — kopia poza serwerem z każdego z ostatnich 30 dni, klient sam wybiera dzień i przywraca (S-1, offsite-restore). KOD (D2): stała KOPIE_OFFSITE_DNI=30 w panelu (kopie off-site) i na verris.pl (cennik, llms.txt); strażnik kopie-30-dni.spec.ts pilnuje zgodności z RETENTION_DAYS skryptu węzła. D3 w wezel.csv. Do dokumentów prawnych (PB-03): Regulamin §… może wymienić 30 dni. | 01.10 na t1: wybór dnia, pobranie wersji z 30.09 na serwer i przywrócenie z listy kopii działają z panelu.</t>
        </is>
      </c>
    </row>
    <row r="161">
      <c r="A161" s="11" t="inlineStr">
        <is>
          <t>H-05</t>
        </is>
      </c>
      <c r="B161" s="12" t="inlineStr">
        <is>
          <t>H</t>
        </is>
      </c>
      <c r="C161" s="11" t="inlineStr">
        <is>
          <t>Lista dostępnych kopii</t>
        </is>
      </c>
      <c r="D161" s="11" t="inlineStr">
        <is>
          <t>TAK</t>
        </is>
      </c>
      <c r="E161" s="11" t="inlineStr">
        <is>
          <t>TAK</t>
        </is>
      </c>
      <c r="F161" s="11" t="inlineStr">
        <is>
          <t>TAK</t>
        </is>
      </c>
      <c r="G161" s="11" t="inlineStr">
        <is>
          <t>TAK</t>
        </is>
      </c>
      <c r="H161" s="11" t="inlineStr">
        <is>
          <t>TAK</t>
        </is>
      </c>
      <c r="I161" s="11" t="inlineStr">
        <is>
          <t>DZIAŁA</t>
        </is>
      </c>
      <c r="J161" s="12" t="inlineStr">
        <is>
          <t>services.controller.ts:768; D3 t1 (d3.hvln.pl) 29.09 FAIL: archiwum w /backups, panel „Brak kopii” (goła tablica JSON; /backups bez archiwów = 404 jako błąd); poprawka 8f7b043 czeka na wdrożenie; retest; D3 t1 (d3.hvln.pl) 29.09 po wdrożeniu: lista pokazuje 2 archiwa (ręczne 00:40 i z harmonogramu 05:00)</t>
        </is>
      </c>
      <c r="K161" s="11" t="inlineStr">
        <is>
          <t>PARYTET</t>
        </is>
      </c>
      <c r="L161" s="11" t="inlineStr">
        <is>
          <t>—</t>
        </is>
      </c>
      <c r="M161" s="11" t="inlineStr">
        <is>
          <t>—</t>
        </is>
      </c>
      <c r="N161" s="12" t="inlineStr"/>
    </row>
    <row r="162">
      <c r="A162" s="11" t="inlineStr">
        <is>
          <t>H-06</t>
        </is>
      </c>
      <c r="B162" s="12" t="inlineStr">
        <is>
          <t>H</t>
        </is>
      </c>
      <c r="C162" s="11" t="inlineStr">
        <is>
          <t>Samodzielne odtworzenie plików</t>
        </is>
      </c>
      <c r="D162" s="11" t="inlineStr">
        <is>
          <t>TAK</t>
        </is>
      </c>
      <c r="E162" s="11" t="inlineStr">
        <is>
          <t>TAK</t>
        </is>
      </c>
      <c r="F162" s="11" t="inlineStr">
        <is>
          <t>TAK</t>
        </is>
      </c>
      <c r="G162" s="11" t="inlineStr">
        <is>
          <t>TAK</t>
        </is>
      </c>
      <c r="H162" s="11" t="inlineStr">
        <is>
          <t>TAK</t>
        </is>
      </c>
      <c r="I162" s="11" t="inlineStr">
        <is>
          <t>DZIAŁA</t>
        </is>
      </c>
      <c r="J162" s="12" t="inlineStr">
        <is>
          <t>services.controller.ts:811</t>
        </is>
      </c>
      <c r="K162" s="11" t="inlineStr">
        <is>
          <t>PARYTET</t>
        </is>
      </c>
      <c r="L162" s="11" t="inlineStr">
        <is>
          <t>—</t>
        </is>
      </c>
      <c r="M162" s="11" t="inlineStr">
        <is>
          <t>—</t>
        </is>
      </c>
      <c r="N162" s="12" t="inlineStr"/>
    </row>
    <row r="163">
      <c r="A163" s="11" t="inlineStr">
        <is>
          <t>H-07</t>
        </is>
      </c>
      <c r="B163" s="12" t="inlineStr">
        <is>
          <t>H</t>
        </is>
      </c>
      <c r="C163" s="11" t="inlineStr">
        <is>
          <t>Samodzielne odtworzenie bazy danych</t>
        </is>
      </c>
      <c r="D163" s="11" t="inlineStr">
        <is>
          <t>TAK</t>
        </is>
      </c>
      <c r="E163" s="11" t="inlineStr">
        <is>
          <t>TAK</t>
        </is>
      </c>
      <c r="F163" s="11" t="inlineStr">
        <is>
          <t>TAK</t>
        </is>
      </c>
      <c r="G163" s="11" t="inlineStr">
        <is>
          <t>TAK</t>
        </is>
      </c>
      <c r="H163" s="11" t="inlineStr">
        <is>
          <t>TAK</t>
        </is>
      </c>
      <c r="I163" s="11" t="inlineStr">
        <is>
          <t>DZIAŁA</t>
        </is>
      </c>
      <c r="J163" s="12" t="inlineStr">
        <is>
          <t>services.controller.ts:811</t>
        </is>
      </c>
      <c r="K163" s="11" t="inlineStr">
        <is>
          <t>PARYTET</t>
        </is>
      </c>
      <c r="L163" s="11" t="inlineStr">
        <is>
          <t>—</t>
        </is>
      </c>
      <c r="M163" s="11" t="inlineStr">
        <is>
          <t>—</t>
        </is>
      </c>
      <c r="N163" s="12" t="inlineStr"/>
    </row>
    <row r="164">
      <c r="A164" s="11" t="inlineStr">
        <is>
          <t>H-08</t>
        </is>
      </c>
      <c r="B164" s="12" t="inlineStr">
        <is>
          <t>H</t>
        </is>
      </c>
      <c r="C164" s="11" t="inlineStr">
        <is>
          <t>Samodzielne odtworzenie poczty</t>
        </is>
      </c>
      <c r="D164" s="11" t="inlineStr">
        <is>
          <t>TAK</t>
        </is>
      </c>
      <c r="E164" s="11" t="inlineStr">
        <is>
          <t>TAK</t>
        </is>
      </c>
      <c r="F164" s="11" t="inlineStr">
        <is>
          <t>TAK</t>
        </is>
      </c>
      <c r="G164" s="11" t="inlineStr">
        <is>
          <t>CZĘŚĆ</t>
        </is>
      </c>
      <c r="H164" s="11" t="inlineStr">
        <is>
          <t>TAK</t>
        </is>
      </c>
      <c r="I164" s="11" t="inlineStr">
        <is>
          <t>DZIAŁA</t>
        </is>
      </c>
      <c r="J164" s="12" t="inlineStr">
        <is>
          <t>services.controller.ts:811</t>
        </is>
      </c>
      <c r="K164" s="11" t="inlineStr">
        <is>
          <t>PRZEWAGA</t>
        </is>
      </c>
      <c r="L164" s="11" t="inlineStr">
        <is>
          <t>—</t>
        </is>
      </c>
      <c r="M164" s="11" t="inlineStr">
        <is>
          <t>—</t>
        </is>
      </c>
      <c r="N164" s="12" t="inlineStr">
        <is>
          <t>u home.pl i nazwa.pl odtworzenie poczty jest PŁATNE</t>
        </is>
      </c>
    </row>
    <row r="165">
      <c r="A165" s="11" t="inlineStr">
        <is>
          <t>H-09</t>
        </is>
      </c>
      <c r="B165" s="12" t="inlineStr">
        <is>
          <t>H</t>
        </is>
      </c>
      <c r="C165" s="11" t="inlineStr">
        <is>
          <t>Kopia bezpieczeństwa przed odtworzeniem</t>
        </is>
      </c>
      <c r="D165" s="11" t="inlineStr">
        <is>
          <t>CZĘŚĆ</t>
        </is>
      </c>
      <c r="E165" s="11" t="inlineStr">
        <is>
          <t>TAK</t>
        </is>
      </c>
      <c r="F165" s="11" t="inlineStr">
        <is>
          <t>CZĘŚĆ</t>
        </is>
      </c>
      <c r="G165" s="11" t="inlineStr">
        <is>
          <t>b.d.</t>
        </is>
      </c>
      <c r="H165" s="11" t="inlineStr">
        <is>
          <t>CZĘŚĆ</t>
        </is>
      </c>
      <c r="I165" s="11" t="inlineStr">
        <is>
          <t>DZIAŁA</t>
        </is>
      </c>
      <c r="J165" s="12"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K165" s="11" t="inlineStr">
        <is>
          <t>PARYTET</t>
        </is>
      </c>
      <c r="L165" s="11" t="inlineStr">
        <is>
          <t>WYSOKA</t>
        </is>
      </c>
      <c r="M165" s="11" t="inlineStr">
        <is>
          <t>S</t>
        </is>
      </c>
      <c r="N165" s="12"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row>
    <row r="166">
      <c r="A166" s="11" t="inlineStr">
        <is>
          <t>H-10</t>
        </is>
      </c>
      <c r="B166" s="12" t="inlineStr">
        <is>
          <t>H</t>
        </is>
      </c>
      <c r="C166" s="11" t="inlineStr">
        <is>
          <t>Odtworzenie pojedynczego pliku</t>
        </is>
      </c>
      <c r="D166" s="11" t="inlineStr">
        <is>
          <t>PŁATNE</t>
        </is>
      </c>
      <c r="E166" s="11" t="inlineStr">
        <is>
          <t>TAK</t>
        </is>
      </c>
      <c r="F166" s="11" t="inlineStr">
        <is>
          <t>CZĘŚĆ</t>
        </is>
      </c>
      <c r="G166" s="11" t="inlineStr">
        <is>
          <t>CZĘŚĆ</t>
        </is>
      </c>
      <c r="H166" s="11" t="inlineStr">
        <is>
          <t>TAK</t>
        </is>
      </c>
      <c r="I166" s="11" t="inlineStr">
        <is>
          <t>DZIAŁA</t>
        </is>
      </c>
      <c r="J166" s="12" t="inlineStr">
        <is>
          <t>ops/scripts/node-file-restore.sh (zadanie FILE_RESTORE, list/extract jako klient), subscriptions/file-restore.service.ts, services.controller.ts :id/hosting-file-restore(/list|/extract), client-panel components/hosting/ArchiveBrowser.tsx (Kopie → Pliki); test file-restore.service.spec.ts; D3 t1 29.09 14:45 (panel klienta): odtworzenie pojedynczego pliku domains/d3.hvln.pl/public_html/index.php z backup-Sep-29-2026-2.tar.zst → ~/verris-odtworzone/20260929-144546-9ab0 (bez nadpisania)</t>
        </is>
      </c>
      <c r="K166" s="11" t="inlineStr">
        <is>
          <t>PARYTET</t>
        </is>
      </c>
      <c r="L166" s="11" t="inlineStr">
        <is>
          <t>WYSOKA</t>
        </is>
      </c>
      <c r="M166" s="11" t="inlineStr">
        <is>
          <t>M</t>
        </is>
      </c>
      <c r="N166" s="12" t="inlineStr">
        <is>
          <t>2026-09-24: KOD (D2) + skrypt sprawdzony lokalnie na tar.gz — odtworzenie pliku/katalogu do nowego ~/verris-odtworzone/&lt;czas&gt; bez nadpisywania; przeniesienie świadomie menedżerem plików. OTWARTE do D3 (sprint 21): format archiwów DA (domains/…), tar --zstd na węźle, czas listowania dużych kopii. | JetBackup/Plesk to mają; seohost i dhosting też | 2026-10-06 D3 t1: usunięty d3.hvln.pl/readme.html (404) → „Pliki” w kopii → Odtwórz → verris-odtworzone/20261006-135424-4561 → „Przenieś do…” public_html → strona znów 200. Odtworzenie celowo do katalogu obok (bez nadpisywania).</t>
        </is>
      </c>
    </row>
    <row r="167">
      <c r="A167" s="11" t="inlineStr">
        <is>
          <t>H-11</t>
        </is>
      </c>
      <c r="B167" s="12" t="inlineStr">
        <is>
          <t>H</t>
        </is>
      </c>
      <c r="C167" s="11" t="inlineStr">
        <is>
          <t>Podgląd zawartości archiwum przed odtworzeniem</t>
        </is>
      </c>
      <c r="D167" s="11" t="inlineStr">
        <is>
          <t>PŁATNE</t>
        </is>
      </c>
      <c r="E167" s="11" t="inlineStr">
        <is>
          <t>TAK</t>
        </is>
      </c>
      <c r="F167" s="11" t="inlineStr">
        <is>
          <t>CZĘŚĆ</t>
        </is>
      </c>
      <c r="G167" s="11" t="inlineStr">
        <is>
          <t>CZĘŚĆ</t>
        </is>
      </c>
      <c r="H167" s="11" t="inlineStr">
        <is>
          <t>CZĘŚĆ</t>
        </is>
      </c>
      <c r="I167" s="11" t="inlineStr">
        <is>
          <t>DZIAŁA</t>
        </is>
      </c>
      <c r="J167" s="12" t="inlineStr">
        <is>
          <t>ops/scripts/node-file-restore.sh (zadanie FILE_RESTORE, list/extract jako klient), subscriptions/file-restore.service.ts, services.controller.ts :id/hosting-file-restore(/list|/extract), client-panel components/hosting/ArchiveBrowser.tsx (Kopie → Pliki); test file-restore.service.spec.ts; D3 t1 (d3.hvln.pl) 29.09 po wdrożeniu 13:00 (panel klienta): FAIL: podgląd katalogu „domains” w kopii → „Operacja nie powiodła się” (SIGPIPE tar przy &gt;2000 wpisach + pipefail); poprawka befd7f4 czeka na push; D3 t1 29.09 13:46 po befd7f4: zadanie listy „domains” kończy się sukcesem, ale panel pokazuje „Pusty katalog” (log zadania obcięty do 120 000 znaków od końca zjadał bieżący poziom); poprawka 9f1010b (budżet znaków) czeka na push; D3 t1 29.09 14:43 po 8ee458a (panel klienta): przeglądanie archiwum domains → d3.hvln.pl → public_html (WordPress, &gt;2000 wpisów) działa; „Wczytaj ponownie” przy pustym katalogu</t>
        </is>
      </c>
      <c r="K167" s="11" t="inlineStr">
        <is>
          <t>PARYTET</t>
        </is>
      </c>
      <c r="L167" s="11" t="inlineStr">
        <is>
          <t>WYSOKA</t>
        </is>
      </c>
      <c r="M167" s="11" t="inlineStr">
        <is>
          <t>M</t>
        </is>
      </c>
      <c r="N167" s="12" t="inlineStr">
        <is>
          <t>2026-09-24: KOD (D2) + skrypt sprawdzony lokalnie na tar.gz — podgląd zawartości archiwum (do 2000 wpisów, katalogi wczytywane głębiej na żądanie). OTWARTE do D3 (sprint 21): format archiwów DA (domains/…), tar --zstd na węźle, czas listowania dużych kopii. | nazwa funkcji obiecuje coś, czego nie robi | 2026-09-23: ATRAPA USUNIĘTA — endpoint restore-preview i akcja panelu nie miały żadnego wywołania w UI, a zwracały „podgląd archiwum” zbudowany z bieżącego konta i obietnicę, że „worker potwierdza zawartość archiwum” (nieprawda). Zostaje prawdziwa luka: podgląd zawartości archiwum wymaga listowania tar na węźle (D3). | 2026-10-06 D3 t1: przeglądanie archiwum katalog po katalogu (każdy poziom wczytywany z węzła, ok. 20–40 s).</t>
        </is>
      </c>
    </row>
    <row r="168">
      <c r="A168" s="11" t="inlineStr">
        <is>
          <t>H-12</t>
        </is>
      </c>
      <c r="B168" s="12" t="inlineStr">
        <is>
          <t>H</t>
        </is>
      </c>
      <c r="C168" s="11" t="inlineStr">
        <is>
          <t>Status zadania odtwarzania</t>
        </is>
      </c>
      <c r="D168" s="11" t="inlineStr">
        <is>
          <t>TAK</t>
        </is>
      </c>
      <c r="E168" s="11" t="inlineStr">
        <is>
          <t>TAK</t>
        </is>
      </c>
      <c r="F168" s="11" t="inlineStr">
        <is>
          <t>CZĘŚĆ</t>
        </is>
      </c>
      <c r="G168" s="11" t="inlineStr">
        <is>
          <t>CZĘŚĆ</t>
        </is>
      </c>
      <c r="H168" s="11" t="inlineStr">
        <is>
          <t>TAK</t>
        </is>
      </c>
      <c r="I168" s="11" t="inlineStr">
        <is>
          <t>DZIAŁA</t>
        </is>
      </c>
      <c r="J168" s="12" t="inlineStr">
        <is>
          <t>services.controller.ts:828</t>
        </is>
      </c>
      <c r="K168" s="11" t="inlineStr">
        <is>
          <t>PARYTET</t>
        </is>
      </c>
      <c r="L168" s="11" t="inlineStr">
        <is>
          <t>—</t>
        </is>
      </c>
      <c r="M168" s="11" t="inlineStr">
        <is>
          <t>—</t>
        </is>
      </c>
      <c r="N168" s="12" t="inlineStr"/>
    </row>
    <row r="169">
      <c r="A169" s="11" t="inlineStr">
        <is>
          <t>H-13</t>
        </is>
      </c>
      <c r="B169" s="12" t="inlineStr">
        <is>
          <t>H</t>
        </is>
      </c>
      <c r="C169" s="11" t="inlineStr">
        <is>
          <t>Pobranie archiwum kopii lokalnie</t>
        </is>
      </c>
      <c r="D169" s="11" t="inlineStr">
        <is>
          <t>TAK</t>
        </is>
      </c>
      <c r="E169" s="11" t="inlineStr">
        <is>
          <t>TAK</t>
        </is>
      </c>
      <c r="F169" s="11" t="inlineStr">
        <is>
          <t>TAK</t>
        </is>
      </c>
      <c r="G169" s="11" t="inlineStr">
        <is>
          <t>TAK</t>
        </is>
      </c>
      <c r="H169" s="11" t="inlineStr">
        <is>
          <t>TAK</t>
        </is>
      </c>
      <c r="I169" s="11" t="inlineStr">
        <is>
          <t>DZIAŁA</t>
        </is>
      </c>
      <c r="J169" s="12" t="inlineStr">
        <is>
          <t>files/files.service.ts downloadStream; files.controller.ts GET download-stream; client app/api/services/[id]/files/download/route.ts; BackupsTab.tsx „Pobierz”; test files.service.spec.ts; D3 t1 29.09 (panel klienta, d3.hvln.pl): pobranie archiwum backup-Sep-29-2026-2.tar.zst przez panel: 43 728 787 B strumieniem, nagłówek zstd</t>
        </is>
      </c>
      <c r="K169" s="11" t="inlineStr">
        <is>
          <t>PARYTET</t>
        </is>
      </c>
      <c r="L169" s="11" t="inlineStr">
        <is>
          <t>ŚREDNIA</t>
        </is>
      </c>
      <c r="M169" s="11" t="inlineStr">
        <is>
          <t>S</t>
        </is>
      </c>
      <c r="N169" s="12" t="inlineStr">
        <is>
          <t>2026-09-25: KOD (D2) — „Pobierz” przy każdej kopii: archiwum z ~/backups idzie strumieniem z DirectAdmina przez API i panel prosto do przeglądarki (bez ładowania do pamięci, bez base64 i bez limitu 100 MB zwykłego pobierania z menedżera plików). Ta sama piaskownica ścieżek i własność usługi; subkonto potrzebuje uprawnienia do plików; 120 pobrań na godzinę (też menedżer plików i eksport bazy, które przeszły na ten sam strumień); wpis w dzienniku (HOSTING_FILE_DOWNLOADED). D3: pobranie kilkugigabajtowego archiwum na węźle — sprawdzić limity czasu proxy (Traefik/Nginx) przy wolnym łączu.</t>
        </is>
      </c>
    </row>
    <row r="170">
      <c r="A170" s="11" t="inlineStr">
        <is>
          <t>H-14</t>
        </is>
      </c>
      <c r="B170" s="12" t="inlineStr">
        <is>
          <t>H</t>
        </is>
      </c>
      <c r="C170" s="11" t="inlineStr">
        <is>
          <t>Kopia off-site (poza węzłem)</t>
        </is>
      </c>
      <c r="D170" s="11" t="inlineStr">
        <is>
          <t>PŁATNE</t>
        </is>
      </c>
      <c r="E170" s="11" t="inlineStr">
        <is>
          <t>TAK</t>
        </is>
      </c>
      <c r="F170" s="11" t="inlineStr">
        <is>
          <t>CZĘŚĆ</t>
        </is>
      </c>
      <c r="G170" s="11" t="inlineStr">
        <is>
          <t>CZĘŚĆ</t>
        </is>
      </c>
      <c r="H170" s="11" t="inlineStr">
        <is>
          <t>CZĘŚĆ</t>
        </is>
      </c>
      <c r="I170" s="11" t="inlineStr">
        <is>
          <t>DZIAŁA</t>
        </is>
      </c>
      <c r="J170" s="12" t="inlineStr">
        <is>
          <t>ops/scripts/node-offsite-backup.sh:93-97 (rclone crypt → S3); D3 t1 (d3.hvln.pl) 29.09: nocny przebieg 03:54 accounts=2, archiwum konta d3 widoczne w panelu (D4 — test odtworzenia — nadal otwarte)</t>
        </is>
      </c>
      <c r="K170" s="11" t="inlineStr">
        <is>
          <t>PARYTET</t>
        </is>
      </c>
      <c r="L170" s="11" t="inlineStr">
        <is>
          <t>—</t>
        </is>
      </c>
      <c r="M170" s="11" t="inlineStr">
        <is>
          <t>—</t>
        </is>
      </c>
      <c r="N170" s="12" t="inlineStr">
        <is>
          <t>szyfrowane po stronie węzła | 2026-09-25 AUDYT SKRYPTÓW WĘZŁA z oficjalną dokumentacją (DA/CloudLinux/LiteSpeed), test src/test/wezel-zgodnie-z-dokumentacja.spec.ts: kopia off-site NIE tworzyła nowych kopii — wpis task.queue z user_select0/owner=&lt;user&gt; nie jest formatem z dokumentacji, a skrypt synchronizował stare archiwa z /home/*/backups i zgłaszał ok=true. Teraz oficjalne `directadmin admin-backup --destination=/home/&lt;admin&gt;/admin_backups --user=&lt;u&gt;` synchronicznie per konto → drzewo tylko dla roota → rclone sync (układ zdalny bez zmian); nieudane konto: rc=3 i jego poprzednia kopia zostaje (exclude). D3: pierwszy przebieg na węźle. | 2026-10-01 D3 t1: 01.10: nocne przebiegi 29.09–01.10 OK (accounts=2), na magazynie archiwum konta z 01.10 03:54 (111 MB) i wersje 20260930/20261001; lista w panelu po odświeżeniu pokazuje bieżące archiwum, pobranie do konta działało 29.09. Godzina w liście +2 h → 47f621e. | 2026-10-01: werdykt PARYTET — działa na węźle (D3).</t>
        </is>
      </c>
    </row>
    <row r="171">
      <c r="A171" s="11" t="inlineStr">
        <is>
          <t>H-15</t>
        </is>
      </c>
      <c r="B171" s="12" t="inlineStr">
        <is>
          <t>H</t>
        </is>
      </c>
      <c r="C171" s="11" t="inlineStr">
        <is>
          <t>Lista kopii off-site dla klienta</t>
        </is>
      </c>
      <c r="D171" s="11" t="inlineStr">
        <is>
          <t>NIE</t>
        </is>
      </c>
      <c r="E171" s="11" t="inlineStr">
        <is>
          <t>CZĘŚĆ</t>
        </is>
      </c>
      <c r="F171" s="11" t="inlineStr">
        <is>
          <t>NIE</t>
        </is>
      </c>
      <c r="G171" s="11" t="inlineStr">
        <is>
          <t>NIE</t>
        </is>
      </c>
      <c r="H171" s="11" t="inlineStr">
        <is>
          <t>NIE</t>
        </is>
      </c>
      <c r="I171" s="11" t="inlineStr">
        <is>
          <t>DZIAŁA</t>
        </is>
      </c>
      <c r="J171" s="12" t="inlineStr">
        <is>
          <t>services.controller.ts:845; D3 t1 (d3.hvln.pl) 29.09: lista off-site pokazuje user.admin.ovsekucx.tar.zst (42 MB) z przebiegu 03:54; „Pobierz na serwer” zlecone</t>
        </is>
      </c>
      <c r="K171" s="11" t="inlineStr">
        <is>
          <t>PRZEWAGA</t>
        </is>
      </c>
      <c r="L171" s="11" t="inlineStr">
        <is>
          <t>—</t>
        </is>
      </c>
      <c r="M171" s="11" t="inlineStr">
        <is>
          <t>—</t>
        </is>
      </c>
      <c r="N171" s="12" t="inlineStr">
        <is>
          <t xml:space="preserve"> | 2026-09-25 AUDYT SKRYPTÓW WĘZŁA z oficjalną dokumentacją (DA/CloudLinux/LiteSpeed), test src/test/wezel-zgodnie-z-dokumentacja.spec.ts: pobranie archiwum do ~/backups klienta: odmowa, gdy katalog lub plik jest dowiązaniem symbolicznym; chown -h.</t>
        </is>
      </c>
    </row>
    <row r="172">
      <c r="A172" s="11" t="inlineStr">
        <is>
          <t>H-16</t>
        </is>
      </c>
      <c r="B172" s="12" t="inlineStr">
        <is>
          <t>H</t>
        </is>
      </c>
      <c r="C172" s="11" t="inlineStr">
        <is>
          <t>ODTWORZENIE KONTA NA INNY WĘZEŁ</t>
        </is>
      </c>
      <c r="D172" s="11" t="inlineStr">
        <is>
          <t>PŁATNE</t>
        </is>
      </c>
      <c r="E172" s="11" t="inlineStr">
        <is>
          <t>TAK</t>
        </is>
      </c>
      <c r="F172" s="11" t="inlineStr">
        <is>
          <t>CZĘŚĆ</t>
        </is>
      </c>
      <c r="G172" s="11" t="inlineStr">
        <is>
          <t>b.d.</t>
        </is>
      </c>
      <c r="H172" s="11" t="inlineStr">
        <is>
          <t>CZĘŚĆ</t>
        </is>
      </c>
      <c r="I172" s="11" t="inlineStr">
        <is>
          <t>CZĘŚCIOWE</t>
        </is>
      </c>
      <c r="J172" s="12" t="inlineStr">
        <is>
          <t>subscriptions/odtworzenie-na-wezle.service.ts; admin subskrypcja → odtworzenie-na-wezle-panel.tsx; ops/scripts/node-account-restore.sh (OFR_MODE=restore, OFR_SOURCE_PREFIX, OFR_IP); node-tasks.service.ts completeTaskFromNode (przepięcie konta); test odtworzenie-na-wezle.service.spec.ts</t>
        </is>
      </c>
      <c r="K172" s="11" t="inlineStr">
        <is>
          <t>CZĘŚCIOWY</t>
        </is>
      </c>
      <c r="L172" s="11" t="inlineStr">
        <is>
          <t>WYSOKA</t>
        </is>
      </c>
      <c r="M172" s="11" t="inlineStr">
        <is>
          <t>L</t>
        </is>
      </c>
      <c r="N172" s="12" t="inlineStr">
        <is>
          <t>Skorygowane: ścieżka odtworzenia na NOWYM węźle istnieje jako procedura ops — ops/docs/OFFSITE_RESTORE_RUNBOOK.md, sekcja „Scenariusz utrata węzła”. Nie jest funkcją produktu (runbook sam to nazywa kolejnym krokiem), ale warunek „bez ścieżki odtworzenia” nie jest spełniony. | 2026-09-25 AUDYT SKRYPTÓW WĘZŁA z oficjalną dokumentacją (DA/CloudLinux/LiteSpeed), test src/test/wezel-zgodnie-z-dokumentacja.spec.ts: restore z off-site (ścieżka operatora) na format task.queue z dokumentacji DA (value=multiple, owner = creator konta, local_path = admin_backups administratora — nie katalog klienta, gdzie archiwum dałoby się podmienić). | 2026-09-25 KOD (D2): funkcja produktu zamiast samego runbooka. Admin → subskrypcja → „Odtworzenie na innym węźle — awaria węzła”: węzeł docelowy → lista kopii z prefiksu węzła źródłowego (nodes/&lt;hostname -s&gt;) → odtworzenie. Węzeł docelowy pobiera archiwum do admin_backups i zleca restore DA z ip_choice=select&amp;ip=&lt;IP celu&gt; (oficjalna dokumentacja DA: Backup/Restore/Migration — „assuming his account doesn't exist yet”); istniejące konto nie jest nadpisywane; po założeniu konta przez DA (do 30 min, VERRIS-OFFSITE-RESTORED) panel sam przepina konto (Account.serverId) + audyt ACCOUNT_MOVED_TO_NODE. Tylko ADMIN. Warunek floty: ten sam remote rclone crypt (dopisane w kreatorze węzła i runbooku). ZOSTAJE: DNS przy strefach na węźle (zmiana NS — z ClouDNS klastrem idzie za kontem), D3 na dwóch węzłach.</t>
        </is>
      </c>
    </row>
    <row r="173">
      <c r="A173" s="11" t="inlineStr">
        <is>
          <t>H-17</t>
        </is>
      </c>
      <c r="B173" s="12" t="inlineStr">
        <is>
          <t>H</t>
        </is>
      </c>
      <c r="C173" s="11" t="inlineStr">
        <is>
          <t>Tryb restore skryptu odtwarzającego osiągalny z produktu</t>
        </is>
      </c>
      <c r="D173" s="11" t="inlineStr">
        <is>
          <t>—</t>
        </is>
      </c>
      <c r="E173" s="11" t="inlineStr">
        <is>
          <t>—</t>
        </is>
      </c>
      <c r="F173" s="11" t="inlineStr">
        <is>
          <t>—</t>
        </is>
      </c>
      <c r="G173" s="11" t="inlineStr">
        <is>
          <t>—</t>
        </is>
      </c>
      <c r="H173" s="11" t="inlineStr">
        <is>
          <t>—</t>
        </is>
      </c>
      <c r="I173" s="11" t="inlineStr">
        <is>
          <t>DZIAŁA</t>
        </is>
      </c>
      <c r="J173" s="12"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K173" s="11" t="inlineStr">
        <is>
          <t>PARYTET</t>
        </is>
      </c>
      <c r="L173" s="11" t="inlineStr">
        <is>
          <t>WYSOKA</t>
        </is>
      </c>
      <c r="M173" s="11" t="inlineStr">
        <is>
          <t>S</t>
        </is>
      </c>
      <c r="N173" s="12"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row>
    <row r="174">
      <c r="A174" s="11" t="inlineStr">
        <is>
          <t>H-18</t>
        </is>
      </c>
      <c r="B174" s="12" t="inlineStr">
        <is>
          <t>H</t>
        </is>
      </c>
      <c r="C174" s="11" t="inlineStr">
        <is>
          <t>Odtworzenie konta przez operatora z panelu</t>
        </is>
      </c>
      <c r="D174" s="11" t="inlineStr">
        <is>
          <t>TAK</t>
        </is>
      </c>
      <c r="E174" s="11" t="inlineStr">
        <is>
          <t>TAK</t>
        </is>
      </c>
      <c r="F174" s="11" t="inlineStr">
        <is>
          <t>TAK</t>
        </is>
      </c>
      <c r="G174" s="11" t="inlineStr">
        <is>
          <t>TAK</t>
        </is>
      </c>
      <c r="H174" s="11" t="inlineStr">
        <is>
          <t>TAK</t>
        </is>
      </c>
      <c r="I174" s="11" t="inlineStr">
        <is>
          <t>DZIAŁA</t>
        </is>
      </c>
      <c r="J174" s="12" t="inlineStr">
        <is>
          <t>admin: Subskrypcje → usługa → „Odtworzenie konta z kopii” (restore-panel.tsx): lista kopii (nowe GET admin/subscriptions/:id/hosting-backups), zakres, kopia bezpieczeństwa domyślnie, potwierdzenie domeną, status ostatniego odtworzenia → POST admin/subscriptions/:id/hosting-restore (SUBSCRIPTIONS_MANAGE); D3 t1 (d3.hvln.pl) 29.09 FAIL: panel operatora „Na koncie nie ma kopii do odtworzenia” mimo archiwum w /backups — ten sam parser co H-05; poprawka 8f7b043 czeka na wdrożenie; retest z odtworzeniem</t>
        </is>
      </c>
      <c r="K174" s="11" t="inlineStr">
        <is>
          <t>PARYTET</t>
        </is>
      </c>
      <c r="L174" s="11" t="inlineStr">
        <is>
          <t>WYSOKA</t>
        </is>
      </c>
      <c r="M174" s="11" t="inlineStr">
        <is>
          <t>S</t>
        </is>
      </c>
      <c r="N174" s="12" t="inlineStr">
        <is>
          <t>Skorygowane: klient ma self-restore z kopii lokalnych, operator ma działający endpoint. Brakuje przycisku. | 2026-09-23: przycisk dodany; operator przepisuje domenę jak klient (API dla admina tego nie wymaga — potwierdzenie w UI). D3 z odtworzeniem na żywym DA (PB-21). | 2026-10-01 D3: 01.10 t1: Admin → usługa d3.hvln.pl → „Odtworzenie konta z kopii”, zakres tylko poczta, kopia off-site z 30.09, z kopią bezpieczeństwa: kopia bezpieczeństwa powstała (backup-Oct-01-2026-2), DA wykonał odtworzenie po ~2,5 min („User ovsekucx has restored file user.admin.ovsekucx.tar.zst”, system.log 22:31:35), pliki strony nietknięte (zakres respektowany).</t>
        </is>
      </c>
    </row>
    <row r="175">
      <c r="A175" s="11" t="inlineStr">
        <is>
          <t>H-19</t>
        </is>
      </c>
      <c r="B175" s="12" t="inlineStr">
        <is>
          <t>H</t>
        </is>
      </c>
      <c r="C175" s="11" t="inlineStr">
        <is>
          <t>Automatyczna konfiguracja backupu przy wdrożeniu węzła</t>
        </is>
      </c>
      <c r="D175" s="11" t="inlineStr">
        <is>
          <t>TAK</t>
        </is>
      </c>
      <c r="E175" s="11" t="inlineStr">
        <is>
          <t>TAK</t>
        </is>
      </c>
      <c r="F175" s="11" t="inlineStr">
        <is>
          <t>TAK</t>
        </is>
      </c>
      <c r="G175" s="11" t="inlineStr">
        <is>
          <t>—</t>
        </is>
      </c>
      <c r="H175" s="11" t="inlineStr">
        <is>
          <t>—</t>
        </is>
      </c>
      <c r="I175" s="11" t="inlineStr">
        <is>
          <t>DZIAŁA</t>
        </is>
      </c>
      <c r="J175" s="12" t="inlineStr">
        <is>
          <t>ops/scripts/node-onboard-live.sh (backup_offsite_skonfigurowany → [FAIL], skrypt w wymaganym bundle); live-readiness.service.ts (offsite_backup blokujący); kreator węzła: krok „Backup offsite”; test src/test/backup-offsite-bramka.spec.ts</t>
        </is>
      </c>
      <c r="K175" s="11" t="inlineStr">
        <is>
          <t>PARYTET</t>
        </is>
      </c>
      <c r="L175" s="11" t="inlineStr">
        <is>
          <t>WYSOKA</t>
        </is>
      </c>
      <c r="M175" s="11" t="inlineStr">
        <is>
          <t>M</t>
        </is>
      </c>
      <c r="N175" s="12" t="inlineStr">
        <is>
          <t>Skorygowane: timer instalowany zawsze (node-onboard-live.sh:239-247), brakuje pliku konfiguracyjnego, a stan jest widoczny w live-readiness (:171-180). Realny problem: ostrzeżenie nie blokuje go-live — dodać twardą bramkę. | 2026-09-23: brak konfiguracji backupu to teraz [FAIL] zatrzymujący onboard (etap hardening), a węzeł ACTIVE bez udanego backupu offsite blokuje go-live. PRZY OKAZJI: kreator kopiował na węzeł listę plików BEZ node-offsite-backup.sh (i bez lib/ oraz workera migracji) — onboard po cichu pomijał backup; teraz kopiuje cały katalog. D3: pierwszy onboard węzła #1.</t>
        </is>
      </c>
    </row>
    <row r="176">
      <c r="A176" s="11" t="inlineStr">
        <is>
          <t>H-20</t>
        </is>
      </c>
      <c r="B176" s="12" t="inlineStr">
        <is>
          <t>H</t>
        </is>
      </c>
      <c r="C176" s="11" t="inlineStr">
        <is>
          <t>Test odtworzeniowy z datą ostatniego wykonania</t>
        </is>
      </c>
      <c r="D176" s="11" t="inlineStr">
        <is>
          <t>—</t>
        </is>
      </c>
      <c r="E176" s="11" t="inlineStr">
        <is>
          <t>—</t>
        </is>
      </c>
      <c r="F176" s="11" t="inlineStr">
        <is>
          <t>—</t>
        </is>
      </c>
      <c r="G176" s="11" t="inlineStr">
        <is>
          <t>—</t>
        </is>
      </c>
      <c r="H176" s="11" t="inlineStr">
        <is>
          <t>—</t>
        </is>
      </c>
      <c r="I176" s="11" t="inlineStr">
        <is>
          <t>DZIAŁA</t>
        </is>
      </c>
      <c r="J176" s="12"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t>
        </is>
      </c>
      <c r="K176" s="11" t="inlineStr">
        <is>
          <t>PARYTET</t>
        </is>
      </c>
      <c r="L176" s="11" t="inlineStr">
        <is>
          <t>—</t>
        </is>
      </c>
      <c r="M176" s="11" t="inlineStr">
        <is>
          <t>M</t>
        </is>
      </c>
      <c r="N176" s="12"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t>
        </is>
      </c>
    </row>
    <row r="177">
      <c r="A177" s="11" t="inlineStr">
        <is>
          <t>H-21</t>
        </is>
      </c>
      <c r="B177" s="12" t="inlineStr">
        <is>
          <t>H</t>
        </is>
      </c>
      <c r="C177" s="11" t="inlineStr">
        <is>
          <t>Monitoring wykonania kopii we flocie</t>
        </is>
      </c>
      <c r="D177" s="11" t="inlineStr">
        <is>
          <t>TAK</t>
        </is>
      </c>
      <c r="E177" s="11" t="inlineStr">
        <is>
          <t>TAK</t>
        </is>
      </c>
      <c r="F177" s="11" t="inlineStr">
        <is>
          <t>CZĘŚĆ</t>
        </is>
      </c>
      <c r="G177" s="11" t="inlineStr">
        <is>
          <t>—</t>
        </is>
      </c>
      <c r="H177" s="11" t="inlineStr">
        <is>
          <t>—</t>
        </is>
      </c>
      <c r="I177" s="11" t="inlineStr">
        <is>
          <t>DZIAŁA</t>
        </is>
      </c>
      <c r="J177" s="12" t="inlineStr">
        <is>
          <t>node-backup.agent.controller.ts:44-78</t>
        </is>
      </c>
      <c r="K177" s="11" t="inlineStr">
        <is>
          <t>PARYTET</t>
        </is>
      </c>
      <c r="L177" s="11" t="inlineStr">
        <is>
          <t>—</t>
        </is>
      </c>
      <c r="M177" s="11" t="inlineStr">
        <is>
          <t>—</t>
        </is>
      </c>
      <c r="N177" s="12" t="inlineStr"/>
    </row>
    <row r="178">
      <c r="A178" s="11" t="inlineStr">
        <is>
          <t>H-22</t>
        </is>
      </c>
      <c r="B178" s="12" t="inlineStr">
        <is>
          <t>H</t>
        </is>
      </c>
      <c r="C178" s="11" t="inlineStr">
        <is>
          <t>Panel odtwarzania w widocznym miejscu</t>
        </is>
      </c>
      <c r="D178" s="11" t="inlineStr">
        <is>
          <t>TAK</t>
        </is>
      </c>
      <c r="E178" s="11" t="inlineStr">
        <is>
          <t>TAK</t>
        </is>
      </c>
      <c r="F178" s="11" t="inlineStr">
        <is>
          <t>TAK</t>
        </is>
      </c>
      <c r="G178" s="11" t="inlineStr">
        <is>
          <t>TAK</t>
        </is>
      </c>
      <c r="H178" s="11" t="inlineStr">
        <is>
          <t>TAK</t>
        </is>
      </c>
      <c r="I178" s="11" t="inlineStr">
        <is>
          <t>DZIAŁA</t>
        </is>
      </c>
      <c r="J178" s="12" t="inlineStr">
        <is>
          <t>2026-09-23: client-panel BackupsTab.tsx — sekcja „Kopie poza serwerem” (HostingOffsitePanel) w zakładce Kopie zapasowe; zdublowany panel przywracania usunięty z Zużycia zasobów (hosting-backup-restore-panel.tsx)</t>
        </is>
      </c>
      <c r="K178" s="11" t="inlineStr">
        <is>
          <t>PARYTET</t>
        </is>
      </c>
      <c r="L178" s="11" t="inlineStr">
        <is>
          <t>WYSOKA</t>
        </is>
      </c>
      <c r="M178" s="11" t="inlineStr">
        <is>
          <t>S</t>
        </is>
      </c>
      <c r="N178" s="12" t="inlineStr">
        <is>
          <t>klient w kryzysie tego nie znajdzie | Kopie off-site są tam, gdzie klient ich szuka w kryzysie; przywracanie jest w jednym miejscu, z potwierdzeniem domeną.</t>
        </is>
      </c>
    </row>
    <row r="179">
      <c r="A179" s="11" t="inlineStr">
        <is>
          <t>H-23</t>
        </is>
      </c>
      <c r="B179" s="12" t="inlineStr">
        <is>
          <t>H</t>
        </is>
      </c>
      <c r="C179" s="11" t="inlineStr">
        <is>
          <t>Backup bazy control-plane</t>
        </is>
      </c>
      <c r="D179" s="11" t="inlineStr">
        <is>
          <t>—</t>
        </is>
      </c>
      <c r="E179" s="11" t="inlineStr">
        <is>
          <t>—</t>
        </is>
      </c>
      <c r="F179" s="11" t="inlineStr">
        <is>
          <t>—</t>
        </is>
      </c>
      <c r="G179" s="11" t="inlineStr">
        <is>
          <t>—</t>
        </is>
      </c>
      <c r="H179" s="11" t="inlineStr">
        <is>
          <t>—</t>
        </is>
      </c>
      <c r="I179" s="11" t="inlineStr">
        <is>
          <t>DZIAŁA</t>
        </is>
      </c>
      <c r="J179" s="12" t="inlineStr">
        <is>
          <t>ops/backup-postgres.sh (fail-closed przy braku kluczy age — zadziałało poprawnie); .env.prod — BACKUP_AGE_RECIPIENTS ustawione 2026-08-22 (dwa klucze: operacyjny + break-glass offline); MinIO verris-backups/postgres/: latest.sql.gz.age + verris-2026-08-22-2124.sql.gz.age + dwa .sha256 (bucket UTWORZONY dopiero 2026-08-22 21:24 — wcześniej nie istniał); odtworzenie potwierdzone 2026-08-22 21:41: integralność OK, deszyfrowanie OK, User 10 / Plan 5 wierszy</t>
        </is>
      </c>
      <c r="K179" s="11" t="inlineStr">
        <is>
          <t>PARYTET</t>
        </is>
      </c>
      <c r="L179" s="11" t="inlineStr">
        <is>
          <t>—</t>
        </is>
      </c>
      <c r="M179" s="11" t="inlineStr">
        <is>
          <t>—</t>
        </is>
      </c>
      <c r="N179" s="12" t="inlineStr">
        <is>
          <t>POPRAWKA WERDYKTU 2026-08-22. Do dziś ta pozycja miała DZIAŁA / PARYTET, a dowodem było „ops/backup-postgres.sh, backup-mirror-external.sh, backup-verify.sh" — czyli TO, ŻE SKRYPTY ISTNIEJĄ. Poziom dowodu D1, wpisany jako działający, przy regule audytu, która dla backupów i DR wymaga D4. Reguła była dobra, wiersz ją łamał. | STAN FAKTYCZNY DO 2026-08-22: kopia bazy control-plane nie wykonała się ANI RAZU. Nie „nie doleciała" — bucket verris-backups w MinIO w ogóle nie istniał, utworzył się dopiero przy pierwszym udanym uruchomieniu. Cron chodził codziennie o 03:17, pg_dump i gzip przechodziły, a skrypt przerywał na szyfrowaniu: w .env.prod nigdy nie ustawiono BACKUP_AGE_RECIPIENTS. Najstarszy porzucony zrzut w stagingu miał datę 24 lipca — awaria trwała co najmniej miesiąc. | SKRYPT ZACHOWAŁ SIĘ POPRAWNIE: szyfrowanie jest fail-closed, więc zamiast wysłać niezaszyfrowany zrzut z danymi osobowymi do MinIO, odmówił i wyszedł z kodem 43. To jedyny element tego łańcucha, który zadziałał zgodnie z projektem. | DLACZEGO NIKT SIĘ NIE DOWIEDZIAŁ: (1) log szedł do /var/log/verris-backup.log i nikt go nie czytał; (2) alert VerrisPostgresBackupStale istnieje, ma severity: critical i regułę „verris_backup_present == 0" — czyli powinien dzwonić bez przerwy przez miesiąc; nie dotarł do nikogo i to jest osobne pytanie o routing Alertmanagera; (3) gotowość do startu sprawdzała backupy WĘZŁÓW (offsite_backup), a bazy control-plane — tej z fakturami, użytkownikami i subskrypcjami — nie sprawdzała nigdzie. | NAPRAWA 2026-08-22: wygenerowane dwa klucze age (operacyjny na control-plane do restore i drilla, break-glass wyniesiony do menedżera haseł — bo oba klucze prywatne na tej samej maszynie co baza znaczą, że pożar zabiera kopie I możliwość ich odczytania naraz), kopia wykonana ręcznie, obecność obiektu potwierdzona, odtwarzalność potwierdzona osobnym uruchomieniem. Przy okazji skrypt sam usunął 27 nieszyfrowanych zrzutów zalegających w /tmp (RODO art. 32). | OSIĄGNIĘTY POZIOM: D3 (obiekt na produkcji + potwierdzone odtworzenie, z datą). D4 domknie H-20, bo dopiero drill zapisuje datę, wynik i właściciela w sposób powtarzalny.</t>
        </is>
      </c>
    </row>
    <row r="180">
      <c r="A180" s="11" t="inlineStr">
        <is>
          <t>H-24</t>
        </is>
      </c>
      <c r="B180" s="12" t="inlineStr">
        <is>
          <t>H</t>
        </is>
      </c>
      <c r="C180" s="11" t="inlineStr">
        <is>
          <t>Nazwa obiektu kopii i drill odtworzeniowy mają po jednym miejscu</t>
        </is>
      </c>
      <c r="D180" s="11" t="inlineStr">
        <is>
          <t>—</t>
        </is>
      </c>
      <c r="E180" s="11" t="inlineStr">
        <is>
          <t>—</t>
        </is>
      </c>
      <c r="F180" s="11" t="inlineStr">
        <is>
          <t>—</t>
        </is>
      </c>
      <c r="G180" s="11" t="inlineStr">
        <is>
          <t>—</t>
        </is>
      </c>
      <c r="H180" s="11" t="inlineStr">
        <is>
          <t>—</t>
        </is>
      </c>
      <c r="I180" s="11" t="inlineStr">
        <is>
          <t>DZIAŁA</t>
        </is>
      </c>
      <c r="J180" s="12"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K180" s="11" t="inlineStr">
        <is>
          <t>PARYTET</t>
        </is>
      </c>
      <c r="L180" s="11" t="inlineStr">
        <is>
          <t>—</t>
        </is>
      </c>
      <c r="M180" s="11" t="inlineStr">
        <is>
          <t>S</t>
        </is>
      </c>
      <c r="N180" s="12"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row>
    <row r="181">
      <c r="A181" s="11" t="inlineStr">
        <is>
          <t>I-01</t>
        </is>
      </c>
      <c r="B181" s="12" t="inlineStr">
        <is>
          <t>I</t>
        </is>
      </c>
      <c r="C181" s="11" t="inlineStr">
        <is>
          <t>Autoinstalator aplikacji</t>
        </is>
      </c>
      <c r="D181" s="11" t="inlineStr">
        <is>
          <t>PŁATNE</t>
        </is>
      </c>
      <c r="E181" s="11" t="inlineStr">
        <is>
          <t>TAK</t>
        </is>
      </c>
      <c r="F181" s="11" t="inlineStr">
        <is>
          <t>PŁATNE</t>
        </is>
      </c>
      <c r="G181" s="11" t="inlineStr">
        <is>
          <t>TAK</t>
        </is>
      </c>
      <c r="H181" s="11" t="inlineStr">
        <is>
          <t>TAK</t>
        </is>
      </c>
      <c r="I181" s="11" t="inlineStr">
        <is>
          <t>DZIAŁA</t>
        </is>
      </c>
      <c r="J181" s="12" t="inlineStr">
        <is>
          <t>app-install.service.ts CATALOG (Nextcloud, PrestaShop, Joomla, MediaWiki); ops/scripts/node-app-install.sh; test test/instalator-aplikacji-katalog.spec.ts; D3 t1 28.09: WordPress 1-click na t1 — WP_INSTALL zakończone (kolejka ~3 min), strona po zmianie NS</t>
        </is>
      </c>
      <c r="K181" s="11" t="inlineStr">
        <is>
          <t>PARYTET</t>
        </is>
      </c>
      <c r="L181" s="11" t="inlineStr">
        <is>
          <t>WYSOKA</t>
        </is>
      </c>
      <c r="M181" s="11" t="inlineStr">
        <is>
          <t>M</t>
        </is>
      </c>
      <c r="N181" s="12" t="inlineStr">
        <is>
          <t>Softaculous/Installatron ma ~400 aplikacji; my mamy Nextcloud i PrestaShop | KOREKTA 2026-08-21: niezależnie od ubogiego katalogu, ścieżka wykonania była przerwana — node-app-install.sh nie był kopiowany do obrazu, więc /agent/tasks/app-install/script zwracał 500 i zadanie APP_INSTALL nie mogło się wykonać na produkcji. Naprawione razem z B-01. | 2026-09-25 KOD (D2): +Joomla (installation/joomla.php install -n wg docs.joomla.org J4.x:Joomla CLI Installation; najnowsza paczka Full_Package z wydań GitHub — dziś 6.1.3) i +MediaWiki 1.46.0 (maintenance/run.php install wg mediawiki.org Manual:install.php). NAPRAWIONE przy okazji (D3 by to złapał): domyślna strona Verris w public_html (index.html + assets/) blokowała instalator aplikacji („katalog nie jest pusty”), a w WordPressie i aplikacjach zostawała i zasłaniała je (index.html przed index.php) — teraz nie blokuje i znika po udanej instalacji. Katalog nadal 4+WordPress wobec ~400 u Softaculous; D3 w wezel.csv. | DECYZJA WŁAŚCICIELA 2026-10-01: zakres na start wystarcza — na t1 z panelu: WordPress (28.09), Joomla 6.1.4 (30.09), Nextcloud 35.0.1 (01.10). PrestaShop i MediaWiki poprawione w kodzie (32b7bd1, e359766, 682030d), retest i kolejne aplikacje po starcie.</t>
        </is>
      </c>
    </row>
    <row r="182">
      <c r="A182" s="11" t="inlineStr">
        <is>
          <t>I-02</t>
        </is>
      </c>
      <c r="B182" s="12" t="inlineStr">
        <is>
          <t>I</t>
        </is>
      </c>
      <c r="C182" s="11" t="inlineStr">
        <is>
          <t>Instalacja WordPressa jednym kliknięciem</t>
        </is>
      </c>
      <c r="D182" s="11" t="inlineStr">
        <is>
          <t>PŁATNE</t>
        </is>
      </c>
      <c r="E182" s="11" t="inlineStr">
        <is>
          <t>TAK</t>
        </is>
      </c>
      <c r="F182" s="11" t="inlineStr">
        <is>
          <t>PŁATNE</t>
        </is>
      </c>
      <c r="G182" s="11" t="inlineStr">
        <is>
          <t>TAK</t>
        </is>
      </c>
      <c r="H182" s="11" t="inlineStr">
        <is>
          <t>TAK</t>
        </is>
      </c>
      <c r="I182" s="11" t="inlineStr">
        <is>
          <t>DZIAŁA</t>
        </is>
      </c>
      <c r="J182" s="12" t="inlineStr">
        <is>
          <t>services.controller.ts:218</t>
        </is>
      </c>
      <c r="K182" s="11" t="inlineStr">
        <is>
          <t>PARYTET</t>
        </is>
      </c>
      <c r="L182" s="11" t="inlineStr">
        <is>
          <t>—</t>
        </is>
      </c>
      <c r="M182" s="11" t="inlineStr">
        <is>
          <t>—</t>
        </is>
      </c>
      <c r="N182" s="12" t="inlineStr">
        <is>
          <t>NodeTask WP_INSTALL + wp-cli | 2026-09-25 AUDYT SKRYPTÓW WĘZŁA z oficjalną dokumentacją (DA/CloudLinux/LiteSpeed), test src/test/wezel-zgodnie-z-dokumentacja.spec.ts: BEZPIECZEŃSTWO: root robił chmod/chown/curl -o na ~/.verris klienta — dowiązanie ~/.verris/wp-cli.phar → /etc/shadow dawało chmod 644 na nim; teraz wp-cli zapisuje klient (runuser), root tylko pobiera do własnego pliku tymczasowego. To samo w aktualizacjach WP, stagingu i klonowaniu. | 2026-10-06 D3 t1: instalacja WordPressa na poddomenie beta.d3.hvln.pl z panelu, DISALLOW_FILE_EDIT od instalacji (2786a23).</t>
        </is>
      </c>
    </row>
    <row r="183">
      <c r="A183" s="11" t="inlineStr">
        <is>
          <t>I-03</t>
        </is>
      </c>
      <c r="B183" s="12" t="inlineStr">
        <is>
          <t>I</t>
        </is>
      </c>
      <c r="C183" s="11" t="inlineStr">
        <is>
          <t>Status instalacji WordPressa</t>
        </is>
      </c>
      <c r="D183" s="11" t="inlineStr">
        <is>
          <t>CZĘŚĆ</t>
        </is>
      </c>
      <c r="E183" s="11" t="inlineStr">
        <is>
          <t>TAK</t>
        </is>
      </c>
      <c r="F183" s="11" t="inlineStr">
        <is>
          <t>CZĘŚĆ</t>
        </is>
      </c>
      <c r="G183" s="11" t="inlineStr">
        <is>
          <t>TAK</t>
        </is>
      </c>
      <c r="H183" s="11" t="inlineStr">
        <is>
          <t>TAK</t>
        </is>
      </c>
      <c r="I183" s="11" t="inlineStr">
        <is>
          <t>DZIAŁA</t>
        </is>
      </c>
      <c r="J183" s="12" t="inlineStr">
        <is>
          <t>services.controller.ts:213</t>
        </is>
      </c>
      <c r="K183" s="11" t="inlineStr">
        <is>
          <t>PARYTET</t>
        </is>
      </c>
      <c r="L183" s="11" t="inlineStr">
        <is>
          <t>—</t>
        </is>
      </c>
      <c r="M183" s="11" t="inlineStr">
        <is>
          <t>—</t>
        </is>
      </c>
      <c r="N183" s="12" t="inlineStr"/>
    </row>
    <row r="184">
      <c r="A184" s="11" t="inlineStr">
        <is>
          <t>I-04</t>
        </is>
      </c>
      <c r="B184" s="12" t="inlineStr">
        <is>
          <t>I</t>
        </is>
      </c>
      <c r="C184" s="11" t="inlineStr">
        <is>
          <t>Automatyczne aktualizacje WordPressa</t>
        </is>
      </c>
      <c r="D184" s="11" t="inlineStr">
        <is>
          <t>PŁATNE</t>
        </is>
      </c>
      <c r="E184" s="11" t="inlineStr">
        <is>
          <t>TAK</t>
        </is>
      </c>
      <c r="F184" s="11" t="inlineStr">
        <is>
          <t>PŁATNE</t>
        </is>
      </c>
      <c r="G184" s="11" t="inlineStr">
        <is>
          <t>TAK</t>
        </is>
      </c>
      <c r="H184" s="11" t="inlineStr">
        <is>
          <t>TAK</t>
        </is>
      </c>
      <c r="I184" s="11" t="inlineStr">
        <is>
          <t>DZIAŁA</t>
        </is>
      </c>
      <c r="J184"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t>
        </is>
      </c>
      <c r="K184" s="11" t="inlineStr">
        <is>
          <t>PARYTET</t>
        </is>
      </c>
      <c r="L184" s="11" t="inlineStr">
        <is>
          <t>WYSOKA</t>
        </is>
      </c>
      <c r="M184" s="11" t="inlineStr">
        <is>
          <t>M</t>
        </is>
      </c>
      <c r="N184" s="12" t="inlineStr">
        <is>
          <t>4 z 5 hostingów PL to ma | 2026-09-24: KOD (D2) + skrypt sprawdzony lokalnie na atrapie wp-cli — automat per domena (rdzeń: poprawki/wszystkie, wtyczki, motywy), zawsze kopia plików + bazy (0600, dwie ostatnie) i wycofanie plików i bazy, gdy strona po aktualizacji zwraca 5xx. OTWARTE do D3 (sprint 21): prawdziwy WordPress i wp-cli w klatce CageFS, kontrola strony przez lokalny serwer WWW węzła (Host), czas kopii dużych stron. | 2026-09-25 AUDYT SKRYPTÓW WĘZŁA z oficjalną dokumentacją (DA/CloudLinux/LiteSpeed), test src/test/wezel-zgodnie-z-dokumentacja.spec.ts: wp-cli w ~/.verris zapisywany jako klient (poprawka eskalacji przez dowiązanie symboliczne). | 2026-09-30 D3 t1: 30.09 d3.hvln.pl: nocna automatyczna aktualizacja WordPressa przeszła z kopią przed aktualizacją (~/backups). Do sprawdzenia: retencja kopii — przybywają co noc. | 2026-10-01: werdykt PARYTET — działa na węźle (D3). Retencja zgodna z założeniem: w ~/backups dwie ostatnie kopie (30.09 i 01.10). | 2026-10-06: przegląd agentów — przy wycofaniu nieudanej aktualizacji WP na poddomenie kopia trafiała do publicznego katalogu domeny nadrzędnej (działający WP pod adresem rodzica); poprawione f857f38, poddomeny wyłączone z kopii/wycofania rodzica (test wp-poddomena-katalog.spec.ts).</t>
        </is>
      </c>
    </row>
    <row r="185">
      <c r="A185" s="11" t="inlineStr">
        <is>
          <t>I-05</t>
        </is>
      </c>
      <c r="B185" s="12" t="inlineStr">
        <is>
          <t>I</t>
        </is>
      </c>
      <c r="C185" s="11" t="inlineStr">
        <is>
          <t>Aktualizacje wtyczek i motywów z panelu</t>
        </is>
      </c>
      <c r="D185" s="11" t="inlineStr">
        <is>
          <t>PŁATNE</t>
        </is>
      </c>
      <c r="E185" s="11" t="inlineStr">
        <is>
          <t>TAK</t>
        </is>
      </c>
      <c r="F185" s="11" t="inlineStr">
        <is>
          <t>PŁATNE</t>
        </is>
      </c>
      <c r="G185" s="11" t="inlineStr">
        <is>
          <t>CZĘŚĆ</t>
        </is>
      </c>
      <c r="H185" s="11" t="inlineStr">
        <is>
          <t>TAK</t>
        </is>
      </c>
      <c r="I185" s="11" t="inlineStr">
        <is>
          <t>DZIAŁA</t>
        </is>
      </c>
      <c r="J185" s="12" t="inlineStr">
        <is>
          <t>ops/scripts/node-wp-update.sh (zadanie WP_UPDATE, check/update jako klient), subscriptions/wp-update.service.ts, wp-auto-update.scheduler.ts (codziennie 3:20), model WpAutoUpdate, services.controller.ts :id/hosting-wp-updates(/check|/run|/auto), client-panel components/hosting/WpUpdatesPanel.tsx (strona → WordPress); test wp-update.service.spec.ts; D3 t1 (d3.hvln.pl) 29.09 po wdrożeniu (panel klienta): Sprawdź aktualizacje → rdzeń 7.1.2, 3 wtyczki, 4 motywy, wszystko aktualne (aktualizacji do wykonania nie było)</t>
        </is>
      </c>
      <c r="K185" s="11" t="inlineStr">
        <is>
          <t>PARYTET</t>
        </is>
      </c>
      <c r="L185" s="11" t="inlineStr">
        <is>
          <t>ŚREDNIA</t>
        </is>
      </c>
      <c r="M185" s="11" t="inlineStr">
        <is>
          <t>M</t>
        </is>
      </c>
      <c r="N185" s="12" t="inlineStr">
        <is>
          <t>2026-09-24: KOD (D2) razem z I-04 — pełna lista wtyczek i motywów z wersjami, wybór pozycji do aktualizacji, historia z listą zmian i nazwą kopii. Wtyczki płatne spoza WordPress.org — z kokpitu WP (komunikat w panelu). Potwierdzone na t1 z panelu 29.09 (lista wtyczek/motywów z wersjami, wybór pozycji, historia z kopią).</t>
        </is>
      </c>
    </row>
    <row r="186">
      <c r="A186" s="11" t="inlineStr">
        <is>
          <t>I-06</t>
        </is>
      </c>
      <c r="B186" s="12" t="inlineStr">
        <is>
          <t>I</t>
        </is>
      </c>
      <c r="C186" s="11" t="inlineStr">
        <is>
          <t>Smart Updates (test przed aktualizacją)</t>
        </is>
      </c>
      <c r="D186" s="11" t="inlineStr">
        <is>
          <t>NIE</t>
        </is>
      </c>
      <c r="E186" s="11" t="inlineStr">
        <is>
          <t>PŁATNE</t>
        </is>
      </c>
      <c r="F186" s="11" t="inlineStr">
        <is>
          <t>NIE</t>
        </is>
      </c>
      <c r="G186" s="11" t="inlineStr">
        <is>
          <t>NIE</t>
        </is>
      </c>
      <c r="H186" s="11" t="inlineStr">
        <is>
          <t>CZĘŚĆ</t>
        </is>
      </c>
      <c r="I186" s="11" t="inlineStr">
        <is>
          <t>BRAK</t>
        </is>
      </c>
      <c r="J186" s="12" t="inlineStr">
        <is>
          <t>—</t>
        </is>
      </c>
      <c r="K186" s="11" t="inlineStr">
        <is>
          <t>POZA ZAKRESEM</t>
        </is>
      </c>
      <c r="L186" s="11" t="inlineStr">
        <is>
          <t>NISKA</t>
        </is>
      </c>
      <c r="M186" s="11" t="inlineStr">
        <is>
          <t>L</t>
        </is>
      </c>
      <c r="N186" s="12" t="inlineStr">
        <is>
          <t>wyróżnik Pleska, rynek PL tego nie ma</t>
        </is>
      </c>
    </row>
    <row r="187">
      <c r="A187" s="11" t="inlineStr">
        <is>
          <t>I-07</t>
        </is>
      </c>
      <c r="B187" s="12" t="inlineStr">
        <is>
          <t>I</t>
        </is>
      </c>
      <c r="C187" s="11" t="inlineStr">
        <is>
          <t>Skanowanie podatności WordPressa</t>
        </is>
      </c>
      <c r="D187" s="11" t="inlineStr">
        <is>
          <t>NIE</t>
        </is>
      </c>
      <c r="E187" s="11" t="inlineStr">
        <is>
          <t>TAK</t>
        </is>
      </c>
      <c r="F187" s="11" t="inlineStr">
        <is>
          <t>NIE</t>
        </is>
      </c>
      <c r="G187" s="11" t="inlineStr">
        <is>
          <t>CZĘŚĆ</t>
        </is>
      </c>
      <c r="H187" s="11" t="inlineStr">
        <is>
          <t>TAK</t>
        </is>
      </c>
      <c r="I187" s="11" t="inlineStr">
        <is>
          <t>DZIAŁA</t>
        </is>
      </c>
      <c r="J187" s="12" t="inlineStr">
        <is>
          <t>subscriptions/wp-podatnosci.service.ts (Wordfence Scanner Feed v3, cron 05:40, tabela WpPodatnosc, migracja 20260925190000); wp-update.service.ts opis/przeglad → podatnosci; client-panel WpUpdatesPanel/WpOverviewPanel; test wp-podatnosci.service.spec.ts</t>
        </is>
      </c>
      <c r="K187" s="11" t="inlineStr">
        <is>
          <t>PARYTET</t>
        </is>
      </c>
      <c r="L187" s="11" t="inlineStr">
        <is>
          <t>ŚREDNIA</t>
        </is>
      </c>
      <c r="M187" s="11" t="inlineStr">
        <is>
          <t>L</t>
        </is>
      </c>
      <c r="N187" s="12" t="inlineStr">
        <is>
          <t>Plesk używa Patchstack | 2026-09-25 KOD (D2), decyzja właściciela „najlepsze darmowe na start”: Wordfence Intelligence Vulnerability Data Feed v3 (oficjalna dokumentacja: darmowy także do użytku komercyjnego, klucz API z konta wordfence.com, licencja Defiant: link do rekordu + nota o prawach autorskich — pokazujemy obie). Scanner Feed raz na dobę do bazy (podmiana tylko przy ≥1000 rekordów), dopasowanie wersji rdzenia/wtyczek/motywów z ostatniego sprawdzenia strony (wp plugin/theme list) w stylu PHP version_compare. Panel: lista podatności przy aktualizacjach WordPressa (wersja, poprawka, link), licznik w przeglądzie stron WP. Egress: www.wordfence.com (i api.anthropic.com dla L-11 — brakowało) w allowliście. ZOSTAJE: WORDFENCE_API_KEY (właściciel zakłada konto Wordfence), D3 na węźle. PO STARCIE: płatne źródło (Patchstack/Wordfence premium) i powiadomienie mailem. | 2026-10-02 D3: 02.10 t1: baza Wordfence Intelligence (Scanner Feed v3) pobrana — log API „Wordfence feed: 43574 wpisów” (13:52 UTC, start API przy pustej tabeli). Panel klienta → d3.hvln.pl → WordPress → „Sprawdź aktualizacje” przy Contact Form 7 5.3.1 (celowo stara, nieaktywna): „Znane podatności: 5” — m.in. „Contact Form 7 &lt;= 5.3.1 - Arbitrary File Upload via Bypass. Poprawka: 5.3.2”, każda z linkiem „Szczegóły” i notą licencyjną Defiant; wtyczka zaznaczona do aktualizacji „do 6.1.7”. Po drodze 2 błędy naprawione: import padał na powtórzonym slugu w rekordzie feedu (UniqueConstraintViolation → łączenie zakresów) i błąd crona szedł do logu Schedulera bez słowa „Wordfence”.</t>
        </is>
      </c>
    </row>
    <row r="188">
      <c r="A188" s="11" t="inlineStr">
        <is>
          <t>I-08</t>
        </is>
      </c>
      <c r="B188" s="12" t="inlineStr">
        <is>
          <t>I</t>
        </is>
      </c>
      <c r="C188" s="11" t="inlineStr">
        <is>
          <t>Hardening WordPressa (checklist)</t>
        </is>
      </c>
      <c r="D188" s="11" t="inlineStr">
        <is>
          <t>NIE</t>
        </is>
      </c>
      <c r="E188" s="11" t="inlineStr">
        <is>
          <t>TAK</t>
        </is>
      </c>
      <c r="F188" s="11" t="inlineStr">
        <is>
          <t>NIE</t>
        </is>
      </c>
      <c r="G188" s="11" t="inlineStr">
        <is>
          <t>CZĘŚĆ</t>
        </is>
      </c>
      <c r="H188" s="11" t="inlineStr">
        <is>
          <t>CZĘŚĆ</t>
        </is>
      </c>
      <c r="I188" s="11" t="inlineStr">
        <is>
          <t>DZIAŁA</t>
        </is>
      </c>
      <c r="J188" s="12" t="inlineStr">
        <is>
          <t>ops/scripts/node-wp-update.sh (sprawdzenie: DISALLOW_FILE_EDIT, WP_DEBUG, login „admin”, uprawnienia wp-config.php, core verify-checksums; tryb harden file-edit/debug-off), WpUpdateService.zabezpiecz + :id/hosting-wp-updates/harden, WpUpdatesPanel.tsx (Zabezpieczenia WordPressa); test wp-update.service.spec.ts; D3 t1 (d3.hvln.pl) 29.09 po wdrożeniu (panel klienta): przegląd zabezpieczeń WP (edytor, WP_DEBUG, admin, sumy rdzenia, wp-config 644); „Wyłącz edytor” → DISALLOW_FILE_EDIT w wp-config</t>
        </is>
      </c>
      <c r="K188" s="11" t="inlineStr">
        <is>
          <t>PARYTET</t>
        </is>
      </c>
      <c r="L188" s="11" t="inlineStr">
        <is>
          <t>—</t>
        </is>
      </c>
      <c r="M188" s="11" t="inlineStr">
        <is>
          <t>M</t>
        </is>
      </c>
      <c r="N188" s="12" t="inlineStr">
        <is>
          <t>2026-09-24: KOD (D2) + skrypt sprawdzony lokalnie na atrapie wp-cli — przegląd 5 punktów z opisem ryzyka, dwie poprawki jednym kliknięciem (edytor plików, WP_DEBUG). OTWARTE do D3 (sprint 21): prawdziwy WordPress (verify-checksums pobiera sumy z api.wordpress.org). | 2026-09-24 SKALA DOWODU (decyzja PM): funkcja bez pieniędzy, danych klienta i dostępu — D2 (test w CI) wystarcza do „zrobione”, więc werdykt PARYTET. Stan zostaje CZĘŚCIOWE do testu na węźle (audyt/dane/wezel.csv). | 2026-10-01 D3 t1: 01.10: „Pliki rdzenia — do poprawy” na d3/test2 był fałszywym alarmem — optymalizacja obrazów przerobiła PNG w wp-admin/wp-includes → 50dccf7; rdzeń przywrócony (wp core download --skip-content), verify-checksums OK.</t>
        </is>
      </c>
    </row>
    <row r="189">
      <c r="A189" s="11" t="inlineStr">
        <is>
          <t>I-09</t>
        </is>
      </c>
      <c r="B189" s="12" t="inlineStr">
        <is>
          <t>I</t>
        </is>
      </c>
      <c r="C189" s="11" t="inlineStr">
        <is>
          <t>Staging — utworzenie kopii roboczej</t>
        </is>
      </c>
      <c r="D189" s="11" t="inlineStr">
        <is>
          <t>PŁATNE</t>
        </is>
      </c>
      <c r="E189" s="11" t="inlineStr">
        <is>
          <t>TAK</t>
        </is>
      </c>
      <c r="F189" s="11" t="inlineStr">
        <is>
          <t>PŁATNE</t>
        </is>
      </c>
      <c r="G189" s="11" t="inlineStr">
        <is>
          <t>CZĘŚĆ</t>
        </is>
      </c>
      <c r="H189" s="11" t="inlineStr">
        <is>
          <t>TAK</t>
        </is>
      </c>
      <c r="I189" s="11" t="inlineStr">
        <is>
          <t>DZIAŁA</t>
        </is>
      </c>
      <c r="J189" s="12" t="inlineStr">
        <is>
          <t>services.controller.ts:182</t>
        </is>
      </c>
      <c r="K189" s="11" t="inlineStr">
        <is>
          <t>PRZEWAGA</t>
        </is>
      </c>
      <c r="L189" s="11" t="inlineStr">
        <is>
          <t>—</t>
        </is>
      </c>
      <c r="M189" s="11" t="inlineStr">
        <is>
          <t>—</t>
        </is>
      </c>
      <c r="N189" s="12" t="inlineStr">
        <is>
          <t>tylko 2 z 5 hostingów PL ma staging | 2026-09-25 AUDYT SKRYPTÓW WĘZŁA z oficjalną dokumentacją (DA/CloudLinux/LiteSpeed), test src/test/wezel-zgodnie-z-dokumentacja.spec.ts: wp-cli w ~/.verris zapisywany jako klient (poprawka eskalacji: chown/chmod roota szły za dowiązaniem).</t>
        </is>
      </c>
    </row>
    <row r="190">
      <c r="A190" s="11" t="inlineStr">
        <is>
          <t>I-10</t>
        </is>
      </c>
      <c r="B190" s="12" t="inlineStr">
        <is>
          <t>I</t>
        </is>
      </c>
      <c r="C190" s="11" t="inlineStr">
        <is>
          <t>Staging — odświeżenie z produkcji</t>
        </is>
      </c>
      <c r="D190" s="11" t="inlineStr">
        <is>
          <t>PŁATNE</t>
        </is>
      </c>
      <c r="E190" s="11" t="inlineStr">
        <is>
          <t>TAK</t>
        </is>
      </c>
      <c r="F190" s="11" t="inlineStr">
        <is>
          <t>PŁATNE</t>
        </is>
      </c>
      <c r="G190" s="11" t="inlineStr">
        <is>
          <t>CZĘŚĆ</t>
        </is>
      </c>
      <c r="H190" s="11" t="inlineStr">
        <is>
          <t>TAK</t>
        </is>
      </c>
      <c r="I190" s="11" t="inlineStr">
        <is>
          <t>DZIAŁA</t>
        </is>
      </c>
      <c r="J190" s="12" t="inlineStr">
        <is>
          <t>StagingTab.tsx:174</t>
        </is>
      </c>
      <c r="K190" s="11" t="inlineStr">
        <is>
          <t>PRZEWAGA</t>
        </is>
      </c>
      <c r="L190" s="11" t="inlineStr">
        <is>
          <t>—</t>
        </is>
      </c>
      <c r="M190" s="11" t="inlineStr">
        <is>
          <t>—</t>
        </is>
      </c>
      <c r="N190" s="12" t="inlineStr">
        <is>
          <t>2026-10-06 D3 t1: „Odśwież z produkcji” → staging.d3.hvln.pl z kopią z 14:02 działa. Znalezisko: nadpisywało bez pytania — e04767e3 dodaje potwierdzenie (test StagingTab.spec.tsx).</t>
        </is>
      </c>
    </row>
    <row r="191">
      <c r="A191" s="11" t="inlineStr">
        <is>
          <t>I-11</t>
        </is>
      </c>
      <c r="B191" s="12" t="inlineStr">
        <is>
          <t>I</t>
        </is>
      </c>
      <c r="C191" s="11" t="inlineStr">
        <is>
          <t>Staging — publikacja na produkcję</t>
        </is>
      </c>
      <c r="D191" s="11" t="inlineStr">
        <is>
          <t>PŁATNE</t>
        </is>
      </c>
      <c r="E191" s="11" t="inlineStr">
        <is>
          <t>TAK</t>
        </is>
      </c>
      <c r="F191" s="11" t="inlineStr">
        <is>
          <t>PŁATNE</t>
        </is>
      </c>
      <c r="G191" s="11" t="inlineStr">
        <is>
          <t>CZĘŚĆ</t>
        </is>
      </c>
      <c r="H191" s="11" t="inlineStr">
        <is>
          <t>TAK</t>
        </is>
      </c>
      <c r="I191" s="11" t="inlineStr">
        <is>
          <t>DZIAŁA</t>
        </is>
      </c>
      <c r="J191" s="12"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K191" s="11" t="inlineStr">
        <is>
          <t>PARYTET</t>
        </is>
      </c>
      <c r="L191" s="11" t="inlineStr">
        <is>
          <t>WYSOKA</t>
        </is>
      </c>
      <c r="M191" s="11" t="inlineStr">
        <is>
          <t>S</t>
        </is>
      </c>
      <c r="N191" s="12"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row>
    <row r="192">
      <c r="A192" s="11" t="inlineStr">
        <is>
          <t>I-12</t>
        </is>
      </c>
      <c r="B192" s="12" t="inlineStr">
        <is>
          <t>I</t>
        </is>
      </c>
      <c r="C192" s="11" t="inlineStr">
        <is>
          <t>Staging — usunięcie</t>
        </is>
      </c>
      <c r="D192" s="11" t="inlineStr">
        <is>
          <t>PŁATNE</t>
        </is>
      </c>
      <c r="E192" s="11" t="inlineStr">
        <is>
          <t>TAK</t>
        </is>
      </c>
      <c r="F192" s="11" t="inlineStr">
        <is>
          <t>PŁATNE</t>
        </is>
      </c>
      <c r="G192" s="11" t="inlineStr">
        <is>
          <t>CZĘŚĆ</t>
        </is>
      </c>
      <c r="H192" s="11" t="inlineStr">
        <is>
          <t>TAK</t>
        </is>
      </c>
      <c r="I192" s="11" t="inlineStr">
        <is>
          <t>DZIAŁA</t>
        </is>
      </c>
      <c r="J192" s="12" t="inlineStr">
        <is>
          <t>services.controller.ts:192</t>
        </is>
      </c>
      <c r="K192" s="11" t="inlineStr">
        <is>
          <t>PRZEWAGA</t>
        </is>
      </c>
      <c r="L192" s="11" t="inlineStr">
        <is>
          <t>—</t>
        </is>
      </c>
      <c r="M192" s="11" t="inlineStr">
        <is>
          <t>—</t>
        </is>
      </c>
      <c r="N192" s="12" t="inlineStr"/>
    </row>
    <row r="193">
      <c r="A193" s="11" t="inlineStr">
        <is>
          <t>I-13</t>
        </is>
      </c>
      <c r="B193" s="12" t="inlineStr">
        <is>
          <t>I</t>
        </is>
      </c>
      <c r="C193" s="11" t="inlineStr">
        <is>
          <t>Klonowanie strony między domenami</t>
        </is>
      </c>
      <c r="D193" s="11" t="inlineStr">
        <is>
          <t>PŁATNE</t>
        </is>
      </c>
      <c r="E193" s="11" t="inlineStr">
        <is>
          <t>TAK</t>
        </is>
      </c>
      <c r="F193" s="11" t="inlineStr">
        <is>
          <t>PŁATNE</t>
        </is>
      </c>
      <c r="G193" s="11" t="inlineStr">
        <is>
          <t>CZĘŚĆ</t>
        </is>
      </c>
      <c r="H193" s="11" t="inlineStr">
        <is>
          <t>TAK</t>
        </is>
      </c>
      <c r="I193" s="11" t="inlineStr">
        <is>
          <t>DZIAŁA</t>
        </is>
      </c>
      <c r="J193" s="12" t="inlineStr">
        <is>
          <t>ops/scripts/node-site-clone.sh (zadanie SITE_CLONE: cp -a jako klient, cel odkładany obok z unikalną nazwą, WordPress: zrzut → nowa baza, wp-config.php kopii, search-replace adresów), subscriptions/site-clone.service.ts (nowa baza w DA dla WP), :id/hosting-site-clone, panel SiteClonePanel.tsx (strona → Pliki → Kopia strony na inną domenę); test site-clone.service.spec.ts</t>
        </is>
      </c>
      <c r="K193" s="11" t="inlineStr">
        <is>
          <t>PARYTET</t>
        </is>
      </c>
      <c r="L193" s="11" t="inlineStr">
        <is>
          <t>ŚREDNIA</t>
        </is>
      </c>
      <c r="M193" s="11" t="inlineStr">
        <is>
          <t>M</t>
        </is>
      </c>
      <c r="N193" s="12" t="inlineStr">
        <is>
          <t>2026-09-24: KOD (D2) + skrypt sprawdzony lokalnie na atrapie wp-cli (odłożenie celu, WordPress bez bazy → odmowa przed ruszeniem celu, nowa baza i adresy). OTWARTE do D3 (sprint 21). |  | 2026-09-25 AUDYT SKRYPTÓW WĘZŁA z oficjalną dokumentacją (DA/CloudLinux/LiteSpeed), test src/test/wezel-zgodnie-z-dokumentacja.spec.ts: wp-cli w ~/.verris zapisywany jako klient (poprawka eskalacji przez dowiązanie symboliczne). | 2026-09-30 D3 t1: 30.09: klon d3 → test2 pokazywał treść źródła — obie strony miały ten sam WP_REDIS_PREFIX (wspólny Redis konta). Po ręcznej zmianie prefiksu klon działa; skrypty klonu i stagingu ustawiają własny prefiks → 8958de1. Retest po wdrożeniu. | 2026-10-01 D3 t1: 01.10 po 8958de1: nowy klon d3 → test2 — wp-config test2 ma WP_REDIS_PREFIX i WP_CACHE_KEY_SALT „test2.d3.hvln.pl:”, nowa baza, poprzednie pliki odłożone. | 2026-10-01: werdykt PARYTET — działa na węźle (D3).</t>
        </is>
      </c>
    </row>
    <row r="194">
      <c r="A194" s="11" t="inlineStr">
        <is>
          <t>I-14</t>
        </is>
      </c>
      <c r="B194" s="12" t="inlineStr">
        <is>
          <t>I</t>
        </is>
      </c>
      <c r="C194" s="11" t="inlineStr">
        <is>
          <t>Masowe zarządzanie wieloma instalacjami WP</t>
        </is>
      </c>
      <c r="D194" s="11" t="inlineStr">
        <is>
          <t>NIE</t>
        </is>
      </c>
      <c r="E194" s="11" t="inlineStr">
        <is>
          <t>TAK</t>
        </is>
      </c>
      <c r="F194" s="11" t="inlineStr">
        <is>
          <t>NIE</t>
        </is>
      </c>
      <c r="G194" s="11" t="inlineStr">
        <is>
          <t>NIE</t>
        </is>
      </c>
      <c r="H194" s="11" t="inlineStr">
        <is>
          <t>CZĘŚĆ</t>
        </is>
      </c>
      <c r="I194" s="11" t="inlineStr">
        <is>
          <t>DZIAŁA</t>
        </is>
      </c>
      <c r="J194" s="12" t="inlineStr">
        <is>
          <t>wp-update.service.ts przeglad/sprawdzWszystkie; services.controller.ts :id/hosting-wp-overview(/check); WpOverviewPanel.tsx (usługa → Aplikacje); test wp-update.service.spec.ts</t>
        </is>
      </c>
      <c r="K194" s="11" t="inlineStr">
        <is>
          <t>PARYTET</t>
        </is>
      </c>
      <c r="L194" s="11" t="inlineStr">
        <is>
          <t>NISKA</t>
        </is>
      </c>
      <c r="M194" s="11" t="inlineStr">
        <is>
          <t>L</t>
        </is>
      </c>
      <c r="N194" s="12" t="inlineStr">
        <is>
          <t>realna przewaga dla agencji | 2026-09-24: KOD (D2) — „Wszystkie strony WordPress” na jednym ekranie usługi: wersja, czekające aktualizacje rdzenia/wtyczek/motywów, automat, punkty zabezpieczeń do poprawy, tryb konserwacji, link do zakładki WordPress strony; „Sprawdź wszystkie” kolejkuje sprawdzenie (tylko odczyt) każdej domeny, pomijając domeny z zadaniem w toku. Masowe AKTUALIZACJE świadomie nie: jedna zmiana WordPressa na konto naraz (kopie i wycofanie) — automat per domena pokrywa ten przypadek. Tylko odczyt → PARYTET wg skali; stan CZĘŚCIOWE do testu na węźle. | 2026-10-01 D3 t1: 01.10: „Wszystkie strony WordPress” → „Sprawdź wszystkie” odświeża d3 i test2 (wersja, aktualizacje, zabezpieczenia, automat).</t>
        </is>
      </c>
    </row>
    <row r="195">
      <c r="A195" s="11" t="inlineStr">
        <is>
          <t>I-15</t>
        </is>
      </c>
      <c r="B195" s="12" t="inlineStr">
        <is>
          <t>I</t>
        </is>
      </c>
      <c r="C195" s="11" t="inlineStr">
        <is>
          <t>Tryb konserwacji WordPressa</t>
        </is>
      </c>
      <c r="D195" s="11" t="inlineStr">
        <is>
          <t>NIE</t>
        </is>
      </c>
      <c r="E195" s="11" t="inlineStr">
        <is>
          <t>TAK</t>
        </is>
      </c>
      <c r="F195" s="11" t="inlineStr">
        <is>
          <t>NIE</t>
        </is>
      </c>
      <c r="G195" s="11" t="inlineStr">
        <is>
          <t>NIE</t>
        </is>
      </c>
      <c r="H195" s="11" t="inlineStr">
        <is>
          <t>CZĘŚĆ</t>
        </is>
      </c>
      <c r="I195" s="11" t="inlineStr">
        <is>
          <t>DZIAŁA</t>
        </is>
      </c>
      <c r="J195" s="12" t="inlineStr">
        <is>
          <t>ops/scripts/node-wp-update.sh (harden maintenance-on/off); WpUpdatesPanel.tsx „Tryb konserwacji”; D3 t1 (d3.hvln.pl) 29.09 po wdrożeniu (panel klienta): tryb konserwacji z panelu → strona 503 „Przerwa techniczna”; wyłączenie → 200</t>
        </is>
      </c>
      <c r="K195" s="11" t="inlineStr">
        <is>
          <t>PARYTET</t>
        </is>
      </c>
      <c r="L195" s="11" t="inlineStr">
        <is>
          <t>—</t>
        </is>
      </c>
      <c r="M195" s="11" t="inlineStr">
        <is>
          <t>S</t>
        </is>
      </c>
      <c r="N195" s="12" t="inlineStr">
        <is>
          <t>2026-09-24: KOD (D2) + skrypt sprawdzony lokalnie na atrapie wp-cli — tryb konserwacji z zakładki WordPress: plik .maintenance z $upgrading = time() (nie wygasa po 10 minutach jak przy wp maintenance-mode), polska strona „Trwa przerwa techniczna” z kodem 503 i Retry-After tylko gdy klient nie ma własnego wp-content/maintenance.php (usuwana przy wyłączeniu tylko nasza, po znaczniku). Aktualizacje odmawiają przy włączonym trybie (kontrola strony dostałaby 503 i wycofała zmiany). Włączenie z potwierdzeniem. OTWARTE do D3 (sprint 21): prawdziwy WordPress na węźle. | 2026-09-24 SKALA DOWODU (decyzja PM): funkcja bez pieniędzy, danych klienta i dostępu — D2 (test w CI) wystarcza do „zrobione”, więc werdykt PARYTET. Stan zostaje CZĘŚCIOWE do testu na węźle (audyt/dane/wezel.csv).</t>
        </is>
      </c>
    </row>
    <row r="196">
      <c r="A196" s="11" t="inlineStr">
        <is>
          <t>I-16</t>
        </is>
      </c>
      <c r="B196" s="12" t="inlineStr">
        <is>
          <t>I</t>
        </is>
      </c>
      <c r="C196" s="11" t="inlineStr">
        <is>
          <t>WP-CLI</t>
        </is>
      </c>
      <c r="D196" s="11" t="inlineStr">
        <is>
          <t>TAK</t>
        </is>
      </c>
      <c r="E196" s="11" t="inlineStr">
        <is>
          <t>TAK</t>
        </is>
      </c>
      <c r="F196" s="11" t="inlineStr">
        <is>
          <t>TAK</t>
        </is>
      </c>
      <c r="G196" s="11" t="inlineStr">
        <is>
          <t>CZĘŚĆ</t>
        </is>
      </c>
      <c r="H196" s="11" t="inlineStr">
        <is>
          <t>TAK</t>
        </is>
      </c>
      <c r="I196" s="11" t="inlineStr">
        <is>
          <t>DZIAŁA</t>
        </is>
      </c>
      <c r="J196" s="12" t="inlineStr">
        <is>
          <t>używane wewnętrznie przy WP_INSTALL</t>
        </is>
      </c>
      <c r="K196" s="11" t="inlineStr">
        <is>
          <t>PARYTET</t>
        </is>
      </c>
      <c r="L196" s="11" t="inlineStr">
        <is>
          <t>ŚREDNIA</t>
        </is>
      </c>
      <c r="M196" s="11" t="inlineStr">
        <is>
          <t>S</t>
        </is>
      </c>
      <c r="N196" s="12" t="inlineStr">
        <is>
          <t>2026-09-24: odblokowane przez C-21 (SSH w klatce z panelu) — do potwierdzenia na węźle. | klient nie ma bezpośredniego dostępu (dziedziczy C-21) | 2026-10-02 D3: 02.10 t1: SSH z panelu włączone (przełącznik → „włączony”), logowanie kluczem z panelu z Maca: whoami=ovsekucx, ls /home pokazuje tylko ovsekucx (CageFS), wp core version → 7.1.2, wp plugin list → akismet/hello/litespeed-cache/redis-cache. Uwaga z testu: klucz o niestandardowej nazwie trzeba wskazać (ssh -i) — dopisane w panelu (b9370db).</t>
        </is>
      </c>
    </row>
    <row r="197">
      <c r="A197" s="11" t="inlineStr">
        <is>
          <t>I-17</t>
        </is>
      </c>
      <c r="B197" s="12" t="inlineStr">
        <is>
          <t>I</t>
        </is>
      </c>
      <c r="C197" s="11" t="inlineStr">
        <is>
          <t>Migracja z innego hostingu — wykrywanie źródła</t>
        </is>
      </c>
      <c r="D197" s="11" t="inlineStr">
        <is>
          <t>NIE</t>
        </is>
      </c>
      <c r="E197" s="11" t="inlineStr">
        <is>
          <t>TAK</t>
        </is>
      </c>
      <c r="F197" s="11" t="inlineStr">
        <is>
          <t>NIE</t>
        </is>
      </c>
      <c r="G197" s="11" t="inlineStr">
        <is>
          <t>CZĘŚĆ</t>
        </is>
      </c>
      <c r="H197" s="11" t="inlineStr">
        <is>
          <t>CZĘŚĆ</t>
        </is>
      </c>
      <c r="I197" s="11" t="inlineStr">
        <is>
          <t>DZIAŁA</t>
        </is>
      </c>
      <c r="J197" s="12" t="inlineStr">
        <is>
          <t>services.controller.ts:978</t>
        </is>
      </c>
      <c r="K197" s="11" t="inlineStr">
        <is>
          <t>PRZEWAGA</t>
        </is>
      </c>
      <c r="L197" s="11" t="inlineStr">
        <is>
          <t>—</t>
        </is>
      </c>
      <c r="M197" s="11" t="inlineStr">
        <is>
          <t>—</t>
        </is>
      </c>
      <c r="N197" s="12" t="inlineStr">
        <is>
          <t>na rynku PL migrację robi dostawca ręcznie</t>
        </is>
      </c>
    </row>
    <row r="198">
      <c r="A198" s="11" t="inlineStr">
        <is>
          <t>I-18</t>
        </is>
      </c>
      <c r="B198" s="12" t="inlineStr">
        <is>
          <t>I</t>
        </is>
      </c>
      <c r="C198" s="11" t="inlineStr">
        <is>
          <t>Migracja — test poświadczeń (preflight)</t>
        </is>
      </c>
      <c r="D198" s="11" t="inlineStr">
        <is>
          <t>NIE</t>
        </is>
      </c>
      <c r="E198" s="11" t="inlineStr">
        <is>
          <t>TAK</t>
        </is>
      </c>
      <c r="F198" s="11" t="inlineStr">
        <is>
          <t>NIE</t>
        </is>
      </c>
      <c r="G198" s="11" t="inlineStr">
        <is>
          <t>NIE</t>
        </is>
      </c>
      <c r="H198" s="11" t="inlineStr">
        <is>
          <t>NIE</t>
        </is>
      </c>
      <c r="I198" s="11" t="inlineStr">
        <is>
          <t>DZIAŁA</t>
        </is>
      </c>
      <c r="J198" s="12" t="inlineStr">
        <is>
          <t>subscriptions/migration-preflight.service.ts (sshLogin, ssh2); test migration-preflight.ssh.spec.ts; sprawdzone na prawdziwym sshd 2026-09-23</t>
        </is>
      </c>
      <c r="K198" s="11" t="inlineStr">
        <is>
          <t>PARYTET</t>
        </is>
      </c>
      <c r="L198" s="11" t="inlineStr">
        <is>
          <t>ŚREDNIA</t>
        </is>
      </c>
      <c r="M198" s="11" t="inlineStr">
        <is>
          <t>S</t>
        </is>
      </c>
      <c r="N198" s="12" t="inlineStr">
        <is>
          <t>OSŁABIONE: migration-preflight.service.ts:93-131 — dla SFTP/SSH, czyli głównego kanału plików, testowany jest wyłącznie baner portu. Literówka w haśle przejdzie preflight. | 2026-09-23: SFTP/SSH w preflight to teraz pełne logowanie (hasło + keyboard-interactive) biblioteką ssh2 i natychmiastowe rozłączenie — literówka w haśle daje „odrzucił login lub hasło” przed zakolejkowaniem, nie mail po godzinie. Sprawdzone na prawdziwym sshd (dobre hasło → ok, złe → auth_failed, zamknięty port → unreachable). Nowa zależność ssh2 (bez @types — własna minimalna deklaracja).</t>
        </is>
      </c>
    </row>
    <row r="199">
      <c r="A199" s="11" t="inlineStr">
        <is>
          <t>I-19</t>
        </is>
      </c>
      <c r="B199" s="12" t="inlineStr">
        <is>
          <t>I</t>
        </is>
      </c>
      <c r="C199" s="11" t="inlineStr">
        <is>
          <t>Migracja — uruchomienie (pliki + baza + poczta)</t>
        </is>
      </c>
      <c r="D199" s="11" t="inlineStr">
        <is>
          <t>NIE</t>
        </is>
      </c>
      <c r="E199" s="11" t="inlineStr">
        <is>
          <t>TAK</t>
        </is>
      </c>
      <c r="F199" s="11" t="inlineStr">
        <is>
          <t>NIE</t>
        </is>
      </c>
      <c r="G199" s="11" t="inlineStr">
        <is>
          <t>CZĘŚĆ</t>
        </is>
      </c>
      <c r="H199" s="11" t="inlineStr">
        <is>
          <t>CZĘŚĆ</t>
        </is>
      </c>
      <c r="I199" s="11" t="inlineStr">
        <is>
          <t>DZIAŁA</t>
        </is>
      </c>
      <c r="J199" s="12" t="inlineStr">
        <is>
          <t>migration-orchestrator.service.ts:636,655</t>
        </is>
      </c>
      <c r="K199" s="11" t="inlineStr">
        <is>
          <t>PRZEWAGA</t>
        </is>
      </c>
      <c r="L199" s="11" t="inlineStr">
        <is>
          <t>—</t>
        </is>
      </c>
      <c r="M199" s="11" t="inlineStr">
        <is>
          <t>—</t>
        </is>
      </c>
      <c r="N199" s="12" t="inlineStr">
        <is>
          <t>rsync + mysqldump; test D1 (11 przypadków) | 2026-09-27 PRZEGLĄD KODU (4fe4c26): węzeł dostawał zadania migracji już dla zleceń QUEUED, czyli zanim harmonogram (co minutę) zrobił kopię bezpieczeństwa konta docelowego i bazy docelowe — przenoszenie plików mogło nadpisać konto bez kopii. Teraz tylko RUNNING; harmonogram nie nakłada się sam na siebie. Do potwierdzenia przy pierwszej migracji na węźle.</t>
        </is>
      </c>
    </row>
    <row r="200">
      <c r="A200" s="11" t="inlineStr">
        <is>
          <t>I-20</t>
        </is>
      </c>
      <c r="B200" s="12" t="inlineStr">
        <is>
          <t>I</t>
        </is>
      </c>
      <c r="C200" s="11" t="inlineStr">
        <is>
          <t>Migracja — delta-sync przed przełączeniem</t>
        </is>
      </c>
      <c r="D200" s="11" t="inlineStr">
        <is>
          <t>NIE</t>
        </is>
      </c>
      <c r="E200" s="11" t="inlineStr">
        <is>
          <t>CZĘŚĆ</t>
        </is>
      </c>
      <c r="F200" s="11" t="inlineStr">
        <is>
          <t>NIE</t>
        </is>
      </c>
      <c r="G200" s="11" t="inlineStr">
        <is>
          <t>NIE</t>
        </is>
      </c>
      <c r="H200" s="11" t="inlineStr">
        <is>
          <t>NIE</t>
        </is>
      </c>
      <c r="I200" s="11" t="inlineStr">
        <is>
          <t>DZIAŁA</t>
        </is>
      </c>
      <c r="J200" s="12" t="inlineStr">
        <is>
          <t>services.controller.ts:1041</t>
        </is>
      </c>
      <c r="K200" s="11" t="inlineStr">
        <is>
          <t>PRZEWAGA</t>
        </is>
      </c>
      <c r="L200" s="11" t="inlineStr">
        <is>
          <t>—</t>
        </is>
      </c>
      <c r="M200" s="11" t="inlineStr">
        <is>
          <t>—</t>
        </is>
      </c>
      <c r="N200" s="12" t="inlineStr">
        <is>
          <t>realny wyróżnik: minimalizuje przestój</t>
        </is>
      </c>
    </row>
    <row r="201">
      <c r="A201" s="11" t="inlineStr">
        <is>
          <t>I-21</t>
        </is>
      </c>
      <c r="B201" s="12" t="inlineStr">
        <is>
          <t>I</t>
        </is>
      </c>
      <c r="C201" s="11" t="inlineStr">
        <is>
          <t>Migracja — plan i weryfikacja cutoveru</t>
        </is>
      </c>
      <c r="D201" s="11" t="inlineStr">
        <is>
          <t>NIE</t>
        </is>
      </c>
      <c r="E201" s="11" t="inlineStr">
        <is>
          <t>NIE</t>
        </is>
      </c>
      <c r="F201" s="11" t="inlineStr">
        <is>
          <t>NIE</t>
        </is>
      </c>
      <c r="G201" s="11" t="inlineStr">
        <is>
          <t>NIE</t>
        </is>
      </c>
      <c r="H201" s="11" t="inlineStr">
        <is>
          <t>NIE</t>
        </is>
      </c>
      <c r="I201" s="11" t="inlineStr">
        <is>
          <t>DZIAŁA</t>
        </is>
      </c>
      <c r="J201" s="12" t="inlineStr">
        <is>
          <t>services.controller.ts:1052,1062</t>
        </is>
      </c>
      <c r="K201" s="11" t="inlineStr">
        <is>
          <t>PRZEWAGA</t>
        </is>
      </c>
      <c r="L201" s="11" t="inlineStr">
        <is>
          <t>—</t>
        </is>
      </c>
      <c r="M201" s="11" t="inlineStr">
        <is>
          <t>—</t>
        </is>
      </c>
      <c r="N201" s="12" t="inlineStr"/>
    </row>
    <row r="202">
      <c r="A202" s="11" t="inlineStr">
        <is>
          <t>I-22</t>
        </is>
      </c>
      <c r="B202" s="12" t="inlineStr">
        <is>
          <t>I</t>
        </is>
      </c>
      <c r="C202" s="11" t="inlineStr">
        <is>
          <t>Migracja — cockpit operatora</t>
        </is>
      </c>
      <c r="D202" s="11" t="inlineStr">
        <is>
          <t>NIE</t>
        </is>
      </c>
      <c r="E202" s="11" t="inlineStr">
        <is>
          <t>TAK</t>
        </is>
      </c>
      <c r="F202" s="11" t="inlineStr">
        <is>
          <t>NIE</t>
        </is>
      </c>
      <c r="G202" s="11" t="inlineStr">
        <is>
          <t>—</t>
        </is>
      </c>
      <c r="H202" s="11" t="inlineStr">
        <is>
          <t>—</t>
        </is>
      </c>
      <c r="I202" s="11" t="inlineStr">
        <is>
          <t>DZIAŁA</t>
        </is>
      </c>
      <c r="J202" s="12" t="inlineStr">
        <is>
          <t>staff-panel: (dashboard)/migrations (lista, eskalacje, ponowienie kroku, szczegóły, odsłonięcie danych z powodem) + pozycja „Migracje” w menu; API bez zmian (staff/migrations, MIGRATIONS_MANAGE)</t>
        </is>
      </c>
      <c r="K202" s="11" t="inlineStr">
        <is>
          <t>PARYTET</t>
        </is>
      </c>
      <c r="L202" s="11" t="inlineStr">
        <is>
          <t>ŚREDNIA</t>
        </is>
      </c>
      <c r="M202" s="11" t="inlineStr">
        <is>
          <t>S</t>
        </is>
      </c>
      <c r="N202" s="12" t="inlineStr">
        <is>
          <t>OSŁABIONE: cockpit ma UI tylko w panelu admina; apps/staff-panel nie ma strony migracji, a logowanie do admina odrzuca STAFF. Uprawnienie MIGRATIONS_MANAGE dla roli STAFF jest bezużyteczne. | 2026-09-23: cockpit migracji w panelu obsługi (ta sama powierzchnia API co w adminie), link do usługi przez CRM klienta. Uprawnienie MIGRATIONS_MANAGE dla STAFF ma wreszcie gdzie działać. | 2026-10-06: eskalacja migracji tworzyła zgłoszenie z pominięciem TicketsService (bez opiekuna i SLA, techniczny powód widoczny jako wiadomość klienta) — a9f5a3f; oś „Co się działo” pokazywała klientowi angielskie kody migracji — e744e24.</t>
        </is>
      </c>
    </row>
    <row r="203">
      <c r="A203" s="11" t="inlineStr">
        <is>
          <t>J-01</t>
        </is>
      </c>
      <c r="B203" s="12" t="inlineStr">
        <is>
          <t>J</t>
        </is>
      </c>
      <c r="C203" s="11" t="inlineStr">
        <is>
          <t>LiteSpeed / serwer o wysokiej wydajności</t>
        </is>
      </c>
      <c r="D203" s="11" t="inlineStr">
        <is>
          <t>PŁATNE</t>
        </is>
      </c>
      <c r="E203" s="11" t="inlineStr">
        <is>
          <t>CZĘŚĆ</t>
        </is>
      </c>
      <c r="F203" s="11" t="inlineStr">
        <is>
          <t>PŁATNE</t>
        </is>
      </c>
      <c r="G203" s="11" t="inlineStr">
        <is>
          <t>CZĘŚĆ</t>
        </is>
      </c>
      <c r="H203" s="11" t="inlineStr">
        <is>
          <t>CZĘŚĆ</t>
        </is>
      </c>
      <c r="I203" s="11" t="inlineStr">
        <is>
          <t>DZIAŁA</t>
        </is>
      </c>
      <c r="J203" s="12" t="inlineStr">
        <is>
          <t>decyzja infrastrukturalna, poza kodem panelu; D3 t1 29.09 (panel klienta, d3.hvln.pl): LiteSpeed Enterprise (Server: LiteSpeed), CacheRoot z profilu [OK], strona główna WordPressa z x-litespeed-cache: hit</t>
        </is>
      </c>
      <c r="K203" s="11" t="inlineStr">
        <is>
          <t>PARYTET</t>
        </is>
      </c>
      <c r="L203" s="11" t="inlineStr">
        <is>
          <t>WYSOKA</t>
        </is>
      </c>
      <c r="M203" s="11" t="inlineStr">
        <is>
          <t>S</t>
        </is>
      </c>
      <c r="N203" s="12"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row>
    <row r="204">
      <c r="A204" s="11" t="inlineStr">
        <is>
          <t>J-02</t>
        </is>
      </c>
      <c r="B204" s="12" t="inlineStr">
        <is>
          <t>J</t>
        </is>
      </c>
      <c r="C204" s="11" t="inlineStr">
        <is>
          <t>Cache stron (LSCache) sterowany z panelu</t>
        </is>
      </c>
      <c r="D204" s="11" t="inlineStr">
        <is>
          <t>PŁATNE</t>
        </is>
      </c>
      <c r="E204" s="11" t="inlineStr">
        <is>
          <t>TAK</t>
        </is>
      </c>
      <c r="F204" s="11" t="inlineStr">
        <is>
          <t>PŁATNE</t>
        </is>
      </c>
      <c r="G204" s="11" t="inlineStr">
        <is>
          <t>CZĘŚĆ</t>
        </is>
      </c>
      <c r="H204" s="11" t="inlineStr">
        <is>
          <t>TAK</t>
        </is>
      </c>
      <c r="I204" s="11" t="inlineStr">
        <is>
          <t>CZĘŚCIOWE</t>
        </is>
      </c>
      <c r="J204" s="12" t="inlineStr">
        <is>
          <t>ops/scripts/node-wp-update.sh tryb cache (WPU_CACHE on/off/purge), WpUpdateService.cache, services.controller.ts :id/hosting-wp-updates/cache, client-panel WpUpdatesPanel.tsx (strona → WordPress → Pamięć podręczna); testy wp-update.service.spec.ts; D3 t1 (d3.hvln.pl) 29.09 po wdrożeniu (panel klienta): status LSCache „Włączona” w panelu (wtyczka litespeed-cache 7.9.1 aktywna); przełącznika nie ruszałem</t>
        </is>
      </c>
      <c r="K204" s="11" t="inlineStr">
        <is>
          <t>PARYTET</t>
        </is>
      </c>
      <c r="L204" s="11" t="inlineStr">
        <is>
          <t>WYSOKA</t>
        </is>
      </c>
      <c r="M204" s="11" t="inlineStr">
        <is>
          <t>M</t>
        </is>
      </c>
      <c r="N204" s="12" t="inlineStr">
        <is>
          <t>2026-09-24: KOD (D2) + skrypt sprawdzony lokalnie na atrapie — włączenie wtyczki LiteSpeed Cache z kontrolą strony (5xx po włączeniu → wyłączamy z powrotem), wyłączenie, wyczyszczenie. Zakres: WordPress w katalogu domeny; inne strony po starcie. OTWARTE do D3 (sprint 21): LiteSpeed na węźle, nagłówek X-LiteSpeed-Cache: hit. | 2026-09-24 SKALA DOWODU (decyzja PM): funkcja bez pieniędzy, danych klienta i dostępu — D2 (test w CI) wystarcza do „zrobione”, więc werdykt PARYTET. Stan zostaje CZĘŚCIOWE do testu na węźle (audyt/dane/wezel.csv).</t>
        </is>
      </c>
    </row>
    <row r="205">
      <c r="A205" s="11" t="inlineStr">
        <is>
          <t>J-03</t>
        </is>
      </c>
      <c r="B205" s="12" t="inlineStr">
        <is>
          <t>J</t>
        </is>
      </c>
      <c r="C205" s="11" t="inlineStr">
        <is>
          <t>Cache obiektowy (Redis) dla WordPressa</t>
        </is>
      </c>
      <c r="D205" s="11" t="inlineStr">
        <is>
          <t>CZĘŚĆ</t>
        </is>
      </c>
      <c r="E205" s="11" t="inlineStr">
        <is>
          <t>TAK</t>
        </is>
      </c>
      <c r="F205" s="11" t="inlineStr">
        <is>
          <t>CZĘŚĆ</t>
        </is>
      </c>
      <c r="G205" s="11" t="inlineStr">
        <is>
          <t>TAK</t>
        </is>
      </c>
      <c r="H205" s="11" t="inlineStr">
        <is>
          <t>TAK</t>
        </is>
      </c>
      <c r="I205" s="11" t="inlineStr">
        <is>
          <t>DZIAŁA</t>
        </is>
      </c>
      <c r="J205" s="12" t="inlineStr">
        <is>
          <t>ops/scripts/node-redis.sh (zadanie REDIS_ACCESS: instancja na konto, tylko gniazdo ~/.verris-redis/redis.sock 0700, konfiguracja roota, CONFIG wyłączone, 64 MB, MemoryMax w systemd), subscriptions/redis-access.service.ts, :id/hosting-redis, panel RedisPanel.tsx (PHP i serwer); WordPress: node-wp-update.sh WPU_CACHE=redis-on/off (wtyczka Redis Object Cache, WP_REDIS_PATH, kontrola strony), WpUpdatesPanel.tsx; testy redis-access.service.spec.ts, wp-update.service.spec.ts; D3 t1 (d3.hvln.pl) 29.09 po wdrożeniu 13:00 (panel klienta): „Włącz Redis dla WordPressa” → „Włączony”, strona odpowiada 200</t>
        </is>
      </c>
      <c r="K205" s="11" t="inlineStr">
        <is>
          <t>PARYTET</t>
        </is>
      </c>
      <c r="L205" s="11" t="inlineStr">
        <is>
          <t>—</t>
        </is>
      </c>
      <c r="M205" s="11" t="inlineStr">
        <is>
          <t>M</t>
        </is>
      </c>
      <c r="N205" s="12" t="inlineStr">
        <is>
          <t>2026-09-24: KOD (D2) razem z D-15 — jedno kliknięcie w zakładce WordPress (wtyczka Redis Object Cache połączona z gniazdem konta, prefiks domeny, wycofanie przy 5xx). OTWARTE do D3 (sprint 21). | patrz D-15</t>
        </is>
      </c>
    </row>
    <row r="206">
      <c r="A206" s="11" t="inlineStr">
        <is>
          <t>J-04</t>
        </is>
      </c>
      <c r="B206" s="12" t="inlineStr">
        <is>
          <t>J</t>
        </is>
      </c>
      <c r="C206" s="11" t="inlineStr">
        <is>
          <t>HTTP/3</t>
        </is>
      </c>
      <c r="D206" s="11" t="inlineStr">
        <is>
          <t>TAK</t>
        </is>
      </c>
      <c r="E206" s="11" t="inlineStr">
        <is>
          <t>TAK</t>
        </is>
      </c>
      <c r="F206" s="11" t="inlineStr">
        <is>
          <t>TAK</t>
        </is>
      </c>
      <c r="G206" s="11" t="inlineStr">
        <is>
          <t>TAK</t>
        </is>
      </c>
      <c r="H206" s="11" t="inlineStr">
        <is>
          <t>TAK</t>
        </is>
      </c>
      <c r="I206" s="11" t="inlineStr">
        <is>
          <t>DZIAŁA</t>
        </is>
      </c>
      <c r="J206" s="12"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K206" s="11" t="inlineStr">
        <is>
          <t>PARYTET</t>
        </is>
      </c>
      <c r="L206" s="11" t="inlineStr">
        <is>
          <t>ŚREDNIA</t>
        </is>
      </c>
      <c r="M206" s="11" t="inlineStr">
        <is>
          <t>S</t>
        </is>
      </c>
      <c r="N206" s="12"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row>
    <row r="207">
      <c r="A207" s="11" t="inlineStr">
        <is>
          <t>J-05</t>
        </is>
      </c>
      <c r="B207" s="12" t="inlineStr">
        <is>
          <t>J</t>
        </is>
      </c>
      <c r="C207" s="11" t="inlineStr">
        <is>
          <t>CDN</t>
        </is>
      </c>
      <c r="D207" s="11" t="inlineStr">
        <is>
          <t>CZĘŚĆ</t>
        </is>
      </c>
      <c r="E207" s="11" t="inlineStr">
        <is>
          <t>TAK</t>
        </is>
      </c>
      <c r="F207" s="11" t="inlineStr">
        <is>
          <t>CZĘŚĆ</t>
        </is>
      </c>
      <c r="G207" s="11" t="inlineStr">
        <is>
          <t>PŁATNE</t>
        </is>
      </c>
      <c r="H207" s="11" t="inlineStr">
        <is>
          <t>TAK</t>
        </is>
      </c>
      <c r="I207" s="11" t="inlineStr">
        <is>
          <t>BRAK</t>
        </is>
      </c>
      <c r="J207" s="12" t="inlineStr">
        <is>
          <t>—</t>
        </is>
      </c>
      <c r="K207" s="11" t="inlineStr">
        <is>
          <t>LUKA</t>
        </is>
      </c>
      <c r="L207" s="11" t="inlineStr">
        <is>
          <t>NISKA</t>
        </is>
      </c>
      <c r="M207" s="11" t="inlineStr">
        <is>
          <t>L</t>
        </is>
      </c>
      <c r="N207" s="12" t="inlineStr">
        <is>
          <t>na rynku PL płatny dodatek</t>
        </is>
      </c>
    </row>
    <row r="208">
      <c r="A208" s="11" t="inlineStr">
        <is>
          <t>J-06</t>
        </is>
      </c>
      <c r="B208" s="12" t="inlineStr">
        <is>
          <t>J</t>
        </is>
      </c>
      <c r="C208" s="11" t="inlineStr">
        <is>
          <t>Optymalizacja obrazów</t>
        </is>
      </c>
      <c r="D208" s="11" t="inlineStr">
        <is>
          <t>NIE</t>
        </is>
      </c>
      <c r="E208" s="11" t="inlineStr">
        <is>
          <t>TAK</t>
        </is>
      </c>
      <c r="F208" s="11" t="inlineStr">
        <is>
          <t>NIE</t>
        </is>
      </c>
      <c r="G208" s="11" t="inlineStr">
        <is>
          <t>NIE</t>
        </is>
      </c>
      <c r="H208" s="11" t="inlineStr">
        <is>
          <t>TAK</t>
        </is>
      </c>
      <c r="I208" s="11" t="inlineStr">
        <is>
          <t>DZIAŁA</t>
        </is>
      </c>
      <c r="J208" s="12" t="inlineStr">
        <is>
          <t>ops/scripts/node-image-optimize.sh (zadanie IMAGE_OPTIMIZE, migracja 20260925211000); subscriptions/obrazy.service.ts; services.controller.ts :id/hosting-images; client-panel ObrazyPanel (widok strony → Pliki); profil węzła: jpegoptim, optipng (EPEL); test obrazy.service.spec.ts; D3 t1 29.09 (panel klienta, d3.hvln.pl): „Optymalizuj obrazy” (cała strona) → 43 pliki, 2,9 MB → 2,9 MB (obrazy rdzenia WP już zoptymalizowane); zadanie kończy się poprawnie</t>
        </is>
      </c>
      <c r="K208" s="11" t="inlineStr">
        <is>
          <t>PARYTET</t>
        </is>
      </c>
      <c r="L208" s="11" t="inlineStr">
        <is>
          <t>NISKA</t>
        </is>
      </c>
      <c r="M208" s="11" t="inlineStr">
        <is>
          <t>M</t>
        </is>
      </c>
      <c r="N208" s="12" t="inlineStr">
        <is>
          <t xml:space="preserve"> | ZROBIONE W KODZIE 2026-09-25: bezstratnie — jpegoptim (tablice Huffmana, -p -P, -T 1) i optipng -o2 -preserve, opcjonalnie usunięcie metadanych (EXIF/GPS); jako klient z nice/ionice, do 5000 plików na raz, znacznik w ~/.verris-obrazy/ — kolejne uruchomienie bierze tylko nowe pliki. Sprawdzone lokalnie (6 plików, dowiązanie do /etc/passwd pominięte, dowiązanie katalogu poza stronę → odmowa). D3 w wezel.csv. | 2026-10-01 D3 t1: 01.10: optymalizacja całego public_html zmieniała obrazy rdzenia WordPressa (43 pliki, 0% zysku) i psuła sumy kontrolne → 50dccf7 (pomija wp-admin, wp-includes).</t>
        </is>
      </c>
    </row>
    <row r="209">
      <c r="A209" s="11" t="inlineStr">
        <is>
          <t>J-07</t>
        </is>
      </c>
      <c r="B209" s="12" t="inlineStr">
        <is>
          <t>J</t>
        </is>
      </c>
      <c r="C209" s="11" t="inlineStr">
        <is>
          <t>Dedykowany adres IP</t>
        </is>
      </c>
      <c r="D209" s="11" t="inlineStr">
        <is>
          <t>TAK</t>
        </is>
      </c>
      <c r="E209" s="11" t="inlineStr">
        <is>
          <t>TAK</t>
        </is>
      </c>
      <c r="F209" s="11" t="inlineStr">
        <is>
          <t>TAK</t>
        </is>
      </c>
      <c r="G209" s="11" t="inlineStr">
        <is>
          <t>PŁATNE</t>
        </is>
      </c>
      <c r="H209" s="11" t="inlineStr">
        <is>
          <t>CZĘŚĆ</t>
        </is>
      </c>
      <c r="I209" s="11" t="inlineStr">
        <is>
          <t>CZĘŚCIOWE</t>
        </is>
      </c>
      <c r="J209" s="12" t="inlineStr">
        <is>
          <t>addons — jako dodatek typu workorder</t>
        </is>
      </c>
      <c r="K209" s="11" t="inlineStr">
        <is>
          <t>CZĘŚCIOWY</t>
        </is>
      </c>
      <c r="L209" s="11" t="inlineStr">
        <is>
          <t>ŚREDNIA</t>
        </is>
      </c>
      <c r="M209" s="11" t="inlineStr">
        <is>
          <t>S</t>
        </is>
      </c>
      <c r="N209" s="12" t="inlineStr">
        <is>
          <t>addon.service.ts:120 — realizacja przez zgłoszenie do BOK, nie automat</t>
        </is>
      </c>
    </row>
    <row r="210">
      <c r="A210" s="11" t="inlineStr">
        <is>
          <t>J-08</t>
        </is>
      </c>
      <c r="B210" s="12" t="inlineStr">
        <is>
          <t>J</t>
        </is>
      </c>
      <c r="C210" s="11" t="inlineStr">
        <is>
          <t>Autoskalowanie zasobów</t>
        </is>
      </c>
      <c r="D210" s="11" t="inlineStr">
        <is>
          <t>NIE</t>
        </is>
      </c>
      <c r="E210" s="11" t="inlineStr">
        <is>
          <t>NIE</t>
        </is>
      </c>
      <c r="F210" s="11" t="inlineStr">
        <is>
          <t>NIE</t>
        </is>
      </c>
      <c r="G210" s="11" t="inlineStr">
        <is>
          <t>CZĘŚĆ</t>
        </is>
      </c>
      <c r="H210" s="11" t="inlineStr">
        <is>
          <t>TAK</t>
        </is>
      </c>
      <c r="I210" s="11" t="inlineStr">
        <is>
          <t>DZIAŁA</t>
        </is>
      </c>
      <c r="J210" s="12" t="inlineStr">
        <is>
          <t>autoscaling-engine.service.ts:64 (cron 1 min)</t>
        </is>
      </c>
      <c r="K210" s="11" t="inlineStr">
        <is>
          <t>PRZEWAGA</t>
        </is>
      </c>
      <c r="L210" s="11" t="inlineStr">
        <is>
          <t>—</t>
        </is>
      </c>
      <c r="M210" s="11" t="inlineStr">
        <is>
          <t>—</t>
        </is>
      </c>
      <c r="N210" s="12" t="inlineStr">
        <is>
          <t>tylko dhosting ma coś podobnego na rynku PL | 2026-09-25: stawki na verris.pl (0,001323 zł / 1% CPU / h, 0,0882 zł / GB RAM / h, 0,0008 zł / GB dysku / h) zgodne z produkcją (admin → Cennik autoskalowania); seed bazy poprawiony na te same wartości (miał przykładowe, dysk 62× droższy). Strona: „naliczanie kończy się w ciągu kilkunastu minut” zamiast „sekundę po piku” (bloki 15 min).</t>
        </is>
      </c>
    </row>
    <row r="211">
      <c r="A211" s="11" t="inlineStr">
        <is>
          <t>J-09</t>
        </is>
      </c>
      <c r="B211" s="12" t="inlineStr">
        <is>
          <t>J</t>
        </is>
      </c>
      <c r="C211" s="11" t="inlineStr">
        <is>
          <t>Limit miesięcznego kosztu autoskalowania</t>
        </is>
      </c>
      <c r="D211" s="11" t="inlineStr">
        <is>
          <t>NIE</t>
        </is>
      </c>
      <c r="E211" s="11" t="inlineStr">
        <is>
          <t>NIE</t>
        </is>
      </c>
      <c r="F211" s="11" t="inlineStr">
        <is>
          <t>NIE</t>
        </is>
      </c>
      <c r="G211" s="11" t="inlineStr">
        <is>
          <t>NIE</t>
        </is>
      </c>
      <c r="H211" s="11" t="inlineStr">
        <is>
          <t>CZĘŚĆ</t>
        </is>
      </c>
      <c r="I211" s="11" t="inlineStr">
        <is>
          <t>DZIAŁA</t>
        </is>
      </c>
      <c r="J211" s="12" t="inlineStr">
        <is>
          <t>subscriptions.controller.ts:120; test autoscaling-engine.cap.spec.ts</t>
        </is>
      </c>
      <c r="K211" s="11" t="inlineStr">
        <is>
          <t>PRZEWAGA</t>
        </is>
      </c>
      <c r="L211" s="11" t="inlineStr">
        <is>
          <t>—</t>
        </is>
      </c>
      <c r="M211" s="11" t="inlineStr">
        <is>
          <t>—</t>
        </is>
      </c>
      <c r="N211" s="12" t="inlineStr">
        <is>
          <t>cap egzekwowany w silniku, test D1</t>
        </is>
      </c>
    </row>
    <row r="212">
      <c r="A212" s="11" t="inlineStr">
        <is>
          <t>J-10</t>
        </is>
      </c>
      <c r="B212" s="12" t="inlineStr">
        <is>
          <t>J</t>
        </is>
      </c>
      <c r="C212" s="11" t="inlineStr">
        <is>
          <t>Kalkulator kosztu skalowania</t>
        </is>
      </c>
      <c r="D212" s="11" t="inlineStr">
        <is>
          <t>NIE</t>
        </is>
      </c>
      <c r="E212" s="11" t="inlineStr">
        <is>
          <t>NIE</t>
        </is>
      </c>
      <c r="F212" s="11" t="inlineStr">
        <is>
          <t>NIE</t>
        </is>
      </c>
      <c r="G212" s="11" t="inlineStr">
        <is>
          <t>NIE</t>
        </is>
      </c>
      <c r="H212" s="11" t="inlineStr">
        <is>
          <t>CZĘŚĆ</t>
        </is>
      </c>
      <c r="I212" s="11" t="inlineStr">
        <is>
          <t>DZIAŁA</t>
        </is>
      </c>
      <c r="J212" s="12" t="inlineStr">
        <is>
          <t>autoscaling.controller.ts:12</t>
        </is>
      </c>
      <c r="K212" s="11" t="inlineStr">
        <is>
          <t>PRZEWAGA</t>
        </is>
      </c>
      <c r="L212" s="11" t="inlineStr">
        <is>
          <t>—</t>
        </is>
      </c>
      <c r="M212" s="11" t="inlineStr">
        <is>
          <t>—</t>
        </is>
      </c>
      <c r="N212" s="12" t="inlineStr"/>
    </row>
    <row r="213">
      <c r="A213" s="11" t="inlineStr">
        <is>
          <t>J-11</t>
        </is>
      </c>
      <c r="B213" s="12" t="inlineStr">
        <is>
          <t>J</t>
        </is>
      </c>
      <c r="C213" s="11" t="inlineStr">
        <is>
          <t>Historia zdarzeń skalowania</t>
        </is>
      </c>
      <c r="D213" s="11" t="inlineStr">
        <is>
          <t>NIE</t>
        </is>
      </c>
      <c r="E213" s="11" t="inlineStr">
        <is>
          <t>NIE</t>
        </is>
      </c>
      <c r="F213" s="11" t="inlineStr">
        <is>
          <t>NIE</t>
        </is>
      </c>
      <c r="G213" s="11" t="inlineStr">
        <is>
          <t>NIE</t>
        </is>
      </c>
      <c r="H213" s="11" t="inlineStr">
        <is>
          <t>CZĘŚĆ</t>
        </is>
      </c>
      <c r="I213" s="11" t="inlineStr">
        <is>
          <t>DZIAŁA</t>
        </is>
      </c>
      <c r="J213" s="12" t="inlineStr">
        <is>
          <t>subscriptions.controller.ts:138</t>
        </is>
      </c>
      <c r="K213" s="11" t="inlineStr">
        <is>
          <t>PRZEWAGA</t>
        </is>
      </c>
      <c r="L213" s="11" t="inlineStr">
        <is>
          <t>—</t>
        </is>
      </c>
      <c r="M213" s="11" t="inlineStr">
        <is>
          <t>—</t>
        </is>
      </c>
      <c r="N213" s="12" t="inlineStr"/>
    </row>
    <row r="214">
      <c r="A214" s="11" t="inlineStr">
        <is>
          <t>K-01</t>
        </is>
      </c>
      <c r="B214" s="12" t="inlineStr">
        <is>
          <t>K</t>
        </is>
      </c>
      <c r="C214" s="11" t="inlineStr">
        <is>
          <t>Zużycie CPU / RAM / IO na wykresie</t>
        </is>
      </c>
      <c r="D214" s="11" t="inlineStr">
        <is>
          <t>TAK</t>
        </is>
      </c>
      <c r="E214" s="11" t="inlineStr">
        <is>
          <t>TAK</t>
        </is>
      </c>
      <c r="F214" s="11" t="inlineStr">
        <is>
          <t>TAK</t>
        </is>
      </c>
      <c r="G214" s="11" t="inlineStr">
        <is>
          <t>TAK</t>
        </is>
      </c>
      <c r="H214" s="11" t="inlineStr">
        <is>
          <t>TAK</t>
        </is>
      </c>
      <c r="I214" s="11" t="inlineStr">
        <is>
          <t>DZIAŁA</t>
        </is>
      </c>
      <c r="J214" s="12" t="inlineStr">
        <is>
          <t>services.controller.ts:881</t>
        </is>
      </c>
      <c r="K214" s="11" t="inlineStr">
        <is>
          <t>PARYTET</t>
        </is>
      </c>
      <c r="L214" s="11" t="inlineStr">
        <is>
          <t>—</t>
        </is>
      </c>
      <c r="M214" s="11" t="inlineStr">
        <is>
          <t>—</t>
        </is>
      </c>
      <c r="N214" s="12" t="inlineStr">
        <is>
          <t>realna telemetria LVE, 24 h / 7 d</t>
        </is>
      </c>
    </row>
    <row r="215">
      <c r="A215" s="11" t="inlineStr">
        <is>
          <t>K-02</t>
        </is>
      </c>
      <c r="B215" s="12" t="inlineStr">
        <is>
          <t>K</t>
        </is>
      </c>
      <c r="C215" s="11" t="inlineStr">
        <is>
          <t>Zużycie powierzchni i transferu</t>
        </is>
      </c>
      <c r="D215" s="11" t="inlineStr">
        <is>
          <t>TAK</t>
        </is>
      </c>
      <c r="E215" s="11" t="inlineStr">
        <is>
          <t>TAK</t>
        </is>
      </c>
      <c r="F215" s="11" t="inlineStr">
        <is>
          <t>TAK</t>
        </is>
      </c>
      <c r="G215" s="11" t="inlineStr">
        <is>
          <t>TAK</t>
        </is>
      </c>
      <c r="H215" s="11" t="inlineStr">
        <is>
          <t>TAK</t>
        </is>
      </c>
      <c r="I215" s="11" t="inlineStr">
        <is>
          <t>DZIAŁA</t>
        </is>
      </c>
      <c r="J215" s="12" t="inlineStr">
        <is>
          <t>services.controller.ts:936</t>
        </is>
      </c>
      <c r="K215" s="11" t="inlineStr">
        <is>
          <t>PARYTET</t>
        </is>
      </c>
      <c r="L215" s="11" t="inlineStr">
        <is>
          <t>—</t>
        </is>
      </c>
      <c r="M215" s="11" t="inlineStr">
        <is>
          <t>—</t>
        </is>
      </c>
      <c r="N215" s="12" t="inlineStr"/>
    </row>
    <row r="216">
      <c r="A216" s="11" t="inlineStr">
        <is>
          <t>K-03</t>
        </is>
      </c>
      <c r="B216" s="12" t="inlineStr">
        <is>
          <t>K</t>
        </is>
      </c>
      <c r="C216" s="11" t="inlineStr">
        <is>
          <t>Licznik inodów</t>
        </is>
      </c>
      <c r="D216" s="11" t="inlineStr">
        <is>
          <t>TAK</t>
        </is>
      </c>
      <c r="E216" s="11" t="inlineStr">
        <is>
          <t>TAK</t>
        </is>
      </c>
      <c r="F216" s="11" t="inlineStr">
        <is>
          <t>TAK</t>
        </is>
      </c>
      <c r="G216" s="11" t="inlineStr">
        <is>
          <t>b.d.</t>
        </is>
      </c>
      <c r="H216" s="11" t="inlineStr">
        <is>
          <t>CZĘŚĆ</t>
        </is>
      </c>
      <c r="I216" s="11" t="inlineStr">
        <is>
          <t>DZIAŁA</t>
        </is>
      </c>
      <c r="J216" s="12" t="inlineStr">
        <is>
          <t>ops/scripts/node-disk-usage.sh (du --inodes), DiskUsagePanel.tsx; łączna liczba i-węzłów konta także w ServiceConnectionInfoDto.inodes (DA); D3 t1 29.09 (panel klienta, d3.hvln.pl): liczba plików (i-węzłów) per katalog i razem w „Co zajmuje miejsce” (5821)</t>
        </is>
      </c>
      <c r="K216" s="11" t="inlineStr">
        <is>
          <t>PARYTET</t>
        </is>
      </c>
      <c r="L216" s="11" t="inlineStr">
        <is>
          <t>ŚREDNIA</t>
        </is>
      </c>
      <c r="M216" s="11" t="inlineStr">
        <is>
          <t>S</t>
        </is>
      </c>
      <c r="N216" s="12" t="inlineStr">
        <is>
          <t>2026-09-24: KOD (D2) razem z C-15 — liczba plików per katalog obok rozmiaru. OTWARTE do D3 (sprint 21). | żaden hosting PL nie publikuje — okazja na transparentność | 2026-09-24 SKALA DOWODU (decyzja PM): funkcja bez pieniędzy, danych klienta i dostępu — D2 (test w CI) wystarcza do „zrobione”, więc werdykt PARYTET. Stan zostaje CZĘŚCIOWE do testu na węźle (audyt/dane/wezel.csv).</t>
        </is>
      </c>
    </row>
    <row r="217">
      <c r="A217" s="11" t="inlineStr">
        <is>
          <t>K-04</t>
        </is>
      </c>
      <c r="B217" s="12" t="inlineStr">
        <is>
          <t>K</t>
        </is>
      </c>
      <c r="C217" s="11" t="inlineStr">
        <is>
          <t>Logi dostępu WWW (access log)</t>
        </is>
      </c>
      <c r="D217" s="11" t="inlineStr">
        <is>
          <t>TAK</t>
        </is>
      </c>
      <c r="E217" s="11" t="inlineStr">
        <is>
          <t>TAK</t>
        </is>
      </c>
      <c r="F217" s="11" t="inlineStr">
        <is>
          <t>TAK</t>
        </is>
      </c>
      <c r="G217" s="11" t="inlineStr">
        <is>
          <t>TAK</t>
        </is>
      </c>
      <c r="H217" s="11" t="inlineStr">
        <is>
          <t>TAK</t>
        </is>
      </c>
      <c r="I217" s="11" t="inlineStr">
        <is>
          <t>DZIAŁA</t>
        </is>
      </c>
      <c r="J217" s="12" t="inlineStr">
        <is>
          <t>GET /services/:id/hosting-logs (readHostingLog, DA CMD_SHOW_LOG type=log|error) + zakładka usługi „Logi WWW” (LogsTab.tsx); directadmin.logi.spec.ts (9 testów); subkonto: FILES_MANAGE; D3 t1 (d3.hvln.pl) 29.09 po wdrożeniu (panel klienta): Logi → Dostęp: 100 ostatnich wpisów access logu domeny, najnowsze na górze</t>
        </is>
      </c>
      <c r="K217" s="11" t="inlineStr">
        <is>
          <t>PARYTET</t>
        </is>
      </c>
      <c r="L217" s="11" t="inlineStr">
        <is>
          <t>—</t>
        </is>
      </c>
      <c r="M217" s="11" t="inlineStr">
        <is>
          <t>M</t>
        </is>
      </c>
      <c r="N217"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wszystkie 5 hostingów PL to ma; seohost reklamuje jako darmowe | 2026-09-24: zakładka Logi WWW wdrożona i otwiera się w panelu. Treść logów do sprawdzenia dopiero na węźle (sprint 18, PB-21) — węzła jeszcze nie ma, więc usługa testowa nie ma skąd pobrać domen ani logów.</t>
        </is>
      </c>
    </row>
    <row r="218">
      <c r="A218" s="11" t="inlineStr">
        <is>
          <t>K-05</t>
        </is>
      </c>
      <c r="B218" s="12" t="inlineStr">
        <is>
          <t>K</t>
        </is>
      </c>
      <c r="C218" s="11" t="inlineStr">
        <is>
          <t>Logi błędów PHP</t>
        </is>
      </c>
      <c r="D218" s="11" t="inlineStr">
        <is>
          <t>TAK</t>
        </is>
      </c>
      <c r="E218" s="11" t="inlineStr">
        <is>
          <t>TAK</t>
        </is>
      </c>
      <c r="F218" s="11" t="inlineStr">
        <is>
          <t>TAK</t>
        </is>
      </c>
      <c r="G218" s="11" t="inlineStr">
        <is>
          <t>TAK</t>
        </is>
      </c>
      <c r="H218" s="11" t="inlineStr">
        <is>
          <t>TAK</t>
        </is>
      </c>
      <c r="I218" s="11" t="inlineStr">
        <is>
          <t>DZIAŁA</t>
        </is>
      </c>
      <c r="J218" s="12" t="inlineStr">
        <is>
          <t>GET /services/:id/hosting-logs (readHostingLog, DA CMD_SHOW_LOG type=log|error) + zakładka usługi „Logi WWW” (LogsTab.tsx); directadmin.logi.spec.ts (9 testów); subkonto: FILES_MANAGE; D3 t1 (d3.hvln.pl) 29.09 po wdrożeniu (panel klienta): Logi → Błędy: wpisy LiteSpeed/ModSecurity domeny</t>
        </is>
      </c>
      <c r="K218" s="11" t="inlineStr">
        <is>
          <t>PARYTET</t>
        </is>
      </c>
      <c r="L218" s="11" t="inlineStr">
        <is>
          <t>—</t>
        </is>
      </c>
      <c r="M218" s="11" t="inlineStr">
        <is>
          <t>M</t>
        </is>
      </c>
      <c r="N218" s="12" t="inlineStr">
        <is>
          <t>2026-09-24: zbudowane — domena tylko z konta usługi, 20–1000 ostatnich linii, najnowsze na górze, zawijanie bez przewijania w bok; HTML/error=1 od DA to komunikat, nie „wpisy”. OTWARTE: potwierdzenie na żywym węźle, że CMD_SHOW_LOG zwraca tekst dla klucza użytkownika (test w Chrome po wdrożeniu). | j.w. — bez tego klient nie zdiagnozuje własnej strony | 2026-09-24: zakładka Logi WWW wdrożona i otwiera się w panelu. Treść logów do sprawdzenia dopiero na węźle (sprint 18, PB-21) — węzła jeszcze nie ma, więc usługa testowa nie ma skąd pobrać domen ani logów.</t>
        </is>
      </c>
    </row>
    <row r="219">
      <c r="A219" s="11" t="inlineStr">
        <is>
          <t>K-06</t>
        </is>
      </c>
      <c r="B219" s="12" t="inlineStr">
        <is>
          <t>K</t>
        </is>
      </c>
      <c r="C219" s="11" t="inlineStr">
        <is>
          <t>Surowe logi do pobrania</t>
        </is>
      </c>
      <c r="D219" s="11" t="inlineStr">
        <is>
          <t>TAK</t>
        </is>
      </c>
      <c r="E219" s="11" t="inlineStr">
        <is>
          <t>TAK</t>
        </is>
      </c>
      <c r="F219" s="11" t="inlineStr">
        <is>
          <t>TAK</t>
        </is>
      </c>
      <c r="G219" s="11" t="inlineStr">
        <is>
          <t>CZĘŚĆ</t>
        </is>
      </c>
      <c r="H219" s="11" t="inlineStr">
        <is>
          <t>CZĘŚĆ</t>
        </is>
      </c>
      <c r="I219" s="11" t="inlineStr">
        <is>
          <t>CZĘŚCIOWE</t>
        </is>
      </c>
      <c r="J219" s="12" t="inlineStr">
        <is>
          <t>client-panel components/hosting/LogsTab.tsx — „Pobierz” zapisuje wczytane linie (do 1000 ostatnich) jako plik .log</t>
        </is>
      </c>
      <c r="K219" s="11" t="inlineStr">
        <is>
          <t>PARYTET</t>
        </is>
      </c>
      <c r="L219" s="11" t="inlineStr">
        <is>
          <t>ŚREDNIA</t>
        </is>
      </c>
      <c r="M219" s="11" t="inlineStr">
        <is>
          <t>S</t>
        </is>
      </c>
      <c r="N219" s="12" t="inlineStr">
        <is>
          <t>2026-09-24: KOD — pobranie tego, co widać w zakładce Logi WWW. Pełne archiwa logów (np. rotowane .gz) — po starcie, gdy K-04/K-05 przejdą D3. | 2026-09-24 SKALA DOWODU (decyzja PM): funkcja bez pieniędzy, danych klienta i dostępu — D2 (test w CI) wystarcza do „zrobione”, więc werdykt PARYTET. Stan zostaje CZĘŚCIOWE do testu na węźle (audyt/dane/wezel.csv).</t>
        </is>
      </c>
    </row>
    <row r="220">
      <c r="A220" s="11" t="inlineStr">
        <is>
          <t>K-07</t>
        </is>
      </c>
      <c r="B220" s="12" t="inlineStr">
        <is>
          <t>K</t>
        </is>
      </c>
      <c r="C220" s="11" t="inlineStr">
        <is>
          <t>Statystyki odwiedzin (AWStats/Webalizer)</t>
        </is>
      </c>
      <c r="D220" s="11" t="inlineStr">
        <is>
          <t>TAK</t>
        </is>
      </c>
      <c r="E220" s="11" t="inlineStr">
        <is>
          <t>TAK</t>
        </is>
      </c>
      <c r="F220" s="11" t="inlineStr">
        <is>
          <t>TAK</t>
        </is>
      </c>
      <c r="G220" s="11" t="inlineStr">
        <is>
          <t>CZĘŚĆ</t>
        </is>
      </c>
      <c r="H220" s="11" t="inlineStr">
        <is>
          <t>NIE</t>
        </is>
      </c>
      <c r="I220" s="11" t="inlineStr">
        <is>
          <t>BRAK</t>
        </is>
      </c>
      <c r="J220" s="12" t="inlineStr">
        <is>
          <t>—</t>
        </is>
      </c>
      <c r="K220" s="11" t="inlineStr">
        <is>
          <t>POZA ZAKRESEM</t>
        </is>
      </c>
      <c r="L220" s="11" t="inlineStr">
        <is>
          <t>NISKA</t>
        </is>
      </c>
      <c r="M220" s="11" t="inlineStr">
        <is>
          <t>—</t>
        </is>
      </c>
      <c r="N220" s="12" t="inlineStr">
        <is>
          <t>zastąpione własną analityką (K-12)</t>
        </is>
      </c>
    </row>
    <row r="221">
      <c r="A221" s="11" t="inlineStr">
        <is>
          <t>K-08</t>
        </is>
      </c>
      <c r="B221" s="12" t="inlineStr">
        <is>
          <t>K</t>
        </is>
      </c>
      <c r="C221" s="11" t="inlineStr">
        <is>
          <t>Powiadomienia o przekroczeniu limitów</t>
        </is>
      </c>
      <c r="D221" s="11" t="inlineStr">
        <is>
          <t>TAK</t>
        </is>
      </c>
      <c r="E221" s="11" t="inlineStr">
        <is>
          <t>TAK</t>
        </is>
      </c>
      <c r="F221" s="11" t="inlineStr">
        <is>
          <t>TAK</t>
        </is>
      </c>
      <c r="G221" s="11" t="inlineStr">
        <is>
          <t>CZĘŚĆ</t>
        </is>
      </c>
      <c r="H221" s="11" t="inlineStr">
        <is>
          <t>TAK</t>
        </is>
      </c>
      <c r="I221" s="11" t="inlineStr">
        <is>
          <t>DZIAŁA</t>
        </is>
      </c>
      <c r="J221" s="12" t="inlineStr">
        <is>
          <t>subscriptions/quota-alert.scheduler.ts (dysk/transfer z DA + CPU/RAM z UsageMetric), mail accountQuotaAlertTemplate; test quota-alert.scheduler.spec.ts</t>
        </is>
      </c>
      <c r="K221" s="11" t="inlineStr">
        <is>
          <t>PARYTET</t>
        </is>
      </c>
      <c r="L221" s="11" t="inlineStr">
        <is>
          <t>ŚREDNIA</t>
        </is>
      </c>
      <c r="M221" s="11" t="inlineStr">
        <is>
          <t>S</t>
        </is>
      </c>
      <c r="N221" s="12" t="inlineStr">
        <is>
          <t>2026-09-23: alert istniał tylko dla dysku i transferu (PANEL-14) i sprawdzał pierwsze 500 kont bez kolejności — reszta nigdy. Teraz: wszystkie konta porcjami; CPU/RAM, gdy ≥10% próbek LVE z doby stoi na ≥90% efektywnego limitu (plan + autoskalowanie); mail z radami i linkiem do zakładki „Zużycie zasobów”; maks. 1 na 3 dni. D3: wymaga telemetrii LVE z węzła.</t>
        </is>
      </c>
    </row>
    <row r="222">
      <c r="A222" s="11" t="inlineStr">
        <is>
          <t>K-09</t>
        </is>
      </c>
      <c r="B222" s="12" t="inlineStr">
        <is>
          <t>K</t>
        </is>
      </c>
      <c r="C222" s="11" t="inlineStr">
        <is>
          <t>Health-check usługi (DNS/TLS/poczta/HTTP)</t>
        </is>
      </c>
      <c r="D222" s="11" t="inlineStr">
        <is>
          <t>NIE</t>
        </is>
      </c>
      <c r="E222" s="11" t="inlineStr">
        <is>
          <t>CZĘŚĆ</t>
        </is>
      </c>
      <c r="F222" s="11" t="inlineStr">
        <is>
          <t>NIE</t>
        </is>
      </c>
      <c r="G222" s="11" t="inlineStr">
        <is>
          <t>NIE</t>
        </is>
      </c>
      <c r="H222" s="11" t="inlineStr">
        <is>
          <t>CZĘŚĆ</t>
        </is>
      </c>
      <c r="I222" s="11" t="inlineStr">
        <is>
          <t>DZIAŁA</t>
        </is>
      </c>
      <c r="J222" s="12" t="inlineStr">
        <is>
          <t>services.controller.ts:865</t>
        </is>
      </c>
      <c r="K222" s="11" t="inlineStr">
        <is>
          <t>PRZEWAGA</t>
        </is>
      </c>
      <c r="L222" s="11" t="inlineStr">
        <is>
          <t>—</t>
        </is>
      </c>
      <c r="M222" s="11" t="inlineStr">
        <is>
          <t>—</t>
        </is>
      </c>
      <c r="N222" s="12" t="inlineStr">
        <is>
          <t>z podpowiedziami „co zrobić”</t>
        </is>
      </c>
    </row>
    <row r="223">
      <c r="A223" s="11" t="inlineStr">
        <is>
          <t>K-10</t>
        </is>
      </c>
      <c r="B223" s="12" t="inlineStr">
        <is>
          <t>K</t>
        </is>
      </c>
      <c r="C223" s="11" t="inlineStr">
        <is>
          <t>Monitoring dostępności strony</t>
        </is>
      </c>
      <c r="D223" s="11" t="inlineStr">
        <is>
          <t>NIE</t>
        </is>
      </c>
      <c r="E223" s="11" t="inlineStr">
        <is>
          <t>TAK</t>
        </is>
      </c>
      <c r="F223" s="11" t="inlineStr">
        <is>
          <t>NIE</t>
        </is>
      </c>
      <c r="G223" s="11" t="inlineStr">
        <is>
          <t>CZĘŚĆ</t>
        </is>
      </c>
      <c r="H223" s="11" t="inlineStr">
        <is>
          <t>TAK</t>
        </is>
      </c>
      <c r="I223" s="11" t="inlineStr">
        <is>
          <t>DZIAŁA</t>
        </is>
      </c>
      <c r="J223" s="12" t="inlineStr">
        <is>
          <t>services.controller.ts:147,157</t>
        </is>
      </c>
      <c r="K223" s="11" t="inlineStr">
        <is>
          <t>PRZEWAGA</t>
        </is>
      </c>
      <c r="L223" s="11" t="inlineStr">
        <is>
          <t>—</t>
        </is>
      </c>
      <c r="M223" s="11" t="inlineStr">
        <is>
          <t>—</t>
        </is>
      </c>
      <c r="N223" s="12" t="inlineStr">
        <is>
          <t>z powiadomieniami e-mail | 2026-09-25: zamknięte okno DNS rebinding w monitorze strony (komentarz ponytail w kodzie wskazywał je jako znane ograniczenie). Klient kontroluje DNS swojej domeny, więc mógł między sprawdzeniem a połączeniem przekierować sondę na adres wewnętrzny; teraz adres jest sprawdzany w chwili połączenia (http/https z lookup odrzucającym adresy prywatne), bez przekierowań. Test site-monitor-ssrf.spec.ts + common/net/webhook-post.spec.ts.</t>
        </is>
      </c>
    </row>
    <row r="224">
      <c r="A224" s="11" t="inlineStr">
        <is>
          <t>K-11</t>
        </is>
      </c>
      <c r="B224" s="12" t="inlineStr">
        <is>
          <t>K</t>
        </is>
      </c>
      <c r="C224" s="11" t="inlineStr">
        <is>
          <t>Powiadomienia o wykrytej niedostępności</t>
        </is>
      </c>
      <c r="D224" s="11" t="inlineStr">
        <is>
          <t>NIE</t>
        </is>
      </c>
      <c r="E224" s="11" t="inlineStr">
        <is>
          <t>TAK</t>
        </is>
      </c>
      <c r="F224" s="11" t="inlineStr">
        <is>
          <t>NIE</t>
        </is>
      </c>
      <c r="G224" s="11" t="inlineStr">
        <is>
          <t>CZĘŚĆ</t>
        </is>
      </c>
      <c r="H224" s="11" t="inlineStr">
        <is>
          <t>TAK</t>
        </is>
      </c>
      <c r="I224" s="11" t="inlineStr">
        <is>
          <t>DZIAŁA</t>
        </is>
      </c>
      <c r="J224" s="12" t="inlineStr">
        <is>
          <t>services.controller.ts:157</t>
        </is>
      </c>
      <c r="K224" s="11" t="inlineStr">
        <is>
          <t>PRZEWAGA</t>
        </is>
      </c>
      <c r="L224" s="11" t="inlineStr">
        <is>
          <t>—</t>
        </is>
      </c>
      <c r="M224" s="11" t="inlineStr">
        <is>
          <t>—</t>
        </is>
      </c>
      <c r="N224" s="12" t="inlineStr"/>
    </row>
    <row r="225">
      <c r="A225" s="11" t="inlineStr">
        <is>
          <t>K-12</t>
        </is>
      </c>
      <c r="B225" s="12" t="inlineStr">
        <is>
          <t>K</t>
        </is>
      </c>
      <c r="C225" s="11" t="inlineStr">
        <is>
          <t>Analityka odwiedzin bez cookies</t>
        </is>
      </c>
      <c r="D225" s="11" t="inlineStr">
        <is>
          <t>NIE</t>
        </is>
      </c>
      <c r="E225" s="11" t="inlineStr">
        <is>
          <t>NIE</t>
        </is>
      </c>
      <c r="F225" s="11" t="inlineStr">
        <is>
          <t>NIE</t>
        </is>
      </c>
      <c r="G225" s="11" t="inlineStr">
        <is>
          <t>NIE</t>
        </is>
      </c>
      <c r="H225" s="11" t="inlineStr">
        <is>
          <t>NIE</t>
        </is>
      </c>
      <c r="I225" s="11" t="inlineStr">
        <is>
          <t>DZIAŁA</t>
        </is>
      </c>
      <c r="J225" s="12" t="inlineStr">
        <is>
          <t>analytics-sites.controller.ts:30,51; retencja 90 dni (analytics-sites.service.ts:49)</t>
        </is>
      </c>
      <c r="K225" s="11" t="inlineStr">
        <is>
          <t>PRZEWAGA</t>
        </is>
      </c>
      <c r="L225" s="11" t="inlineStr">
        <is>
          <t>—</t>
        </is>
      </c>
      <c r="M225" s="11" t="inlineStr">
        <is>
          <t>—</t>
        </is>
      </c>
      <c r="N225" s="12" t="inlineStr">
        <is>
          <t>nikt na rynku PL tego nie ma</t>
        </is>
      </c>
    </row>
    <row r="226">
      <c r="A226" s="11" t="inlineStr">
        <is>
          <t>K-13</t>
        </is>
      </c>
      <c r="B226" s="12" t="inlineStr">
        <is>
          <t>K</t>
        </is>
      </c>
      <c r="C226" s="11" t="inlineStr">
        <is>
          <t>Analityka — snippet do wklejenia</t>
        </is>
      </c>
      <c r="D226" s="11" t="inlineStr">
        <is>
          <t>NIE</t>
        </is>
      </c>
      <c r="E226" s="11" t="inlineStr">
        <is>
          <t>NIE</t>
        </is>
      </c>
      <c r="F226" s="11" t="inlineStr">
        <is>
          <t>NIE</t>
        </is>
      </c>
      <c r="G226" s="11" t="inlineStr">
        <is>
          <t>NIE</t>
        </is>
      </c>
      <c r="H226" s="11" t="inlineStr">
        <is>
          <t>NIE</t>
        </is>
      </c>
      <c r="I226" s="11" t="inlineStr">
        <is>
          <t>DZIAŁA</t>
        </is>
      </c>
      <c r="J226" s="12" t="inlineStr">
        <is>
          <t>analytics-public.controller.ts</t>
        </is>
      </c>
      <c r="K226" s="11" t="inlineStr">
        <is>
          <t>PRZEWAGA</t>
        </is>
      </c>
      <c r="L226" s="11" t="inlineStr">
        <is>
          <t>—</t>
        </is>
      </c>
      <c r="M226" s="11" t="inlineStr">
        <is>
          <t>—</t>
        </is>
      </c>
      <c r="N226" s="12" t="inlineStr"/>
    </row>
    <row r="227">
      <c r="A227" s="11" t="inlineStr">
        <is>
          <t>K-14</t>
        </is>
      </c>
      <c r="B227" s="12" t="inlineStr">
        <is>
          <t>K</t>
        </is>
      </c>
      <c r="C227" s="11" t="inlineStr">
        <is>
          <t>Wolne zapytania SQL</t>
        </is>
      </c>
      <c r="D227" s="11" t="inlineStr">
        <is>
          <t>TAK</t>
        </is>
      </c>
      <c r="E227" s="11" t="inlineStr">
        <is>
          <t>TAK</t>
        </is>
      </c>
      <c r="F227" s="11" t="inlineStr">
        <is>
          <t>CZĘŚĆ</t>
        </is>
      </c>
      <c r="G227" s="11" t="inlineStr">
        <is>
          <t>NIE</t>
        </is>
      </c>
      <c r="H227" s="11" t="inlineStr">
        <is>
          <t>CZĘŚĆ</t>
        </is>
      </c>
      <c r="I227" s="11" t="inlineStr">
        <is>
          <t>DZIAŁA</t>
        </is>
      </c>
      <c r="J227" s="12" t="inlineStr">
        <is>
          <t>ops/scripts/node-slow-sql.sh (zadanie SLOW_SQL, migracja 20260925200000); subscriptions/slow-sql.service.ts; services.controller.ts :id/hosting-slow-sql; client-panel SlowSqlPanel (zakładka Bazy danych); node-hosting-profile.sh (slow_query_log=1, long_query_time=2, logrotate); test slow-sql.service.spec.ts; D3 t1 (d3.hvln.pl) 29.09 po wdrożeniu (panel klienta): Wolne zapytania SQL → Odczytaj: „Brak wolnych zapytań”</t>
        </is>
      </c>
      <c r="K227" s="11" t="inlineStr">
        <is>
          <t>PARYTET</t>
        </is>
      </c>
      <c r="L227" s="11" t="inlineStr">
        <is>
          <t>—</t>
        </is>
      </c>
      <c r="M227" s="11" t="inlineStr">
        <is>
          <t>M</t>
        </is>
      </c>
      <c r="N227" s="12" t="inlineStr">
        <is>
          <t>2026-09-25 KOD (D2) wg dokumentacji MariaDB (Slow Query Log Overview: slow_query_log, long_query_time, log_output=FILE, format „# User@Host / # Query_time”). Profil węzła włącza log na stałe w [mysqld] i od razu przez SET GLOBAL (bez restartu), logrotate tygodniowo. Panel → Bazy danych → „Wolne zapytania SQL”: tylko zapytania użytkowników baz konta (login_*), znormalizowane — wartości zastąpione „?”, więc żadnych danych z baz — zgrupowane: ile razy, łączny i najdłuższy czas, przejrzane wiersze + wskazówki (indeks, Redis). D3 w wezel.csv.</t>
        </is>
      </c>
    </row>
    <row r="228">
      <c r="A228" s="11" t="inlineStr">
        <is>
          <t>L-01</t>
        </is>
      </c>
      <c r="B228" s="12" t="inlineStr">
        <is>
          <t>L</t>
        </is>
      </c>
      <c r="C228" s="11" t="inlineStr">
        <is>
          <t>Zadanie cron — dodanie</t>
        </is>
      </c>
      <c r="D228" s="11" t="inlineStr">
        <is>
          <t>TAK</t>
        </is>
      </c>
      <c r="E228" s="11" t="inlineStr">
        <is>
          <t>TAK</t>
        </is>
      </c>
      <c r="F228" s="11" t="inlineStr">
        <is>
          <t>TAK</t>
        </is>
      </c>
      <c r="G228" s="11" t="inlineStr">
        <is>
          <t>TAK</t>
        </is>
      </c>
      <c r="H228" s="11" t="inlineStr">
        <is>
          <t>TAK</t>
        </is>
      </c>
      <c r="I228" s="11" t="inlineStr">
        <is>
          <t>DZIAŁA</t>
        </is>
      </c>
      <c r="J228" s="12" t="inlineStr">
        <is>
          <t>services.controller.ts:640; D3 t1 (d3.hvln.pl) 29.09 01:11: zadanie co minutę dodane z panelu, uruchamia się (plik wynikowy co minutę)</t>
        </is>
      </c>
      <c r="K228" s="11" t="inlineStr">
        <is>
          <t>PARYTET</t>
        </is>
      </c>
      <c r="L228" s="11" t="inlineStr">
        <is>
          <t>—</t>
        </is>
      </c>
      <c r="M228" s="11" t="inlineStr">
        <is>
          <t>—</t>
        </is>
      </c>
      <c r="N228" s="12" t="inlineStr">
        <is>
          <t>presety harmonogramu</t>
        </is>
      </c>
    </row>
    <row r="229">
      <c r="A229" s="11" t="inlineStr">
        <is>
          <t>L-02</t>
        </is>
      </c>
      <c r="B229" s="12" t="inlineStr">
        <is>
          <t>L</t>
        </is>
      </c>
      <c r="C229" s="11" t="inlineStr">
        <is>
          <t>Zadanie cron — usunięcie</t>
        </is>
      </c>
      <c r="D229" s="11" t="inlineStr">
        <is>
          <t>TAK</t>
        </is>
      </c>
      <c r="E229" s="11" t="inlineStr">
        <is>
          <t>TAK</t>
        </is>
      </c>
      <c r="F229" s="11" t="inlineStr">
        <is>
          <t>TAK</t>
        </is>
      </c>
      <c r="G229" s="11" t="inlineStr">
        <is>
          <t>TAK</t>
        </is>
      </c>
      <c r="H229" s="11" t="inlineStr">
        <is>
          <t>TAK</t>
        </is>
      </c>
      <c r="I229" s="11" t="inlineStr">
        <is>
          <t>DZIAŁA</t>
        </is>
      </c>
      <c r="J229" s="12" t="inlineStr">
        <is>
          <t>services.controller.ts:657; D3 t1 (d3.hvln.pl) 29.09: usunięcie zadania z panelu, lista pusta</t>
        </is>
      </c>
      <c r="K229" s="11" t="inlineStr">
        <is>
          <t>PARYTET</t>
        </is>
      </c>
      <c r="L229" s="11" t="inlineStr">
        <is>
          <t>—</t>
        </is>
      </c>
      <c r="M229" s="11" t="inlineStr">
        <is>
          <t>—</t>
        </is>
      </c>
      <c r="N229" s="12" t="inlineStr"/>
    </row>
    <row r="230">
      <c r="A230" s="11" t="inlineStr">
        <is>
          <t>L-03</t>
        </is>
      </c>
      <c r="B230" s="12" t="inlineStr">
        <is>
          <t>L</t>
        </is>
      </c>
      <c r="C230" s="11" t="inlineStr">
        <is>
          <t>Zadanie cron — edycja</t>
        </is>
      </c>
      <c r="D230" s="11" t="inlineStr">
        <is>
          <t>TAK</t>
        </is>
      </c>
      <c r="E230" s="11" t="inlineStr">
        <is>
          <t>TAK</t>
        </is>
      </c>
      <c r="F230" s="11" t="inlineStr">
        <is>
          <t>TAK</t>
        </is>
      </c>
      <c r="G230" s="11" t="inlineStr">
        <is>
          <t>TAK</t>
        </is>
      </c>
      <c r="H230" s="11" t="inlineStr">
        <is>
          <t>TAK</t>
        </is>
      </c>
      <c r="I230" s="11" t="inlineStr">
        <is>
          <t>DZIAŁA</t>
        </is>
      </c>
      <c r="J230" s="12" t="inlineStr">
        <is>
          <t>PUT /services/:id/hosting-cron/:cronId (ZadanieCronDto) → directadmin.service updateHostingCronJob (nowy wpis, potem usunięcie starego); klient: CronTab — „Edytuj” wypełnia formularz, pełna komenda widoczna (bez ucinania); test D2 directadmin.granica.spec.ts; D3 t1 (d3.hvln.pl) 28.09: create/lista/usunięcie przez CMD_API_CRON_JOBS po poprawce endpointu (CMD_API_CRON nie istnieje w DA 1.710); 29.09 01:15: edycja z PHP 7.4 na 8.1 — kolejne uruchomienie 8.1.34, bez duplikatu</t>
        </is>
      </c>
      <c r="K230" s="11" t="inlineStr">
        <is>
          <t>PARYTET</t>
        </is>
      </c>
      <c r="L230" s="11" t="inlineStr">
        <is>
          <t>ŚREDNIA</t>
        </is>
      </c>
      <c r="M230" s="11" t="inlineStr">
        <is>
          <t>S</t>
        </is>
      </c>
      <c r="N230" s="12" t="inlineStr">
        <is>
          <t>obecnie usuń i dodaj ponownie | 2026-09-23: DA nie ma modyfikacji wpisu crona — nieudane usunięcie zostawia widoczny duplikat, nigdy utratę zadania. OTWARTE do D3 (PB-21): action=create/delete na żywym DA.</t>
        </is>
      </c>
    </row>
    <row r="231">
      <c r="A231" s="11" t="inlineStr">
        <is>
          <t>L-04</t>
        </is>
      </c>
      <c r="B231" s="12" t="inlineStr">
        <is>
          <t>L</t>
        </is>
      </c>
      <c r="C231" s="11" t="inlineStr">
        <is>
          <t>Cron z interwałem 1 minuty</t>
        </is>
      </c>
      <c r="D231" s="11" t="inlineStr">
        <is>
          <t>TAK</t>
        </is>
      </c>
      <c r="E231" s="11" t="inlineStr">
        <is>
          <t>TAK</t>
        </is>
      </c>
      <c r="F231" s="11" t="inlineStr">
        <is>
          <t>TAK</t>
        </is>
      </c>
      <c r="G231" s="11" t="inlineStr">
        <is>
          <t>CZĘŚĆ</t>
        </is>
      </c>
      <c r="H231" s="11" t="inlineStr">
        <is>
          <t>TAK</t>
        </is>
      </c>
      <c r="I231" s="11" t="inlineStr">
        <is>
          <t>DZIAŁA</t>
        </is>
      </c>
      <c r="J231" s="12" t="inlineStr">
        <is>
          <t>CronTab.tsx PRESETS „Co minutę”; hosting-cron.dto.ts (pole minuty przyjmuje „*”), directadmin.service.ts createHostingCron; D3 t1 (d3.hvln.pl) 29.09: preset „Co minutę” — uruchomienia 01:12, 01:13, 01:14, 01:15, 01:16</t>
        </is>
      </c>
      <c r="K231" s="11" t="inlineStr">
        <is>
          <t>PARYTET</t>
        </is>
      </c>
      <c r="L231" s="11" t="inlineStr">
        <is>
          <t>—</t>
        </is>
      </c>
      <c r="M231" s="11" t="inlineStr">
        <is>
          <t>S</t>
        </is>
      </c>
      <c r="N231" s="12" t="inlineStr">
        <is>
          <t>cyber_Folks ma minimum 60 min — okazja | 2026-09-24: KOD — harmonogram co minutę przyjmowany przez API od początku (pole minuty „*”), teraz także jako preset „Co minutę” w panelu, żeby nie trzeba było go znać. PARYTET wg skali (bez danych i dostępu). OTWARTE do D3 (sprint 21): czy limity LVE/CageFS nie ograniczają crona co minutę na węźle. | 2026-09-30 D3 t1: 30.09: preset „Co minutę” — zadanie wykonuje się co minutę na koncie w CageFS/LVE, wyniki kolejnych przebiegów w panelu.</t>
        </is>
      </c>
    </row>
    <row r="232">
      <c r="A232" s="11" t="inlineStr">
        <is>
          <t>L-05</t>
        </is>
      </c>
      <c r="B232" s="12" t="inlineStr">
        <is>
          <t>L</t>
        </is>
      </c>
      <c r="C232" s="11" t="inlineStr">
        <is>
          <t>Cron z wyborem wersji PHP</t>
        </is>
      </c>
      <c r="D232" s="11" t="inlineStr">
        <is>
          <t>TAK</t>
        </is>
      </c>
      <c r="E232" s="11" t="inlineStr">
        <is>
          <t>TAK</t>
        </is>
      </c>
      <c r="F232" s="11" t="inlineStr">
        <is>
          <t>TAK</t>
        </is>
      </c>
      <c r="G232" s="11" t="inlineStr">
        <is>
          <t>CZĘŚĆ</t>
        </is>
      </c>
      <c r="H232" s="11" t="inlineStr">
        <is>
          <t>CZĘŚĆ</t>
        </is>
      </c>
      <c r="I232" s="11" t="inlineStr">
        <is>
          <t>DZIAŁA</t>
        </is>
      </c>
      <c r="J232" s="12" t="inlineStr">
        <is>
          <t>client-panel components/hosting/CronPhpHelper.tsx (Zadania cron → Skrypt PHP w wybranej wersji: /opt/alt/phpXY/usr/bin/php); test CronPhpHelper.spec.ts; 28.09: ścieżka /opt/alt/phpXY/usr/bin/php (CustomBuild ma jedną wersję); D3 t1 (d3.hvln.pl) 29.09: pomocnik „Skrypt PHP w wybranej wersji” → /opt/alt/php74/usr/bin/php → skrypt raportuje 7.4.33, po zmianie na 8.1 → 8.1.34</t>
        </is>
      </c>
      <c r="K232" s="11" t="inlineStr">
        <is>
          <t>PARYTET</t>
        </is>
      </c>
      <c r="L232" s="11" t="inlineStr">
        <is>
          <t>—</t>
        </is>
      </c>
      <c r="M232" s="11" t="inlineStr">
        <is>
          <t>S</t>
        </is>
      </c>
      <c r="N232" s="12" t="inlineStr">
        <is>
          <t>2026-09-24: KOD (D2) — wybór wersji PHP i pliku w public_html buduje polecenie crona. OTWARTE do D3 (sprint 21): ścieżki CustomBuild widoczne w CageFS, $HOME w crontabie DA. | seohost to reklamuje | 2026-09-24 SKALA DOWODU (decyzja PM): funkcja bez pieniędzy, danych klienta i dostępu — D2 (test w CI) wystarcza do „zrobione”, więc werdykt PARYTET. Stan zostaje CZĘŚCIOWE do testu na węźle (audyt/dane/wezel.csv).</t>
        </is>
      </c>
    </row>
    <row r="233">
      <c r="A233" s="11" t="inlineStr">
        <is>
          <t>L-06</t>
        </is>
      </c>
      <c r="B233" s="12" t="inlineStr">
        <is>
          <t>L</t>
        </is>
      </c>
      <c r="C233" s="11" t="inlineStr">
        <is>
          <t>Podgląd wyniku ostatniego wykonania crona</t>
        </is>
      </c>
      <c r="D233" s="11" t="inlineStr">
        <is>
          <t>TAK</t>
        </is>
      </c>
      <c r="E233" s="11" t="inlineStr">
        <is>
          <t>TAK</t>
        </is>
      </c>
      <c r="F233" s="11" t="inlineStr">
        <is>
          <t>CZĘŚĆ</t>
        </is>
      </c>
      <c r="G233" s="11" t="inlineStr">
        <is>
          <t>NIE</t>
        </is>
      </c>
      <c r="H233" s="11" t="inlineStr">
        <is>
          <t>CZĘŚĆ</t>
        </is>
      </c>
      <c r="I233" s="11" t="inlineStr">
        <is>
          <t>DZIAŁA</t>
        </is>
      </c>
      <c r="J233" s="12" t="inlineStr">
        <is>
          <t>client-panel components/hosting/cron-output.ts (opakowanie polecenia: wynik do ~/.verris-cron/&lt;klucz&gt;.log) + CronTab.tsx (opcja przy zadaniu, „Wynik ostatniego uruchomienia”), directadmin.service.ts getHostingCronOutput + :id/hosting-cron-output; testy cron-output.spec.ts, directadmin.domeny.spec.ts; D3 t1 (d3.hvln.pl) 29.09: wynik zapisywany do ~/.verris-cron/&lt;id&gt;.log (plik powstaje); skrypt nic nie wypisywał, więc podgląd „nic nie wypisało” — treść wyniku do sprawdzenia skryptem z echo</t>
        </is>
      </c>
      <c r="K233" s="11" t="inlineStr">
        <is>
          <t>PARYTET</t>
        </is>
      </c>
      <c r="L233" s="11" t="inlineStr">
        <is>
          <t>ŚREDNIA</t>
        </is>
      </c>
      <c r="M233" s="11" t="inlineStr">
        <is>
          <t>M</t>
        </is>
      </c>
      <c r="N233" s="12" t="inlineStr">
        <is>
          <t>2026-09-24: KOD (D2) — opcja „Zapisuj wynik ostatniego uruchomienia” (domyślnie włączona dla nowych zadań), podgląd ostatnich 20 tys. znaków przy zadaniu, edycja pokazuje polecenie bez opakowania. OTWARTE do D3 (sprint 21): czy crontab DA przyjmuje nawiasy, średnik i przekierowanie. |  | 2026-09-24 SKALA DOWODU (decyzja PM): funkcja bez pieniędzy, danych klienta i dostępu — D2 (test w CI) wystarcza do „zrobione”, więc werdykt PARYTET. Stan zostaje CZĘŚCIOWE do testu na węźle (audyt/dane/wezel.csv). | 2026-09-30 D3 t1: 30.09: zadanie co minutę z echo → wynik widoczny w panelu. Polecenie z % (np. date +%F) cicho się urywało (crontab(5): % = nowa linia) → 3a76645 (escapowanie %). | 2026-10-01 D3 t1: 01.10 po 3a76645: nowe zadanie „echo VERRIS-PCT $(date +%H:%M)” → wynik „VERRIS-PCT 09:54”. Po usunięciu zadania wynik/edycja wskazywały sąsiednie → 52b7e3a.</t>
        </is>
      </c>
    </row>
    <row r="234">
      <c r="A234" s="11" t="inlineStr">
        <is>
          <t>L-07</t>
        </is>
      </c>
      <c r="B234" s="12" t="inlineStr">
        <is>
          <t>L</t>
        </is>
      </c>
      <c r="C234" s="11" t="inlineStr">
        <is>
          <t>Publiczne API — odczyt</t>
        </is>
      </c>
      <c r="D234" s="11" t="inlineStr">
        <is>
          <t>TAK</t>
        </is>
      </c>
      <c r="E234" s="11" t="inlineStr">
        <is>
          <t>TAK</t>
        </is>
      </c>
      <c r="F234" s="11" t="inlineStr">
        <is>
          <t>TAK</t>
        </is>
      </c>
      <c r="G234" s="11" t="inlineStr">
        <is>
          <t>NIE</t>
        </is>
      </c>
      <c r="H234" s="11" t="inlineStr">
        <is>
          <t>TAK</t>
        </is>
      </c>
      <c r="I234" s="11" t="inlineStr">
        <is>
          <t>DZIAŁA</t>
        </is>
      </c>
      <c r="J234" s="12" t="inlineStr">
        <is>
          <t>public-api.controller.ts (GET me, services, services/:id, billing/wallet, invoices) + public-api-write.controller.ts (GET services/:id/dns, services/:id/deploy); dokumentacja: artykuł KB „Publiczne API Verris (v1)” (seed-kb-cms.ts, pomoc.verris.pl/a/publiczne-api), link z panelu API i integracje</t>
        </is>
      </c>
      <c r="K234" s="11" t="inlineStr">
        <is>
          <t>PRZEWAGA</t>
        </is>
      </c>
      <c r="L234" s="11" t="inlineStr">
        <is>
          <t>NISKA</t>
        </is>
      </c>
      <c r="M234" s="11" t="inlineStr">
        <is>
          <t>M</t>
        </is>
      </c>
      <c r="N234" s="12" t="inlineStr">
        <is>
          <t>żaden hosting PL nie ma publicznego API | WYCENA 2026-09-19: krytycznosc i naklad uzupelnione przy wznowieniu. Pozycje przepisane 2026-08-28 w ramach X-49 zostaly bez wyceny, przez co nie liczyly sie do budzetu godzin i nie stały w zadnym sprincie. Podstawa wyceny: Publiczne API tylko do odczytu — roadmapa po starcie, nie warunek startu. | 2026-09-26: ZAMKNIĘTE — zakres odczytu v1 domknięty jako: konto, usługi (lista/szczegóły), portfel, faktury, rekordy DNS, stan wdrożenia z Gita; świadomie poza v1: zamówienia i płatności, rejestracja domen, skrzynki (tylko panel). Pełna dokumentacja (token, zakresy, pola odpowiedzi, błędy 401/403/404/429, limit 300/min, webhooki z podpisem HMAC) jako artykuł bazy wiedzy w nowej kategorii „API i integracje”; sprawdzone renderowanie na /kb/a/publiczne-api.</t>
        </is>
      </c>
    </row>
    <row r="235">
      <c r="A235" s="11" t="inlineStr">
        <is>
          <t>L-08</t>
        </is>
      </c>
      <c r="B235" s="12" t="inlineStr">
        <is>
          <t>L</t>
        </is>
      </c>
      <c r="C235" s="11" t="inlineStr">
        <is>
          <t>Publiczne API — zapis</t>
        </is>
      </c>
      <c r="D235" s="11" t="inlineStr">
        <is>
          <t>TAK</t>
        </is>
      </c>
      <c r="E235" s="11" t="inlineStr">
        <is>
          <t>TAK</t>
        </is>
      </c>
      <c r="F235" s="11" t="inlineStr">
        <is>
          <t>TAK</t>
        </is>
      </c>
      <c r="G235" s="11" t="inlineStr">
        <is>
          <t>NIE</t>
        </is>
      </c>
      <c r="H235" s="11" t="inlineStr">
        <is>
          <t>TAK</t>
        </is>
      </c>
      <c r="I235" s="11" t="inlineStr">
        <is>
          <t>DZIAŁA</t>
        </is>
      </c>
      <c r="J235" s="12" t="inlineStr">
        <is>
          <t>subscriptions/public-api-write.controller.ts (api/v1/services/:id/dns GET/POST, /dns/delete, /deploy GET/POST; zakresy dns:read, dns:write, deploy:write w api-scopes.ts; te same serwisy i walidacja co panel), opis w panelu api-tokens-client.tsx; test public-api-write.controller.spec.ts</t>
        </is>
      </c>
      <c r="K235" s="11" t="inlineStr">
        <is>
          <t>PARYTET</t>
        </is>
      </c>
      <c r="L235" s="11" t="inlineStr">
        <is>
          <t>ŚREDNIA</t>
        </is>
      </c>
      <c r="M235" s="11" t="inlineStr">
        <is>
          <t>L</t>
        </is>
      </c>
      <c r="N235" s="12" t="inlineStr">
        <is>
          <t>2026-09-24: KOD (D2) — zapis przez API: rekordy DNS (Terraform, DNS-01) i wdrożenie z Gita po pushu (CI/CD); obietnica ze strony tokenów przestaje być na wyrost. Zostają: webhooki (L-10), zamówienia i skrzynki przez API. | strona obiecuje „CI/CD, Terraform, skrypty” przy samych GET-ach | 2026-10-02 D3: 02.10 produkcja + t1: token z panelu (API i integracje, dns:read + dns:write, 30 dni) → GET /api/v1/services/:id/dns?domain=d3.hvln.pl lista rekordów; POST /dns TXT l08-test → {"ok":true}, rekord na liście z API i po ~60 s na ns3.verris.pl („verris-l08”); POST /dns/delete → {"ok":true}, lista bez rekordu (0); POST /deploy bez deploy:write → 403. Token unieważniony po teście. Zamówienia i skrzynki przez API — decyzja właściciela 02.10: po starcie.</t>
        </is>
      </c>
    </row>
    <row r="236">
      <c r="A236" s="11" t="inlineStr">
        <is>
          <t>L-09</t>
        </is>
      </c>
      <c r="B236" s="12" t="inlineStr">
        <is>
          <t>L</t>
        </is>
      </c>
      <c r="C236" s="11" t="inlineStr">
        <is>
          <t>Tokeny API z zakresami uprawnień</t>
        </is>
      </c>
      <c r="D236" s="11" t="inlineStr">
        <is>
          <t>TAK</t>
        </is>
      </c>
      <c r="E236" s="11" t="inlineStr">
        <is>
          <t>TAK</t>
        </is>
      </c>
      <c r="F236" s="11" t="inlineStr">
        <is>
          <t>TAK</t>
        </is>
      </c>
      <c r="G236" s="11" t="inlineStr">
        <is>
          <t>NIE</t>
        </is>
      </c>
      <c r="H236" s="11" t="inlineStr">
        <is>
          <t>TAK</t>
        </is>
      </c>
      <c r="I236" s="11" t="inlineStr">
        <is>
          <t>DZIAŁA</t>
        </is>
      </c>
      <c r="J236" s="12" t="inlineStr">
        <is>
          <t>api-tokens/api-token.guard.ts, api-tokens.service.ts, api-scopes.ts; test api-tokens.spec.ts (+ public-api-write.controller.spec.ts)</t>
        </is>
      </c>
      <c r="K236" s="11" t="inlineStr">
        <is>
          <t>PARYTET</t>
        </is>
      </c>
      <c r="L236" s="11" t="inlineStr">
        <is>
          <t>NISKA</t>
        </is>
      </c>
      <c r="M236" s="11" t="inlineStr">
        <is>
          <t>S</t>
        </is>
      </c>
      <c r="N236" s="12" t="inlineStr">
        <is>
          <t xml:space="preserve"> | 2026-09-25: TESTY + UTWARDZENIE (D2) — strażnik jest teraz fail-closed: trasa bez @ApiScope nie wpuszcza żadnego tokenu (wcześniej zapomniany dekorator = dostęp dla każdego tokenu). Test pilnuje, że każda trasa publicznego API ma zakres. Testy: zły sekret, unieważniony, wygasły, obcy prefiks → odmowa; konto usunięte/zanonimizowane/zablokowane i token operatora → odmowa; w bazie tylko hash bcrypt, sekret pokazany raz; nieznane zakresy odrzucane przy tworzeniu. Dostęp — zostaje CZĘŚCIOWY do D3 (wywołanie z tokenem na produkcji). | 2026-09-25 D3 (produkcja, deploy #152): token z samym services:read — GET /api/v1/services 200 (7 usług), /me 200, /billing/wallet 403 „Token nie ma uprawnienia billing:read”, zły sekret 401, po unieważnieniu 401; w panelu „użyty 25.09.2026”. Token testowy unieważniony. Przy okazji: unieważnienie wymaga teraz potwierdzenia (wcześniej jedno kliknięcie, nieodwracalne), a pola zakresów to kontrolki panelu zamiast systemowych checkboxów. | 2026-09-25 (2): subkonto z uprawnieniem do ustawień mogło nadać tokenowi dowolny zakres (np. dns:write albo deploy:write bez DNS_MANAGE/FILES_MANAGE) — teraz tylko zakresy, których odpowiednik samo ma (services:read→SERVICES_READ, billing/invoices:read→BILLING_READ, dns:*→DNS_MANAGE, deploy:write→FILES_MANAGE).</t>
        </is>
      </c>
    </row>
    <row r="237">
      <c r="A237" s="11" t="inlineStr">
        <is>
          <t>L-10</t>
        </is>
      </c>
      <c r="B237" s="12" t="inlineStr">
        <is>
          <t>L</t>
        </is>
      </c>
      <c r="C237" s="11" t="inlineStr">
        <is>
          <t>Webhooki dla klienta</t>
        </is>
      </c>
      <c r="D237" s="11" t="inlineStr">
        <is>
          <t>CZĘŚĆ</t>
        </is>
      </c>
      <c r="E237" s="11" t="inlineStr">
        <is>
          <t>TAK</t>
        </is>
      </c>
      <c r="F237" s="11" t="inlineStr">
        <is>
          <t>NIE</t>
        </is>
      </c>
      <c r="G237" s="11" t="inlineStr">
        <is>
          <t>NIE</t>
        </is>
      </c>
      <c r="H237" s="11" t="inlineStr">
        <is>
          <t>CZĘŚĆ</t>
        </is>
      </c>
      <c r="I237" s="11" t="inlineStr">
        <is>
          <t>DZIAŁA</t>
        </is>
      </c>
      <c r="J237" s="12" t="inlineStr">
        <is>
          <t>client-webhooks/ (serwis, kontroler users/me/webhooks, moduł globalny); node-tasks.service.ts → poZadaniu; api-tokens/webhooks-client.tsx; migracja 20260924242000_client_webhooks; test client-webhooks.service.spec.ts; D3 t1 29.09 (panel klienta, d3.hvln.pl): webhook na https://d3.hvln.pl/verris-webhook-test.php (odbiornik testowy): „Wyślij test” → ping dostarczony (HTTP 200, x-verris-signature 64 znaki); odczyt PHP z panelu → task.completed dostarczony w ciągu minuty; webhook usunięty po teście</t>
        </is>
      </c>
      <c r="K237" s="11" t="inlineStr">
        <is>
          <t>PARYTET</t>
        </is>
      </c>
      <c r="L237" s="11" t="inlineStr">
        <is>
          <t>NISKA</t>
        </is>
      </c>
      <c r="M237" s="11" t="inlineStr">
        <is>
          <t>M</t>
        </is>
      </c>
      <c r="N237" s="12" t="inlineStr">
        <is>
          <t>2026-09-24: KOD (D2) — webhooki klienta w „API i integracje”: adres https (bez adresów prywatnych — sprawdzane przy zapisie i każdej wysyłce, bez przekierowań), zdarzenia task.completed / task.failed dla zadań na stronach (WordPress, Git, bazy, kopie, SSH…), sekret pokazany raz (w bazie zaszyfrowany), podpis x-verris-signature HMAC-SHA256, 5 prób z rosnącym odstępem, historia 5 ostatnich dostaw, „Wyślij test”. Do 5 adresów na konto; subkonta tylko z uprawnieniem ustawień. Doszły zdarzenia rozliczeń: invoice.issued (numer, kwota), subscription.renewed, subscription.past_due. D3: pierwsza dostawa na produkcji (ping). | 2026-09-25: subkonto bez BILLING_READ nie zasubskrybuje zdarzeń rozliczeń (faktury, odnowienia, zaległości — niosą kwoty). | 2026-09-25 (2): ochrona przed DNS rebinding — adres był sprawdzany przed wysyłką, a fetch rozwiązywał nazwę drugi raz (nazwa z TTL 0 mogła przy połączeniu wskazać sieć wewnętrzną). Teraz wysyłka (webhooki klienta i webhooki strony statusu) idzie przez https.request z lookup, który odrzuca adres prywatny/zarezerwowany w chwili połączenia; bez przekierowań, tylko https. Test common/net/webhook-post.spec.ts. | SPRAWDZONE NA PRODUKCJI 26.09 (21:48): webhook na adres testowy (webhook.site), „Wyślij test” → dostarczone w ~1 min, HTTP 200; treść JSON (id, event=ping, createdAt, payload) i nagłówki x-verris-event/x-verris-delivery/x-verris-signature; podpis HMAC-SHA256 zweryfikowany niezależnie sekretem z panelu. Webhook usunięty po teście. Poprawione: sekret usuniętego adresu zostawał na ekranie. Zdarzenie rozliczeń (invoice.issued) — przy pierwszej fakturze.</t>
        </is>
      </c>
    </row>
    <row r="238">
      <c r="A238" s="11" t="inlineStr">
        <is>
          <t>L-11</t>
        </is>
      </c>
      <c r="B238" s="12" t="inlineStr">
        <is>
          <t>L</t>
        </is>
      </c>
      <c r="C238" s="11" t="inlineStr">
        <is>
          <t>Asystent AI w panelu</t>
        </is>
      </c>
      <c r="D238" s="11" t="inlineStr">
        <is>
          <t>NIE</t>
        </is>
      </c>
      <c r="E238" s="11" t="inlineStr">
        <is>
          <t>NIE</t>
        </is>
      </c>
      <c r="F238" s="11" t="inlineStr">
        <is>
          <t>NIE</t>
        </is>
      </c>
      <c r="G238" s="11" t="inlineStr">
        <is>
          <t>CZĘŚĆ</t>
        </is>
      </c>
      <c r="H238" s="11" t="inlineStr">
        <is>
          <t>TAK</t>
        </is>
      </c>
      <c r="I238" s="11" t="inlineStr">
        <is>
          <t>DZIAŁA</t>
        </is>
      </c>
      <c r="J238" s="12" t="inlineStr">
        <is>
          <t>ai-modele.ts; ai-provider.service.ts; ai-ustawienia.admin.controller.ts; admin /settings/ai</t>
        </is>
      </c>
      <c r="K238" s="11" t="inlineStr">
        <is>
          <t>PARYTET</t>
        </is>
      </c>
      <c r="L238" s="11" t="inlineStr">
        <is>
          <t>ŚREDNIA</t>
        </is>
      </c>
      <c r="M238" s="11" t="inlineStr">
        <is>
          <t>S</t>
        </is>
      </c>
      <c r="N238" s="12" t="inlineStr">
        <is>
          <t>funkcja wygląda na wbudowaną, a bez klucza milczy | 2026-09-25 SPRAWDZONE: notka „bez klucza milczy” nieaktualna — bez AI_API_KEY dymek czatu w ogóle się nie pokazuje (HostingAssistant: status.configured=false → null), a API odpowiada available:false z komunikatem o wsparciu. Zostaje konfiguracja właściciela (AI_API_KEY w .env.prod) — FLAGA. | 2026-09-25: wybór właściciela — najlepszy stosunek jakości do kosztu. Rekomendacja: OpenAI gpt-5.6-luna (0,20 USD/1M wej., 1,20 USD/1M wyj.) + text-embedding-3-small (0,02 USD/1M) — kod już zgodny z OpenAI, domyślny model zmieniony na gpt-5.6-luna, dla modeli z rozumowaniem reasoning_effort=none i max_completion_tokens (test ai-provider.service.spec.ts). Zostaje: klucz AI_API_KEY w .env.prod (właściciel) i wpis OpenAI jako podprocesora (DPA/RCPD, PB-03). | 2026-09-25: decyzja właściciela — DWA POZIOMY z wyborem w adminie (Ustawienia → Asystent AI): SZYBKI (czat, dymki) = OpenAI gpt-5.6-luna, ANALIZA (prognozy, szkice BOK) = Anthropic Claude Sonnet 5 (Messages API). Admin wybiera dostawcę i model z listy albo wpisuje nowszy identyfikator (bez wdrożenia), edytuje ceny, ustawia miesięczny limit USD na konto klienta (czat klienta + prognozy; obsługa bez limitu); każde wywołanie loguje tokeny i koszt (AiInteractionLog.inputTokens/outputTokens/costUsd), panel pokazuje koszt miesiąca, prognozę, 30 dni per funkcja/model i top klientów. Testy: ai-provider.service.spec.ts (7). Zostają klucze AI_API_KEY i ANTHROPIC_API_KEY w .env.prod (właściciel) oraz OpenAI+Anthropic jako podprocesorzy (PB-03). | 2026-09-25: dokumenty — RCPD A13, Polityka prywatności 1.0.3 (draft), lista subprocesorów, tracker DPA; dziennik AI kasowany po 12 mies. | 2026-10-05 D3 (prod, klucze ustawione, AI tylko dla kont właściciela — AI_TYLKO_KONTA): czat w panelu odpowiada (GPT-6 Luna) na podstawie bazy wiedzy. Znalezione: na pulpicie nie znał daty odnowienia ani SSL, surowe **, brak informacji „to AI” (AI Act art. 50 od 2.08.2026) → aa17018. Zostaje FLAGA do publikacji Polityki 1.1.0 (AI dla wszystkich). | 2026-10-06 AI DLA WSZYSTKICH: po publikacji dokumentów 1.1.0 (Polityka prywatności pkt 2.7, Regulamin §5 ust. 5) właściciel wyczyścił AI_TYLKO_KONTA i włączył embeddingi bazy wiedzy (AI_EMBED_DISABLED=false), API zrestartowane 06.10 ~17:50. Działanie czatu D3 z 05.10; reguła dostępu dla każdego konta — D2 (ai-provider.service.spec.ts).</t>
        </is>
      </c>
    </row>
    <row r="239">
      <c r="A239" s="11" t="inlineStr">
        <is>
          <t>L-12</t>
        </is>
      </c>
      <c r="B239" s="12" t="inlineStr">
        <is>
          <t>L</t>
        </is>
      </c>
      <c r="C239" s="11" t="inlineStr">
        <is>
          <t>Prognoza zużycia zasobów (AI)</t>
        </is>
      </c>
      <c r="D239" s="11" t="inlineStr">
        <is>
          <t>NIE</t>
        </is>
      </c>
      <c r="E239" s="11" t="inlineStr">
        <is>
          <t>NIE</t>
        </is>
      </c>
      <c r="F239" s="11" t="inlineStr">
        <is>
          <t>NIE</t>
        </is>
      </c>
      <c r="G239" s="11" t="inlineStr">
        <is>
          <t>NIE</t>
        </is>
      </c>
      <c r="H239" s="11" t="inlineStr">
        <is>
          <t>CZĘŚĆ</t>
        </is>
      </c>
      <c r="I239" s="11" t="inlineStr">
        <is>
          <t>DZIAŁA</t>
        </is>
      </c>
      <c r="J239" s="12" t="inlineStr">
        <is>
          <t>hosting-forecast-actions.ts:7; fallback ServiceForecastPanel.tsx:97</t>
        </is>
      </c>
      <c r="K239" s="11" t="inlineStr">
        <is>
          <t>PRZEWAGA</t>
        </is>
      </c>
      <c r="L239" s="11" t="inlineStr">
        <is>
          <t>NISKA</t>
        </is>
      </c>
      <c r="M239" s="11" t="inlineStr">
        <is>
          <t>S</t>
        </is>
      </c>
      <c r="N239" s="12" t="inlineStr">
        <is>
          <t xml:space="preserve"> | 2026-09-25: ten sam dostawca co L-11 (OpenAI gpt-5.6-luna) — włącza się kluczem AI_API_KEY. | 2026-09-25: prognoza idzie poziomem ANALIZA (domyślnie Claude Sonnet 5), liczy się do limitu klienta; włącza się kluczem ANTHROPIC_API_KEY (albo admin przełącza poziom na OpenAI). | 2026-10-05 D3 (prod, konto właściciela): „Generuj prognozę” → liczby z panelu + komentarz AI (Claude Sonnet 5.5). Stopka mówiła „autorski mechanizm Verris” mimo komentarza AI → aa17018 (oznaczenie AI). | 2026-10-06: prognoza AI dla wszystkich kont (AI_TYLKO_KONTA puste od 06.10, jak L-11); działanie D3 z 05.10 (Sonnet 5.5). Rynek PL tego nie ma — PRZEWAGA.</t>
        </is>
      </c>
    </row>
    <row r="240">
      <c r="A240" s="11" t="inlineStr">
        <is>
          <t>M-01</t>
        </is>
      </c>
      <c r="B240" s="12" t="inlineStr">
        <is>
          <t>M</t>
        </is>
      </c>
      <c r="C240" s="11" t="inlineStr">
        <is>
          <t>Faktura VAT dostępna w panelu</t>
        </is>
      </c>
      <c r="D240" s="11" t="inlineStr">
        <is>
          <t>NIE</t>
        </is>
      </c>
      <c r="E240" s="11" t="inlineStr">
        <is>
          <t>NIE</t>
        </is>
      </c>
      <c r="F240" s="11" t="inlineStr">
        <is>
          <t>NIE</t>
        </is>
      </c>
      <c r="G240" s="11" t="inlineStr">
        <is>
          <t>TAK</t>
        </is>
      </c>
      <c r="H240" s="11" t="inlineStr">
        <is>
          <t>TAK</t>
        </is>
      </c>
      <c r="I240" s="11" t="inlineStr">
        <is>
          <t>DZIAŁA</t>
        </is>
      </c>
      <c r="J240" s="12" t="inlineStr">
        <is>
          <t>invoices.controller.ts:23,46</t>
        </is>
      </c>
      <c r="K240" s="11" t="inlineStr">
        <is>
          <t>PARYTET</t>
        </is>
      </c>
      <c r="L240" s="11" t="inlineStr">
        <is>
          <t>—</t>
        </is>
      </c>
      <c r="M240" s="11" t="inlineStr">
        <is>
          <t>—</t>
        </is>
      </c>
      <c r="N240" s="12" t="inlineStr"/>
    </row>
    <row r="241">
      <c r="A241" s="11" t="inlineStr">
        <is>
          <t>M-02</t>
        </is>
      </c>
      <c r="B241" s="12" t="inlineStr">
        <is>
          <t>M</t>
        </is>
      </c>
      <c r="C241" s="11" t="inlineStr">
        <is>
          <t>Numeracja faktur odporna na wyścigi</t>
        </is>
      </c>
      <c r="D241" s="11" t="inlineStr">
        <is>
          <t>NIE</t>
        </is>
      </c>
      <c r="E241" s="11" t="inlineStr">
        <is>
          <t>NIE</t>
        </is>
      </c>
      <c r="F241" s="11" t="inlineStr">
        <is>
          <t>NIE</t>
        </is>
      </c>
      <c r="G241" s="11" t="inlineStr">
        <is>
          <t>TAK</t>
        </is>
      </c>
      <c r="H241" s="11" t="inlineStr">
        <is>
          <t>TAK</t>
        </is>
      </c>
      <c r="I241" s="11" t="inlineStr">
        <is>
          <t>DZIAŁA</t>
        </is>
      </c>
      <c r="J241" s="12" t="inlineStr">
        <is>
          <t>invoices.service.ts:245-267 (ON CONFLICT ... seq+1)</t>
        </is>
      </c>
      <c r="K241" s="11" t="inlineStr">
        <is>
          <t>PARYTET</t>
        </is>
      </c>
      <c r="L241" s="11" t="inlineStr">
        <is>
          <t>WYSOKA</t>
        </is>
      </c>
      <c r="M241" s="11" t="inlineStr">
        <is>
          <t>—</t>
        </is>
      </c>
      <c r="N241" s="12" t="inlineStr">
        <is>
          <t>poprawnie zrobione, ale ZERO testów przy raw SQL</t>
        </is>
      </c>
    </row>
    <row r="242">
      <c r="A242" s="11" t="inlineStr">
        <is>
          <t>M-03</t>
        </is>
      </c>
      <c r="B242" s="12" t="inlineStr">
        <is>
          <t>M</t>
        </is>
      </c>
      <c r="C242" s="11" t="inlineStr">
        <is>
          <t>Numer nadawany dopiero przy opłaceniu</t>
        </is>
      </c>
      <c r="D242" s="11" t="inlineStr">
        <is>
          <t>NIE</t>
        </is>
      </c>
      <c r="E242" s="11" t="inlineStr">
        <is>
          <t>NIE</t>
        </is>
      </c>
      <c r="F242" s="11" t="inlineStr">
        <is>
          <t>NIE</t>
        </is>
      </c>
      <c r="G242" s="11" t="inlineStr">
        <is>
          <t>b.d.</t>
        </is>
      </c>
      <c r="H242" s="11" t="inlineStr">
        <is>
          <t>b.d.</t>
        </is>
      </c>
      <c r="I242" s="11" t="inlineStr">
        <is>
          <t>DZIAŁA</t>
        </is>
      </c>
      <c r="J242" s="12" t="inlineStr">
        <is>
          <t>invoices.service.ts:183-189</t>
        </is>
      </c>
      <c r="K242" s="11" t="inlineStr">
        <is>
          <t>PRZEWAGA</t>
        </is>
      </c>
      <c r="L242" s="11" t="inlineStr">
        <is>
          <t>—</t>
        </is>
      </c>
      <c r="M242" s="11" t="inlineStr">
        <is>
          <t>—</t>
        </is>
      </c>
      <c r="N242" s="12" t="inlineStr">
        <is>
          <t>nie „pali” sekwencji</t>
        </is>
      </c>
    </row>
    <row r="243">
      <c r="A243" s="11" t="inlineStr">
        <is>
          <t>M-04</t>
        </is>
      </c>
      <c r="B243" s="12" t="inlineStr">
        <is>
          <t>M</t>
        </is>
      </c>
      <c r="C243" s="11" t="inlineStr">
        <is>
          <t>Snapshot danych sprzedawcy i nabywcy (art. 106e)</t>
        </is>
      </c>
      <c r="D243" s="11" t="inlineStr">
        <is>
          <t>NIE</t>
        </is>
      </c>
      <c r="E243" s="11" t="inlineStr">
        <is>
          <t>NIE</t>
        </is>
      </c>
      <c r="F243" s="11" t="inlineStr">
        <is>
          <t>NIE</t>
        </is>
      </c>
      <c r="G243" s="11" t="inlineStr">
        <is>
          <t>TAK</t>
        </is>
      </c>
      <c r="H243" s="11" t="inlineStr">
        <is>
          <t>TAK</t>
        </is>
      </c>
      <c r="I243" s="11" t="inlineStr">
        <is>
          <t>DZIAŁA</t>
        </is>
      </c>
      <c r="J243" s="12" t="inlineStr">
        <is>
          <t>invoices.service.ts:292-300,355-374</t>
        </is>
      </c>
      <c r="K243" s="11" t="inlineStr">
        <is>
          <t>PARYTET</t>
        </is>
      </c>
      <c r="L243" s="11" t="inlineStr">
        <is>
          <t>—</t>
        </is>
      </c>
      <c r="M243" s="11" t="inlineStr">
        <is>
          <t>—</t>
        </is>
      </c>
      <c r="N243" s="12" t="inlineStr"/>
    </row>
    <row r="244">
      <c r="A244" s="11" t="inlineStr">
        <is>
          <t>M-05</t>
        </is>
      </c>
      <c r="B244" s="12" t="inlineStr">
        <is>
          <t>M</t>
        </is>
      </c>
      <c r="C244" s="11" t="inlineStr">
        <is>
          <t>PDF faktury</t>
        </is>
      </c>
      <c r="D244" s="11" t="inlineStr">
        <is>
          <t>NIE</t>
        </is>
      </c>
      <c r="E244" s="11" t="inlineStr">
        <is>
          <t>NIE</t>
        </is>
      </c>
      <c r="F244" s="11" t="inlineStr">
        <is>
          <t>NIE</t>
        </is>
      </c>
      <c r="G244" s="11" t="inlineStr">
        <is>
          <t>TAK</t>
        </is>
      </c>
      <c r="H244" s="11" t="inlineStr">
        <is>
          <t>TAK</t>
        </is>
      </c>
      <c r="I244" s="11" t="inlineStr">
        <is>
          <t>DZIAŁA</t>
        </is>
      </c>
      <c r="J244" s="12" t="inlineStr">
        <is>
          <t>invoice-pdf.service.ts (493 l.)</t>
        </is>
      </c>
      <c r="K244" s="11" t="inlineStr">
        <is>
          <t>PARYTET</t>
        </is>
      </c>
      <c r="L244" s="11" t="inlineStr">
        <is>
          <t>—</t>
        </is>
      </c>
      <c r="M244" s="11" t="inlineStr">
        <is>
          <t>—</t>
        </is>
      </c>
      <c r="N244" s="12" t="inlineStr">
        <is>
          <t>ZERO testów</t>
        </is>
      </c>
    </row>
    <row r="245">
      <c r="A245" s="11" t="inlineStr">
        <is>
          <t>M-06</t>
        </is>
      </c>
      <c r="B245" s="12" t="inlineStr">
        <is>
          <t>M</t>
        </is>
      </c>
      <c r="C245" s="11" t="inlineStr">
        <is>
          <t>FAKTURA KORYGUJĄCA</t>
        </is>
      </c>
      <c r="D245" s="11" t="inlineStr">
        <is>
          <t>NIE</t>
        </is>
      </c>
      <c r="E245" s="11" t="inlineStr">
        <is>
          <t>NIE</t>
        </is>
      </c>
      <c r="F245" s="11" t="inlineStr">
        <is>
          <t>NIE</t>
        </is>
      </c>
      <c r="G245" s="11" t="inlineStr">
        <is>
          <t>TAK</t>
        </is>
      </c>
      <c r="H245" s="11" t="inlineStr">
        <is>
          <t>TAK</t>
        </is>
      </c>
      <c r="I245" s="11" t="inlineStr">
        <is>
          <t>DZIAŁA</t>
        </is>
      </c>
      <c r="J245" s="12" t="inlineStr">
        <is>
          <t>korekta-faktury.ts — bladKorygowalnosci/przeliczKorekte/korektaFormalna/kwotaDoZwrotu; korekty.service.ts — wystawianie ze zwrotem w tej samej transakcji; wallet-ledger.service.ts — zapiszWpis(tx, …) wydzielone, jedno miejsce zmieniające saldo; ksef/fa3-xml.builder.ts — RodzajFaktury KOR + DaneFaKorygowanej + PrzyczynaKorekty; invoice-pdf.service.ts — układ korekty (przed/po/różnica); invoices.admin.controller.ts — POST /:id/korekta i GET /:id/korekty; admin-panel/(dashboard)/invoices/[invoiceId]/korekta — formularz; migracja 20260822220000_faktura_korygujaca (seria VFK + 2 ograniczenia CHECK); korekta-faktury.spec.ts (18) + fa3-xml.builder.spec.ts (+7) + test/integration/korekta.int-spec.ts (13) + asercja SQL M-06</t>
        </is>
      </c>
      <c r="K245" s="11" t="inlineStr">
        <is>
          <t>PARYTET</t>
        </is>
      </c>
      <c r="L245" s="11" t="inlineStr">
        <is>
          <t>—</t>
        </is>
      </c>
      <c r="M245" s="11" t="inlineStr">
        <is>
          <t>L</t>
        </is>
      </c>
      <c r="N245" s="12" t="inlineStr">
        <is>
          <t>Zamknięte 2026-08-22. Macierz wskazywała trzy różne braki i wszystkie były prawdziwe: zero wystąpień korekty w kodzie i schemacie, RodzajFaktury=VAT na sztywno w builderze KSeF-a, brak drogi wewnątrz systemu. | DWA RODZAJE: WARTOŚCIOWA zmienia kwoty (zwrot, rezygnacja, rabat) i przy różnicy ujemnej zwraca do portfela; FORMALNA poprawia dane nabywcy, kwoty bez zmian, różnica zero. | W `amount` korekty siedzi RÓŻNICA ZE ZNAKIEM, nie nowa kwota — to ona wchodzi do rejestru VAT i to ona mówi, ile pieniędzy się rusza. Kwota po korekcie odtwarza się z dwóch pól: correctedAmount + amount. Trzymanie w `amount` nowej kwoty wyglądałoby naturalniej i psuło sumowanie rejestru, asercję netto+VAT=brutto oraz oczywistość kierunku pieniędzy. | ZWROT W TEJ SAMEJ TRANSAKCJI co dokument. Wymagało wydzielenia z applyEntry metody zapiszWpis(tx, …) działającej wewnątrz podanej transakcji — nie da się otworzyć transakcji w transakcji, a druga kopia blokowania wiersza byłaby PIĄTYM wystąpieniem wzorca bliźniaczych miejsc. Miejsce zmieniające saldo nadal jedno. | KOREKTA W GÓRĘ NIE RUSZA PORTFELA — dopłata to zobowiązanie klienta, nie automatyczne pobranie; ściąganie pieniędzy przy korekcie zwiększającej byłoby obciążeniem bez zamówienia. | OSOBNA SERIA VFK: InvoiceCounter dostał kolumnę series i klucz (series, year, month). Test sprawdza, że wystawienie korekty nie rusza licznika faktur. | NAJGROŹNIEJSZE ZNALEZISKO: korekta wysłana do KSeF-a z RodzajFaktury=VAT zostałaby przyjęta jako NOWA SPRZEDAŻ, nie jako zmiana poprzedniej — czyli PODWOIŁABY PRZYCHÓD w rejestrze, milcząco, bo dokument jest formalnie poprawny. Teraz KOR + DaneFaKorygowanej + PrzyczynaKorekty, a builder ODMAWIA zbudowania korekty bez numeru pierwotnej albo bez przyczyny. | REGUŁY W BAZIE: dwa ograniczenia CHECK (korekta musi mieć correctedId/correctionKind/correctionReason; correctedId &lt;&gt; id), bo kod można obejść nowym serwisem, a ograniczeń nie. Bez drugiego jeden błąd w serwisie tworzyłby dokument odsyłający do siebie i pętlę przy liczeniu kwoty po korekcie. | ŚWIADOMIE NIE MA: korekty do korekty (dokument odnosiłby się do dokumentu, który sam już coś zmienia — odmowa jest uczciwsza niż dokument, którego nie umiem policzyć) ani anulowania faktury (w polskim prawie faktury w obrocie się nie anuluje, koryguje do zera — a to ten mechanizm już potrafi). | PRZY OKAZJI ZNALEZIONY BŁĄD: formularz faktury ręcznej z Z-01 wołał /admin/billing/invoices/reczna zamiast /admin/invoices/reczna. Kod się kompilował, testy przechodziły, panel się budował — 404 wyszłoby pod palcem operatora. Stąd X-24. | Czerwieni się na starym kodzie: RodzajFaktury na sztywno → 4 z 20 w builderze; zła ścieżka panelu → 1 z 5 w strażniku; korekta bez faktury pierwotnej → CHECK + asercja SQL. | CZEGO NIE ROBI: brak zmiany stawki VAT na korekcie (wszystko 23%), brak osobnego powiadomienia o zwrocie, brak D3 (wymaga produkcji — PB-12). | Weryfikacja: 546 testów jednostkowych, 53 integracyjne, lint 7/7 (0 błędów), typecheck 8/8. Dokumentacja: docs/archiwum/zadania/M-06-faktura-korygujaca.md</t>
        </is>
      </c>
    </row>
    <row r="246">
      <c r="A246" s="11" t="inlineStr">
        <is>
          <t>M-07</t>
        </is>
      </c>
      <c r="B246" s="12" t="inlineStr">
        <is>
          <t>M</t>
        </is>
      </c>
      <c r="C246" s="11" t="inlineStr">
        <is>
          <t>DUPLIKAT FAKTURY</t>
        </is>
      </c>
      <c r="D246" s="11" t="inlineStr">
        <is>
          <t>NIE</t>
        </is>
      </c>
      <c r="E246" s="11" t="inlineStr">
        <is>
          <t>NIE</t>
        </is>
      </c>
      <c r="F246" s="11" t="inlineStr">
        <is>
          <t>NIE</t>
        </is>
      </c>
      <c r="G246" s="11" t="inlineStr">
        <is>
          <t>TAK</t>
        </is>
      </c>
      <c r="H246" s="11" t="inlineStr">
        <is>
          <t>TAK</t>
        </is>
      </c>
      <c r="I246" s="11" t="inlineStr">
        <is>
          <t>DZIAŁA</t>
        </is>
      </c>
      <c r="J246" s="12" t="inlineStr">
        <is>
          <t>invoices.service.ts renderDuplicate + nadrukDuplikatu (invoice-pdf.service.ts); GET billing/invoices/:id/pdf?duplikat=1; panel: Portfel → Faktury → „Duplikat”; test billing/duplikat.spec.ts</t>
        </is>
      </c>
      <c r="K246" s="11" t="inlineStr">
        <is>
          <t>PARYTET</t>
        </is>
      </c>
      <c r="L246" s="11" t="inlineStr">
        <is>
          <t>ŚREDNIA</t>
        </is>
      </c>
      <c r="M246" s="11" t="inlineStr">
        <is>
          <t>M</t>
        </is>
      </c>
      <c r="N246" s="12" t="inlineStr">
        <is>
          <t>Skorygowane: brak flagi potwierdzony, ale przy fakturze ustrukturyzowanej i PDF wystawianym na żądanie duplikat nie blokuje sprzedaży.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duplikat = zapisany PDF z nadrukiem „DUPLIKAT z dnia …” na każdej stronie, treść bez zmian, wpis w audycie. PRZY OKAZJI: lista faktur w panelu klienta pokazywała wyłącznie linki Stripe — dokumenty z portfela (storageKey) nie miały ŻADNEGO przycisku pobrania, choć API je serwowało. Teraz InvoiceDto.hasPdf i przycisk PDF przez proxy /api/billing/invoices/:id/pdf.</t>
        </is>
      </c>
    </row>
    <row r="247">
      <c r="A247" s="11" t="inlineStr">
        <is>
          <t>M-08</t>
        </is>
      </c>
      <c r="B247" s="12" t="inlineStr">
        <is>
          <t>M</t>
        </is>
      </c>
      <c r="C247" s="11" t="inlineStr">
        <is>
          <t>Anulowanie faktury (VOID) z panelu</t>
        </is>
      </c>
      <c r="D247" s="11" t="inlineStr">
        <is>
          <t>NIE</t>
        </is>
      </c>
      <c r="E247" s="11" t="inlineStr">
        <is>
          <t>NIE</t>
        </is>
      </c>
      <c r="F247" s="11" t="inlineStr">
        <is>
          <t>NIE</t>
        </is>
      </c>
      <c r="G247" s="11" t="inlineStr">
        <is>
          <t>CZĘŚĆ</t>
        </is>
      </c>
      <c r="H247" s="11" t="inlineStr">
        <is>
          <t>CZĘŚĆ</t>
        </is>
      </c>
      <c r="I247" s="11" t="inlineStr">
        <is>
          <t>DZIAŁA</t>
        </is>
      </c>
      <c r="J247" s="12" t="inlineStr">
        <is>
          <t>billing/anulowanie.service.ts (POST /admin/invoices/:id/anuluj, BILLING_MANAGE); admin: invoices/void-button.tsx; test D2 anulowanie.service.spec.ts</t>
        </is>
      </c>
      <c r="K247" s="11" t="inlineStr">
        <is>
          <t>PARYTET</t>
        </is>
      </c>
      <c r="L247" s="11" t="inlineStr">
        <is>
          <t>WYSOKA</t>
        </is>
      </c>
      <c r="M247" s="11" t="inlineStr">
        <is>
          <t>S</t>
        </is>
      </c>
      <c r="N247" s="12"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t>
        </is>
      </c>
    </row>
    <row r="248">
      <c r="A248" s="11" t="inlineStr">
        <is>
          <t>M-09</t>
        </is>
      </c>
      <c r="B248" s="12" t="inlineStr">
        <is>
          <t>M</t>
        </is>
      </c>
      <c r="C248" s="11" t="inlineStr">
        <is>
          <t>Stawki VAT inne niż 23%</t>
        </is>
      </c>
      <c r="D248" s="11" t="inlineStr">
        <is>
          <t>NIE</t>
        </is>
      </c>
      <c r="E248" s="11" t="inlineStr">
        <is>
          <t>NIE</t>
        </is>
      </c>
      <c r="F248" s="11" t="inlineStr">
        <is>
          <t>NIE</t>
        </is>
      </c>
      <c r="G248" s="11" t="inlineStr">
        <is>
          <t>TAK</t>
        </is>
      </c>
      <c r="H248" s="11" t="inlineStr">
        <is>
          <t>TAK</t>
        </is>
      </c>
      <c r="I248" s="11" t="inlineStr">
        <is>
          <t>DZIAŁA</t>
        </is>
      </c>
      <c r="J248" s="12" t="inlineStr">
        <is>
          <t>billing/vat.ts (reguły + stawki UE), vies.service.ts, vat-nabywcy.service.ts; dokumenty: doladowanie.ts, invoices.service.ts (Stripe), proforma; alarm progu OSS faktury.scheduler.ts; testy vat.spec, doladowanie.service.spec, proforma.service.spec, karta-cena-netto.spec</t>
        </is>
      </c>
      <c r="K248" s="11" t="inlineStr">
        <is>
          <t>PARYTET</t>
        </is>
      </c>
      <c r="L248" s="11" t="inlineStr">
        <is>
          <t>WYSOKA</t>
        </is>
      </c>
      <c r="M248" s="11" t="inlineStr">
        <is>
          <t>M</t>
        </is>
      </c>
      <c r="N248" s="12" t="inlineStr">
        <is>
          <t>Skorygowane: sztywne 23% dotyczy tylko ścieżki finalizacji (invoices.service.ts:17,296) — model i KSeF obsługują stawki (fa-xml.types.ts:152). Blokerem staje się dopiero przy pierwszym kliencie spoza PL.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PL 23%; firma z UE z VAT-UE ważnym w VIES — „np” + „odwrotne obciążenie” (nie 0%); konsument z UE — 23% do progu 42 000 zł (art. 28k), potem OSS po włączeniu vat.ossWlaczone (alarm 80%/100% do adminów); spoza UE — „np”. Wynik VIES zapisany przy dokumencie. Klienci bez polskiego VAT płacą netto (1 zł = 1,23 K), karta dla nich zablokowana z podpowiedzią portfela. KSeF z panelu odmawia dokumentów „np”. DO KSIĘGOWEJ: brzmienie adnotacji dla klientów spoza UE.</t>
        </is>
      </c>
    </row>
    <row r="249">
      <c r="A249" s="11" t="inlineStr">
        <is>
          <t>M-10</t>
        </is>
      </c>
      <c r="B249" s="12" t="inlineStr">
        <is>
          <t>M</t>
        </is>
      </c>
      <c r="C249" s="11" t="inlineStr">
        <is>
          <t>Faktury w walucie obcej z przeliczeniem VAT</t>
        </is>
      </c>
      <c r="D249" s="11" t="inlineStr">
        <is>
          <t>NIE</t>
        </is>
      </c>
      <c r="E249" s="11" t="inlineStr">
        <is>
          <t>NIE</t>
        </is>
      </c>
      <c r="F249" s="11" t="inlineStr">
        <is>
          <t>NIE</t>
        </is>
      </c>
      <c r="G249" s="11" t="inlineStr">
        <is>
          <t>CZĘŚĆ</t>
        </is>
      </c>
      <c r="H249" s="11" t="inlineStr">
        <is>
          <t>TAK</t>
        </is>
      </c>
      <c r="I249" s="11" t="inlineStr">
        <is>
          <t>DZIAŁA</t>
        </is>
      </c>
      <c r="J249" s="12" t="inlineStr">
        <is>
          <t>billing/kurs-nbp.ts, doladowanie.service.ts; panel: Portfel → Doładuj (wybór PLN/EUR/USD, podgląd stawki i K); PDF: kurs i VAT w PLN (invoice-pdf.service.ts)</t>
        </is>
      </c>
      <c r="K249" s="11" t="inlineStr">
        <is>
          <t>PARYTET</t>
        </is>
      </c>
      <c r="L249" s="11" t="inlineStr">
        <is>
          <t>WYSOKA</t>
        </is>
      </c>
      <c r="M249" s="11" t="inlineStr">
        <is>
          <t>M</t>
        </is>
      </c>
      <c r="N249" s="12" t="inlineStr">
        <is>
          <t>KSeF odrzuca wszystko poza PLN (fa3-xml.builder.ts:64-66) | 2026-09-23 DECYZJA WŁAŚCICIELA (2026-09-23, jak KSeF): faktury VAT wystawia program księgowy Firmino (Streamsoft) — duplikaty, stawki VAT i waluty obsługuje on. Wraca do zakresu razem z własną integracją KSeF po starcie. | 2026-09-23 KOREKTA DECYZJI WŁAŚCICIELA: przed startem, w panelu (dotyczy dokumentów pokazywanych w panelu), mimo że fakturę VAT wystawia Firmino — wpis „poza zakresem” z tego samego dnia cofnięty. | 2026-09-23 decyzja właściciela i wdrożenie: wpłata kartą w EUR/USD, portfel w K; kurs średni NBP (tabela A) z ostatniego dnia roboczego przed dniem wpłaty (czas polski); dokument w walucie wpłaty z kwotą VAT w PLN (art. 31a, 106e ust. 11). Bez kursu rezerwowego — brak kursu = ponowienie webhooka. D3: Stripe musi mieć włączone EUR/USD.</t>
        </is>
      </c>
    </row>
    <row r="250">
      <c r="A250" s="11" t="inlineStr">
        <is>
          <t>M-11</t>
        </is>
      </c>
      <c r="B250" s="12" t="inlineStr">
        <is>
          <t>M</t>
        </is>
      </c>
      <c r="C250" s="11" t="inlineStr">
        <is>
          <t>KSeF — wysyłka faktury</t>
        </is>
      </c>
      <c r="D250" s="11" t="inlineStr">
        <is>
          <t>NIE</t>
        </is>
      </c>
      <c r="E250" s="11" t="inlineStr">
        <is>
          <t>NIE</t>
        </is>
      </c>
      <c r="F250" s="11" t="inlineStr">
        <is>
          <t>NIE</t>
        </is>
      </c>
      <c r="G250" s="11" t="inlineStr">
        <is>
          <t>CZĘŚĆ</t>
        </is>
      </c>
      <c r="H250" s="11" t="inlineStr">
        <is>
          <t>NIE</t>
        </is>
      </c>
      <c r="I250" s="11" t="inlineStr">
        <is>
          <t>FLAGA</t>
        </is>
      </c>
      <c r="J250" s="12" t="inlineStr">
        <is>
          <t>ksef-v2.client.ts:138-165; FA(3) 1-0E; API v2</t>
        </is>
      </c>
      <c r="K250" s="11" t="inlineStr">
        <is>
          <t>PRZEWAGA</t>
        </is>
      </c>
      <c r="L250" s="11" t="inlineStr">
        <is>
          <t>ŚREDNIA</t>
        </is>
      </c>
      <c r="M250" s="11" t="inlineStr">
        <is>
          <t>S</t>
        </is>
      </c>
      <c r="N250" s="12" t="inlineStr">
        <is>
          <t>OSŁABIONE: KSEF_ENABLED default '0', KSEF_ENV default 'test' (platform-settings.keys.ts:136-137). Po włączeniu bez zmiany env faktury idą na środowisko testowe MF. | WYCENA 2026-09-19: krytycznosc i naklad uzupelnione przy wznowieniu. Pozycje przepisane 2026-08-28 w ramach X-49 zostaly bez wyceny, przez co nie liczyly sie do budzetu godzin i nie stały w zadnym sprincie. Podstawa wyceny: Domyslna wartosc flagi plus check w live-readiness, zeby flaga nie wylaczyla wysylki po cichu. Zakres zalezy od PB-13. | 2026-09-22: poza planem startowym — ADR-2026-09-22, wlasny modul KSeF zamrozony (nie skasowany), KSeF realizuje program ksiegowy. Wraca w epiku integracji po API.</t>
        </is>
      </c>
    </row>
    <row r="251">
      <c r="A251" s="11" t="inlineStr">
        <is>
          <t>M-12</t>
        </is>
      </c>
      <c r="B251" s="12" t="inlineStr">
        <is>
          <t>M</t>
        </is>
      </c>
      <c r="C251" s="11" t="inlineStr">
        <is>
          <t>KSeF — uwierzytelnianie tokenem</t>
        </is>
      </c>
      <c r="D251" s="11" t="inlineStr">
        <is>
          <t>NIE</t>
        </is>
      </c>
      <c r="E251" s="11" t="inlineStr">
        <is>
          <t>NIE</t>
        </is>
      </c>
      <c r="F251" s="11" t="inlineStr">
        <is>
          <t>NIE</t>
        </is>
      </c>
      <c r="G251" s="11" t="inlineStr">
        <is>
          <t>—</t>
        </is>
      </c>
      <c r="H251" s="11" t="inlineStr">
        <is>
          <t>—</t>
        </is>
      </c>
      <c r="I251" s="11" t="inlineStr">
        <is>
          <t>DZIAŁA</t>
        </is>
      </c>
      <c r="J251" s="12" t="inlineStr">
        <is>
          <t>ksef-v2.client.ts:256-379 (challenge → RSA-OAEP → redeem)</t>
        </is>
      </c>
      <c r="K251" s="11" t="inlineStr">
        <is>
          <t>PARYTET</t>
        </is>
      </c>
      <c r="L251" s="11" t="inlineStr">
        <is>
          <t>—</t>
        </is>
      </c>
      <c r="M251" s="11" t="inlineStr">
        <is>
          <t>—</t>
        </is>
      </c>
      <c r="N251" s="12" t="inlineStr">
        <is>
          <t>ZERO testów na całym kliencie (487 l. kryptografii)</t>
        </is>
      </c>
    </row>
    <row r="252">
      <c r="A252" s="11" t="inlineStr">
        <is>
          <t>M-13</t>
        </is>
      </c>
      <c r="B252" s="12" t="inlineStr">
        <is>
          <t>M</t>
        </is>
      </c>
      <c r="C252" s="11" t="inlineStr">
        <is>
          <t>KSeF — szyfrowanie sesji</t>
        </is>
      </c>
      <c r="D252" s="11" t="inlineStr">
        <is>
          <t>NIE</t>
        </is>
      </c>
      <c r="E252" s="11" t="inlineStr">
        <is>
          <t>NIE</t>
        </is>
      </c>
      <c r="F252" s="11" t="inlineStr">
        <is>
          <t>NIE</t>
        </is>
      </c>
      <c r="G252" s="11" t="inlineStr">
        <is>
          <t>—</t>
        </is>
      </c>
      <c r="H252" s="11" t="inlineStr">
        <is>
          <t>—</t>
        </is>
      </c>
      <c r="I252" s="11" t="inlineStr">
        <is>
          <t>DZIAŁA</t>
        </is>
      </c>
      <c r="J252" s="12" t="inlineStr">
        <is>
          <t>ksef-v2.client.ts:427-441 (RSA-OAEP + AES-256-CBC)</t>
        </is>
      </c>
      <c r="K252" s="11" t="inlineStr">
        <is>
          <t>PARYTET</t>
        </is>
      </c>
      <c r="L252" s="11" t="inlineStr">
        <is>
          <t>—</t>
        </is>
      </c>
      <c r="M252" s="11" t="inlineStr">
        <is>
          <t>—</t>
        </is>
      </c>
      <c r="N252" s="12" t="inlineStr"/>
    </row>
    <row r="253">
      <c r="A253" s="11" t="inlineStr">
        <is>
          <t>M-14</t>
        </is>
      </c>
      <c r="B253" s="12" t="inlineStr">
        <is>
          <t>M</t>
        </is>
      </c>
      <c r="C253" s="11" t="inlineStr">
        <is>
          <t>KSeF — numer i UPO widoczne dla klienta</t>
        </is>
      </c>
      <c r="D253" s="11" t="inlineStr">
        <is>
          <t>NIE</t>
        </is>
      </c>
      <c r="E253" s="11" t="inlineStr">
        <is>
          <t>NIE</t>
        </is>
      </c>
      <c r="F253" s="11" t="inlineStr">
        <is>
          <t>NIE</t>
        </is>
      </c>
      <c r="G253" s="11" t="inlineStr">
        <is>
          <t>TAK</t>
        </is>
      </c>
      <c r="H253" s="11" t="inlineStr">
        <is>
          <t>NIE</t>
        </is>
      </c>
      <c r="I253" s="11" t="inlineStr">
        <is>
          <t>BRAK</t>
        </is>
      </c>
      <c r="J253" s="12" t="inlineStr">
        <is>
          <t>zero wystąpień „ksef” w apps/client-panel</t>
        </is>
      </c>
      <c r="K253" s="11" t="inlineStr">
        <is>
          <t>POZA ZAKRESEM</t>
        </is>
      </c>
      <c r="L253" s="11" t="inlineStr">
        <is>
          <t>WYSOKA</t>
        </is>
      </c>
      <c r="M253" s="11" t="inlineStr">
        <is>
          <t>S</t>
        </is>
      </c>
      <c r="N253" s="12"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4">
      <c r="A254" s="11" t="inlineStr">
        <is>
          <t>M-15</t>
        </is>
      </c>
      <c r="B254" s="12" t="inlineStr">
        <is>
          <t>M</t>
        </is>
      </c>
      <c r="C254" s="11" t="inlineStr">
        <is>
          <t>KSeF — pobranie UPO przez operatora</t>
        </is>
      </c>
      <c r="D254" s="11" t="inlineStr">
        <is>
          <t>NIE</t>
        </is>
      </c>
      <c r="E254" s="11" t="inlineStr">
        <is>
          <t>NIE</t>
        </is>
      </c>
      <c r="F254" s="11" t="inlineStr">
        <is>
          <t>NIE</t>
        </is>
      </c>
      <c r="G254" s="11" t="inlineStr">
        <is>
          <t>—</t>
        </is>
      </c>
      <c r="H254" s="11" t="inlineStr">
        <is>
          <t>—</t>
        </is>
      </c>
      <c r="I254" s="11" t="inlineStr">
        <is>
          <t>ENDPOINT BEZ UI</t>
        </is>
      </c>
      <c r="J254" s="12" t="inlineStr">
        <is>
          <t>ksef.admin.controller.ts:38; zero wystąpień UPO w admin-panel</t>
        </is>
      </c>
      <c r="K254" s="11" t="inlineStr">
        <is>
          <t>POZA ZAKRESEM</t>
        </is>
      </c>
      <c r="L254" s="11" t="inlineStr">
        <is>
          <t>ŚREDNIA</t>
        </is>
      </c>
      <c r="M254" s="11" t="inlineStr">
        <is>
          <t>S</t>
        </is>
      </c>
      <c r="N254" s="12"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5">
      <c r="A255" s="11" t="inlineStr">
        <is>
          <t>M-16</t>
        </is>
      </c>
      <c r="B255" s="12" t="inlineStr">
        <is>
          <t>M</t>
        </is>
      </c>
      <c r="C255" s="11" t="inlineStr">
        <is>
          <t>KSeF — tryb offline/awaryjny</t>
        </is>
      </c>
      <c r="D255" s="11" t="inlineStr">
        <is>
          <t>NIE</t>
        </is>
      </c>
      <c r="E255" s="11" t="inlineStr">
        <is>
          <t>NIE</t>
        </is>
      </c>
      <c r="F255" s="11" t="inlineStr">
        <is>
          <t>NIE</t>
        </is>
      </c>
      <c r="G255" s="11" t="inlineStr">
        <is>
          <t>CZĘŚĆ</t>
        </is>
      </c>
      <c r="H255" s="11" t="inlineStr">
        <is>
          <t>NIE</t>
        </is>
      </c>
      <c r="I255" s="11" t="inlineStr">
        <is>
          <t>BRAK</t>
        </is>
      </c>
      <c r="J255" s="12" t="inlineStr">
        <is>
          <t>KsefStatus.OFFLINE w schema.prisma:1432 nigdy nie ustawiany</t>
        </is>
      </c>
      <c r="K255" s="11" t="inlineStr">
        <is>
          <t>POZA ZAKRESEM</t>
        </is>
      </c>
      <c r="L255" s="11" t="inlineStr">
        <is>
          <t>WYSOKA</t>
        </is>
      </c>
      <c r="M255" s="11" t="inlineStr">
        <is>
          <t>M</t>
        </is>
      </c>
      <c r="N255" s="12"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6">
      <c r="A256" s="11" t="inlineStr">
        <is>
          <t>M-17</t>
        </is>
      </c>
      <c r="B256" s="12" t="inlineStr">
        <is>
          <t>M</t>
        </is>
      </c>
      <c r="C256" s="11" t="inlineStr">
        <is>
          <t>KSeF — walidacja XSD przed wysyłką</t>
        </is>
      </c>
      <c r="D256" s="11" t="inlineStr">
        <is>
          <t>NIE</t>
        </is>
      </c>
      <c r="E256" s="11" t="inlineStr">
        <is>
          <t>NIE</t>
        </is>
      </c>
      <c r="F256" s="11" t="inlineStr">
        <is>
          <t>NIE</t>
        </is>
      </c>
      <c r="G256" s="11" t="inlineStr">
        <is>
          <t>—</t>
        </is>
      </c>
      <c r="H256" s="11" t="inlineStr">
        <is>
          <t>—</t>
        </is>
      </c>
      <c r="I256" s="11" t="inlineStr">
        <is>
          <t>BRAK</t>
        </is>
      </c>
      <c r="J256" s="12" t="inlineStr">
        <is>
          <t>fa3-xml.builder.ts składa XML stringowo; komentarz ksef-v2.client.ts:61-62 sam to wskazuje</t>
        </is>
      </c>
      <c r="K256" s="11" t="inlineStr">
        <is>
          <t>POZA ZAKRESEM</t>
        </is>
      </c>
      <c r="L256" s="11" t="inlineStr">
        <is>
          <t>WYSOKA</t>
        </is>
      </c>
      <c r="M256" s="11" t="inlineStr">
        <is>
          <t>S</t>
        </is>
      </c>
      <c r="N256" s="12"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57">
      <c r="A257" s="11" t="inlineStr">
        <is>
          <t>M-18</t>
        </is>
      </c>
      <c r="B257" s="12" t="inlineStr">
        <is>
          <t>M</t>
        </is>
      </c>
      <c r="C257" s="11" t="inlineStr">
        <is>
          <t>Płatności kartą</t>
        </is>
      </c>
      <c r="D257" s="11" t="inlineStr">
        <is>
          <t>NIE</t>
        </is>
      </c>
      <c r="E257" s="11" t="inlineStr">
        <is>
          <t>NIE</t>
        </is>
      </c>
      <c r="F257" s="11" t="inlineStr">
        <is>
          <t>NIE</t>
        </is>
      </c>
      <c r="G257" s="11" t="inlineStr">
        <is>
          <t>TAK</t>
        </is>
      </c>
      <c r="H257" s="11" t="inlineStr">
        <is>
          <t>TAK</t>
        </is>
      </c>
      <c r="I257" s="11" t="inlineStr">
        <is>
          <t>DZIAŁA</t>
        </is>
      </c>
      <c r="J257" s="12" t="inlineStr">
        <is>
          <t>stripe.client.ts:308</t>
        </is>
      </c>
      <c r="K257" s="11" t="inlineStr">
        <is>
          <t>PARYTET</t>
        </is>
      </c>
      <c r="L257" s="11" t="inlineStr">
        <is>
          <t>—</t>
        </is>
      </c>
      <c r="M257" s="11" t="inlineStr">
        <is>
          <t>—</t>
        </is>
      </c>
      <c r="N257" s="12" t="inlineStr"/>
    </row>
    <row r="258">
      <c r="A258" s="11" t="inlineStr">
        <is>
          <t>M-19</t>
        </is>
      </c>
      <c r="B258" s="12" t="inlineStr">
        <is>
          <t>M</t>
        </is>
      </c>
      <c r="C258" s="11" t="inlineStr">
        <is>
          <t>Płatności BLIK / Przelewy24</t>
        </is>
      </c>
      <c r="D258" s="11" t="inlineStr">
        <is>
          <t>NIE</t>
        </is>
      </c>
      <c r="E258" s="11" t="inlineStr">
        <is>
          <t>NIE</t>
        </is>
      </c>
      <c r="F258" s="11" t="inlineStr">
        <is>
          <t>NIE</t>
        </is>
      </c>
      <c r="G258" s="11" t="inlineStr">
        <is>
          <t>TAK</t>
        </is>
      </c>
      <c r="H258" s="11" t="inlineStr">
        <is>
          <t>CZĘŚĆ</t>
        </is>
      </c>
      <c r="I258" s="11" t="inlineStr">
        <is>
          <t>DZIAŁA</t>
        </is>
      </c>
      <c r="J258" s="12" t="inlineStr">
        <is>
          <t>stripe.client.ts:309 (p24); billing/paynow/paynow.client.ts + billing.service.ts (utworzDoladowaniePaynow, handlePaynowNotification, zwrocPlatnoscPaynow)</t>
        </is>
      </c>
      <c r="K258" s="11" t="inlineStr">
        <is>
          <t>PARYTET</t>
        </is>
      </c>
      <c r="L258" s="11" t="inlineStr">
        <is>
          <t>—</t>
        </is>
      </c>
      <c r="M258" s="11" t="inlineStr">
        <is>
          <t>—</t>
        </is>
      </c>
      <c r="N258" s="12" t="inlineStr">
        <is>
          <t>przez Stripe, nie bezpośrednio | 2026-10-05 D3 (sandbox Paynow, konto d3): Paynow (mBank) główną bramką doładowań PLN. BLIK 25 zł → portfel +25 K raz, wpis „Doładowanie — Paynow”, dokument VDR/2026/10/0001 „Opłacona”. Drugie doładowanie 25 zł + „Zwróć” w Verris → −25 K raz, zwrot w Paynow. Zwrot zrobiony w panelu Paynow nie dociera do Verris (brak powiadomień o zwrotach) → przycisk „Zwrot zrobiony w Paynow”. Produkcja: klucze live + umowa mBank (PB-05).</t>
        </is>
      </c>
    </row>
    <row r="259">
      <c r="A259" s="11" t="inlineStr">
        <is>
          <t>M-20</t>
        </is>
      </c>
      <c r="B259" s="12" t="inlineStr">
        <is>
          <t>M</t>
        </is>
      </c>
      <c r="C259" s="11" t="inlineStr">
        <is>
          <t>Płatności cykliczne / automatyczne odnowienia</t>
        </is>
      </c>
      <c r="D259" s="11" t="inlineStr">
        <is>
          <t>NIE</t>
        </is>
      </c>
      <c r="E259" s="11" t="inlineStr">
        <is>
          <t>NIE</t>
        </is>
      </c>
      <c r="F259" s="11" t="inlineStr">
        <is>
          <t>NIE</t>
        </is>
      </c>
      <c r="G259" s="11" t="inlineStr">
        <is>
          <t>TAK</t>
        </is>
      </c>
      <c r="H259" s="11" t="inlineStr">
        <is>
          <t>TAK</t>
        </is>
      </c>
      <c r="I259" s="11" t="inlineStr">
        <is>
          <t>DZIAŁA</t>
        </is>
      </c>
      <c r="J259" s="12" t="inlineStr">
        <is>
          <t>renewal.scheduler.ts:17-29,45 (idempotencja na subscriptionId+period)</t>
        </is>
      </c>
      <c r="K259" s="11" t="inlineStr">
        <is>
          <t>PARYTET</t>
        </is>
      </c>
      <c r="L259" s="11" t="inlineStr">
        <is>
          <t>WYSOKA</t>
        </is>
      </c>
      <c r="M259" s="11" t="inlineStr">
        <is>
          <t>—</t>
        </is>
      </c>
      <c r="N259" s="12" t="inlineStr">
        <is>
          <t>ZERO testów na ścieżce, która sama wyłącza usługę klientowi</t>
        </is>
      </c>
    </row>
    <row r="260">
      <c r="A260" s="11" t="inlineStr">
        <is>
          <t>M-21</t>
        </is>
      </c>
      <c r="B260" s="12" t="inlineStr">
        <is>
          <t>M</t>
        </is>
      </c>
      <c r="C260" s="11" t="inlineStr">
        <is>
          <t>Portfel / przedpłata</t>
        </is>
      </c>
      <c r="D260" s="11" t="inlineStr">
        <is>
          <t>NIE</t>
        </is>
      </c>
      <c r="E260" s="11" t="inlineStr">
        <is>
          <t>NIE</t>
        </is>
      </c>
      <c r="F260" s="11" t="inlineStr">
        <is>
          <t>NIE</t>
        </is>
      </c>
      <c r="G260" s="11" t="inlineStr">
        <is>
          <t>CZĘŚĆ</t>
        </is>
      </c>
      <c r="H260" s="11" t="inlineStr">
        <is>
          <t>CZĘŚĆ</t>
        </is>
      </c>
      <c r="I260" s="11" t="inlineStr">
        <is>
          <t>DZIAŁA</t>
        </is>
      </c>
      <c r="J260" s="12" t="inlineStr">
        <is>
          <t>billing.controller.ts:44; wallet-ledger.service.spec.ts (test D1)</t>
        </is>
      </c>
      <c r="K260" s="11" t="inlineStr">
        <is>
          <t>PRZEWAGA</t>
        </is>
      </c>
      <c r="L260" s="11" t="inlineStr">
        <is>
          <t>—</t>
        </is>
      </c>
      <c r="M260" s="11" t="inlineStr">
        <is>
          <t>—</t>
        </is>
      </c>
      <c r="N260" s="12" t="inlineStr"/>
    </row>
    <row r="261">
      <c r="A261" s="11" t="inlineStr">
        <is>
          <t>M-22</t>
        </is>
      </c>
      <c r="B261" s="12" t="inlineStr">
        <is>
          <t>M</t>
        </is>
      </c>
      <c r="C261" s="11" t="inlineStr">
        <is>
          <t>Auto-doładowanie portfela</t>
        </is>
      </c>
      <c r="D261" s="11" t="inlineStr">
        <is>
          <t>NIE</t>
        </is>
      </c>
      <c r="E261" s="11" t="inlineStr">
        <is>
          <t>NIE</t>
        </is>
      </c>
      <c r="F261" s="11" t="inlineStr">
        <is>
          <t>NIE</t>
        </is>
      </c>
      <c r="G261" s="11" t="inlineStr">
        <is>
          <t>NIE</t>
        </is>
      </c>
      <c r="H261" s="11" t="inlineStr">
        <is>
          <t>CZĘŚĆ</t>
        </is>
      </c>
      <c r="I261" s="11" t="inlineStr">
        <is>
          <t>DZIAŁA</t>
        </is>
      </c>
      <c r="J261" s="12" t="inlineStr">
        <is>
          <t>billing/wallet-auto-topup.service.ts; test wallet-auto-topup.service.spec.ts (16 przypadków); księgowanie: billing.service.ts handlePaymentIntentSucceeded</t>
        </is>
      </c>
      <c r="K261" s="11" t="inlineStr">
        <is>
          <t>PRZEWAGA</t>
        </is>
      </c>
      <c r="L261" s="11" t="inlineStr">
        <is>
          <t>—</t>
        </is>
      </c>
      <c r="M261" s="11" t="inlineStr">
        <is>
          <t>—</t>
        </is>
      </c>
      <c r="N261" s="12" t="inlineStr">
        <is>
          <t>ZERO testów (wallet-auto-topup.service.ts, 258 l.) | 2026-09-25: TESTY (D2) — 16 przypadków: bez Stripe nic nie pobiera; obciążenie tylko poniżej progu, w walucie portfela, na kwotę reguły w groszach z kluczem idempotencji na godzinę; cudza metoda płatności odrzucona (zapis i pobranie); 3DS i odmowa karty → mail, wpis w dzienniku i godzina karencji; błąd jednej reguły nie zatrzymuje kolejnych; saldo dopisuje dopiero webhook (bez podwójnego księgowania).</t>
        </is>
      </c>
    </row>
    <row r="262">
      <c r="A262" s="11" t="inlineStr">
        <is>
          <t>M-23</t>
        </is>
      </c>
      <c r="B262" s="12" t="inlineStr">
        <is>
          <t>M</t>
        </is>
      </c>
      <c r="C262" s="11" t="inlineStr">
        <is>
          <t>Kody promocyjne</t>
        </is>
      </c>
      <c r="D262" s="11" t="inlineStr">
        <is>
          <t>NIE</t>
        </is>
      </c>
      <c r="E262" s="11" t="inlineStr">
        <is>
          <t>NIE</t>
        </is>
      </c>
      <c r="F262" s="11" t="inlineStr">
        <is>
          <t>NIE</t>
        </is>
      </c>
      <c r="G262" s="11" t="inlineStr">
        <is>
          <t>TAK</t>
        </is>
      </c>
      <c r="H262" s="11" t="inlineStr">
        <is>
          <t>TAK</t>
        </is>
      </c>
      <c r="I262" s="11" t="inlineStr">
        <is>
          <t>DZIAŁA</t>
        </is>
      </c>
      <c r="J262" s="12" t="inlineStr">
        <is>
          <t>promo.service.ts (559 l.); billing.controller.ts:91</t>
        </is>
      </c>
      <c r="K262" s="11" t="inlineStr">
        <is>
          <t>PARYTET</t>
        </is>
      </c>
      <c r="L262" s="11" t="inlineStr">
        <is>
          <t>ŚREDNIA</t>
        </is>
      </c>
      <c r="M262" s="11" t="inlineStr">
        <is>
          <t>—</t>
        </is>
      </c>
      <c r="N262" s="12" t="inlineStr">
        <is>
          <t>ZERO testów</t>
        </is>
      </c>
    </row>
    <row r="263">
      <c r="A263" s="11" t="inlineStr">
        <is>
          <t>M-24</t>
        </is>
      </c>
      <c r="B263" s="12" t="inlineStr">
        <is>
          <t>M</t>
        </is>
      </c>
      <c r="C263" s="11" t="inlineStr">
        <is>
          <t>Proforma przed odnowieniem</t>
        </is>
      </c>
      <c r="D263" s="11" t="inlineStr">
        <is>
          <t>NIE</t>
        </is>
      </c>
      <c r="E263" s="11" t="inlineStr">
        <is>
          <t>NIE</t>
        </is>
      </c>
      <c r="F263" s="11" t="inlineStr">
        <is>
          <t>NIE</t>
        </is>
      </c>
      <c r="G263" s="11" t="inlineStr">
        <is>
          <t>TAK</t>
        </is>
      </c>
      <c r="H263" s="11" t="inlineStr">
        <is>
          <t>CZĘŚĆ</t>
        </is>
      </c>
      <c r="I263" s="11" t="inlineStr">
        <is>
          <t>DZIAŁA</t>
        </is>
      </c>
      <c r="J263" s="12" t="inlineStr">
        <is>
          <t>billing/proforma.service.ts + GET billing/invoices/proforma/:subscriptionId; panel: usługa → Subskrypcja → „Proforma na odnowienie” (api/services/[id]/proforma); test proforma.service.spec.ts</t>
        </is>
      </c>
      <c r="K263" s="11" t="inlineStr">
        <is>
          <t>PARYTET</t>
        </is>
      </c>
      <c r="L263" s="11" t="inlineStr">
        <is>
          <t>ŚREDNIA</t>
        </is>
      </c>
      <c r="M263" s="11" t="inlineStr">
        <is>
          <t>S</t>
        </is>
      </c>
      <c r="N263" s="12" t="inlineStr">
        <is>
          <t>wszystkie 5 hostingów PL wystawia proformę | 2026-09-23: proforma PDF na żądanie — kwota z tego samego resolveNextRenewalAmount co obciążenie i mail, numer PRO/… spoza serii VAT, adnotacja „nie jest fakturą VAT”; niczego nie zapisuje. Przy okazji wyszło M-35 (PDF-y w ogóle się nie renderowały) i X-52 (linki w mailach na 404).</t>
        </is>
      </c>
    </row>
    <row r="264">
      <c r="A264" s="11" t="inlineStr">
        <is>
          <t>M-25</t>
        </is>
      </c>
      <c r="B264" s="12" t="inlineStr">
        <is>
          <t>M</t>
        </is>
      </c>
      <c r="C264" s="11" t="inlineStr">
        <is>
          <t>Automatyczne zawieszenie za brak płatności</t>
        </is>
      </c>
      <c r="D264" s="11" t="inlineStr">
        <is>
          <t>TAK</t>
        </is>
      </c>
      <c r="E264" s="11" t="inlineStr">
        <is>
          <t>TAK</t>
        </is>
      </c>
      <c r="F264" s="11" t="inlineStr">
        <is>
          <t>TAK</t>
        </is>
      </c>
      <c r="G264" s="11" t="inlineStr">
        <is>
          <t>TAK</t>
        </is>
      </c>
      <c r="H264" s="11" t="inlineStr">
        <is>
          <t>TAK</t>
        </is>
      </c>
      <c r="I264" s="11" t="inlineStr">
        <is>
          <t>DZIAŁA</t>
        </is>
      </c>
      <c r="J264" s="12" t="inlineStr">
        <is>
          <t>renewal.scheduler.ts:250-303 (grace 3 dni); subscriptions.service.ts:597-645</t>
        </is>
      </c>
      <c r="K264" s="11" t="inlineStr">
        <is>
          <t>PARYTET</t>
        </is>
      </c>
      <c r="L264" s="11" t="inlineStr">
        <is>
          <t>WYSOKA</t>
        </is>
      </c>
      <c r="M264" s="11" t="inlineStr">
        <is>
          <t>—</t>
        </is>
      </c>
      <c r="N264" s="12" t="inlineStr">
        <is>
          <t>ZERO testów</t>
        </is>
      </c>
    </row>
    <row r="265">
      <c r="A265" s="11" t="inlineStr">
        <is>
          <t>M-26</t>
        </is>
      </c>
      <c r="B265" s="12" t="inlineStr">
        <is>
          <t>M</t>
        </is>
      </c>
      <c r="C265" s="11" t="inlineStr">
        <is>
          <t>Usunięcie zapisanej karty przez klienta</t>
        </is>
      </c>
      <c r="D265" s="11" t="inlineStr">
        <is>
          <t>NIE</t>
        </is>
      </c>
      <c r="E265" s="11" t="inlineStr">
        <is>
          <t>NIE</t>
        </is>
      </c>
      <c r="F265" s="11" t="inlineStr">
        <is>
          <t>NIE</t>
        </is>
      </c>
      <c r="G265" s="11" t="inlineStr">
        <is>
          <t>TAK</t>
        </is>
      </c>
      <c r="H265" s="11" t="inlineStr">
        <is>
          <t>TAK</t>
        </is>
      </c>
      <c r="I265" s="11" t="inlineStr">
        <is>
          <t>DZIAŁA</t>
        </is>
      </c>
      <c r="J265" s="12"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K265" s="11" t="inlineStr">
        <is>
          <t>PARYTET</t>
        </is>
      </c>
      <c r="L265" s="11" t="inlineStr">
        <is>
          <t>WYSOKA</t>
        </is>
      </c>
      <c r="M265" s="11" t="inlineStr">
        <is>
          <t>S</t>
        </is>
      </c>
      <c r="N265" s="12"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row>
    <row r="266">
      <c r="A266" s="11" t="inlineStr">
        <is>
          <t>M-27</t>
        </is>
      </c>
      <c r="B266" s="12" t="inlineStr">
        <is>
          <t>M</t>
        </is>
      </c>
      <c r="C266" s="11" t="inlineStr">
        <is>
          <t>Dodanie karty niezależnie od zakupu</t>
        </is>
      </c>
      <c r="D266" s="11" t="inlineStr">
        <is>
          <t>NIE</t>
        </is>
      </c>
      <c r="E266" s="11" t="inlineStr">
        <is>
          <t>NIE</t>
        </is>
      </c>
      <c r="F266" s="11" t="inlineStr">
        <is>
          <t>NIE</t>
        </is>
      </c>
      <c r="G266" s="11" t="inlineStr">
        <is>
          <t>TAK</t>
        </is>
      </c>
      <c r="H266" s="11" t="inlineStr">
        <is>
          <t>TAK</t>
        </is>
      </c>
      <c r="I266" s="11" t="inlineStr">
        <is>
          <t>DZIAŁA</t>
        </is>
      </c>
      <c r="J266" s="12" t="inlineStr">
        <is>
          <t>POST /billing/payment-methods/setup-session → BillingService.startAddCard (klient Stripe tworzony w razie potrzeby, Checkout mode=setup) → webhook payment_method.attached zapisuje kartę (M-26); panel: Płatności → Zapisane karty → „Dodaj kartę” + baner po powrocie; test D2 zapis-karty.spec.ts</t>
        </is>
      </c>
      <c r="K266" s="11" t="inlineStr">
        <is>
          <t>PARYTET</t>
        </is>
      </c>
      <c r="L266" s="11" t="inlineStr">
        <is>
          <t>ŚREDNIA</t>
        </is>
      </c>
      <c r="M266" s="11" t="inlineStr">
        <is>
          <t>S</t>
        </is>
      </c>
      <c r="N266" s="12" t="inlineStr">
        <is>
          <t>2026-09-23: przy okazji — doładowanie portfela idzie przez Checkout bez klienta Stripe, więc karta z doładowania NIE zapisywała się nigdy; auto-doładowanie miało działać tylko z kartą z subskrypcji. Teraz kartę da się dodać wprost. WYMAGA zdarzeń payment_method.* w webhooku (jak M-26). D3 przy pierwszym dodaniu karty w trybie testowym Stripe.</t>
        </is>
      </c>
    </row>
    <row r="267">
      <c r="A267" s="11" t="inlineStr">
        <is>
          <t>M-28</t>
        </is>
      </c>
      <c r="B267" s="12" t="inlineStr">
        <is>
          <t>M</t>
        </is>
      </c>
      <c r="C267" s="11" t="inlineStr">
        <is>
          <t>Eksport historii transakcji do CSV</t>
        </is>
      </c>
      <c r="D267" s="11" t="inlineStr">
        <is>
          <t>NIE</t>
        </is>
      </c>
      <c r="E267" s="11" t="inlineStr">
        <is>
          <t>NIE</t>
        </is>
      </c>
      <c r="F267" s="11" t="inlineStr">
        <is>
          <t>NIE</t>
        </is>
      </c>
      <c r="G267" s="11" t="inlineStr">
        <is>
          <t>CZĘŚĆ</t>
        </is>
      </c>
      <c r="H267" s="11" t="inlineStr">
        <is>
          <t>CZĘŚĆ</t>
        </is>
      </c>
      <c r="I267" s="11" t="inlineStr">
        <is>
          <t>DZIAŁA</t>
        </is>
      </c>
      <c r="J267" s="12" t="inlineStr">
        <is>
          <t>billing.controller.ts GET billing/wallet/transactions.csv ← panel: Rozliczenia → Historia transakcji → „Pobierz całą historię (CSV)” (app/api/billing/transactions.csv/route.ts, proxy z tokenem sesji); csv.util.ts neutralizuje formuły (OWASP CSV injection); test D2 csv.util.spec.ts</t>
        </is>
      </c>
      <c r="K267" s="11" t="inlineStr">
        <is>
          <t>PARYTET</t>
        </is>
      </c>
      <c r="L267" s="11" t="inlineStr">
        <is>
          <t>NISKA</t>
        </is>
      </c>
      <c r="M267" s="11" t="inlineStr">
        <is>
          <t>S</t>
        </is>
      </c>
      <c r="N267" s="12" t="inlineStr">
        <is>
          <t>2026-09-23: przy okazji — eksporty CSV (także admina) nie wstrzykują już formuł do arkusza: tekst zaczynający się od = + - @ dostaje apostrof, liczby ujemne zostają liczbami.</t>
        </is>
      </c>
    </row>
    <row r="268">
      <c r="A268" s="11" t="inlineStr">
        <is>
          <t>M-29</t>
        </is>
      </c>
      <c r="B268" s="12" t="inlineStr">
        <is>
          <t>M</t>
        </is>
      </c>
      <c r="C268" s="11" t="inlineStr">
        <is>
          <t>Ręczne uznanie portfela klienta przez operatora</t>
        </is>
      </c>
      <c r="D268" s="11" t="inlineStr">
        <is>
          <t>NIE</t>
        </is>
      </c>
      <c r="E268" s="11" t="inlineStr">
        <is>
          <t>NIE</t>
        </is>
      </c>
      <c r="F268" s="11" t="inlineStr">
        <is>
          <t>NIE</t>
        </is>
      </c>
      <c r="G268" s="11" t="inlineStr">
        <is>
          <t>—</t>
        </is>
      </c>
      <c r="H268" s="11" t="inlineStr">
        <is>
          <t>—</t>
        </is>
      </c>
      <c r="I268" s="11" t="inlineStr">
        <is>
          <t>DZIAŁA</t>
        </is>
      </c>
      <c r="J268" s="12" t="inlineStr">
        <is>
          <t>billing.admin.controller.ts:35</t>
        </is>
      </c>
      <c r="K268" s="11" t="inlineStr">
        <is>
          <t>PARYTET</t>
        </is>
      </c>
      <c r="L268" s="11" t="inlineStr">
        <is>
          <t>—</t>
        </is>
      </c>
      <c r="M268" s="11" t="inlineStr">
        <is>
          <t>—</t>
        </is>
      </c>
      <c r="N268" s="12" t="inlineStr"/>
    </row>
    <row r="269">
      <c r="A269" s="11" t="inlineStr">
        <is>
          <t>M-30</t>
        </is>
      </c>
      <c r="B269" s="12" t="inlineStr">
        <is>
          <t>M</t>
        </is>
      </c>
      <c r="C269" s="11" t="inlineStr">
        <is>
          <t>Katalog produktów i cenniki</t>
        </is>
      </c>
      <c r="D269" s="11" t="inlineStr">
        <is>
          <t>NIE</t>
        </is>
      </c>
      <c r="E269" s="11" t="inlineStr">
        <is>
          <t>NIE</t>
        </is>
      </c>
      <c r="F269" s="11" t="inlineStr">
        <is>
          <t>NIE</t>
        </is>
      </c>
      <c r="G269" s="11" t="inlineStr">
        <is>
          <t>TAK</t>
        </is>
      </c>
      <c r="H269" s="11" t="inlineStr">
        <is>
          <t>TAK</t>
        </is>
      </c>
      <c r="I269" s="11" t="inlineStr">
        <is>
          <t>DZIAŁA</t>
        </is>
      </c>
      <c r="J269" s="12" t="inlineStr">
        <is>
          <t>plans.admin.controller.ts:45,51,66</t>
        </is>
      </c>
      <c r="K269" s="11" t="inlineStr">
        <is>
          <t>PARYTET</t>
        </is>
      </c>
      <c r="L269" s="11" t="inlineStr">
        <is>
          <t>—</t>
        </is>
      </c>
      <c r="M269" s="11" t="inlineStr">
        <is>
          <t>—</t>
        </is>
      </c>
      <c r="N269" s="12" t="inlineStr"/>
    </row>
    <row r="270">
      <c r="A270" s="11" t="inlineStr">
        <is>
          <t>M-31</t>
        </is>
      </c>
      <c r="B270" s="12" t="inlineStr">
        <is>
          <t>M</t>
        </is>
      </c>
      <c r="C270" s="11" t="inlineStr">
        <is>
          <t>Prorata przy zmianie planu</t>
        </is>
      </c>
      <c r="D270" s="11" t="inlineStr">
        <is>
          <t>NIE</t>
        </is>
      </c>
      <c r="E270" s="11" t="inlineStr">
        <is>
          <t>NIE</t>
        </is>
      </c>
      <c r="F270" s="11" t="inlineStr">
        <is>
          <t>NIE</t>
        </is>
      </c>
      <c r="G270" s="11" t="inlineStr">
        <is>
          <t>CZĘŚĆ</t>
        </is>
      </c>
      <c r="H270" s="11" t="inlineStr">
        <is>
          <t>TAK</t>
        </is>
      </c>
      <c r="I270" s="11" t="inlineStr">
        <is>
          <t>DZIAŁA</t>
        </is>
      </c>
      <c r="J270" s="12" t="inlineStr">
        <is>
          <t>plan-proration.util.ts:47; test D1 (7 przypadków, cross-interval)</t>
        </is>
      </c>
      <c r="K270" s="11" t="inlineStr">
        <is>
          <t>PRZEWAGA</t>
        </is>
      </c>
      <c r="L270" s="11" t="inlineStr">
        <is>
          <t>—</t>
        </is>
      </c>
      <c r="M270" s="11" t="inlineStr">
        <is>
          <t>—</t>
        </is>
      </c>
      <c r="N270" s="12" t="inlineStr">
        <is>
          <t>jedna z najlepiej pokrytych rzeczy w repo</t>
        </is>
      </c>
    </row>
    <row r="271">
      <c r="A271" s="11" t="inlineStr">
        <is>
          <t>M-32</t>
        </is>
      </c>
      <c r="B271" s="12" t="inlineStr">
        <is>
          <t>M</t>
        </is>
      </c>
      <c r="C271" s="11" t="inlineStr">
        <is>
          <t>Kolejka provisioningu z retry</t>
        </is>
      </c>
      <c r="D271" s="11" t="inlineStr">
        <is>
          <t>TAK</t>
        </is>
      </c>
      <c r="E271" s="11" t="inlineStr">
        <is>
          <t>TAK</t>
        </is>
      </c>
      <c r="F271" s="11" t="inlineStr">
        <is>
          <t>TAK</t>
        </is>
      </c>
      <c r="G271" s="11" t="inlineStr">
        <is>
          <t>—</t>
        </is>
      </c>
      <c r="H271" s="11" t="inlineStr">
        <is>
          <t>—</t>
        </is>
      </c>
      <c r="I271" s="11" t="inlineStr">
        <is>
          <t>DZIAŁA</t>
        </is>
      </c>
      <c r="J271" s="12" t="inlineStr">
        <is>
          <t>provisioning-queue.admin.controller.ts:31,58</t>
        </is>
      </c>
      <c r="K271" s="11" t="inlineStr">
        <is>
          <t>PARYTET</t>
        </is>
      </c>
      <c r="L271" s="11" t="inlineStr">
        <is>
          <t>—</t>
        </is>
      </c>
      <c r="M271" s="11" t="inlineStr">
        <is>
          <t>—</t>
        </is>
      </c>
      <c r="N271" s="12" t="inlineStr"/>
    </row>
    <row r="272">
      <c r="A272" s="11" t="inlineStr">
        <is>
          <t>M-33</t>
        </is>
      </c>
      <c r="B272" s="12" t="inlineStr">
        <is>
          <t>M</t>
        </is>
      </c>
      <c r="C272" s="11" t="inlineStr">
        <is>
          <t>Dodatki płatne (IP, wsparcie priorytetowe)</t>
        </is>
      </c>
      <c r="D272" s="11" t="inlineStr">
        <is>
          <t>TAK</t>
        </is>
      </c>
      <c r="E272" s="11" t="inlineStr">
        <is>
          <t>TAK</t>
        </is>
      </c>
      <c r="F272" s="11" t="inlineStr">
        <is>
          <t>TAK</t>
        </is>
      </c>
      <c r="G272" s="11" t="inlineStr">
        <is>
          <t>TAK</t>
        </is>
      </c>
      <c r="H272" s="11" t="inlineStr">
        <is>
          <t>TAK</t>
        </is>
      </c>
      <c r="I272" s="11" t="inlineStr">
        <is>
          <t>CZĘŚCIOWE</t>
        </is>
      </c>
      <c r="J272" s="12" t="inlineStr">
        <is>
          <t>addon.service.ts:120 — 2 z 3 to workorder do BOK</t>
        </is>
      </c>
      <c r="K272" s="11" t="inlineStr">
        <is>
          <t>CZĘŚCIOWY</t>
        </is>
      </c>
      <c r="L272" s="11" t="inlineStr">
        <is>
          <t>NISKA</t>
        </is>
      </c>
      <c r="M272" s="11" t="inlineStr">
        <is>
          <t>M</t>
        </is>
      </c>
      <c r="N272" s="12" t="inlineStr">
        <is>
          <t xml:space="preserve"> | 2026-09-25: automatyzacja dedykowanego IP odłożona — oficjalna dokumentacja DirectAdmina (Managing IPs) opisuje przypisanie IP użytkownikowi wyłącznie z GUI, bez API; do sprawdzenia w swagger API DA na węźle. Do tego czasu zlecenie dla zespołu (widoczne dla klienta w zgłoszeniu). | 2026-09-27 KOD (148af96): zakup zajmowany przed opłatą (jedno zgłoszenie na jedno kliknięcie), zwrot gdy realizacja padnie, dokupienie priorytetu przedłuża okres zamiast liczyć 30 dni od dziś. Test dodatki.int-spec.ts.</t>
        </is>
      </c>
    </row>
    <row r="273">
      <c r="A273" s="11" t="inlineStr">
        <is>
          <t>Z-01</t>
        </is>
      </c>
      <c r="B273" s="12" t="inlineStr">
        <is>
          <t>M</t>
        </is>
      </c>
      <c r="C273" s="11" t="inlineStr">
        <is>
          <t>Faktura VAT dla płatności portfelem</t>
        </is>
      </c>
      <c r="D273" s="11" t="inlineStr">
        <is>
          <t>NIE</t>
        </is>
      </c>
      <c r="E273" s="11" t="inlineStr">
        <is>
          <t>NIE</t>
        </is>
      </c>
      <c r="F273" s="11" t="inlineStr">
        <is>
          <t>NIE</t>
        </is>
      </c>
      <c r="G273" s="11" t="inlineStr">
        <is>
          <t>TAK</t>
        </is>
      </c>
      <c r="H273" s="11" t="inlineStr">
        <is>
          <t>TAK</t>
        </is>
      </c>
      <c r="I273" s="11" t="inlineStr">
        <is>
          <t>DZIAŁA</t>
        </is>
      </c>
      <c r="J273" s="12" t="inlineStr">
        <is>
          <t>wallet-ledger.service.ts:applyEntry — faktura wystawiana w TEJ SAMEJ transakcji co obciążenie; faktura-za-portfel.ts — trybFaktury/rozbicieVat/pozycjeZbiorcze/pozycjeReczne/nadajNumerFaktury; faktury.scheduler.ts — dokańczanie z ponawianiem, alerty, faktury zbiorcze 1. dnia miesiąca; invoices.service.ts — wystawReczna(), dokonczFakture(), numeracja współdzielona; invoices.admin.controller.ts — POST /reczna i POST /:id/dokoncz; admin-panel/(dashboard)/invoices/reczna — formularz; migracja 20260822200000_faktura_za_portfel; faktura-za-portfel.spec.ts (29) + wallet-ledger.service.spec.ts (+3) + test/integration/faktura-portfel.int-spec.ts (14) + asercja SQL Z-01</t>
        </is>
      </c>
      <c r="K273" s="11" t="inlineStr">
        <is>
          <t>PARYTET</t>
        </is>
      </c>
      <c r="L273" s="11" t="inlineStr">
        <is>
          <t>—</t>
        </is>
      </c>
      <c r="M273" s="11" t="inlineStr">
        <is>
          <t>L</t>
        </is>
      </c>
      <c r="N273" s="12" t="inlineStr">
        <is>
          <t>Zamknięte 2026-08-22. TRZYNAŚCIE MIEJSC, NIE CZTERY: macierz wymieniała cztery wywołania debit(), a jest ich trzynaście (domeny, dodatki, autoskalowanie, VPS ×2, monitoring ×2, trial, subskrypcje ×3, odnowienia). To nie zarzut wobec macierzy, tylko dowód, że lista miejsc, w których rusza się pieniądz, rozjeżdża się z rzeczywistością szybciej, niż ktokolwiek ją aktualizuje — tu o 225% w dwa dni. | ROZWIĄZANIE: reguła w JEDNYM miejscu, w księdze portfela, czyli tam, gdzie i tak jako jedyne miejsce zmienia się saldo. Dopisanie wystawiania faktury w trzynastu miejscach byłoby czwartym wystąpieniem wzorca, który wyprodukował już Z-12, Z-16 i błąd w plan-change: dwie kopie tej samej reguły, jedna poprawiona, druga zapomniana. | MODEL: abonament, zmiana planu, domena, VPS, monitoring od 5 zł → faktura od razu; autoskalowanie (zawsze) i drobne zużycie poniżej 5 zł → jedna faktura zbiorcza 1. dnia następnego miesiąca, z pozycjami. Rozdział jest arytmetyczny: autoskalowanie obciąża co blok kilkunastominutowy, więc faktura za każde obciążenie to kilkadziesiąt dokumentów miesięcznie na klienta. | DOŁADOWANIE nie dostaje faktury — to wpłata na poczet usług, VAT powstaje przy świadczeniu. To DECYZJA, nie fakt: do potwierdzenia z księgową, patrz M-34. | ATOMOWOŚĆ: wiersz faktury powstaje w tej samej transakcji co ruch pieniądza; PDF, MinIO, KSeF i mail dowozi scheduler z ponawianiem (lekcja z Z-05). | TEST, KTÓRY ZA PIERWSZYM RAZEM NIC NIE DOWODZIŁ: pierwsza wersja testu atomowości sprawdzała odrzucone obciążenie i przechodziła RÓWNIEŻ wtedy, gdy faktura powstawała poza transakcją — bo skoro obciążenie rzuciło, do wystawiania i tak nie dochodziło. Sprawdzone realnie: przeniosłem wystawianie za transakcję i zestaw został zielony. Test, który przechodzi na obu wersjach kodu, nie mówi nic o żadnej z nich. Właściwy test wywala SAMO wystawianie (podłożony numer kolidujący) i wtedy widać różnicę: w transakcji saldo wraca do 100,00, poza transakcją spada do 55,00 przy braku dokumentu — czyli Z-01 z powrotem. | NUMERACJA: allocateInvoiceNumber przeniesiony do wspólnego modułu, bo numeru potrzebuje też księga portfela. Druga kopia oznaczałaby dwie serie rozjeżdżające się przy pierwszym równoległym wystawieniu (art. 106e ust. 1 pkt 2). Test integracyjny wystawia osiem faktur równolegle i sprawdza ciągłość numerów. | PRZY OKAZJI NAPRAWIONA STARA DZIURA: finalizeAsVerrisInvoice była wołana raz, z .catch(log) — błąd generowania PDF-u kończył się linijką w logu i fakturą bez pliku, także dla faktur ze Stripe'a. Teraz ponawianie 2→10→30→120 min i alert po 3 próbach. Licznik prób rośnie PRZED wywołaniem, bo rosnąc po błędzie nie rósłby przy awarii ubijającej proces i alert nigdy by nie padł. | FAKTURA RĘCZNA: POST /admin/billing/invoices/reczna + formularz. Kwoty brutto (jak w cenniku), powód wystawienia wymagany i trafia do audytu, nie na fakturę. Zakres: dokument opłacony; faktura z terminem płatności to inna funkcja i celowo jej nie ma. | ARYTMETYKA: VAT jest RESZTĄ po odjęciu netto od brutto, nie osobnym zaokrągleniem — liczony niezależnie potrafi dać sumę różniącą się o grosz, a faktura, która się nie sumuje, jest wadliwa. Niezmiennik sprawdzany na 28 572 kwotach, nie na trzech przykładach; kod produkcyjny faktury zbiorczej RZUCA, gdy pozycje nie sumują się do kwoty. | Czerwieni się na starym kodzie w trzech wariantach: bez wystawiania w księdze 6 z 14, przy wystawianiu poza transakcją 1 z 14, przy niespójnym netto+VAT — asercja SQL. | CZEGO NIE ROBI: brak korekt (M-06), brak faktury z terminem płatności, brak podglądu zbiorczej przed wystawieniem, brak D3 (wymaga produkcji — dopisane do PB-12). | Weryfikacja: 516 testów jednostkowych, 40 integracyjnych, lint 7/7 (0 błędów), typecheck 8/8. Dokumentacja: docs/archiwum/zadania/Z-01-faktura-za-platnosc-portfelem.md</t>
        </is>
      </c>
    </row>
    <row r="274">
      <c r="A274" s="11" t="inlineStr">
        <is>
          <t>Z-02</t>
        </is>
      </c>
      <c r="B274" s="12" t="inlineStr">
        <is>
          <t>M</t>
        </is>
      </c>
      <c r="C274" s="11" t="inlineStr">
        <is>
          <t>Blokada zamówienia usługi bez opłaty przez klienta</t>
        </is>
      </c>
      <c r="D274" s="11" t="inlineStr">
        <is>
          <t>TAK</t>
        </is>
      </c>
      <c r="E274" s="11" t="inlineStr">
        <is>
          <t>TAK</t>
        </is>
      </c>
      <c r="F274" s="11" t="inlineStr">
        <is>
          <t>TAK</t>
        </is>
      </c>
      <c r="G274" s="11" t="inlineStr">
        <is>
          <t>TAK</t>
        </is>
      </c>
      <c r="H274" s="11" t="inlineStr">
        <is>
          <t>TAK</t>
        </is>
      </c>
      <c r="I274" s="11" t="inlineStr">
        <is>
          <t>DZIAŁA</t>
        </is>
      </c>
      <c r="J274" s="12" t="inlineStr">
        <is>
          <t>dto/subscription.dto.ts — @IsIn(CLIENT_PAYMENT_SOURCES); subscriptions.service.ts — ForbiddenException dla MANUAL bez allowManual; test subscriptions.create-guard.spec.ts</t>
        </is>
      </c>
      <c r="K274" s="11" t="inlineStr">
        <is>
          <t>PARYTET</t>
        </is>
      </c>
      <c r="L274" s="11" t="inlineStr">
        <is>
          <t>—</t>
        </is>
      </c>
      <c r="M274" s="11" t="inlineStr">
        <is>
          <t>S</t>
        </is>
      </c>
      <c r="N274" s="12"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row>
    <row r="275">
      <c r="A275" s="11" t="inlineStr">
        <is>
          <t>Z-05</t>
        </is>
      </c>
      <c r="B275" s="12" t="inlineStr">
        <is>
          <t>M</t>
        </is>
      </c>
      <c r="C275" s="11" t="inlineStr">
        <is>
          <t>Odporność webhooka płatności na błąd w trakcie obsługi</t>
        </is>
      </c>
      <c r="D275" s="11" t="inlineStr">
        <is>
          <t>NIE</t>
        </is>
      </c>
      <c r="E275" s="11" t="inlineStr">
        <is>
          <t>NIE</t>
        </is>
      </c>
      <c r="F275" s="11" t="inlineStr">
        <is>
          <t>NIE</t>
        </is>
      </c>
      <c r="G275" s="11" t="inlineStr">
        <is>
          <t>TAK</t>
        </is>
      </c>
      <c r="H275" s="11" t="inlineStr">
        <is>
          <t>TAK</t>
        </is>
      </c>
      <c r="I275" s="11" t="inlineStr">
        <is>
          <t>DZIAŁA</t>
        </is>
      </c>
      <c r="J275" s="12" t="inlineStr">
        <is>
          <t>billing.service.ts — zajmijZdarzenie/zakonczZdarzenie/oznaczNieudane/przetworzPonownie; libs/database/prisma/schema.prisma — StripeWebhookEventStatus + payload/attempts/claimedAt/nextAttemptAt; migracja 20260822180000_odpornosc_webhooka; stripe-webhook-ponowienia.scheduler.ts — ponowienia, alerty, retencja; stripe-webhook-events.admin.controller.ts + admin-panel/billing/webhooki — lista i „Ponów"; ops/scripts/uzgodnij-platnosci-stripe.mjs; webhook-ewidencja.spec.ts (27) + test/integration/webhook-odpornosc.int-spec.ts (11)</t>
        </is>
      </c>
      <c r="K275" s="11" t="inlineStr">
        <is>
          <t>PARYTET</t>
        </is>
      </c>
      <c r="L275" s="11" t="inlineStr">
        <is>
          <t>—</t>
        </is>
      </c>
      <c r="M275" s="11" t="inlineStr">
        <is>
          <t>M</t>
        </is>
      </c>
      <c r="N275" s="12" t="inlineStr">
        <is>
          <t>Zamknięte 2026-08-22. MECHANIZM BŁĘDU: wiersz stripeWebhookEvent powstawał PRZED handlerem i NIE MIAŁ STANU — jego istnienie znaczyło „widziałem", a kod czytał je jako „obsłużyłem", bo ponowna dostawa trafiała w unikalny indeks i dostawała {duplicate:true} + 200. Handler, który rzucił wyjątkiem (timeout bazy, niedostępny MinIO), zostawiał wiersz na miejscu: Stripe ponawiał, dostawał 200, uznawał zdarzenie za doręczone i kończył. Klient zapłacił, saldo się nie pojawiło, system uważał zdarzenie za obsłużone. Awaria CICHA i JEDNOKIERUNKOWA — żadna z tych rzeczy nie jest błędem z osobna, więc nic nie krzyczało. | ROZWIĄZANIE: wiersz dostaje stan (PENDING → PROCESSED albo → FAILED → ponowienie). PENDING znaczy „zajęte, w trakcie", nie „obsłużone"; dopiero PROCESSED odrzuca ponowienia. | CZTERY DECYZJE: (1) handler, który padł, propaguje wyjątek — endpoint zwraca 5xx i Stripe ponawia; odpowiedź 200 z zapisanym błędem byłaby wygodniejsza w logach i stworzyłaby ten sam błąd od nowa. (2) Dostawa trafiająca na zdarzenie właśnie obsługiwane dostaje 409, nie „duplikat" — tamta dostawa może paść. (3) DZIERŻAWA: proces ubity między zajęciem a zakończeniem zostawia PENDING, którego nikt by nie ruszył — ta sama pułapka co przed Z-05 pod inną nazwą; PENDING starszy niż 5 min wolno przejąć. (4) Treść zdarzenia zapisujemy u siebie, bo pobieranie ze Stripe'a przy ponowieniu wymaga żywego Stripe'a, a Stripe leżący to dokładnie ta sytuacja, w której webhooki padają; retencja czyści treść 90 dni po przetworzeniu, id i status zostają na zawsze. | Ponowienia automatyczne 1→5→15→60 min. Alert do adminów po 3 próbach ALBO 15 minutach — dwa progi, bo handler wywalający się natychmiast daje dużo prób w krótkim czasie, a wiszący na timeoucie mało prób przy upływającym czasie; jeden próg przespałby drugi kształt awarii. | PANEL: lista zaciętych zdarzeń i przycisk „Ponów" (macierz opisała stan sprzed zmiany jako „odzysk wyłącznie ręcznie w bazie"). | CZEGO MIGRACJA NIE ROBI: oznacza wiersze historyczne jako PROCESSED, i to jest ZAŁOŻENIE, nie ustalenie — stary wiersz nie miał ani treści, ani id sesji, więc nie ma jak skorelować go z transakcją portfela. Odpowiedź na przeszłość to ops/scripts/uzgodnij-platnosci-stripe.mjs: pyta Stripe'a o opłacone sesje i sprawdza, czy dla każdej istnieje transakcja z kluczem stripe:checkout:&lt;id&gt;. Świadomie NIE księguje automatycznie — ruch pieniędzy na podstawie skryptu z konsoli powinien mieć po drugiej stronie człowieka i wpis w audycie. Kontrola miesięczna, nie narzędzie awaryjne. | Czerwieni się na starym kodzie: przywrócenie semantyki „istnienie wiersza == obsłużone" daje 3 czerwone z 11 integracyjnych, w tym „PONOWIENIE PO AWARII KSIĘGUJE PORTFEL". | Strażnik po raz PIĄTY trafił nie w to, co trzeba — endsWith('billing.service.ts') łapało autoscaling/autoscaling-billing.service.ts. Po „jest" (X-17), archiver.create (X-21) i --audit-level (X-23) reguła rośnie: strażnik czytający repozytorium dopasowuje DOKŁADNIE — ścieżkę, nie sufiks; kod, nie prozę. | CZEGO NIE ROBI: ponowienie może wysłać drugi mail (księgowanie idempotentne, wysyłka nie — dwa maile tańsze niż nieksięgowana wpłata); nie obejmuje webhooków DirectAdmina i KSeF-a; brak D3, bo wymaga produkcji — dopisane do PB-12. Zgodnie z regułą „pieniądze wymagają D3" pozycja jest domknięta jako BLOKER, nie jako dowód produkcyjny. | Weryfikacja: 484 testy jednostkowe, 26 integracyjnych, lint 7/7 (0 błędów), typecheck 8/8, asercja SQL po migracji. Dokumentacja: docs/archiwum/zadania/Z-05-odpornosc-webhooka-platnosci.md</t>
        </is>
      </c>
    </row>
    <row r="276">
      <c r="A276" s="11" t="inlineStr">
        <is>
          <t>Z-06</t>
        </is>
      </c>
      <c r="B276" s="12" t="inlineStr">
        <is>
          <t>M</t>
        </is>
      </c>
      <c r="C276" s="11" t="inlineStr">
        <is>
          <t>Klucz idempotencji obciążenia za dodatek</t>
        </is>
      </c>
      <c r="D276" s="11" t="inlineStr">
        <is>
          <t>NIE</t>
        </is>
      </c>
      <c r="E276" s="11" t="inlineStr">
        <is>
          <t>NIE</t>
        </is>
      </c>
      <c r="F276" s="11" t="inlineStr">
        <is>
          <t>NIE</t>
        </is>
      </c>
      <c r="G276" s="11" t="inlineStr">
        <is>
          <t>TAK</t>
        </is>
      </c>
      <c r="H276" s="11" t="inlineStr">
        <is>
          <t>TAK</t>
        </is>
      </c>
      <c r="I276" s="11" t="inlineStr">
        <is>
          <t>DZIAŁA</t>
        </is>
      </c>
      <c r="J276" s="12" t="inlineStr">
        <is>
          <t>addon.service.ts — kluczIdempotencji + sprawdzenie duplikatu przed obciążeniem + obsługa P2002; schema.prisma — PurchasedAddon.idempotencyKey @unique; migracja 20260821220000_addon_idempotency</t>
        </is>
      </c>
      <c r="K276" s="11" t="inlineStr">
        <is>
          <t>PARYTET</t>
        </is>
      </c>
      <c r="L276" s="11" t="inlineStr">
        <is>
          <t>—</t>
        </is>
      </c>
      <c r="M276" s="11" t="inlineStr">
        <is>
          <t>S</t>
        </is>
      </c>
      <c r="N276" s="12"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row>
    <row r="277">
      <c r="A277" s="11" t="inlineStr">
        <is>
          <t>Z-07</t>
        </is>
      </c>
      <c r="B277" s="12" t="inlineStr">
        <is>
          <t>M</t>
        </is>
      </c>
      <c r="C277" s="11" t="inlineStr">
        <is>
          <t>Ponowienie płatności portfelem w okresie karencji</t>
        </is>
      </c>
      <c r="D277" s="11" t="inlineStr">
        <is>
          <t>NIE</t>
        </is>
      </c>
      <c r="E277" s="11" t="inlineStr">
        <is>
          <t>NIE</t>
        </is>
      </c>
      <c r="F277" s="11" t="inlineStr">
        <is>
          <t>NIE</t>
        </is>
      </c>
      <c r="G277" s="11" t="inlineStr">
        <is>
          <t>TAK</t>
        </is>
      </c>
      <c r="H277" s="11" t="inlineStr">
        <is>
          <t>TAK</t>
        </is>
      </c>
      <c r="I277" s="11" t="inlineStr">
        <is>
          <t>DZIAŁA</t>
        </is>
      </c>
      <c r="J277" s="12" t="inlineStr">
        <is>
          <t>renewal.scheduler.ts — przebieg godzinowy obejmuje ACTIVE i PAST_DUE (portfel); ponowienie w karencji bez nowego PAYMENT_FAILED; retryPastDueNow + POST /subscriptions/:id/pay-from-wallet; klient: UnpaidServiceBanner „Opłać z portfela”; test D2 renewal.scheduler.z07.spec.ts</t>
        </is>
      </c>
      <c r="K277" s="11" t="inlineStr">
        <is>
          <t>PARYTET</t>
        </is>
      </c>
      <c r="L277" s="11" t="inlineStr">
        <is>
          <t>WYSOKA</t>
        </is>
      </c>
      <c r="M277" s="11" t="inlineStr">
        <is>
          <t>M</t>
        </is>
      </c>
      <c r="N277" s="12" t="inlineStr">
        <is>
          <t>Klient płacący portfelem doładowuje saldo w karencji i i tak zostaje zawieszony po 3 dniach. Obejście operatorskie istnieje (subscriptions.admin.controller.ts:210 z chargeRenewal), ale wymaga ręcznej reakcji. | 2026-09-23: doładowanie portfela w karencji jest pobierane w ciągu godziny albo od razu przyciskiem w panelu; usługa wraca do ACTIVE z nowym okresem (ten sam klucz idempotencji — brak podwójnego obciążenia). Karencja liczy się od pierwszej nieudanej płatności, ponowienia jej nie przedłużają. Zawieszonej (SUSPENDED) usługi to nie odwiesza — to osobna ścieżka.</t>
        </is>
      </c>
    </row>
    <row r="278">
      <c r="A278" s="11" t="inlineStr">
        <is>
          <t>Z-08</t>
        </is>
      </c>
      <c r="B278" s="12" t="inlineStr">
        <is>
          <t>M</t>
        </is>
      </c>
      <c r="C278" s="11" t="inlineStr">
        <is>
          <t>Przegląd istniejących subskrypcji MANUAL założonych przez klientów</t>
        </is>
      </c>
      <c r="D278" s="11" t="inlineStr">
        <is>
          <t>—</t>
        </is>
      </c>
      <c r="E278" s="11" t="inlineStr">
        <is>
          <t>—</t>
        </is>
      </c>
      <c r="F278" s="11" t="inlineStr">
        <is>
          <t>—</t>
        </is>
      </c>
      <c r="G278" s="11" t="inlineStr">
        <is>
          <t>—</t>
        </is>
      </c>
      <c r="H278" s="11" t="inlineStr">
        <is>
          <t>—</t>
        </is>
      </c>
      <c r="I278" s="11" t="inlineStr">
        <is>
          <t>DZIAŁA</t>
        </is>
      </c>
      <c r="J278" s="12" t="inlineStr">
        <is>
          <t>ops/sql/z08-subskrypcje-manual.sql uruchomiony na produkcji 2026-09-23: 0 wierszy</t>
        </is>
      </c>
      <c r="K278" s="11" t="inlineStr">
        <is>
          <t>PARYTET</t>
        </is>
      </c>
      <c r="L278" s="11" t="inlineStr">
        <is>
          <t>ŚREDNIA</t>
        </is>
      </c>
      <c r="M278" s="11" t="inlineStr">
        <is>
          <t>S</t>
        </is>
      </c>
      <c r="N278" s="12" t="inlineStr">
        <is>
          <t>Odkryte przy zamykaniu Z-02. Poprawka blokuje nowe nadużycia, ale nie mówi, czy ktoś zdążył skorzystać. Jednorazowe zapytanie: subskrypcje z paymentSource=MANUAL, data utworzenia, właściciel, czy jest faktura. Nie funkcja produktu — pozycja znika po wykonaniu i udokumentowaniu wyniku. | 2026-09-23: zapytanie przygotowane. ZOSTAJE (właściciel, 2 min na serwerze): uruchomić, wpisać tu wynik i decyzję — wtedy pozycja się zamyka. | 2026-09-23 D3: raport na produkcji zwrócił 0 subskrypcji MANUAL założonych przez klienta — nikt nie skorzystał z luki sprzed Z-02. Nic do wyjaśniania, pozycja zamknięta.</t>
        </is>
      </c>
    </row>
    <row r="279">
      <c r="A279" s="11" t="inlineStr">
        <is>
          <t>Z-09</t>
        </is>
      </c>
      <c r="B279" s="12" t="inlineStr">
        <is>
          <t>G</t>
        </is>
      </c>
      <c r="C279" s="11" t="inlineStr">
        <is>
          <t>Ograniczenie hostów, do których łączy się worker migracji (SSRF z węzła)</t>
        </is>
      </c>
      <c r="D279" s="11" t="inlineStr">
        <is>
          <t>—</t>
        </is>
      </c>
      <c r="E279" s="11" t="inlineStr">
        <is>
          <t>—</t>
        </is>
      </c>
      <c r="F279" s="11" t="inlineStr">
        <is>
          <t>—</t>
        </is>
      </c>
      <c r="G279" s="11" t="inlineStr">
        <is>
          <t>—</t>
        </is>
      </c>
      <c r="H279" s="11" t="inlineStr">
        <is>
          <t>—</t>
        </is>
      </c>
      <c r="I279" s="11" t="inlineStr">
        <is>
          <t>DZIAŁA</t>
        </is>
      </c>
      <c r="J279" s="12" t="inlineStr">
        <is>
          <t>node-migration-worker.sh — host źródła pochodzi z formularza i nie jest niczym ograniczony | 2026-09-23: API — migration-orchestrator createBundle/requestExternalMigration: każdy host źródła (FTP/SFTP, MySQL, IMAP) przez resolvePublicHost (odmowa dla 127/8, 10/8, 172.16/12, 192.168/16, 169.254/16, 100.64/10, IPv6 lokalne i ULA); węzeł — migration-input-guard.sh vg_is_public_host (getent + te same zakresy) w vg_check_source i dla sshFallback.host; testy D2 migration-orchestrator.service.spec.ts + migration-input-validation.spec.ts (15 przypadków guarda)</t>
        </is>
      </c>
      <c r="K279" s="11" t="inlineStr">
        <is>
          <t>PARYTET</t>
        </is>
      </c>
      <c r="L279" s="11" t="inlineStr">
        <is>
          <t>ŚREDNIA</t>
        </is>
      </c>
      <c r="M279" s="11" t="inlineStr">
        <is>
          <t>M</t>
        </is>
      </c>
      <c r="N279" s="12" t="inlineStr">
        <is>
          <t>Odkryte przy zamykaniu Z-03. Walidacja znaków nie mówi nic o tym, DOKĄD worker się łączy. Klient może podać 127.0.0.1 albo adres z sieci wewnętrznej węzła i użyć workera jako sondy. Do zrobienia: odrzucanie adresów prywatnych i loopbacka po rozwiązaniu nazwy, z uwzględnieniem rebindingu DNS (sprawdzenie przy każdym połączeniu, nie tylko przy walidacji formularza). | 2026-09-23: dwie warstwy jak Z-03. ZOSTAJE (ponytail w guardzie): narzędzia rozwiązują nazwę ponownie — okno na DNS-rebinding; przypięcie IP do rsync/mysqldump/imapsync, gdy będzie potrzebne.</t>
        </is>
      </c>
    </row>
    <row r="280">
      <c r="A280" s="11" t="inlineStr">
        <is>
          <t>Z-10</t>
        </is>
      </c>
      <c r="B280" s="12" t="inlineStr">
        <is>
          <t>O</t>
        </is>
      </c>
      <c r="C280" s="11" t="inlineStr">
        <is>
          <t>Izolacja rekordów między kontami klientów + dziennik odmów subkont</t>
        </is>
      </c>
      <c r="D280" s="11" t="inlineStr">
        <is>
          <t>TAK</t>
        </is>
      </c>
      <c r="E280" s="11" t="inlineStr">
        <is>
          <t>TAK</t>
        </is>
      </c>
      <c r="F280" s="11" t="inlineStr">
        <is>
          <t>CZĘŚĆ</t>
        </is>
      </c>
      <c r="G280" s="11" t="inlineStr">
        <is>
          <t>CZĘŚĆ</t>
        </is>
      </c>
      <c r="H280" s="11" t="inlineStr">
        <is>
          <t>TAK</t>
        </is>
      </c>
      <c r="I280" s="11" t="inlineStr">
        <is>
          <t>DZIAŁA</t>
        </is>
      </c>
      <c r="J280" s="12" t="inlineStr">
        <is>
          <t>common/guards/customer-permissions.guard.ts zapiszOdmowe; addons/addon.service.ts purchase; servers/directadmin.service.ts assertDomenaNieJestCudza; testy customer-permissions.guard.spec.ts, addon.service.spec.ts, directadmin.domeny.spec.ts</t>
        </is>
      </c>
      <c r="K280" s="11" t="inlineStr">
        <is>
          <t>PARYTET</t>
        </is>
      </c>
      <c r="L280" s="11" t="inlineStr">
        <is>
          <t>WYSOKA</t>
        </is>
      </c>
      <c r="M280" s="11" t="inlineStr">
        <is>
          <t>L</t>
        </is>
      </c>
      <c r="N280" s="12" t="inlineStr">
        <is>
          <t>Odkryte przy zamykaniu Z-04. Strażnik uprawnień odpowiada na pytanie „czy subkonto może wykonać ten RODZAJ operacji", nie „czy ten konkretny rekord należy do właściciela sesji". To drugie robi każdy serwis po swojemu i nikt tego nie przejrzał całościowo. Przy okazji: odmowa dla subkonta nie trafia do dziennika audytu, a jest sygnałem operacyjnym w obie strony (próba nadużycia albo za ostra klasyfikacja trasy). | 2026-09-25 PRZEGLĄD CAŁOŚCIOWY: 62 kontrolery klienckie, 472 trasy, każda prześledzona do warunku where w serwisie. Hosting (~160 tras services.controller) — subscription.findFirst({id,userId}) i klient DA konta klienta; rekordy z własnym id (zgłoszenia, faktury, VPS, tokeny, webhooki, IAM, migracje, e-mail marketing) — właściciel sprawdzany. Znalezione i naprawione: (1) POST /addons/purchase przyjmował dowolne subscriptionId z ciała → zlecenie dla zespołu i wpis w portfelu/fakturze na cudzą usługę; teraz 404 bez obciążenia. (2) domena dodatkowa/alias: DA blokuje duplikat tylko na tym samym węźle — na innym Exim uznałby cudzą domenę za lokalną (poczta z tego węzła do jej skrzynek trafiałaby do obcego konta); teraz odmowa, gdy domena lub domena nadrzędna jest domeną główną konta albo rejestracją innego klienta (ograniczenie: domeny dodatkowe innych kont żyją tylko w DA węzłów). DZIENNIK ODMÓW: odmowa subkonta → CUSTOMER_IAM_ACCESS_DENIED w dzienniku właściciela (IAM → Audyt, z metodą i trasą), ta sama para subkonto+trasa najwyżej raz na 10 min. D3: odmowa subkonta widoczna w Audycie IAM na produkcji. | 2026-09-26 PRODUKCJA — KRYTYCZNE, NAPRAWIONE (1e10f10): strażnik uprawnień subkont był globalnym APP_GUARD, a globalne strażniki działają w Nest PRZED @UseGuards(JwtAuthGuard) — req.user był pusty, strażnik zwracał true dla każdego żądania. Na produkcji subkonto z samym SERVICES_READ kupiło hosting z portfela właściciela (40,50 K, zwrot po nieudanym zakładaniu). Testy jednostkowe podawały strażnikowi gotowego użytkownika, więc tego nie widziały. Teraz sprawdzenie siedzi w JwtAuthGuard po uwierzytelnieniu; test integracyjny przez HTTP (passport + JWT + baza + dziennik odmów, uprawnienia-subkonta-http.int-spec.ts) pada na starej wersji; test pilnuje, że nikt nie używa gołego AuthGuard('jwt') (domains.controller używał). Przy okazji: rejestracja/transfer/odnowienie domeny wymaga DOMAINS_MANAGE + BILLING_MANAGE; panel chowa zamawianie przed subkontem bez obu uprawnień. | 2026-09-26 D3 PRODUKCJA po wdrożeniu 3a2f4de: subkonto kontakt@hvln.pl (tylko SERVICES_READ) — pulpit pokazuje „brak uprawnień” zamiast domen, portfela i zgłoszeń, /dashboard/services/new przekierowuje na pulpit; w dzienniku właściciela CUSTOMER_IAM_ACCESS_DENIED z trasą i wymaganym uprawnieniem. Zmiana po teście: dziennik zapisuje tylko odmowy ZAPISU — odczyty wywołuje sam panel przy każdym wejściu (5 wpisów „odmowy” na jedno otwarcie pulpitu wyglądało jak próby). ZAMKNIĘTE.</t>
        </is>
      </c>
    </row>
    <row r="281">
      <c r="A281" s="11" t="inlineStr">
        <is>
          <t>Z-11</t>
        </is>
      </c>
      <c r="B281" s="12" t="inlineStr">
        <is>
          <t>M</t>
        </is>
      </c>
      <c r="C281" s="11" t="inlineStr">
        <is>
          <t>Przegląd wszystkich kluczy idempotencji pod kątem poprawności</t>
        </is>
      </c>
      <c r="D281" s="11" t="inlineStr">
        <is>
          <t>—</t>
        </is>
      </c>
      <c r="E281" s="11" t="inlineStr">
        <is>
          <t>—</t>
        </is>
      </c>
      <c r="F281" s="11" t="inlineStr">
        <is>
          <t>—</t>
        </is>
      </c>
      <c r="G281" s="11" t="inlineStr">
        <is>
          <t>—</t>
        </is>
      </c>
      <c r="H281" s="11" t="inlineStr">
        <is>
          <t>—</t>
        </is>
      </c>
      <c r="I281" s="11" t="inlineStr">
        <is>
          <t>DZIAŁA</t>
        </is>
      </c>
      <c r="J281" s="12" t="inlineStr">
        <is>
          <t>przegląd 25 kluczy idempotencji (księga portfela, Stripe, migracje); poprawka subscriptions/plan-change.service.ts; test plan-change.service.spec.ts</t>
        </is>
      </c>
      <c r="K281" s="11" t="inlineStr">
        <is>
          <t>PARYTET</t>
        </is>
      </c>
      <c r="L281" s="11" t="inlineStr">
        <is>
          <t>ŚREDNIA</t>
        </is>
      </c>
      <c r="M281" s="11" t="inlineStr">
        <is>
          <t>M</t>
        </is>
      </c>
      <c r="N281" s="12" t="inlineStr">
        <is>
          <t>Odkryte przy zamykaniu Z-06. Sprawdziłem, że Date.now() w kluczu idempotencji występował tylko w jednym miejscu — ale to sprawdzenie odpowiada wyłącznie na pytanie „czy klucz jest zmienny", nie na pytanie „czy klucz identyfikuje właściwą operację". Klucz może być stabilny i jednocześnie zły: za szeroki (blokuje legalne powtórzenie) albo za wąski (nie łapie duplikatu). Do przejścia po wszystkich wywołaniach wallet.debit/credit i handlerach webhooków. | 2026-09-23 PRZEGLĄD: 1 błąd — klucz zmiany planu nie zawierał planu źródłowego ani stanu subskrypcji: upgrade A→B, downgrade B→A (zwrot), ponowny upgrade A→B w tym samym okresie trafiał w stary wpis księgi → darmowy upgrade przy zachowanym zwrocie; klucz admina nie miał nawet okresu. Teraz klucz = plan źródłowy &gt; docelowy + okres + updatedAt (podwójne kliknięcie dalej jeden wpis). Pozostałe klucze poprawne: odnowienia (okres), autoskalowanie (blok), SLA (okres), domeny/VPS/wypłaty (id zlecenia), Stripe (id sesji/PI), auto-doładowanie (okno cooldownu), monitoring (dzień aktywacji — ponowne włączenie tego samego dnia bez drugiej opłaty, zamierzone).</t>
        </is>
      </c>
    </row>
    <row r="282">
      <c r="A282" s="11" t="inlineStr">
        <is>
          <t>N-01</t>
        </is>
      </c>
      <c r="B282" s="12" t="inlineStr">
        <is>
          <t>N</t>
        </is>
      </c>
      <c r="C282" s="11" t="inlineStr">
        <is>
          <t>System zgłoszeń dla klienta</t>
        </is>
      </c>
      <c r="D282" s="11" t="inlineStr">
        <is>
          <t>NIE</t>
        </is>
      </c>
      <c r="E282" s="11" t="inlineStr">
        <is>
          <t>NIE</t>
        </is>
      </c>
      <c r="F282" s="11" t="inlineStr">
        <is>
          <t>TAK</t>
        </is>
      </c>
      <c r="G282" s="11" t="inlineStr">
        <is>
          <t>TAK</t>
        </is>
      </c>
      <c r="H282" s="11" t="inlineStr">
        <is>
          <t>TAK</t>
        </is>
      </c>
      <c r="I282" s="11" t="inlineStr">
        <is>
          <t>DZIAŁA</t>
        </is>
      </c>
      <c r="J282" s="12" t="inlineStr">
        <is>
          <t>tickets.controller.ts:92,98</t>
        </is>
      </c>
      <c r="K282" s="11" t="inlineStr">
        <is>
          <t>PARYTET</t>
        </is>
      </c>
      <c r="L282" s="11" t="inlineStr">
        <is>
          <t>—</t>
        </is>
      </c>
      <c r="M282" s="11" t="inlineStr">
        <is>
          <t>—</t>
        </is>
      </c>
      <c r="N282" s="12" t="inlineStr">
        <is>
          <t>2026-10-06 D3: zgłoszenie #abecfed1 → potwierdzenie z opiekunem, „zajmuje się”, odpowiedź staff, zamknięcie, podziękowanie z oceną; daty przy wiadomościach automatycznych. Teksty (WAITING_CUSTOMER w temacie maila, „1 godzina robocza”, „najpóźniej jak najszybciej”) poprawione 8ef58bc.</t>
        </is>
      </c>
    </row>
    <row r="283">
      <c r="A283" s="11" t="inlineStr">
        <is>
          <t>N-02</t>
        </is>
      </c>
      <c r="B283" s="12" t="inlineStr">
        <is>
          <t>N</t>
        </is>
      </c>
      <c r="C283" s="11" t="inlineStr">
        <is>
          <t>Załączniki w zgłoszeniu</t>
        </is>
      </c>
      <c r="D283" s="11" t="inlineStr">
        <is>
          <t>NIE</t>
        </is>
      </c>
      <c r="E283" s="11" t="inlineStr">
        <is>
          <t>NIE</t>
        </is>
      </c>
      <c r="F283" s="11" t="inlineStr">
        <is>
          <t>CZĘŚĆ</t>
        </is>
      </c>
      <c r="G283" s="11" t="inlineStr">
        <is>
          <t>TAK</t>
        </is>
      </c>
      <c r="H283" s="11" t="inlineStr">
        <is>
          <t>TAK</t>
        </is>
      </c>
      <c r="I283" s="11" t="inlineStr">
        <is>
          <t>DZIAŁA</t>
        </is>
      </c>
      <c r="J283" s="12" t="inlineStr">
        <is>
          <t>tickets.controller.ts:98,245</t>
        </is>
      </c>
      <c r="K283" s="11" t="inlineStr">
        <is>
          <t>PARYTET</t>
        </is>
      </c>
      <c r="L283" s="11" t="inlineStr">
        <is>
          <t>—</t>
        </is>
      </c>
      <c r="M283" s="11" t="inlineStr">
        <is>
          <t>—</t>
        </is>
      </c>
      <c r="N283" s="12" t="inlineStr"/>
    </row>
    <row r="284">
      <c r="A284" s="11" t="inlineStr">
        <is>
          <t>N-03</t>
        </is>
      </c>
      <c r="B284" s="12" t="inlineStr">
        <is>
          <t>N</t>
        </is>
      </c>
      <c r="C284" s="11" t="inlineStr">
        <is>
          <t>Ocena obsługi (CSAT)</t>
        </is>
      </c>
      <c r="D284" s="11" t="inlineStr">
        <is>
          <t>NIE</t>
        </is>
      </c>
      <c r="E284" s="11" t="inlineStr">
        <is>
          <t>NIE</t>
        </is>
      </c>
      <c r="F284" s="11" t="inlineStr">
        <is>
          <t>NIE</t>
        </is>
      </c>
      <c r="G284" s="11" t="inlineStr">
        <is>
          <t>CZĘŚĆ</t>
        </is>
      </c>
      <c r="H284" s="11" t="inlineStr">
        <is>
          <t>CZĘŚĆ</t>
        </is>
      </c>
      <c r="I284" s="11" t="inlineStr">
        <is>
          <t>DZIAŁA</t>
        </is>
      </c>
      <c r="J284" s="12" t="inlineStr">
        <is>
          <t>tickets.controller.ts:279</t>
        </is>
      </c>
      <c r="K284" s="11" t="inlineStr">
        <is>
          <t>PRZEWAGA</t>
        </is>
      </c>
      <c r="L284" s="11" t="inlineStr">
        <is>
          <t>—</t>
        </is>
      </c>
      <c r="M284" s="11" t="inlineStr">
        <is>
          <t>—</t>
        </is>
      </c>
      <c r="N284" s="12" t="inlineStr"/>
    </row>
    <row r="285">
      <c r="A285" s="11" t="inlineStr">
        <is>
          <t>N-04</t>
        </is>
      </c>
      <c r="B285" s="12" t="inlineStr">
        <is>
          <t>N</t>
        </is>
      </c>
      <c r="C285" s="11" t="inlineStr">
        <is>
          <t>Baza wiedzy po polsku</t>
        </is>
      </c>
      <c r="D285" s="11" t="inlineStr">
        <is>
          <t>NIE</t>
        </is>
      </c>
      <c r="E285" s="11" t="inlineStr">
        <is>
          <t>NIE</t>
        </is>
      </c>
      <c r="F285" s="11" t="inlineStr">
        <is>
          <t>NIE</t>
        </is>
      </c>
      <c r="G285" s="11" t="inlineStr">
        <is>
          <t>TAK</t>
        </is>
      </c>
      <c r="H285" s="11" t="inlineStr">
        <is>
          <t>TAK</t>
        </is>
      </c>
      <c r="I285" s="11" t="inlineStr">
        <is>
          <t>DZIAŁA</t>
        </is>
      </c>
      <c r="J285" s="12" t="inlineStr">
        <is>
          <t>kb.public.controller.ts:226</t>
        </is>
      </c>
      <c r="K285" s="11" t="inlineStr">
        <is>
          <t>PARYTET</t>
        </is>
      </c>
      <c r="L285" s="11" t="inlineStr">
        <is>
          <t>—</t>
        </is>
      </c>
      <c r="M285" s="11" t="inlineStr">
        <is>
          <t>—</t>
        </is>
      </c>
      <c r="N285" s="12" t="inlineStr"/>
    </row>
    <row r="286">
      <c r="A286" s="11" t="inlineStr">
        <is>
          <t>N-05</t>
        </is>
      </c>
      <c r="B286" s="12" t="inlineStr">
        <is>
          <t>N</t>
        </is>
      </c>
      <c r="C286" s="11" t="inlineStr">
        <is>
          <t>Podpowiedzi artykułów przy zgłoszeniu</t>
        </is>
      </c>
      <c r="D286" s="11" t="inlineStr">
        <is>
          <t>NIE</t>
        </is>
      </c>
      <c r="E286" s="11" t="inlineStr">
        <is>
          <t>NIE</t>
        </is>
      </c>
      <c r="F286" s="11" t="inlineStr">
        <is>
          <t>NIE</t>
        </is>
      </c>
      <c r="G286" s="11" t="inlineStr">
        <is>
          <t>NIE</t>
        </is>
      </c>
      <c r="H286" s="11" t="inlineStr">
        <is>
          <t>CZĘŚĆ</t>
        </is>
      </c>
      <c r="I286" s="11" t="inlineStr">
        <is>
          <t>DZIAŁA</t>
        </is>
      </c>
      <c r="J286" s="12" t="inlineStr">
        <is>
          <t>ai.controller.ts:53 — AI_API_KEY | D3 2026-09-24: formularz nowego zgłoszenia — temat „Nie działa poczta w Outlooku” podpowiada 3 artykuły, klik otwiera artykuł w Bazie wiedzy (/dashboard/knowledge?article=konfiguracja-poczty-imap-smtp).</t>
        </is>
      </c>
      <c r="K286" s="11" t="inlineStr">
        <is>
          <t>PRZEWAGA</t>
        </is>
      </c>
      <c r="L286" s="11" t="inlineStr">
        <is>
          <t>NISKA</t>
        </is>
      </c>
      <c r="M286" s="11" t="inlineStr">
        <is>
          <t>S</t>
        </is>
      </c>
      <c r="N286" s="12" t="inlineStr">
        <is>
          <t xml:space="preserve">2026-09-24: podpowiedzi działają bez klucza AI (wyszukiwanie słów w indeksie, do którego trafiają artykuły Bazy wiedzy), ale kliknięcie nie otwierało artykułu — panel dostawał wewnętrzne id dokumentu zamiast sluga. Poprawione (ai-chat.service.ts kbSuggest + kb-suggest.spec.ts); podpowiadane są tylko artykuły z pomoc.verris.pl. | </t>
        </is>
      </c>
    </row>
    <row r="287">
      <c r="A287" s="11" t="inlineStr">
        <is>
          <t>N-06</t>
        </is>
      </c>
      <c r="B287" s="12" t="inlineStr">
        <is>
          <t>N</t>
        </is>
      </c>
      <c r="C287" s="11" t="inlineStr">
        <is>
          <t>Publiczna strona statusu usług</t>
        </is>
      </c>
      <c r="D287" s="11" t="inlineStr">
        <is>
          <t>NIE</t>
        </is>
      </c>
      <c r="E287" s="11" t="inlineStr">
        <is>
          <t>NIE</t>
        </is>
      </c>
      <c r="F287" s="11" t="inlineStr">
        <is>
          <t>NIE</t>
        </is>
      </c>
      <c r="G287" s="11" t="inlineStr">
        <is>
          <t>CZĘŚĆ</t>
        </is>
      </c>
      <c r="H287" s="11" t="inlineStr">
        <is>
          <t>TAK</t>
        </is>
      </c>
      <c r="I287" s="11" t="inlineStr">
        <is>
          <t>DZIAŁA</t>
        </is>
      </c>
      <c r="J287" s="12" t="inlineStr">
        <is>
          <t>probes-admin.controller.ts:33; apps/status-page</t>
        </is>
      </c>
      <c r="K287" s="11" t="inlineStr">
        <is>
          <t>PRZEWAGA</t>
        </is>
      </c>
      <c r="L287" s="11" t="inlineStr">
        <is>
          <t>—</t>
        </is>
      </c>
      <c r="M287" s="11" t="inlineStr">
        <is>
          <t>—</t>
        </is>
      </c>
      <c r="N287" s="12" t="inlineStr">
        <is>
          <t>tylko cyber_Folks i dhosting mają na rynku PL</t>
        </is>
      </c>
    </row>
    <row r="288">
      <c r="A288" s="11" t="inlineStr">
        <is>
          <t>N-07</t>
        </is>
      </c>
      <c r="B288" s="12" t="inlineStr">
        <is>
          <t>N</t>
        </is>
      </c>
      <c r="C288" s="11" t="inlineStr">
        <is>
          <t>Ręczne tworzenie incydentu na status page</t>
        </is>
      </c>
      <c r="D288" s="11" t="inlineStr">
        <is>
          <t>NIE</t>
        </is>
      </c>
      <c r="E288" s="11" t="inlineStr">
        <is>
          <t>NIE</t>
        </is>
      </c>
      <c r="F288" s="11" t="inlineStr">
        <is>
          <t>NIE</t>
        </is>
      </c>
      <c r="G288" s="11" t="inlineStr">
        <is>
          <t>CZĘŚĆ</t>
        </is>
      </c>
      <c r="H288" s="11" t="inlineStr">
        <is>
          <t>TAK</t>
        </is>
      </c>
      <c r="I288" s="11" t="inlineStr">
        <is>
          <t>DZIAŁA</t>
        </is>
      </c>
      <c r="J288" s="12" t="inlineStr">
        <is>
          <t>2026-09-23 D2: admin-panel status/incidents/incident-compose.tsx → POST /admin/product-ops/incidents; przycisk „Rozwiąż” (PATCH incidents/:id status=RESOLVED); probe-ingest.service.ts isManualIncident; test status/incydent-reczny.spec.ts</t>
        </is>
      </c>
      <c r="K288" s="11" t="inlineStr">
        <is>
          <t>PARYTET</t>
        </is>
      </c>
      <c r="L288" s="11" t="inlineStr">
        <is>
          <t>WYSOKA</t>
        </is>
      </c>
      <c r="M288" s="11" t="inlineStr">
        <is>
          <t>S</t>
        </is>
      </c>
      <c r="N288" s="12"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row>
    <row r="289">
      <c r="A289" s="11" t="inlineStr">
        <is>
          <t>N-08</t>
        </is>
      </c>
      <c r="B289" s="12" t="inlineStr">
        <is>
          <t>N</t>
        </is>
      </c>
      <c r="C289" s="11" t="inlineStr">
        <is>
          <t>Edycja i zamknięcie incydentu</t>
        </is>
      </c>
      <c r="D289" s="11" t="inlineStr">
        <is>
          <t>NIE</t>
        </is>
      </c>
      <c r="E289" s="11" t="inlineStr">
        <is>
          <t>NIE</t>
        </is>
      </c>
      <c r="F289" s="11" t="inlineStr">
        <is>
          <t>NIE</t>
        </is>
      </c>
      <c r="G289" s="11" t="inlineStr">
        <is>
          <t>CZĘŚĆ</t>
        </is>
      </c>
      <c r="H289" s="11" t="inlineStr">
        <is>
          <t>TAK</t>
        </is>
      </c>
      <c r="I289" s="11" t="inlineStr">
        <is>
          <t>DZIAŁA</t>
        </is>
      </c>
      <c r="J289" s="12" t="inlineStr">
        <is>
          <t>status/actions.ts:158,177</t>
        </is>
      </c>
      <c r="K289" s="11" t="inlineStr">
        <is>
          <t>PARYTET</t>
        </is>
      </c>
      <c r="L289" s="11" t="inlineStr">
        <is>
          <t>—</t>
        </is>
      </c>
      <c r="M289" s="11" t="inlineStr">
        <is>
          <t>—</t>
        </is>
      </c>
      <c r="N289" s="12" t="inlineStr"/>
    </row>
    <row r="290">
      <c r="A290" s="11" t="inlineStr">
        <is>
          <t>N-09</t>
        </is>
      </c>
      <c r="B290" s="12" t="inlineStr">
        <is>
          <t>N</t>
        </is>
      </c>
      <c r="C290" s="11" t="inlineStr">
        <is>
          <t>Powiadomienia w panelu (dzwonek)</t>
        </is>
      </c>
      <c r="D290" s="11" t="inlineStr">
        <is>
          <t>NIE</t>
        </is>
      </c>
      <c r="E290" s="11" t="inlineStr">
        <is>
          <t>CZĘŚĆ</t>
        </is>
      </c>
      <c r="F290" s="11" t="inlineStr">
        <is>
          <t>NIE</t>
        </is>
      </c>
      <c r="G290" s="11" t="inlineStr">
        <is>
          <t>CZĘŚĆ</t>
        </is>
      </c>
      <c r="H290" s="11" t="inlineStr">
        <is>
          <t>TAK</t>
        </is>
      </c>
      <c r="I290" s="11" t="inlineStr">
        <is>
          <t>DZIAŁA</t>
        </is>
      </c>
      <c r="J290" s="12" t="inlineStr">
        <is>
          <t>notifications.controller.ts:12,20,26</t>
        </is>
      </c>
      <c r="K290" s="11" t="inlineStr">
        <is>
          <t>PARYTET</t>
        </is>
      </c>
      <c r="L290" s="11" t="inlineStr">
        <is>
          <t>—</t>
        </is>
      </c>
      <c r="M290" s="11" t="inlineStr">
        <is>
          <t>—</t>
        </is>
      </c>
      <c r="N290" s="12" t="inlineStr"/>
    </row>
    <row r="291">
      <c r="A291" s="11" t="inlineStr">
        <is>
          <t>N-10</t>
        </is>
      </c>
      <c r="B291" s="12" t="inlineStr">
        <is>
          <t>N</t>
        </is>
      </c>
      <c r="C291" s="11" t="inlineStr">
        <is>
          <t>Preferencje powiadomień e-mail</t>
        </is>
      </c>
      <c r="D291" s="11" t="inlineStr">
        <is>
          <t>NIE</t>
        </is>
      </c>
      <c r="E291" s="11" t="inlineStr">
        <is>
          <t>CZĘŚĆ</t>
        </is>
      </c>
      <c r="F291" s="11" t="inlineStr">
        <is>
          <t>NIE</t>
        </is>
      </c>
      <c r="G291" s="11" t="inlineStr">
        <is>
          <t>CZĘŚĆ</t>
        </is>
      </c>
      <c r="H291" s="11" t="inlineStr">
        <is>
          <t>TAK</t>
        </is>
      </c>
      <c r="I291" s="11" t="inlineStr">
        <is>
          <t>CZĘŚCIOWE</t>
        </is>
      </c>
      <c r="J291" s="12" t="inlineStr">
        <is>
          <t>mail/mailer.service.ts POWIADOMIENIA_OPCJONALNE (bramka po tagu), MarketingPreferences.autoscalingEmail/quotaAlertsEmail (migracja 20260924170000), settings/notifications-tab.tsx; test mail/powiadomienia-opcjonalne.spec.ts</t>
        </is>
      </c>
      <c r="K291" s="11" t="inlineStr">
        <is>
          <t>PARYTET</t>
        </is>
      </c>
      <c r="L291" s="11" t="inlineStr">
        <is>
          <t>ŚREDNIA</t>
        </is>
      </c>
      <c r="M291" s="11" t="inlineStr">
        <is>
          <t>S</t>
        </is>
      </c>
      <c r="N291" s="12" t="inlineStr">
        <is>
          <t>2026-09-24: KOD (D2) — przełączniki „Autoskalowanie” i „Zbliżanie się do limitów” (domyślnie włączone); bezpieczeństwo, płatności i zatrzymanie autoskalowania przez limit/pusty portfel bez przełącznika. ZNALEZISKO NAPRAWIONE: maile o autoskalowaniu (z kosztem) i potwierdzenie zmiany planu szły jako PRODUCT_UPDATE, więc przy domyślnym productUpdatesEmail=false nie wychodziły wcale. OTWARTE do D3: przełączenie w panelu na produkcji i wpis SUPPRESSED w EmailLog. | sterowalne są tylko zgody marketingowe | 2026-09-24 SKALA DOWODU (decyzja PM): funkcja bez pieniędzy, danych klienta i dostępu — D2 (test w CI) wystarcza do „zrobione”, więc werdykt PARYTET. Stan zostaje CZĘŚCIOWE do testu na węźle (audyt/dane/wezel.csv). | 2026-09-26: przełącznik „Zbliżanie się do limitów” wyłączony na koncie testowym i zapisany (po przeładowaniu wyłączony). Wpis SUPPRESSED pojawi się przy pierwszym alercie limitu — wymaga telemetrii z węzła.</t>
        </is>
      </c>
    </row>
    <row r="292">
      <c r="A292" s="11" t="inlineStr">
        <is>
          <t>N-11</t>
        </is>
      </c>
      <c r="B292" s="12" t="inlineStr">
        <is>
          <t>N</t>
        </is>
      </c>
      <c r="C292" s="11" t="inlineStr">
        <is>
          <t>Ogłoszenia i okna serwisowe</t>
        </is>
      </c>
      <c r="D292" s="11" t="inlineStr">
        <is>
          <t>CZĘŚĆ</t>
        </is>
      </c>
      <c r="E292" s="11" t="inlineStr">
        <is>
          <t>TAK</t>
        </is>
      </c>
      <c r="F292" s="11" t="inlineStr">
        <is>
          <t>CZĘŚĆ</t>
        </is>
      </c>
      <c r="G292" s="11" t="inlineStr">
        <is>
          <t>CZĘŚĆ</t>
        </is>
      </c>
      <c r="H292" s="11" t="inlineStr">
        <is>
          <t>CZĘŚĆ</t>
        </is>
      </c>
      <c r="I292" s="11" t="inlineStr">
        <is>
          <t>DZIAŁA</t>
        </is>
      </c>
      <c r="J292" s="12" t="inlineStr">
        <is>
          <t>admin: Product Ops → Ogłoszenia dla klientów / Prace serwisowe (product-ops/notices.tsx, PATCH announcements/:id i maintenance-windows/:id); klient: baner w panelu (dashboard/notices-banner.tsx ← GET /me/status/notices); status.verris.pl: sekcja „Prace serwisowe” (PublicStatusDto.maintenance); test D2 status/ogloszenia-okna.spec.ts</t>
        </is>
      </c>
      <c r="K292" s="11" t="inlineStr">
        <is>
          <t>PARYTET</t>
        </is>
      </c>
      <c r="L292" s="11" t="inlineStr">
        <is>
          <t>WYSOKA</t>
        </is>
      </c>
      <c r="M292" s="11" t="inlineStr">
        <is>
          <t>M</t>
        </is>
      </c>
      <c r="N292" s="12" t="inlineStr">
        <is>
          <t>cały panel Product Ops/NOC jest read-only | 2026-09-23: ogłoszenia i okna serwisowe wcześniej nie docierały do klienta nigdzie (funkcja widmo). Teraz: tworzenie, publikacja/zdjęcie, start/koniec/odwołanie okna z audytem i webhookiem MAINTENANCE_UPDATED; klient widzi okna swoich węzłów lub całej platformy od 14 dni przed startem (nie da się ich schować), ogłoszenia 30 dni (może schować u siebie). D3 przy pierwszym oknie na węźle.</t>
        </is>
      </c>
    </row>
    <row r="293">
      <c r="A293" s="11" t="inlineStr">
        <is>
          <t>N-12</t>
        </is>
      </c>
      <c r="B293" s="12" t="inlineStr">
        <is>
          <t>N</t>
        </is>
      </c>
      <c r="C293" s="11" t="inlineStr">
        <is>
          <t>Feature flagi z panelu operatora</t>
        </is>
      </c>
      <c r="D293" s="11" t="inlineStr">
        <is>
          <t>NIE</t>
        </is>
      </c>
      <c r="E293" s="11" t="inlineStr">
        <is>
          <t>CZĘŚĆ</t>
        </is>
      </c>
      <c r="F293" s="11" t="inlineStr">
        <is>
          <t>NIE</t>
        </is>
      </c>
      <c r="G293" s="11" t="inlineStr">
        <is>
          <t>—</t>
        </is>
      </c>
      <c r="H293" s="11" t="inlineStr">
        <is>
          <t>—</t>
        </is>
      </c>
      <c r="I293" s="11" t="inlineStr">
        <is>
          <t>DZIAŁA</t>
        </is>
      </c>
      <c r="J293" s="12" t="inlineStr">
        <is>
          <t>api: product-ops/feature-flags.ts (ocena), me-feature-flags.controller.ts (GET me/feature-flags), PATCH admin/product-ops/feature-flags/:id; admin: Operacje produktowe → Feature flags (flags.tsx); klient: lib/feature-flags*.ts(x) — menu, kafelki, strony EKO/partnerski/IAM; test feature-flags.spec.ts</t>
        </is>
      </c>
      <c r="K293" s="11" t="inlineStr">
        <is>
          <t>PARYTET</t>
        </is>
      </c>
      <c r="L293" s="11" t="inlineStr">
        <is>
          <t>ŚREDNIA</t>
        </is>
      </c>
      <c r="M293" s="11" t="inlineStr">
        <is>
          <t>S</t>
        </is>
      </c>
      <c r="N293" s="12" t="inlineStr">
        <is>
          <t xml:space="preserve"> | 2026-09-23: FUNKCJA-WIDMO NAPRAWIONA — flagi dało się zakładać, ale nic ich nie czytało. Teraz flagi modul.eco / modul.referral / modul.iam sterują modułami panelu klienta bez wdrożenia (globalnie, per plan, per klient, rollout % stabilny per klient, okno czasowe); brak flagi = moduł jak dotąd. Inne klucze są w adminie oznaczone „nie steruje niczym”.</t>
        </is>
      </c>
    </row>
    <row r="294">
      <c r="A294" s="11" t="inlineStr">
        <is>
          <t>N-13</t>
        </is>
      </c>
      <c r="B294" s="12" t="inlineStr">
        <is>
          <t>N</t>
        </is>
      </c>
      <c r="C294" s="11" t="inlineStr">
        <is>
          <t>KOLEJKA OBSŁUGI NADUŻYĆ (ABUSE)</t>
        </is>
      </c>
      <c r="D294" s="11" t="inlineStr">
        <is>
          <t>TAK</t>
        </is>
      </c>
      <c r="E294" s="11" t="inlineStr">
        <is>
          <t>TAK</t>
        </is>
      </c>
      <c r="F294" s="11" t="inlineStr">
        <is>
          <t>CZĘŚĆ</t>
        </is>
      </c>
      <c r="G294" s="11" t="inlineStr">
        <is>
          <t>TAK</t>
        </is>
      </c>
      <c r="H294" s="11" t="inlineStr">
        <is>
          <t>TAK</t>
        </is>
      </c>
      <c r="I294" s="11" t="inlineStr">
        <is>
          <t>DZIAŁA</t>
        </is>
      </c>
      <c r="J294" s="12" t="inlineStr">
        <is>
          <t>verris.pl/zglos-naduzycie (AbuseForm, link w stopce) → POST /public/abuse (10/h per IP, pułapka na boty) → AbuseReport (migracja 20260923200000) z dopasowaniem do usługi po domenie; potwierdzenie do zgłaszającego + sygnał do obsługi; panel obsługi → Nadużycia (ABUSE_MANAGE): lista, szczegóły, decyzja z uzasadnieniem → mail do zgłaszającego, przy „Podjęto działania” uzasadnienie do klienta; audyt ABUSE_REPORT_*; test abuse/abuse.service.spec.ts (8)</t>
        </is>
      </c>
      <c r="K294" s="11" t="inlineStr">
        <is>
          <t>PARYTET</t>
        </is>
      </c>
      <c r="L294" s="11" t="inlineStr">
        <is>
          <t>WYSOKA</t>
        </is>
      </c>
      <c r="M294" s="11" t="inlineStr">
        <is>
          <t>L</t>
        </is>
      </c>
      <c r="N294" s="12" t="inlineStr">
        <is>
          <t>Skorygowane: powierzchnia abuse częściowo istnieje — outbound-cordon.admin.controller.ts:25,31, uprawnienie ABUSE_MANAGE (staff-permissions.catalog.ts:21), zarezerwowany adres abuse@, throttling na węźle. Brakuje kolejki i procesu, nie możliwości zatrzymania szkody. | 2026-09-23: kolejka i proces zgodne z DSA art. 16 (zgłoszenie: URL, uzasadnienie, dane, oświadczenie o dobrej wierze; potwierdzenie przyjęcia) i art. 17 (uzasadnienie dla klienta przy ograniczeniu, możliwość odwołania). Samo ograniczenie robi obsługa istniejącymi narzędziami (zawieszenie, kordon wysyłki). OTWARTE: D3 — zgłoszenie testowe na produkcji; nadanie ABUSE_MANAGE roli supportu; wzmianka o formularzu w Regulaminie (dokumenty prawne na końcu planu). | D3 2026-09-24: zgłoszenie testowe z verris.pl/zglos-naduzycie przyjęte (nr fb2fe040, potwierdzenie na dominik@hvln.pl), widoczne w kolejce panelu obsługi jako „Nowe · Phishing · nasza usługa” (dopasowane do test-live-verris.pl). Decyzji nie podjęto — zamknięcie zgłoszenia testowego należy do obsługi. | SPRAWDZONE NA PRODUKCJI 26.09 (21:52): obsługa (Support Verris) widzi „Nadużycia” (ABUSE_MANAGE), zgłoszenie testowe zamknięte decyzją „Odrzuć (bez podstaw)” z uzasadnieniem; decyzja i data zapisane, zgłaszający dostaje ją mailem.</t>
        </is>
      </c>
    </row>
    <row r="295">
      <c r="A295" s="11" t="inlineStr">
        <is>
          <t>N-14</t>
        </is>
      </c>
      <c r="B295" s="12" t="inlineStr">
        <is>
          <t>N</t>
        </is>
      </c>
      <c r="C295" s="11" t="inlineStr">
        <is>
          <t>Cordon wysyłki poczty (auto-blokada spamu)</t>
        </is>
      </c>
      <c r="D295" s="11" t="inlineStr">
        <is>
          <t>CZĘŚĆ</t>
        </is>
      </c>
      <c r="E295" s="11" t="inlineStr">
        <is>
          <t>TAK</t>
        </is>
      </c>
      <c r="F295" s="11" t="inlineStr">
        <is>
          <t>CZĘŚĆ</t>
        </is>
      </c>
      <c r="G295" s="11" t="inlineStr">
        <is>
          <t>—</t>
        </is>
      </c>
      <c r="H295" s="11" t="inlineStr">
        <is>
          <t>—</t>
        </is>
      </c>
      <c r="I295" s="11" t="inlineStr">
        <is>
          <t>DZIAŁA</t>
        </is>
      </c>
      <c r="J295" s="12" t="inlineStr">
        <is>
          <t>2026-09-23: admin-panel /deliverability (Blokady wysyłki poczty, link w menu) → GET/POST /admin/deliverability/cordons; lista z e-mailem i nazwą klienta</t>
        </is>
      </c>
      <c r="K295" s="11" t="inlineStr">
        <is>
          <t>PARYTET</t>
        </is>
      </c>
      <c r="L295" s="11" t="inlineStr">
        <is>
          <t>WYSOKA</t>
        </is>
      </c>
      <c r="M295" s="11" t="inlineStr">
        <is>
          <t>S</t>
        </is>
      </c>
      <c r="N295" s="12" t="inlineStr">
        <is>
          <t>mechanizm działa, operator nie może go zobaczyć ani zdjąć | Operator widzi kogo i dlaczego zablokowano oraz zdejmuje blokadę (ADMIN, z potwierdzeniem, audyt po stronie API).</t>
        </is>
      </c>
    </row>
    <row r="296">
      <c r="A296" s="11" t="inlineStr">
        <is>
          <t>N-15</t>
        </is>
      </c>
      <c r="B296" s="12" t="inlineStr">
        <is>
          <t>N</t>
        </is>
      </c>
      <c r="C296" s="11" t="inlineStr">
        <is>
          <t>Migracja z innego hostingu wykonywana przez dostawcę</t>
        </is>
      </c>
      <c r="D296" s="11" t="inlineStr">
        <is>
          <t>NIE</t>
        </is>
      </c>
      <c r="E296" s="11" t="inlineStr">
        <is>
          <t>NIE</t>
        </is>
      </c>
      <c r="F296" s="11" t="inlineStr">
        <is>
          <t>NIE</t>
        </is>
      </c>
      <c r="G296" s="11" t="inlineStr">
        <is>
          <t>TAK</t>
        </is>
      </c>
      <c r="H296" s="11" t="inlineStr">
        <is>
          <t>CZĘŚĆ</t>
        </is>
      </c>
      <c r="I296" s="11" t="inlineStr">
        <is>
          <t>DZIAŁA</t>
        </is>
      </c>
      <c r="J296" s="12" t="inlineStr">
        <is>
          <t>cockpit migracji + kreator klienta</t>
        </is>
      </c>
      <c r="K296" s="11" t="inlineStr">
        <is>
          <t>PRZEWAGA</t>
        </is>
      </c>
      <c r="L296" s="11" t="inlineStr">
        <is>
          <t>—</t>
        </is>
      </c>
      <c r="M296" s="11" t="inlineStr">
        <is>
          <t>—</t>
        </is>
      </c>
      <c r="N296" s="12" t="inlineStr">
        <is>
          <t>4 z 5 hostingów PL robi ręcznie; u nas to produkt</t>
        </is>
      </c>
    </row>
    <row r="297">
      <c r="A297" s="11" t="inlineStr">
        <is>
          <t>N-16</t>
        </is>
      </c>
      <c r="B297" s="12" t="inlineStr">
        <is>
          <t>N</t>
        </is>
      </c>
      <c r="C297" s="11" t="inlineStr">
        <is>
          <t>SLA z zapisanymi kredytami</t>
        </is>
      </c>
      <c r="D297" s="11" t="inlineStr">
        <is>
          <t>NIE</t>
        </is>
      </c>
      <c r="E297" s="11" t="inlineStr">
        <is>
          <t>NIE</t>
        </is>
      </c>
      <c r="F297" s="11" t="inlineStr">
        <is>
          <t>NIE</t>
        </is>
      </c>
      <c r="G297" s="11" t="inlineStr">
        <is>
          <t>CZĘŚĆ</t>
        </is>
      </c>
      <c r="H297" s="11" t="inlineStr">
        <is>
          <t>NIE</t>
        </is>
      </c>
      <c r="I297" s="11" t="inlineStr">
        <is>
          <t>DZIAŁA</t>
        </is>
      </c>
      <c r="J297" s="12"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K297" s="11" t="inlineStr">
        <is>
          <t>PARYTET</t>
        </is>
      </c>
      <c r="L297" s="11" t="inlineStr">
        <is>
          <t>WYSOKA</t>
        </is>
      </c>
      <c r="M297" s="11" t="inlineStr">
        <is>
          <t>S</t>
        </is>
      </c>
      <c r="N297" s="12"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row>
    <row r="298">
      <c r="A298" s="11" t="inlineStr">
        <is>
          <t>N-17</t>
        </is>
      </c>
      <c r="B298" s="12" t="inlineStr">
        <is>
          <t>N</t>
        </is>
      </c>
      <c r="C298" s="11" t="inlineStr">
        <is>
          <t>Szablony odpowiedzi obsługi</t>
        </is>
      </c>
      <c r="D298" s="11" t="inlineStr">
        <is>
          <t>NIE</t>
        </is>
      </c>
      <c r="E298" s="11" t="inlineStr">
        <is>
          <t>NIE</t>
        </is>
      </c>
      <c r="F298" s="11" t="inlineStr">
        <is>
          <t>CZĘŚĆ</t>
        </is>
      </c>
      <c r="G298" s="11" t="inlineStr">
        <is>
          <t>—</t>
        </is>
      </c>
      <c r="H298" s="11" t="inlineStr">
        <is>
          <t>—</t>
        </is>
      </c>
      <c r="I298" s="11" t="inlineStr">
        <is>
          <t>DZIAŁA</t>
        </is>
      </c>
      <c r="J298" s="12" t="inlineStr">
        <is>
          <t>settings/canned-responses/actions.ts:23</t>
        </is>
      </c>
      <c r="K298" s="11" t="inlineStr">
        <is>
          <t>PARYTET</t>
        </is>
      </c>
      <c r="L298" s="11" t="inlineStr">
        <is>
          <t>—</t>
        </is>
      </c>
      <c r="M298" s="11" t="inlineStr">
        <is>
          <t>—</t>
        </is>
      </c>
      <c r="N298" s="12" t="inlineStr"/>
    </row>
    <row r="299">
      <c r="A299" s="11" t="inlineStr">
        <is>
          <t>N-18</t>
        </is>
      </c>
      <c r="B299" s="12" t="inlineStr">
        <is>
          <t>N</t>
        </is>
      </c>
      <c r="C299" s="11" t="inlineStr">
        <is>
          <t>CRM klienta 360 dla obsługi</t>
        </is>
      </c>
      <c r="D299" s="11" t="inlineStr">
        <is>
          <t>NIE</t>
        </is>
      </c>
      <c r="E299" s="11" t="inlineStr">
        <is>
          <t>NIE</t>
        </is>
      </c>
      <c r="F299" s="11" t="inlineStr">
        <is>
          <t>NIE</t>
        </is>
      </c>
      <c r="G299" s="11" t="inlineStr">
        <is>
          <t>—</t>
        </is>
      </c>
      <c r="H299" s="11" t="inlineStr">
        <is>
          <t>—</t>
        </is>
      </c>
      <c r="I299" s="11" t="inlineStr">
        <is>
          <t>DZIAŁA</t>
        </is>
      </c>
      <c r="J299" s="12" t="inlineStr">
        <is>
          <t>crm-profile-data.ts; users.admin.controller.ts:109,120</t>
        </is>
      </c>
      <c r="K299" s="11" t="inlineStr">
        <is>
          <t>PRZEWAGA</t>
        </is>
      </c>
      <c r="L299" s="11" t="inlineStr">
        <is>
          <t>—</t>
        </is>
      </c>
      <c r="M299" s="11" t="inlineStr">
        <is>
          <t>—</t>
        </is>
      </c>
      <c r="N299" s="12" t="inlineStr"/>
    </row>
    <row r="300">
      <c r="A300" s="11" t="inlineStr">
        <is>
          <t>N-19</t>
        </is>
      </c>
      <c r="B300" s="12" t="inlineStr">
        <is>
          <t>N</t>
        </is>
      </c>
      <c r="C300" s="11" t="inlineStr">
        <is>
          <t>Sugestia AI odpowiedzi na zgłoszenie</t>
        </is>
      </c>
      <c r="D300" s="11" t="inlineStr">
        <is>
          <t>NIE</t>
        </is>
      </c>
      <c r="E300" s="11" t="inlineStr">
        <is>
          <t>NIE</t>
        </is>
      </c>
      <c r="F300" s="11" t="inlineStr">
        <is>
          <t>NIE</t>
        </is>
      </c>
      <c r="G300" s="11" t="inlineStr">
        <is>
          <t>NIE</t>
        </is>
      </c>
      <c r="H300" s="11" t="inlineStr">
        <is>
          <t>CZĘŚĆ</t>
        </is>
      </c>
      <c r="I300" s="11" t="inlineStr">
        <is>
          <t>DZIAŁA</t>
        </is>
      </c>
      <c r="J300" s="12" t="inlineStr">
        <is>
          <t>staff-panel/src/components/ticket-detail-panel.tsx; staff-panel/src/lib/ai-sugestia.ts (test ai-sugestia.spec.ts); ai/ai.service.ts supportSuggestion</t>
        </is>
      </c>
      <c r="K300" s="11" t="inlineStr">
        <is>
          <t>PRZEWAGA</t>
        </is>
      </c>
      <c r="L300" s="11" t="inlineStr">
        <is>
          <t>—</t>
        </is>
      </c>
      <c r="M300" s="11" t="inlineStr">
        <is>
          <t>—</t>
        </is>
      </c>
      <c r="N300" s="12" t="inlineStr">
        <is>
          <t>OSŁABIONE: wynik renderowany jako surowy JSON.stringify w &lt;pre&gt; (ticket-detail-panel.tsx:346-349), bez możliwości wstawienia do odpowiedzi. | 2026-09-25: NAPRAWIONE (D2) — prompt określa kształt {szkic, checklista}; panel obsługi pokazuje szkic jako tekst z przyciskiem „Wstaw do odpowiedzi” i listę „Sprawdź przed wysłaniem”. Gdy model zwróci inne klucze, rozpoznajemy typowe (draft/steps…), a resztę pokazujemy — nic nie ginie. Nic nie wychodzi do klienta bez „Wyślij odpowiedź”. D3: pierwsza sugestia po włączeniu klucza AI.</t>
        </is>
      </c>
    </row>
    <row r="301">
      <c r="A301" s="11" t="inlineStr">
        <is>
          <t>N-20</t>
        </is>
      </c>
      <c r="B301" s="12" t="inlineStr">
        <is>
          <t>N</t>
        </is>
      </c>
      <c r="C301" s="11" t="inlineStr">
        <is>
          <t>Link ze zgłoszenia do szczegółu (admin)</t>
        </is>
      </c>
      <c r="D301" s="11" t="inlineStr">
        <is>
          <t>—</t>
        </is>
      </c>
      <c r="E301" s="11" t="inlineStr">
        <is>
          <t>—</t>
        </is>
      </c>
      <c r="F301" s="11" t="inlineStr">
        <is>
          <t>—</t>
        </is>
      </c>
      <c r="G301" s="11" t="inlineStr">
        <is>
          <t>—</t>
        </is>
      </c>
      <c r="H301" s="11" t="inlineStr">
        <is>
          <t>—</t>
        </is>
      </c>
      <c r="I301" s="11" t="inlineStr">
        <is>
          <t>DZIAŁA</t>
        </is>
      </c>
      <c r="J301" s="12" t="inlineStr">
        <is>
          <t>admin-panel tickets/page.tsx — link do szczegółu w panelu BOK (NEXT_PUBLIC_STAFF_PANEL_URL z docker-compose.prod.yml, awaryjnie https://staff.verris.pl); martwy fallback do nieistniejącej trasy admina usunięty</t>
        </is>
      </c>
      <c r="K301" s="11" t="inlineStr">
        <is>
          <t>PARYTET</t>
        </is>
      </c>
      <c r="L301" s="11" t="inlineStr">
        <is>
          <t>ŚREDNIA</t>
        </is>
      </c>
      <c r="M301" s="11" t="inlineStr">
        <is>
          <t>S</t>
        </is>
      </c>
      <c r="N301" s="12" t="inlineStr"/>
    </row>
    <row r="302">
      <c r="A302" s="11" t="inlineStr">
        <is>
          <t>N-21</t>
        </is>
      </c>
      <c r="B302" s="12" t="inlineStr">
        <is>
          <t>N</t>
        </is>
      </c>
      <c r="C302" s="11" t="inlineStr">
        <is>
          <t>Wsparcie telefoniczne</t>
        </is>
      </c>
      <c r="D302" s="11" t="inlineStr">
        <is>
          <t>NIE</t>
        </is>
      </c>
      <c r="E302" s="11" t="inlineStr">
        <is>
          <t>NIE</t>
        </is>
      </c>
      <c r="F302" s="11" t="inlineStr">
        <is>
          <t>NIE</t>
        </is>
      </c>
      <c r="G302" s="11" t="inlineStr">
        <is>
          <t>TAK</t>
        </is>
      </c>
      <c r="H302" s="11" t="inlineStr">
        <is>
          <t>CZĘŚĆ</t>
        </is>
      </c>
      <c r="I302" s="11" t="inlineStr">
        <is>
          <t>BRAK</t>
        </is>
      </c>
      <c r="J302" s="12" t="inlineStr">
        <is>
          <t>poza produktem</t>
        </is>
      </c>
      <c r="K302" s="11" t="inlineStr">
        <is>
          <t>LUKA</t>
        </is>
      </c>
      <c r="L302" s="11" t="inlineStr">
        <is>
          <t>ŚREDNIA</t>
        </is>
      </c>
      <c r="M302" s="11" t="inlineStr">
        <is>
          <t>S</t>
        </is>
      </c>
      <c r="N302" s="12" t="inlineStr">
        <is>
          <t>home.pl i nazwa.pl mają telefon 24/7 — decyzja operacyjna, nie produktowa | WYCENA 2026-09-19: krytycznosc i naklad uzupelnione przy wznowieniu. Pozycje przepisane 2026-08-28 w ramach X-49 zostaly bez wyceny, przez co nie liczyly sie do budzetu godzin i nie stały w zadnym sprincie. Podstawa wyceny: Wsparcie telefoniczne to decyzja operacyjna i numer, nie kod. Wycena obejmuje uruchomienie i opis w SLA. | DECYZJA WŁAŚCICIELA 2026-09-24: nie na start — czat i zgłoszenia; telefon po starcie, gdy będzie skala.</t>
        </is>
      </c>
    </row>
    <row r="303">
      <c r="A303" s="11" t="inlineStr">
        <is>
          <t>O-01</t>
        </is>
      </c>
      <c r="B303" s="12" t="inlineStr">
        <is>
          <t>O</t>
        </is>
      </c>
      <c r="C303" s="11" t="inlineStr">
        <is>
          <t>Subkonta z uprawnieniami (IAM)</t>
        </is>
      </c>
      <c r="D303" s="11" t="inlineStr">
        <is>
          <t>TAK</t>
        </is>
      </c>
      <c r="E303" s="11" t="inlineStr">
        <is>
          <t>TAK</t>
        </is>
      </c>
      <c r="F303" s="11" t="inlineStr">
        <is>
          <t>CZĘŚĆ</t>
        </is>
      </c>
      <c r="G303" s="11" t="inlineStr">
        <is>
          <t>CZĘŚĆ</t>
        </is>
      </c>
      <c r="H303" s="11" t="inlineStr">
        <is>
          <t>TAK</t>
        </is>
      </c>
      <c r="I303" s="11" t="inlineStr">
        <is>
          <t>DZIAŁA</t>
        </is>
      </c>
      <c r="J303" s="12" t="inlineStr">
        <is>
          <t>customer-iam.controller.ts:42,53,63,69</t>
        </is>
      </c>
      <c r="K303" s="11" t="inlineStr">
        <is>
          <t>PRZEWAGA</t>
        </is>
      </c>
      <c r="L303" s="11" t="inlineStr">
        <is>
          <t>—</t>
        </is>
      </c>
      <c r="M303" s="11" t="inlineStr">
        <is>
          <t>—</t>
        </is>
      </c>
      <c r="N303" s="12" t="inlineStr">
        <is>
          <t>tylko home.pl ma coś podobnego na rynku PL | 2026-09-25 ZNALEZISKO I NAPRAWA (bezpieczeństwo): uprawnienia subkont w API były luźniejsze niż w menu panelu. Menedżer plików API (/services/:id/files/read|download|write|upload…) nie pasował do reguły plików i spadał do reguły ogólnej „usługi” — subkonto z rolą „Podgląd” (SERVICES_READ) mogło czytać i pobierać pliki strony (np. wp-config.php z hasłem bazy), a z SERVICES_MANAGE zapisywać je. To samo dotyczyło tras równoważnych dostępowi do plików: odtworzenie z kopii, cron i deploy (polecenia), FTP, logowanie SSO, bazy i ich użytkownicy, instalatory, staging, narzędzia WWW i ochrona katalogu. Teraz wszystkie wymagają FILES_MANAGE; zlecenie migracji — FILES_MANAGE (podgląd bez zmian); zamówienie usługi, opłacenie z portfela, ponowienie płatności, zmiana planu, przejście z okresu próbnego i płatny monitoring — SERVICES_MANAGE + BILLING_MANAGE (jak /addons). Menu panelu dopasowane (bazy danych i instalator — tylko z FILES_MANAGE). Test: customer-permissions.guard.spec.ts (+24 przypadki), client-nav-access.spec.ts. | 2026-09-25 (2): GET /services/:id/hosting-da-links zwracał login i HASŁO konta hostingowego każdemu z podglądem usługi — subkonto „Podgląd” miało więc pełny dostęp do plików, baz i poczty przez panel hostingu. Teraz linki dostaje każdy z podglądem, a login i hasło tylko właściciel albo subkonto z FILES_MANAGE. Przy okazji GET /subscriptions/:id przestał zwracać zaszyfrowane hasło (daPasswordEnc). Testy directadmin.narzedzia.spec.ts, subscriptions.bez-hasla.spec.ts.</t>
        </is>
      </c>
    </row>
    <row r="304">
      <c r="A304" s="11" t="inlineStr">
        <is>
          <t>O-02</t>
        </is>
      </c>
      <c r="B304" s="12" t="inlineStr">
        <is>
          <t>O</t>
        </is>
      </c>
      <c r="C304" s="11" t="inlineStr">
        <is>
          <t>Aktywacja subkonta z zaproszenia</t>
        </is>
      </c>
      <c r="D304" s="11" t="inlineStr">
        <is>
          <t>TAK</t>
        </is>
      </c>
      <c r="E304" s="11" t="inlineStr">
        <is>
          <t>TAK</t>
        </is>
      </c>
      <c r="F304" s="11" t="inlineStr">
        <is>
          <t>CZĘŚĆ</t>
        </is>
      </c>
      <c r="G304" s="11" t="inlineStr">
        <is>
          <t>CZĘŚĆ</t>
        </is>
      </c>
      <c r="H304" s="11" t="inlineStr">
        <is>
          <t>TAK</t>
        </is>
      </c>
      <c r="I304" s="11" t="inlineStr">
        <is>
          <t>DZIAŁA</t>
        </is>
      </c>
      <c r="J304" s="12" t="inlineStr">
        <is>
          <t>customer-iam.controller.ts:47</t>
        </is>
      </c>
      <c r="K304" s="11" t="inlineStr">
        <is>
          <t>PARYTET</t>
        </is>
      </c>
      <c r="L304" s="11" t="inlineStr">
        <is>
          <t>—</t>
        </is>
      </c>
      <c r="M304" s="11" t="inlineStr">
        <is>
          <t>—</t>
        </is>
      </c>
      <c r="N304" s="12" t="inlineStr"/>
    </row>
    <row r="305">
      <c r="A305" s="11" t="inlineStr">
        <is>
          <t>O-03</t>
        </is>
      </c>
      <c r="B305" s="12" t="inlineStr">
        <is>
          <t>O</t>
        </is>
      </c>
      <c r="C305" s="11" t="inlineStr">
        <is>
          <t>Dziennik audytu działań subkont</t>
        </is>
      </c>
      <c r="D305" s="11" t="inlineStr">
        <is>
          <t>CZĘŚĆ</t>
        </is>
      </c>
      <c r="E305" s="11" t="inlineStr">
        <is>
          <t>TAK</t>
        </is>
      </c>
      <c r="F305" s="11" t="inlineStr">
        <is>
          <t>NIE</t>
        </is>
      </c>
      <c r="G305" s="11" t="inlineStr">
        <is>
          <t>NIE</t>
        </is>
      </c>
      <c r="H305" s="11" t="inlineStr">
        <is>
          <t>CZĘŚĆ</t>
        </is>
      </c>
      <c r="I305" s="11" t="inlineStr">
        <is>
          <t>DZIAŁA</t>
        </is>
      </c>
      <c r="J305" s="12" t="inlineStr">
        <is>
          <t>customer-iam.controller.ts:36; customer-iam.service.ts listAudit; iam/iam-audit-section.tsx; test customer-iam.service.spec.ts</t>
        </is>
      </c>
      <c r="K305" s="11" t="inlineStr">
        <is>
          <t>PARYTET</t>
        </is>
      </c>
      <c r="L305" s="11" t="inlineStr">
        <is>
          <t>ŚREDNIA</t>
        </is>
      </c>
      <c r="M305" s="11" t="inlineStr">
        <is>
          <t>M</t>
        </is>
      </c>
      <c r="N305" s="12" t="inlineStr">
        <is>
          <t>OSŁABIONE: customer-iam.service.ts:72-88 filtruje action startsWith CUSTOMER_IAM_ — istnieje 5 takich akcji. To dziennik zarządzania subkontami, nie ich działań. | 2026-09-25: KOD (D2) — dziennik IAM obejmuje teraz działania subkont (każda akcja z actorUserId należącym do subkont właściciela), nie tylko zmiany dostępu; etykiety wszystkich akcji z lib/etykiety-dziennika.ts. Dostęp — zostaje CZĘŚCIOWY do D3 (akcja subkonta widoczna u właściciela na produkcji). | 2026-09-26: na produkcji zakup wykonany z subkonta zapisał się z autorem = właściciel (serwisy wpisują actorUserId = userId, a subkonto działa jako właściciel), więc dziennik IAM go nie pokazywał. Poprawka w jednym miejscu: kontekst żądania niesie osobę z subkonta, AuditService podmienia autora wpisu na koncie właściciela — dla wszystkich serwisów naraz. D3 do sprawdzenia po wdrożeniu (akcja subkonta w IAM → Audyt). | 2026-09-27 PRODUKCJA (za zgodą właściciela): subkonto kontakt@hvln.pl z nadanym „Tickety: zarządzanie” (przez impersonację z admina) założyło zgłoszenie „TEST O-03” — w IAM → Audyt właściciela NIC, tylko odmowy (w tym fałszywa odmowa zakończenia impersonacji). ZNALEZISKA naprawione d0b7331: udane zapisy subkont nie trafiały do dziennika (tylko część serwisów sama loguje) → teraz CUSTOMER_IAM_SUBACCOUNT_ACTION dla każdego udanego zapisu; *_MANAGE nie obejmowało *_READ (zgłoszenie wysłane, lista „brak uprawnień”); stop impersonacji subkonta odmawiany; imię subkonta = imię właściciela → w audycie teraz też e-mail. D3 po wdrożeniu: powtórzyć zgłoszenie z subkonta. UWAGA UX: formularz uprawnień IAM przy błędzie API pokazuje „Nie udało się wczytać tej strony” zamiast komunikatu (akcje IAM rzucają wyjątek). | 2026-09-27 D3 PRODUKCJA po wdrożeniu d0b7331 (#185): odpowiedź subkonta w zgłoszeniu „TEST O-03” widoczna u właściciela w IAM → Audyt jako „Działanie subkonta — Dominik Kowalski (kontakt@hvln.pl) POST /tickets/:id/replies”; subkonto z „Tickety: zarządzanie” widzi listę zgłoszeń; zakończenie impersonacji bez fałszywej odmowy. Zgłoszenie testowe zamknięte. Do zrobienia przez właściciela: odebrać kontakt@hvln.pl „Tickety: zarządzanie”. | 2026-09-27 UX IAM naprawione (121fc85, wdrożenie #188): błąd formularza wraca na IAM z czerwonym komunikatem nad formularzem (sprawdzone na produkcji: zaproszenie z „Wybrane usługi” bez usługi → „Zaznacz co najmniej jedną usługę…”, bez strony błędu, zaproszenie nie powstało). Przy okazji: komunikaty API z akcji serwera docierają do klienta (e3b6f19 — rejestracja domeny, menedżer plików, domeny).</t>
        </is>
      </c>
    </row>
    <row r="306">
      <c r="A306" s="11" t="inlineStr">
        <is>
          <t>O-04</t>
        </is>
      </c>
      <c r="B306" s="12" t="inlineStr">
        <is>
          <t>O</t>
        </is>
      </c>
      <c r="C306" s="11" t="inlineStr">
        <is>
          <t>Egzekwowanie uprawnień w nawigacji i API</t>
        </is>
      </c>
      <c r="D306" s="11" t="inlineStr">
        <is>
          <t>TAK</t>
        </is>
      </c>
      <c r="E306" s="11" t="inlineStr">
        <is>
          <t>TAK</t>
        </is>
      </c>
      <c r="F306" s="11" t="inlineStr">
        <is>
          <t>CZĘŚĆ</t>
        </is>
      </c>
      <c r="G306" s="11" t="inlineStr">
        <is>
          <t>—</t>
        </is>
      </c>
      <c r="H306" s="11" t="inlineStr">
        <is>
          <t>—</t>
        </is>
      </c>
      <c r="I306" s="11" t="inlineStr">
        <is>
          <t>DZIAŁA</t>
        </is>
      </c>
      <c r="J306" s="12" t="inlineStr">
        <is>
          <t>middleware.ts:39; customer-permissions.guard.ts:9; test D1</t>
        </is>
      </c>
      <c r="K306" s="11" t="inlineStr">
        <is>
          <t>PARYTET</t>
        </is>
      </c>
      <c r="L306" s="11" t="inlineStr">
        <is>
          <t>—</t>
        </is>
      </c>
      <c r="M306" s="11" t="inlineStr">
        <is>
          <t>—</t>
        </is>
      </c>
      <c r="N306" s="12" t="inlineStr"/>
    </row>
    <row r="307">
      <c r="A307" s="11" t="inlineStr">
        <is>
          <t>O-05</t>
        </is>
      </c>
      <c r="B307" s="12" t="inlineStr">
        <is>
          <t>O</t>
        </is>
      </c>
      <c r="C307" s="11" t="inlineStr">
        <is>
          <t>Reseller — przegląd klientów</t>
        </is>
      </c>
      <c r="D307" s="11" t="inlineStr">
        <is>
          <t>TAK</t>
        </is>
      </c>
      <c r="E307" s="11" t="inlineStr">
        <is>
          <t>TAK</t>
        </is>
      </c>
      <c r="F307" s="11" t="inlineStr">
        <is>
          <t>TAK</t>
        </is>
      </c>
      <c r="G307" s="11" t="inlineStr">
        <is>
          <t>CZĘŚĆ</t>
        </is>
      </c>
      <c r="H307" s="11" t="inlineStr">
        <is>
          <t>CZĘŚĆ</t>
        </is>
      </c>
      <c r="I307" s="11" t="inlineStr">
        <is>
          <t>DZIAŁA</t>
        </is>
      </c>
      <c r="J307" s="12" t="inlineStr">
        <is>
          <t>reseller-klienci.service.ts + reseller.controller.ts (5 tras), reseller-klient.tsx; reseller-klienci.int-spec.ts (6 testów na PostgreSQL)</t>
        </is>
      </c>
      <c r="K307" s="11" t="inlineStr">
        <is>
          <t>CZĘŚCIOWY</t>
        </is>
      </c>
      <c r="L307" s="11" t="inlineStr">
        <is>
          <t>ŚREDNIA</t>
        </is>
      </c>
      <c r="M307" s="11" t="inlineStr">
        <is>
          <t>L</t>
        </is>
      </c>
      <c r="N307" s="12" t="inlineStr">
        <is>
          <t>2026-09-25 (decyzje właściciela): szczegóły klienta tylko usługi i stan (bez salda, danych rozliczeniowych, plików, poczty, faktur, logowań; bez wchodzenia na konto — test pilnuje listy pól), ponowny link „ustaw hasło” (raz na 10 min, stare tokeny unieważnione), wstrzymanie/wznowienie usługi (powód RESELLER; reseller zdejmuje tylko własną blokadę, klient dostaje maila i baner w panelu; po 30 dniach przypomnienie dla obsługi), odpięcie klienta (reseller i sam klient w Ustawieniach, DELETE /me/partner tylko właściciel). Zostało: przejście na produkcji. | 2026-09-27 PRODUKCJA (D4): szczegóły klienta testowego i „Wyślij link ustaw hasło” (toast „Link wysłany…”) działają. Zostaje: wstrzymaj/wznów wymaga usługi u klienta; odepnij — na końcu testów. | 2026-09-27 PRODUKCJA (D4) cd.: „Odepnij klienta” — okno potwierdzenia, toast „Klient odpięty.”, lista pusta; klient po odświeżeniu widzi logo Verris zamiast marki resellera. Wstrzymaj/wznów wymaga DZIAŁAJĄCEJ usługi u klienta resellera, a nowa usługa potrzebuje węzła (Node-PL-01 bez sygnału od 75 dni) — przeniesione do testów na węźle; logika pokryta reseller-klienci.int-spec.ts (PostgreSQL).</t>
        </is>
      </c>
    </row>
    <row r="308">
      <c r="A308" s="11" t="inlineStr">
        <is>
          <t>O-06</t>
        </is>
      </c>
      <c r="B308" s="12" t="inlineStr">
        <is>
          <t>O</t>
        </is>
      </c>
      <c r="C308" s="11" t="inlineStr">
        <is>
          <t>Reseller — zakładanie kont klientom</t>
        </is>
      </c>
      <c r="D308" s="11" t="inlineStr">
        <is>
          <t>TAK</t>
        </is>
      </c>
      <c r="E308" s="11" t="inlineStr">
        <is>
          <t>TAK</t>
        </is>
      </c>
      <c r="F308" s="11" t="inlineStr">
        <is>
          <t>TAK</t>
        </is>
      </c>
      <c r="G308" s="11" t="inlineStr">
        <is>
          <t>CZĘŚĆ</t>
        </is>
      </c>
      <c r="H308" s="11" t="inlineStr">
        <is>
          <t>CZĘŚĆ</t>
        </is>
      </c>
      <c r="I308" s="11" t="inlineStr">
        <is>
          <t>DZIAŁA</t>
        </is>
      </c>
      <c r="J308" s="12" t="inlineStr">
        <is>
          <t>reseller.controller.ts POST me/clients → reseller.service.ts createClient; reseller-client.tsx „Załóż konto klientowi”; test reseller.apply.spec.ts</t>
        </is>
      </c>
      <c r="K308" s="11" t="inlineStr">
        <is>
          <t>PARYTET</t>
        </is>
      </c>
      <c r="L308" s="11" t="inlineStr">
        <is>
          <t>ŚREDNIA</t>
        </is>
      </c>
      <c r="M308" s="11" t="inlineStr">
        <is>
          <t>L</t>
        </is>
      </c>
      <c r="N308" s="12" t="inlineStr">
        <is>
          <t>bez tego reseller nie jest produktem | DECYZJA WŁAŚCICIELA 2026-09-24: program resellerski budujemy PRZED startem (zakładanie kont klientom i samodzielne włączenie programu, O-06 + O-08). | 2026-09-24: KOD (D2) — aktywny reseller zakłada konto klientowi: konto USER od razu przypisane (resellerOwnerId), bez hasła — klient ustawia je z linku (72 h, token jak przy A-24). DECYZJE WŁAŚCICIELA 2026-09-24: limit 10 kont/dobę (liczone z dziennika RESELLER_CLIENT_CREATED, 429 z komunikatem) i mail „Verris + nazwa resellera” z informacją, kto założył konto, i drogą zgłoszenia podszycia (verris.pl/zglos-naduzycie). Zajęty adres → 409; program nieaktywny → 403; subkonta: ODMOWA. Dane klienta/dostęp → D3: OTWARTE — pierwszy prawdziwy reseller na produkcji. | 2026-09-27 PRODUKCJA (D4): reseller testowy „Test Verris” (konto właściciela, odblokowane w adminie) założył klienta z panelu; klient dostał mail z marką (logo + nazwa, „na infrastrukturze Verris”), ustawił hasło i się zalogował; licznik „Klienci” 0→1. Przy okazji poprawione (0a90ba7): konto bez żadnej akceptacji widziało modal „Zaktualizowaliśmy dokumenty… brak (legacy)” — teraz pierwsza akceptacja; nazwa marki w mailu nie dubluje się obok logo. ZNALEZISKO (właściciel, przed startem): linki w mailach idą przez śledzenie kliknięć SES (awstrack.me) — także token resetu hasła; wyłączyć Click/Open tracking w configuration secie SES dla verris.pl. | 2026-09-27 ZNALEZISKO ZAMKNIĘTE: właściciel wyłączył w SES → Virtual Deliverability Manager „Engagement tracking” (account level); nowy link „ustaw hasło” w mailu prowadzi wprost na https://panel.verris.pl/reset-password (bez awstrack.me).</t>
        </is>
      </c>
    </row>
    <row r="309">
      <c r="A309" s="11" t="inlineStr">
        <is>
          <t>O-07</t>
        </is>
      </c>
      <c r="B309" s="12" t="inlineStr">
        <is>
          <t>O</t>
        </is>
      </c>
      <c r="C309" s="11" t="inlineStr">
        <is>
          <t>Reseller — ustawianie własnej marży</t>
        </is>
      </c>
      <c r="D309" s="11" t="inlineStr">
        <is>
          <t>TAK</t>
        </is>
      </c>
      <c r="E309" s="11" t="inlineStr">
        <is>
          <t>TAK</t>
        </is>
      </c>
      <c r="F309" s="11" t="inlineStr">
        <is>
          <t>TAK</t>
        </is>
      </c>
      <c r="G309" s="11" t="inlineStr">
        <is>
          <t>CZĘŚĆ</t>
        </is>
      </c>
      <c r="H309" s="11" t="inlineStr">
        <is>
          <t>CZĘŚĆ</t>
        </is>
      </c>
      <c r="I309" s="11" t="inlineStr">
        <is>
          <t>CZĘŚCIOWE</t>
        </is>
      </c>
      <c r="J309" s="12" t="inlineStr">
        <is>
          <t>reseller.controller.ts POST me/markup → reseller.service.ts setMarkup (0–300%, audyt RESELLER_MARKUP_CHANGED); reseller-client.tsx „Twój narzut”; test reseller.apply.spec.ts</t>
        </is>
      </c>
      <c r="K309" s="11" t="inlineStr">
        <is>
          <t>CZĘŚCIOWY</t>
        </is>
      </c>
      <c r="L309" s="11" t="inlineStr">
        <is>
          <t>NISKA</t>
        </is>
      </c>
      <c r="M309" s="11" t="inlineStr">
        <is>
          <t>M</t>
        </is>
      </c>
      <c r="N309" s="12" t="inlineStr">
        <is>
          <t>2026-09-24: KOD (D2) — reseller sam ustawia narzut w panelu (dotąd tylko operator), te same granice co w adminie, zmiana od razu w przeglądzie klientów i przychodu. Bez pieniędzy po stronie Verris (narzut tylko liczy cenę detaliczną w przeglądzie) — PARYTET wg skali. | 2026-09-25 D3 (produkcja): reseller testowy aktywowany w adminie, narzut zmieniony przez klienta 25→30% (kafelek i komunikat „Nowe ceny detaliczne liczą się od razu”), admin widzi zmianę; 301% zablokowane walidacją pola; przywrócone 25% i ZAWIESZONY. | Zamknięte 2026-09-25: D3 na produkcji (wpis wyżej) — stan DZIAŁA. | 2026-09-28 PRZEGLĄD LUK (3.2) + DECYZJA WŁAŚCICIELA: narzut zmieniał tylko liczby w widoku resellera, klienci płacili cenę katalogową (widmo). Ukryte flagą NEXT_PUBLIC_FEATURE_RESELLER_MARKUP (domyślnie off) w panelu, adminie i na verris.pl do czasu wdrożenia rozliczeń narzutu (46976c6). Pole markupPct w API zostaje. | 2026-10-05 KOD (decyzja właściciela — dokończyć przed startem): przy FEATURE_RESELLER_MARKUP=true klient resellera płaci cennik + narzut (zakup, zmiana planu, koniec okresu próbnego, odnowienia ze snapshotu Subscription.resellerMarkupPct); karta cykliczna odmawia — płatność z portfela; część narzutu z każdej opłaty abonamentu = prowizja RESELLER_MARKUP (dedupe rsl:&lt;tx&gt;), wypłata jak w programie partnerskim; odpięcie klienta przywraca cennik. Testy: narzut-resellera.spec.ts (17), narzut-resellera.int-spec.ts (PostgreSQL). Zostaje: D3 na produkcji po włączeniu flag (serwer + NEXT_PUBLIC_FEATURE_RESELLER_MARKUP).</t>
        </is>
      </c>
    </row>
    <row r="310">
      <c r="A310" s="11" t="inlineStr">
        <is>
          <t>O-08</t>
        </is>
      </c>
      <c r="B310" s="12" t="inlineStr">
        <is>
          <t>O</t>
        </is>
      </c>
      <c r="C310" s="11" t="inlineStr">
        <is>
          <t>Reseller — samodzielne włączenie programu</t>
        </is>
      </c>
      <c r="D310" s="11" t="inlineStr">
        <is>
          <t>CZĘŚĆ</t>
        </is>
      </c>
      <c r="E310" s="11" t="inlineStr">
        <is>
          <t>CZĘŚĆ</t>
        </is>
      </c>
      <c r="F310" s="11" t="inlineStr">
        <is>
          <t>CZĘŚĆ</t>
        </is>
      </c>
      <c r="G310" s="11" t="inlineStr">
        <is>
          <t>CZĘŚĆ</t>
        </is>
      </c>
      <c r="H310" s="11" t="inlineStr">
        <is>
          <t>CZĘŚĆ</t>
        </is>
      </c>
      <c r="I310" s="11" t="inlineStr">
        <is>
          <t>DZIAŁA</t>
        </is>
      </c>
      <c r="J310" s="12" t="inlineStr">
        <is>
          <t>reseller.controller.ts POST me/apply → reseller.service.ts apply (profil PENDING, kod, audyt RESELLER_APPLIED); reseller-client.tsx „Złóż wniosek” + baner wniosku; test reseller.apply.spec.ts</t>
        </is>
      </c>
      <c r="K310" s="11" t="inlineStr">
        <is>
          <t>PARYTET</t>
        </is>
      </c>
      <c r="L310" s="11" t="inlineStr">
        <is>
          <t>NISKA</t>
        </is>
      </c>
      <c r="M310" s="11" t="inlineStr">
        <is>
          <t>M</t>
        </is>
      </c>
      <c r="N310" s="12" t="inlineStr">
        <is>
          <t>strona sprzedażowa bez operacji zapisu | DECYZJA WŁAŚCICIELA 2026-09-24: budujemy PRZED startem razem z O-06 — do tego czasu strona sprzedażowa bez zapisu zostaje jako znana ATRAPA. | 2026-09-24: KOD (D2) — klient sam składa wniosek w panelu (opcjonalna nazwa marki), powstaje profil PENDING; link zaproszenia nie wiąże klientów do akceptacji (auth.service wymaga ACTIVE); operator włącza program istniejącym „Włącz” w panelu admina. Tylko właściciel konta (subkonta: ODMOWA). Powiadomienie operatora e-mailem o nowym wniosku (RESELLER_APPLY_EMAIL, domyślnie SECURITY_ALERT_EMAIL). Po zatwierdzeniu (PENDING → ACTIVE, także „Włącz” w adminie) klient dostaje e-mail z linkiem zaproszenia i narzutem. ZOSTAJE: O-06 (zakładanie kont klientom przez resellera). | D3 2026-09-24 (produkcja, deploy #149): wniosek „Test Verris” z panelu klienta → w adminie „WNIOSEK” + „Zatwierdź wniosek” → AKTYWNY, baner znika; e-mail „Program resellerski Verris jest aktywny” SENT (dziennik poczty, 22:59); narzut 20→25% z admina widoczny u klienta; zawieszenie → baner „tymczasowo zawieszone”. Konto testowe zostawione jako ZAWIESZONE. ZNALEZISKO: powiadomienie operatora o wniosku nie wyszło (SECURITY_ALERT_EMAIL nieustawiony na produkcji) — poprawione: bez RESELLER_APPLY_EMAIL idzie do wszystkich administratorów, jak alerty operacyjne (czeka na deploy).</t>
        </is>
      </c>
    </row>
    <row r="311">
      <c r="A311" s="11" t="inlineStr">
        <is>
          <t>O-09</t>
        </is>
      </c>
      <c r="B311" s="12" t="inlineStr">
        <is>
          <t>O</t>
        </is>
      </c>
      <c r="C311" s="11" t="inlineStr">
        <is>
          <t>White-label / własna marka resellera</t>
        </is>
      </c>
      <c r="D311" s="11" t="inlineStr">
        <is>
          <t>TAK</t>
        </is>
      </c>
      <c r="E311" s="11" t="inlineStr">
        <is>
          <t>TAK</t>
        </is>
      </c>
      <c r="F311" s="11" t="inlineStr">
        <is>
          <t>TAK</t>
        </is>
      </c>
      <c r="G311" s="11" t="inlineStr">
        <is>
          <t>CZĘŚĆ</t>
        </is>
      </c>
      <c r="H311" s="11" t="inlineStr">
        <is>
          <t>CZĘŚĆ</t>
        </is>
      </c>
      <c r="I311" s="11" t="inlineStr">
        <is>
          <t>DZIAŁA</t>
        </is>
      </c>
      <c r="J311" s="12" t="inlineStr">
        <is>
          <t>reseller-marka.ts, mailer.service.ts applyPartnerBrand, reseller-logo.public.controller.ts, layout.tsx (sidebar), migracja 20260925230000_reseller_logo</t>
        </is>
      </c>
      <c r="K311" s="11" t="inlineStr">
        <is>
          <t>PARYTET</t>
        </is>
      </c>
      <c r="L311" s="11" t="inlineStr">
        <is>
          <t>NISKA</t>
        </is>
      </c>
      <c r="M311" s="11" t="inlineStr">
        <is>
          <t>L</t>
        </is>
      </c>
      <c r="N311" s="12" t="inlineStr">
        <is>
          <t>seohost to reklamuje jako wyróżnik | 2026-09-25 PRZEGLĄD TREŚCI verris.pl: strona obiecywała „własną markę — klient widzi Ciebie, nie nas”, a brandName jest tylko zapisywany (klient loguje się do panelu Verris). Treść zmieniona na „własny narzut”; „własna marka” wraca na stronę po zrobieniu tej pozycji. | 2026-09-25: nazwa i logo resellera (PNG/JPEG/WebP ≤100 KB, typ po sygnaturze, nigdy SVG) w panelu klienta (sidebar, Ustawienia) i w nagłówku każdego maila z email-shell, z dopiskiem „na infrastrukturze Verris”; własna domena panelu po starcie. Zostało: przejście na produkcji, potem decyzja o powrocie „własnej marki” na verris.pl. | 2026-09-27 PRODUKCJA (D4): mail do klienta testowego z logo i nazwą „Test Verris” + „na infrastrukturze Verris” — potwierdzone zrzutem właściciela. Zostaje: marka w panelu klienta. | 2026-09-27 PRODUKCJA (D4): panel klienta testowego pokazuje w menu logo „Test Verris” + „na infrastrukturze Verris”. Poprawione (5d70739): nazwa nie dubluje się obok logo. Mail i panel sprawdzone — zamknięte.</t>
        </is>
      </c>
    </row>
    <row r="312">
      <c r="A312" s="11" t="inlineStr">
        <is>
          <t>O-10</t>
        </is>
      </c>
      <c r="B312" s="12" t="inlineStr">
        <is>
          <t>O</t>
        </is>
      </c>
      <c r="C312" s="11" t="inlineStr">
        <is>
          <t>Role i uprawnienia operatorów</t>
        </is>
      </c>
      <c r="D312" s="11" t="inlineStr">
        <is>
          <t>TAK</t>
        </is>
      </c>
      <c r="E312" s="11" t="inlineStr">
        <is>
          <t>TAK</t>
        </is>
      </c>
      <c r="F312" s="11" t="inlineStr">
        <is>
          <t>TAK</t>
        </is>
      </c>
      <c r="G312" s="11" t="inlineStr">
        <is>
          <t>—</t>
        </is>
      </c>
      <c r="H312" s="11" t="inlineStr">
        <is>
          <t>—</t>
        </is>
      </c>
      <c r="I312" s="11" t="inlineStr">
        <is>
          <t>DZIAŁA</t>
        </is>
      </c>
      <c r="J312" s="12" t="inlineStr">
        <is>
          <t>staff-roles.admin.controller.ts:31,36,41</t>
        </is>
      </c>
      <c r="K312" s="11" t="inlineStr">
        <is>
          <t>PARYTET</t>
        </is>
      </c>
      <c r="L312" s="11" t="inlineStr">
        <is>
          <t>—</t>
        </is>
      </c>
      <c r="M312" s="11" t="inlineStr">
        <is>
          <t>—</t>
        </is>
      </c>
      <c r="N312" s="12" t="inlineStr"/>
    </row>
    <row r="313">
      <c r="A313" s="11" t="inlineStr">
        <is>
          <t>O-11</t>
        </is>
      </c>
      <c r="B313" s="12" t="inlineStr">
        <is>
          <t>O</t>
        </is>
      </c>
      <c r="C313" s="11" t="inlineStr">
        <is>
          <t>Zarządzanie operatorami</t>
        </is>
      </c>
      <c r="D313" s="11" t="inlineStr">
        <is>
          <t>TAK</t>
        </is>
      </c>
      <c r="E313" s="11" t="inlineStr">
        <is>
          <t>TAK</t>
        </is>
      </c>
      <c r="F313" s="11" t="inlineStr">
        <is>
          <t>TAK</t>
        </is>
      </c>
      <c r="G313" s="11" t="inlineStr">
        <is>
          <t>—</t>
        </is>
      </c>
      <c r="H313" s="11" t="inlineStr">
        <is>
          <t>—</t>
        </is>
      </c>
      <c r="I313" s="11" t="inlineStr">
        <is>
          <t>DZIAŁA</t>
        </is>
      </c>
      <c r="J313" s="12" t="inlineStr">
        <is>
          <t>staff-roles.admin.controller.ts:51,56,61</t>
        </is>
      </c>
      <c r="K313" s="11" t="inlineStr">
        <is>
          <t>PARYTET</t>
        </is>
      </c>
      <c r="L313" s="11" t="inlineStr">
        <is>
          <t>—</t>
        </is>
      </c>
      <c r="M313" s="11" t="inlineStr">
        <is>
          <t>—</t>
        </is>
      </c>
      <c r="N313" s="12" t="inlineStr"/>
    </row>
    <row r="314">
      <c r="A314" s="11" t="inlineStr">
        <is>
          <t>O-12</t>
        </is>
      </c>
      <c r="B314" s="12" t="inlineStr">
        <is>
          <t>O</t>
        </is>
      </c>
      <c r="C314" s="11" t="inlineStr">
        <is>
          <t>Program partnerski / afiliacyjny</t>
        </is>
      </c>
      <c r="D314" s="11" t="inlineStr">
        <is>
          <t>NIE</t>
        </is>
      </c>
      <c r="E314" s="11" t="inlineStr">
        <is>
          <t>NIE</t>
        </is>
      </c>
      <c r="F314" s="11" t="inlineStr">
        <is>
          <t>NIE</t>
        </is>
      </c>
      <c r="G314" s="11" t="inlineStr">
        <is>
          <t>CZĘŚĆ</t>
        </is>
      </c>
      <c r="H314" s="11" t="inlineStr">
        <is>
          <t>TAK</t>
        </is>
      </c>
      <c r="I314" s="11" t="inlineStr">
        <is>
          <t>DZIAŁA</t>
        </is>
      </c>
      <c r="J314" s="12" t="inlineStr">
        <is>
          <t>partners.controller.ts:18,28,34</t>
        </is>
      </c>
      <c r="K314" s="11" t="inlineStr">
        <is>
          <t>PARYTET</t>
        </is>
      </c>
      <c r="L314" s="11" t="inlineStr">
        <is>
          <t>—</t>
        </is>
      </c>
      <c r="M314" s="11" t="inlineStr">
        <is>
          <t>—</t>
        </is>
      </c>
      <c r="N314" s="12" t="inlineStr">
        <is>
          <t>wypłata na portfel lub IBAN | 2026-09-27 KOD (c8a4d84): równoległe żądania wypłaty nie tworzą dwóch wypłat z tych samych prowizji. Test partnerzy-wyplaty.int-spec.ts.</t>
        </is>
      </c>
    </row>
    <row r="315">
      <c r="A315" s="11" t="inlineStr">
        <is>
          <t>Z-04</t>
        </is>
      </c>
      <c r="B315" s="12" t="inlineStr">
        <is>
          <t>O</t>
        </is>
      </c>
      <c r="C315" s="11" t="inlineStr">
        <is>
          <t>Guard uprawnień subkont — domyślna odmowa</t>
        </is>
      </c>
      <c r="D315" s="11" t="inlineStr">
        <is>
          <t>TAK</t>
        </is>
      </c>
      <c r="E315" s="11" t="inlineStr">
        <is>
          <t>TAK</t>
        </is>
      </c>
      <c r="F315" s="11" t="inlineStr">
        <is>
          <t>CZĘŚĆ</t>
        </is>
      </c>
      <c r="G315" s="11" t="inlineStr">
        <is>
          <t>CZĘŚĆ</t>
        </is>
      </c>
      <c r="H315" s="11" t="inlineStr">
        <is>
          <t>TAK</t>
        </is>
      </c>
      <c r="I315" s="11" t="inlineStr">
        <is>
          <t>DZIAŁA</t>
        </is>
      </c>
      <c r="J315" s="12" t="inlineStr">
        <is>
          <t>customer-permissions.guard.ts — typ WymogTrasy, REGULY_TRAS, domyślne 'ODMOWA'; customer-permissions-coverage.spec.ts — 55 tras zamkniętych, lista jawna</t>
        </is>
      </c>
      <c r="K315" s="11" t="inlineStr">
        <is>
          <t>PARYTET</t>
        </is>
      </c>
      <c r="L315" s="11" t="inlineStr">
        <is>
          <t>—</t>
        </is>
      </c>
      <c r="M315" s="11" t="inlineStr">
        <is>
          <t>S</t>
        </is>
      </c>
      <c r="N315" s="12"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row>
    <row r="316">
      <c r="A316" s="11" t="inlineStr">
        <is>
          <t>P-01</t>
        </is>
      </c>
      <c r="B316" s="12" t="inlineStr">
        <is>
          <t>P</t>
        </is>
      </c>
      <c r="C316" s="11" t="inlineStr">
        <is>
          <t>Eksport danych osobowych (art. 20)</t>
        </is>
      </c>
      <c r="D316" s="11" t="inlineStr">
        <is>
          <t>NIE</t>
        </is>
      </c>
      <c r="E316" s="11" t="inlineStr">
        <is>
          <t>CZĘŚĆ</t>
        </is>
      </c>
      <c r="F316" s="11" t="inlineStr">
        <is>
          <t>NIE</t>
        </is>
      </c>
      <c r="G316" s="11" t="inlineStr">
        <is>
          <t>CZĘŚĆ</t>
        </is>
      </c>
      <c r="H316" s="11" t="inlineStr">
        <is>
          <t>CZĘŚĆ</t>
        </is>
      </c>
      <c r="I316" s="11" t="inlineStr">
        <is>
          <t>DZIAŁA</t>
        </is>
      </c>
      <c r="J316" s="12" t="inlineStr">
        <is>
          <t>compliance/data-export.service.ts; test data-export.zip.spec.ts</t>
        </is>
      </c>
      <c r="K316" s="11" t="inlineStr">
        <is>
          <t>PRZEWAGA</t>
        </is>
      </c>
      <c r="L316" s="11" t="inlineStr">
        <is>
          <t>—</t>
        </is>
      </c>
      <c r="M316" s="11" t="inlineStr">
        <is>
          <t>—</t>
        </is>
      </c>
      <c r="N316" s="12" t="inlineStr">
        <is>
          <t>KOREKTA 2026-09-25: wpis „ZERO testów” był nieaktualny — data-export.zip.spec.ts (X-22) sprawdza archiwum: README, sekcje JSON, załączniki zgłoszeń, zaczernione sekrety, zip slip, brakujący obiekt w magazynie. Dołożone: zaczernienie kodów awaryjnych operatora (staffBreakGlassCodesEnc) — eksport konta operatora wynosił je zaszyfrowane.</t>
        </is>
      </c>
    </row>
    <row r="317">
      <c r="A317" s="11" t="inlineStr">
        <is>
          <t>P-02</t>
        </is>
      </c>
      <c r="B317" s="12" t="inlineStr">
        <is>
          <t>P</t>
        </is>
      </c>
      <c r="C317" s="11" t="inlineStr">
        <is>
          <t>Żądanie usunięcia konta (art. 17)</t>
        </is>
      </c>
      <c r="D317" s="11" t="inlineStr">
        <is>
          <t>NIE</t>
        </is>
      </c>
      <c r="E317" s="11" t="inlineStr">
        <is>
          <t>CZĘŚĆ</t>
        </is>
      </c>
      <c r="F317" s="11" t="inlineStr">
        <is>
          <t>NIE</t>
        </is>
      </c>
      <c r="G317" s="11" t="inlineStr">
        <is>
          <t>CZĘŚĆ</t>
        </is>
      </c>
      <c r="H317" s="11" t="inlineStr">
        <is>
          <t>CZĘŚĆ</t>
        </is>
      </c>
      <c r="I317" s="11" t="inlineStr">
        <is>
          <t>DZIAŁA</t>
        </is>
      </c>
      <c r="J317" s="12" t="inlineStr">
        <is>
          <t>compliance/account-deletion.service.ts; auth/strategies/jwt.strategy.ts; testy account-deletion.anonymizacja.spec.ts, account-deletion.purge.spec.ts</t>
        </is>
      </c>
      <c r="K317" s="11" t="inlineStr">
        <is>
          <t>PRZEWAGA</t>
        </is>
      </c>
      <c r="L317" s="11" t="inlineStr">
        <is>
          <t>WYSOKA</t>
        </is>
      </c>
      <c r="M317" s="11" t="inlineStr">
        <is>
          <t>—</t>
        </is>
      </c>
      <c r="N317" s="12" t="inlineStr">
        <is>
          <t>ZERO testów na operacji NIEODWRACALNEJ (twarde kasowanie konta DA) | 2026-09-25: TESTY + 2 NAPRAWY (D2). (1) Subkonta zanonimizowanego właściciela zachowywały dostęp: JWT subkonta daje userId właściciela, a anonimizacja ich nie ruszała — mogły dalej działać na koncie (np. zamawiać usługi). Teraz subkonta są wyłączane, anonimizowane i wylogowane w tej samej transakcji, a strażnik JWT odrzuca subkonto, gdy właściciel jest zanonimizowany albo zablokowany. (2) Dziennik audytu zapisywał jawny poprzedni e-mail (trzymany 24 mies.) — teraz tylko skrót SHA-256. Testy: co znika, co zostaje (faktury), subkonta, brak e-maila w dzienniku, zawieszenie na serwerze dopiero po zapisie w bazie, idempotencja. Nieodwracalne + dane klienta — zostaje do D3. | 2026-09-25 (2): anonimizacja usuwa też webhooki klienta (adres i sekret) i unieważnia tokeny API.</t>
        </is>
      </c>
    </row>
    <row r="318">
      <c r="A318" s="11" t="inlineStr">
        <is>
          <t>P-03</t>
        </is>
      </c>
      <c r="B318" s="12" t="inlineStr">
        <is>
          <t>P</t>
        </is>
      </c>
      <c r="C318" s="11" t="inlineStr">
        <is>
          <t>Wycofanie żądania usunięcia</t>
        </is>
      </c>
      <c r="D318" s="11" t="inlineStr">
        <is>
          <t>NIE</t>
        </is>
      </c>
      <c r="E318" s="11" t="inlineStr">
        <is>
          <t>NIE</t>
        </is>
      </c>
      <c r="F318" s="11" t="inlineStr">
        <is>
          <t>NIE</t>
        </is>
      </c>
      <c r="G318" s="11" t="inlineStr">
        <is>
          <t>b.d.</t>
        </is>
      </c>
      <c r="H318" s="11" t="inlineStr">
        <is>
          <t>b.d.</t>
        </is>
      </c>
      <c r="I318" s="11" t="inlineStr">
        <is>
          <t>DZIAŁA</t>
        </is>
      </c>
      <c r="J318" s="12" t="inlineStr">
        <is>
          <t>account-deletion.controller.ts:62</t>
        </is>
      </c>
      <c r="K318" s="11" t="inlineStr">
        <is>
          <t>PRZEWAGA</t>
        </is>
      </c>
      <c r="L318" s="11" t="inlineStr">
        <is>
          <t>—</t>
        </is>
      </c>
      <c r="M318" s="11" t="inlineStr">
        <is>
          <t>—</t>
        </is>
      </c>
      <c r="N318" s="12" t="inlineStr">
        <is>
          <t>karencja 14 dni</t>
        </is>
      </c>
    </row>
    <row r="319">
      <c r="A319" s="11" t="inlineStr">
        <is>
          <t>P-04</t>
        </is>
      </c>
      <c r="B319" s="12" t="inlineStr">
        <is>
          <t>P</t>
        </is>
      </c>
      <c r="C319" s="11" t="inlineStr">
        <is>
          <t>Historia zgód klienta</t>
        </is>
      </c>
      <c r="D319" s="11" t="inlineStr">
        <is>
          <t>NIE</t>
        </is>
      </c>
      <c r="E319" s="11" t="inlineStr">
        <is>
          <t>CZĘŚĆ</t>
        </is>
      </c>
      <c r="F319" s="11" t="inlineStr">
        <is>
          <t>NIE</t>
        </is>
      </c>
      <c r="G319" s="11" t="inlineStr">
        <is>
          <t>CZĘŚĆ</t>
        </is>
      </c>
      <c r="H319" s="11" t="inlineStr">
        <is>
          <t>CZĘŚĆ</t>
        </is>
      </c>
      <c r="I319" s="11" t="inlineStr">
        <is>
          <t>DZIAŁA</t>
        </is>
      </c>
      <c r="J319" s="12" t="inlineStr">
        <is>
          <t>consents.controller.ts:70</t>
        </is>
      </c>
      <c r="K319" s="11" t="inlineStr">
        <is>
          <t>PARYTET</t>
        </is>
      </c>
      <c r="L319" s="11" t="inlineStr">
        <is>
          <t>—</t>
        </is>
      </c>
      <c r="M319" s="11" t="inlineStr">
        <is>
          <t>—</t>
        </is>
      </c>
      <c r="N319" s="12" t="inlineStr"/>
    </row>
    <row r="320">
      <c r="A320" s="11" t="inlineStr">
        <is>
          <t>P-05</t>
        </is>
      </c>
      <c r="B320" s="12" t="inlineStr">
        <is>
          <t>P</t>
        </is>
      </c>
      <c r="C320" s="11" t="inlineStr">
        <is>
          <t>Ponowna akceptacja przy zmianie regulaminu</t>
        </is>
      </c>
      <c r="D320" s="11" t="inlineStr">
        <is>
          <t>NIE</t>
        </is>
      </c>
      <c r="E320" s="11" t="inlineStr">
        <is>
          <t>NIE</t>
        </is>
      </c>
      <c r="F320" s="11" t="inlineStr">
        <is>
          <t>NIE</t>
        </is>
      </c>
      <c r="G320" s="11" t="inlineStr">
        <is>
          <t>CZĘŚĆ</t>
        </is>
      </c>
      <c r="H320" s="11" t="inlineStr">
        <is>
          <t>CZĘŚĆ</t>
        </is>
      </c>
      <c r="I320" s="11" t="inlineStr">
        <is>
          <t>DZIAŁA</t>
        </is>
      </c>
      <c r="J320" s="12" t="inlineStr">
        <is>
          <t>reconsent-modal.tsx:169; consents.controller.ts:76</t>
        </is>
      </c>
      <c r="K320" s="11" t="inlineStr">
        <is>
          <t>PRZEWAGA</t>
        </is>
      </c>
      <c r="L320" s="11" t="inlineStr">
        <is>
          <t>—</t>
        </is>
      </c>
      <c r="M320" s="11" t="inlineStr">
        <is>
          <t>—</t>
        </is>
      </c>
      <c r="N320" s="12" t="inlineStr">
        <is>
          <t xml:space="preserve"> | 2026-10-06 D3: po publikacji 1.1.0 panel klienta przy wejściu pokazuje okno „Zaktualizowaliśmy ważne dokumenty prawne” (Regulamin i Polityka 1.1.0, zaakceptowana 1.0.1, link do pełnej treści, checkbox + Akceptuję/Wyloguj).</t>
        </is>
      </c>
    </row>
    <row r="321">
      <c r="A321" s="11" t="inlineStr">
        <is>
          <t>P-06</t>
        </is>
      </c>
      <c r="B321" s="12" t="inlineStr">
        <is>
          <t>P</t>
        </is>
      </c>
      <c r="C321" s="11" t="inlineStr">
        <is>
          <t>Umowa powierzenia (DPA) do pobrania</t>
        </is>
      </c>
      <c r="D321" s="11" t="inlineStr">
        <is>
          <t>NIE</t>
        </is>
      </c>
      <c r="E321" s="11" t="inlineStr">
        <is>
          <t>CZĘŚĆ</t>
        </is>
      </c>
      <c r="F321" s="11" t="inlineStr">
        <is>
          <t>NIE</t>
        </is>
      </c>
      <c r="G321" s="11" t="inlineStr">
        <is>
          <t>CZĘŚĆ</t>
        </is>
      </c>
      <c r="H321" s="11" t="inlineStr">
        <is>
          <t>CZĘŚĆ</t>
        </is>
      </c>
      <c r="I321" s="11" t="inlineStr">
        <is>
          <t>DZIAŁA</t>
        </is>
      </c>
      <c r="J321" s="12" t="inlineStr">
        <is>
          <t>dpa.controller.ts:23; dpa-pdf.service.ts</t>
        </is>
      </c>
      <c r="K321" s="11" t="inlineStr">
        <is>
          <t>PRZEWAGA</t>
        </is>
      </c>
      <c r="L321" s="11" t="inlineStr">
        <is>
          <t>—</t>
        </is>
      </c>
      <c r="M321" s="11" t="inlineStr">
        <is>
          <t>—</t>
        </is>
      </c>
      <c r="N321" s="12" t="inlineStr"/>
    </row>
    <row r="322">
      <c r="A322" s="11" t="inlineStr">
        <is>
          <t>P-07</t>
        </is>
      </c>
      <c r="B322" s="12" t="inlineStr">
        <is>
          <t>P</t>
        </is>
      </c>
      <c r="C322" s="11" t="inlineStr">
        <is>
          <t>Dokumenty prawne z historią wersji</t>
        </is>
      </c>
      <c r="D322" s="11" t="inlineStr">
        <is>
          <t>NIE</t>
        </is>
      </c>
      <c r="E322" s="11" t="inlineStr">
        <is>
          <t>NIE</t>
        </is>
      </c>
      <c r="F322" s="11" t="inlineStr">
        <is>
          <t>NIE</t>
        </is>
      </c>
      <c r="G322" s="11" t="inlineStr">
        <is>
          <t>CZĘŚĆ</t>
        </is>
      </c>
      <c r="H322" s="11" t="inlineStr">
        <is>
          <t>CZĘŚĆ</t>
        </is>
      </c>
      <c r="I322" s="11" t="inlineStr">
        <is>
          <t>DZIAŁA</t>
        </is>
      </c>
      <c r="J322" s="12" t="inlineStr">
        <is>
          <t>legal-documents.controller.ts:36,49</t>
        </is>
      </c>
      <c r="K322" s="11" t="inlineStr">
        <is>
          <t>PRZEWAGA</t>
        </is>
      </c>
      <c r="L322" s="11" t="inlineStr">
        <is>
          <t>—</t>
        </is>
      </c>
      <c r="M322" s="11" t="inlineStr">
        <is>
          <t>—</t>
        </is>
      </c>
      <c r="N322" s="12" t="inlineStr">
        <is>
          <t>brakujący dokument → „Dokument w przygotowaniu”</t>
        </is>
      </c>
    </row>
    <row r="323">
      <c r="A323" s="11" t="inlineStr">
        <is>
          <t>P-08</t>
        </is>
      </c>
      <c r="B323" s="12" t="inlineStr">
        <is>
          <t>P</t>
        </is>
      </c>
      <c r="C323" s="11" t="inlineStr">
        <is>
          <t>Retencja i anonimizacja logów</t>
        </is>
      </c>
      <c r="D323" s="11" t="inlineStr">
        <is>
          <t>NIE</t>
        </is>
      </c>
      <c r="E323" s="11" t="inlineStr">
        <is>
          <t>CZĘŚĆ</t>
        </is>
      </c>
      <c r="F323" s="11" t="inlineStr">
        <is>
          <t>NIE</t>
        </is>
      </c>
      <c r="G323" s="11" t="inlineStr">
        <is>
          <t>b.d.</t>
        </is>
      </c>
      <c r="H323" s="11" t="inlineStr">
        <is>
          <t>b.d.</t>
        </is>
      </c>
      <c r="I323" s="11" t="inlineStr">
        <is>
          <t>DZIAŁA</t>
        </is>
      </c>
      <c r="J323" s="12" t="inlineStr">
        <is>
          <t>compliance/retention.scheduler.ts; test retention.scheduler.spec.ts</t>
        </is>
      </c>
      <c r="K323" s="11" t="inlineStr">
        <is>
          <t>PRZEWAGA</t>
        </is>
      </c>
      <c r="L323" s="11" t="inlineStr">
        <is>
          <t>—</t>
        </is>
      </c>
      <c r="M323" s="11" t="inlineStr">
        <is>
          <t>—</t>
        </is>
      </c>
      <c r="N323" s="12" t="inlineStr">
        <is>
          <t>ZERO testów | 2026-09-25: TESTY (D2) — progi sprawdzone testem: próby logowania 180 dni, IP i user-agent w dzienniku po ~24 mies. (wpis zostaje), zdarzenia Stripe 90 dni, wygasłe eksporty; wpis RETENTION_PURGE tylko gdy coś usunięto. Poprawiony opis w kodzie: obiecywał kasowanie kont DA po anonimizacji, którego ten sweeper nie robi (robi to ścieżka art. 17).</t>
        </is>
      </c>
    </row>
    <row r="324">
      <c r="A324" s="11" t="inlineStr">
        <is>
          <t>P-09</t>
        </is>
      </c>
      <c r="B324" s="12" t="inlineStr">
        <is>
          <t>P</t>
        </is>
      </c>
      <c r="C324" s="11" t="inlineStr">
        <is>
          <t>Zgody marketingowe (opt-in/out)</t>
        </is>
      </c>
      <c r="D324" s="11" t="inlineStr">
        <is>
          <t>NIE</t>
        </is>
      </c>
      <c r="E324" s="11" t="inlineStr">
        <is>
          <t>NIE</t>
        </is>
      </c>
      <c r="F324" s="11" t="inlineStr">
        <is>
          <t>NIE</t>
        </is>
      </c>
      <c r="G324" s="11" t="inlineStr">
        <is>
          <t>TAK</t>
        </is>
      </c>
      <c r="H324" s="11" t="inlineStr">
        <is>
          <t>TAK</t>
        </is>
      </c>
      <c r="I324" s="11" t="inlineStr">
        <is>
          <t>DZIAŁA</t>
        </is>
      </c>
      <c r="J324" s="12" t="inlineStr">
        <is>
          <t>consents.controller.ts:99</t>
        </is>
      </c>
      <c r="K324" s="11" t="inlineStr">
        <is>
          <t>PARYTET</t>
        </is>
      </c>
      <c r="L324" s="11" t="inlineStr">
        <is>
          <t>—</t>
        </is>
      </c>
      <c r="M324" s="11" t="inlineStr">
        <is>
          <t>—</t>
        </is>
      </c>
      <c r="N324" s="12" t="inlineStr"/>
    </row>
    <row r="325">
      <c r="A325" s="11" t="inlineStr">
        <is>
          <t>P-10</t>
        </is>
      </c>
      <c r="B325" s="12" t="inlineStr">
        <is>
          <t>P</t>
        </is>
      </c>
      <c r="C325" s="11" t="inlineStr">
        <is>
          <t>Baner zgody na cookies</t>
        </is>
      </c>
      <c r="D325" s="11" t="inlineStr">
        <is>
          <t>NIE</t>
        </is>
      </c>
      <c r="E325" s="11" t="inlineStr">
        <is>
          <t>NIE</t>
        </is>
      </c>
      <c r="F325" s="11" t="inlineStr">
        <is>
          <t>NIE</t>
        </is>
      </c>
      <c r="G325" s="11" t="inlineStr">
        <is>
          <t>TAK</t>
        </is>
      </c>
      <c r="H325" s="11" t="inlineStr">
        <is>
          <t>TAK</t>
        </is>
      </c>
      <c r="I325" s="11" t="inlineStr">
        <is>
          <t>DZIAŁA</t>
        </is>
      </c>
      <c r="J325" s="12" t="inlineStr">
        <is>
          <t>cookie-consent.tsx</t>
        </is>
      </c>
      <c r="K325" s="11" t="inlineStr">
        <is>
          <t>PARYTET</t>
        </is>
      </c>
      <c r="L325" s="11" t="inlineStr">
        <is>
          <t>—</t>
        </is>
      </c>
      <c r="M325" s="11" t="inlineStr">
        <is>
          <t>—</t>
        </is>
      </c>
      <c r="N325" s="12" t="inlineStr"/>
    </row>
    <row r="326">
      <c r="A326" s="11" t="inlineStr">
        <is>
          <t>P-11</t>
        </is>
      </c>
      <c r="B326" s="12" t="inlineStr">
        <is>
          <t>P</t>
        </is>
      </c>
      <c r="C326" s="11" t="inlineStr">
        <is>
          <t>Rejestr czynności przetwarzania (art. 30)</t>
        </is>
      </c>
      <c r="D326" s="11" t="inlineStr">
        <is>
          <t>NIE</t>
        </is>
      </c>
      <c r="E326" s="11" t="inlineStr">
        <is>
          <t>NIE</t>
        </is>
      </c>
      <c r="F326" s="11" t="inlineStr">
        <is>
          <t>NIE</t>
        </is>
      </c>
      <c r="G326" s="11" t="inlineStr">
        <is>
          <t>b.d.</t>
        </is>
      </c>
      <c r="H326" s="11" t="inlineStr">
        <is>
          <t>b.d.</t>
        </is>
      </c>
      <c r="I326" s="11" t="inlineStr">
        <is>
          <t>DZIAŁA</t>
        </is>
      </c>
      <c r="J326" s="12" t="inlineStr">
        <is>
          <t>docs/legal/rcpd.md — sekcje A (administrator), B (procesor, art. 30 ust. 2), C (art. 32), D (przeglądy)</t>
        </is>
      </c>
      <c r="K326" s="11" t="inlineStr">
        <is>
          <t>PARYTET</t>
        </is>
      </c>
      <c r="L326" s="11" t="inlineStr">
        <is>
          <t>ŚREDNIA</t>
        </is>
      </c>
      <c r="M326" s="11" t="inlineStr">
        <is>
          <t>M</t>
        </is>
      </c>
      <c r="N326" s="12" t="inlineStr">
        <is>
          <t>KOREKTA DOWODU: wcześniejszy zapis „brak encji i widoku” był mylący. Art. 30 wymaga formy pisemnej lub elektronicznej — dokument ją spełnia. Do pilnowania zostaje dyscyplina przeglądów i dat. | 2026-09-25: RCPD 1.1 — A13 asystent AI (OpenAI Ireland Ltd, Anthropic Ireland, Limited; SCC; retencja dziennika AI 12 mies. egzekwowana w RetentionScheduler, test retention.scheduler.spec.ts). Nazwy i warunki dostawców z oficjalnych umów (OpenAI Services Agreement + DPA, Anthropic Commercial Terms + DPA). | 2026-09-26: projekt rytmu przeglądów (co 6 mies. 26.03/26.09 + lista 7 zdarzeń + dziennik, sekcja E) i poprawka sprzeczności w sekcji D (KSC ~3.10 → 6 mies. od DNS/domen) — docs/legal/drafts/DO_ZATWIERDZENIA_P-11_rcpd-przeglady.md (do zatwierdzenia; po akceptacji → rcpd.md 1.2 i DZIAŁA). | 2026-09-27 ZAMKNIĘTE: decyzja właściciela — przeglądy 26.03 i 26.09 + zdarzeniowe; rcpd.md 1.2 (sekcja D: rytm i lista kontrolna, sekcja E: dziennik z pierwszym wpisem); zadanie w panelu admina (PrzegladRcpdScheduler, test przeglad-rcpd.scheduler.spec.ts).</t>
        </is>
      </c>
    </row>
    <row r="327">
      <c r="A327" s="11" t="inlineStr">
        <is>
          <t>P-12</t>
        </is>
      </c>
      <c r="B327" s="12" t="inlineStr">
        <is>
          <t>P</t>
        </is>
      </c>
      <c r="C327" s="11" t="inlineStr">
        <is>
          <t>Dostępność panelu wg WCAG 2.1 AA (EAA)</t>
        </is>
      </c>
      <c r="D327" s="11" t="inlineStr">
        <is>
          <t>NIE</t>
        </is>
      </c>
      <c r="E327" s="11" t="inlineStr">
        <is>
          <t>CZĘŚĆ</t>
        </is>
      </c>
      <c r="F327" s="11" t="inlineStr">
        <is>
          <t>NIE</t>
        </is>
      </c>
      <c r="G327" s="11" t="inlineStr">
        <is>
          <t>b.d.</t>
        </is>
      </c>
      <c r="H327" s="11" t="inlineStr">
        <is>
          <t>b.d.</t>
        </is>
      </c>
      <c r="I327" s="11" t="inlineStr">
        <is>
          <t>DZIAŁA</t>
        </is>
      </c>
      <c r="J327" s="12" t="inlineStr">
        <is>
          <t>eslint.config.mjs w 4 aplikacjach: jsx-a11y recommended jako błędy (34 reguły); 76 → 0 znalezisk (client 52, admin 17, staff 6, www 1); client-panel/src/lib/kontrast-tokenow.spec.ts; ops/qa/a11y-nazwy-kontrolek.js</t>
        </is>
      </c>
      <c r="K327" s="11" t="inlineStr">
        <is>
          <t>CZĘŚCIOWY</t>
        </is>
      </c>
      <c r="L327" s="11" t="inlineStr">
        <is>
          <t>ŚREDNIA</t>
        </is>
      </c>
      <c r="M327" s="11" t="inlineStr">
        <is>
          <t>L</t>
        </is>
      </c>
      <c r="N327" s="12" t="inlineStr">
        <is>
          <t>2026-09-24: etykiety powiązane z polami (htmlFor/useId, aria-labelledby), klikalne div/li → button, okna modalne z role=dialog + Esc (brakowało w 3 oknach admina i 3 kreatora), paleta poleceń z rolami combobox. Wyciszenia tylko z uzasadnieniem (fokus w oknie otwartym przez użytkownika, tabIndex=0 na wykresach — żeby dymki z danymi były dostępne z klawiatury). ZOSTAJE: kontrast kolorów i przejście czytnikiem ekranu — tego lint nie sprawdza. | KOREKTA DOWODU: wcześniejszy zapis „brak audytu w repo” był FAŁSZYWY. Audyt istnieje. Dokument powołuje się na zwolnienie mikroprzedsiębiorcy (art. 4 ust. 2 ustawy z 26.04.2024) — warto potwierdzić z prawnikiem i pilnować progów 10 osób / 2 mln EUR. | 2026-09-25 KONTRAST (panel klienta): policzone wg WCAG dla obu motywów. Jasny: --data 2,5–3,0:1 (wykresy, obramowanie fokusu) → #18935f (≥3,2:1), --data-hi, --warn, --crit poniżej 4,5:1 na --muted, --destructive 4,0–4,2:1 → poprawione; ciemny: tekst przycisku „usuń” 3,6:1 → 5,8:1; linki text-data → text-data-hi. Strażnik kontrast-tokenow.spec.ts (16 testów; sprawdzony: stary kolor --data → czerwony). ZOSTAJE: przejście czytnikiem ekranu i panele admin/obsługa. | 2026-09-25 NAZWY KONTROLEK (produkcja, zalogowane konta): skan HTML wszystkich tras bez parametrów — klient 24, admin 48, obsługa 11 (ops/qa/a11y-nazwy-kontrolek.js). Znalezione i poprawione: pola bez etykiety (plany — Field bez htmlFor obejmuje pole; faktura ręczna, role, VPN, poczta zespołu, wyszukiwarki klientów i dziennika, doładowanie, kody promocyjne, kalkulator, IAM, analityka, baza wiedzy), przełączniki bez nazwy, linki-ikony „wstecz”, przycisk menu konta. Admin i obsługa dostały skip link. Przy okazji: /settings/mail i /referral-enrollments w panelu obsługi dawały błąd serwera (403 z API) — naprawione; panele mają error.tsx zamiast pustej strony błędu. | 2026-09-25 (3): jeden h1 na stronach logowania, rejestracji, resetu hasła i dokumentów prawnych (nagłówki treści dokumentu o poziom niżej); strona i baza wiedzy (verris.pl, pomoc.verris.pl) — skan czysty. Kontrast szarego tekstu w panelach admina i obsługi (neutral-500/600) podniesiony do ≥4,5:1. | 2026-09-25: Stepper kreatorów z aria-current="step"; komunikaty błędów zawsze po polsku (akcje serwera nie dostają już HTML-a 503 z middleware). | 2026-09-26 (noc) SKAN AXE 4.13 (WCAG 2.0/2.1 A+AA), lokalnie na pełnym systemie, oba motywy: panel klienta 35 tras, admin 50, obsługa 11. Znalezione i poprawione: kontrast (etykiety sekcji menu admina 4,1:1 → #8E8E97; przyciski emerald-600/violet-500/cyan-600 z białym tekstem → odcienie ≥4,5:1 w adminie i obsłudze; text-white/40 → /55), linki w tekście bez podkreślenia (19 plików klienta + admin), aria-label na span bez roli (paginacja audytu, onboarding, wczytywanie konta), lista z nieprawidłowymi dziećmi (kreator węzła), pola bez etykiety w Ustawieniach (e-mail, język, kraj). Po poprawkach: admin 0, obsługa 0, klient — tylko meta-refresh strony „chwilowa przerwa” (503 w trakcie wdrożenia, auto-odświeżenie celowe). Przejście prawdziwym czytnikiem ekranu (VoiceOver/NVDA) wymaga człowieka — zostaje jako kontrola ręczna.</t>
        </is>
      </c>
    </row>
    <row r="328">
      <c r="A328" s="11" t="inlineStr">
        <is>
          <t>P-13</t>
        </is>
      </c>
      <c r="B328" s="12" t="inlineStr">
        <is>
          <t>P</t>
        </is>
      </c>
      <c r="C328" s="11" t="inlineStr">
        <is>
          <t>Deklaracja lokalizacji danych</t>
        </is>
      </c>
      <c r="D328" s="11" t="inlineStr">
        <is>
          <t>NIE</t>
        </is>
      </c>
      <c r="E328" s="11" t="inlineStr">
        <is>
          <t>NIE</t>
        </is>
      </c>
      <c r="F328" s="11" t="inlineStr">
        <is>
          <t>NIE</t>
        </is>
      </c>
      <c r="G328" s="11" t="inlineStr">
        <is>
          <t>TAK</t>
        </is>
      </c>
      <c r="H328" s="11" t="inlineStr">
        <is>
          <t>CZĘŚĆ</t>
        </is>
      </c>
      <c r="I328" s="11" t="inlineStr">
        <is>
          <t>DZIAŁA</t>
        </is>
      </c>
      <c r="J328" s="12" t="inlineStr">
        <is>
          <t>libs/contracts lokalizacja.ts; panel: usługa → Przegląd → Dane dostępowe (dopisek o lokalizacji); admin: węzeł → Lokalizacja danych, kreator/init węzła (lista); API: servers/regiony.ts + walidacja DTO; test src/test/regiony-danych.spec.ts</t>
        </is>
      </c>
      <c r="K328" s="11" t="inlineStr">
        <is>
          <t>PARYTET</t>
        </is>
      </c>
      <c r="L328" s="11" t="inlineStr">
        <is>
          <t>ŚREDNIA</t>
        </is>
      </c>
      <c r="M328" s="11" t="inlineStr">
        <is>
          <t>S</t>
        </is>
      </c>
      <c r="N328" s="12" t="inlineStr">
        <is>
          <t>wszystkie 5 hostingów PL to eksponuje | 2026-09-23: klient widzi, gdzie leżą dane usługi (region węzła) albo ogólne „EOG, Hetzner DE/FI”, gdy region nieustalony. Kreator węzła miał domyślnie „PL” w wolnym polu — przy węźle w Niemczech/Finlandii dałoby to fałszywą deklarację; teraz tylko kody centrów danych z listy. D3: po zakupie węzła #1 ustawić jego region w adminie. | 2026-10-06 decyzja właściciela: nazwę dostawcy centrum danych ukrywamy w całym UI (panel klienta, llms.txt) — opisy „Niemcy, Norymberga” itd.; nazwa zostaje w dokumentach prawnych (9327b0e9, test regiony-danych.spec.ts).</t>
        </is>
      </c>
    </row>
    <row r="329">
      <c r="A329" s="11" t="inlineStr">
        <is>
          <t>P-14</t>
        </is>
      </c>
      <c r="B329" s="12" t="inlineStr">
        <is>
          <t>P</t>
        </is>
      </c>
      <c r="C329" s="11" t="inlineStr">
        <is>
          <t>Certyfikacja ISO 27001</t>
        </is>
      </c>
      <c r="D329" s="11" t="inlineStr">
        <is>
          <t>NIE</t>
        </is>
      </c>
      <c r="E329" s="11" t="inlineStr">
        <is>
          <t>NIE</t>
        </is>
      </c>
      <c r="F329" s="11" t="inlineStr">
        <is>
          <t>NIE</t>
        </is>
      </c>
      <c r="G329" s="11" t="inlineStr">
        <is>
          <t>CZĘŚĆ</t>
        </is>
      </c>
      <c r="H329" s="11" t="inlineStr">
        <is>
          <t>CZĘŚĆ</t>
        </is>
      </c>
      <c r="I329" s="11" t="inlineStr">
        <is>
          <t>BRAK</t>
        </is>
      </c>
      <c r="J329" s="12" t="inlineStr">
        <is>
          <t>—</t>
        </is>
      </c>
      <c r="K329" s="11" t="inlineStr">
        <is>
          <t>LUKA</t>
        </is>
      </c>
      <c r="L329" s="11" t="inlineStr">
        <is>
          <t>NISKA</t>
        </is>
      </c>
      <c r="M329" s="11" t="inlineStr">
        <is>
          <t>L</t>
        </is>
      </c>
      <c r="N329" s="12" t="inlineStr">
        <is>
          <t>home.pl i nazwa.pl mają — element przetargowy w B2B</t>
        </is>
      </c>
    </row>
    <row r="330">
      <c r="A330" s="11" t="inlineStr">
        <is>
          <t>P-15</t>
        </is>
      </c>
      <c r="B330" s="12" t="inlineStr">
        <is>
          <t>P</t>
        </is>
      </c>
      <c r="C330" s="11" t="inlineStr">
        <is>
          <t>Podpisane DPA z subprocesorami</t>
        </is>
      </c>
      <c r="D330" s="11" t="inlineStr">
        <is>
          <t>—</t>
        </is>
      </c>
      <c r="E330" s="11" t="inlineStr">
        <is>
          <t>—</t>
        </is>
      </c>
      <c r="F330" s="11" t="inlineStr">
        <is>
          <t>—</t>
        </is>
      </c>
      <c r="G330" s="11" t="inlineStr">
        <is>
          <t>—</t>
        </is>
      </c>
      <c r="H330" s="11" t="inlineStr">
        <is>
          <t>—</t>
        </is>
      </c>
      <c r="I330" s="11" t="inlineStr">
        <is>
          <t>DZIAŁA</t>
        </is>
      </c>
      <c r="J330" s="12" t="inlineStr">
        <is>
          <t>docs/legal/dpa-subprocessors-tracking.md — tabela statusow po korekcie 2026-09-19. Stripe i AWS: DPA obowiazuje z mocy umowy glownej. Hetzner i Openprovider: akceptacja w panelu, jeszcze nie wykonana. Cloudflare: mechanizm do potwierdzenia.</t>
        </is>
      </c>
      <c r="K330" s="11" t="inlineStr">
        <is>
          <t>PARYTET</t>
        </is>
      </c>
      <c r="L330" s="11" t="inlineStr">
        <is>
          <t>BLOKER STARTU</t>
        </is>
      </c>
      <c r="M330" s="11" t="inlineStr">
        <is>
          <t>S</t>
        </is>
      </c>
      <c r="N330" s="12"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row>
    <row r="331">
      <c r="A331" s="11" t="inlineStr">
        <is>
          <t>Q-01</t>
        </is>
      </c>
      <c r="B331" s="12" t="inlineStr">
        <is>
          <t>Q</t>
        </is>
      </c>
      <c r="C331" s="11" t="inlineStr">
        <is>
          <t>Program eko / punkty za oszczędność</t>
        </is>
      </c>
      <c r="D331" s="11" t="inlineStr">
        <is>
          <t>NIE</t>
        </is>
      </c>
      <c r="E331" s="11" t="inlineStr">
        <is>
          <t>NIE</t>
        </is>
      </c>
      <c r="F331" s="11" t="inlineStr">
        <is>
          <t>NIE</t>
        </is>
      </c>
      <c r="G331" s="11" t="inlineStr">
        <is>
          <t>NIE</t>
        </is>
      </c>
      <c r="H331" s="11" t="inlineStr">
        <is>
          <t>NIE</t>
        </is>
      </c>
      <c r="I331" s="11" t="inlineStr">
        <is>
          <t>FLAGA</t>
        </is>
      </c>
      <c r="J331" s="12" t="inlineStr">
        <is>
          <t>users.controller.ts:58,91; FEATURE_ECO domyślnie true</t>
        </is>
      </c>
      <c r="K331" s="11" t="inlineStr">
        <is>
          <t>PRZEWAGA</t>
        </is>
      </c>
      <c r="L331" s="11" t="inlineStr">
        <is>
          <t>NISKA</t>
        </is>
      </c>
      <c r="M331" s="11" t="inlineStr">
        <is>
          <t>S</t>
        </is>
      </c>
      <c r="N331" s="12" t="inlineStr">
        <is>
          <t>nikt na rynku PL | WYCENA 2026-09-19: krytycznosc i naklad uzupelnione przy wznowieniu. Pozycje przepisane 2026-08-28 w ramach X-49 zostaly bez wyceny, przez co nie liczyly sie do budzetu godzin i nie stały w zadnym sprincie. Podstawa wyceny: Program eko za flaga — roadmapa po starcie. | 2026-10-06 przegląd: wymiana punktów EKO na środki omijała księgę portfela (równoległe żądania = podwójne zasilenie, lost update salda) — 645a250: dekrement warunkowy + WalletLedgerService w jednej transakcji (int-spec eko-wymiana: 5 równoległych → 1 zasilenie).</t>
        </is>
      </c>
    </row>
    <row r="332">
      <c r="A332" s="11" t="inlineStr">
        <is>
          <t>Q-02</t>
        </is>
      </c>
      <c r="B332" s="12" t="inlineStr">
        <is>
          <t>Q</t>
        </is>
      </c>
      <c r="C332" s="11" t="inlineStr">
        <is>
          <t>Raport energetyczny usługi</t>
        </is>
      </c>
      <c r="D332" s="11" t="inlineStr">
        <is>
          <t>NIE</t>
        </is>
      </c>
      <c r="E332" s="11" t="inlineStr">
        <is>
          <t>NIE</t>
        </is>
      </c>
      <c r="F332" s="11" t="inlineStr">
        <is>
          <t>NIE</t>
        </is>
      </c>
      <c r="G332" s="11" t="inlineStr">
        <is>
          <t>NIE</t>
        </is>
      </c>
      <c r="H332" s="11" t="inlineStr">
        <is>
          <t>NIE</t>
        </is>
      </c>
      <c r="I332" s="11" t="inlineStr">
        <is>
          <t>CZĘŚCIOWE</t>
        </is>
      </c>
      <c r="J332" s="12" t="inlineStr">
        <is>
          <t>eco-report.service.ts:9 — jawnie deklarowany jako szacunek</t>
        </is>
      </c>
      <c r="K332" s="11" t="inlineStr">
        <is>
          <t>PRZEWAGA</t>
        </is>
      </c>
      <c r="L332" s="11" t="inlineStr">
        <is>
          <t>NISKA</t>
        </is>
      </c>
      <c r="M332" s="11" t="inlineStr">
        <is>
          <t>M</t>
        </is>
      </c>
      <c r="N332" s="12" t="inlineStr">
        <is>
          <t>metodologia opisana — uczciwe podejście | WYCENA 2026-09-19: krytycznosc i naklad uzupelnione przy wznowieniu. Pozycje przepisane 2026-08-28 w ramach X-49 zostaly bez wyceny, przez co nie liczyly sie do budzetu godzin i nie stały w zadnym sprincie. Podstawa wyceny: Raport energetyczny uslugi — roadmapa po starcie.</t>
        </is>
      </c>
    </row>
    <row r="333">
      <c r="A333" s="11" t="inlineStr">
        <is>
          <t>Q-03</t>
        </is>
      </c>
      <c r="B333" s="12" t="inlineStr">
        <is>
          <t>Q</t>
        </is>
      </c>
      <c r="C333" s="11" t="inlineStr">
        <is>
          <t>Badge na stronie klienta: pieczęć zaufania, dostępność na żywo, polecenie z prowizją, EKO</t>
        </is>
      </c>
      <c r="D333" s="11" t="inlineStr">
        <is>
          <t>NIE</t>
        </is>
      </c>
      <c r="E333" s="11" t="inlineStr">
        <is>
          <t>NIE</t>
        </is>
      </c>
      <c r="F333" s="11" t="inlineStr">
        <is>
          <t>NIE</t>
        </is>
      </c>
      <c r="G333" s="11" t="inlineStr">
        <is>
          <t>NIE</t>
        </is>
      </c>
      <c r="H333" s="11" t="inlineStr">
        <is>
          <t>NIE</t>
        </is>
      </c>
      <c r="I333" s="11" t="inlineStr">
        <is>
          <t>DZIAŁA</t>
        </is>
      </c>
      <c r="J333" s="12" t="inlineStr">
        <is>
          <t>badges/public-badges.controller.ts; badges/badge-logic.ts; test D2 (badge-logic.spec, public-badges.controller.spec)</t>
        </is>
      </c>
      <c r="K333" s="11" t="inlineStr">
        <is>
          <t>PRZEWAGA</t>
        </is>
      </c>
      <c r="L333" s="11" t="inlineStr">
        <is>
          <t>—</t>
        </is>
      </c>
      <c r="M333" s="11" t="inlineStr">
        <is>
          <t>—</t>
        </is>
      </c>
      <c r="N333" s="12" t="inlineStr">
        <is>
          <t>Przebudowa 2026-09-23 (PB-22): ramki iframe z sandboxem + loader v1.js, bez ciasteczek; pieczęć tylko na domenie usługi i tylko gdy SSL/monitor/dostępność ≥99,5%. Stare /public/eco zostaje dla zgodności. D3 po deployu.</t>
        </is>
      </c>
    </row>
    <row r="334">
      <c r="A334" s="11" t="inlineStr">
        <is>
          <t>Q-04</t>
        </is>
      </c>
      <c r="B334" s="12" t="inlineStr">
        <is>
          <t>Q</t>
        </is>
      </c>
      <c r="C334" s="11" t="inlineStr">
        <is>
          <t>Tryb eko usługi</t>
        </is>
      </c>
      <c r="D334" s="11" t="inlineStr">
        <is>
          <t>NIE</t>
        </is>
      </c>
      <c r="E334" s="11" t="inlineStr">
        <is>
          <t>NIE</t>
        </is>
      </c>
      <c r="F334" s="11" t="inlineStr">
        <is>
          <t>NIE</t>
        </is>
      </c>
      <c r="G334" s="11" t="inlineStr">
        <is>
          <t>NIE</t>
        </is>
      </c>
      <c r="H334" s="11" t="inlineStr">
        <is>
          <t>NIE</t>
        </is>
      </c>
      <c r="I334" s="11" t="inlineStr">
        <is>
          <t>DZIAŁA</t>
        </is>
      </c>
      <c r="J334" s="12" t="inlineStr">
        <is>
          <t>subscriptions.controller.ts:73</t>
        </is>
      </c>
      <c r="K334" s="11" t="inlineStr">
        <is>
          <t>PRZEWAGA</t>
        </is>
      </c>
      <c r="L334" s="11" t="inlineStr">
        <is>
          <t>—</t>
        </is>
      </c>
      <c r="M334" s="11" t="inlineStr">
        <is>
          <t>—</t>
        </is>
      </c>
      <c r="N334" s="12" t="inlineStr">
        <is>
          <t>wpływa m.in. na politykę backupów</t>
        </is>
      </c>
    </row>
    <row r="335">
      <c r="A335" s="11" t="inlineStr">
        <is>
          <t>Q-05</t>
        </is>
      </c>
      <c r="B335" s="12" t="inlineStr">
        <is>
          <t>Q</t>
        </is>
      </c>
      <c r="C335" s="11" t="inlineStr">
        <is>
          <t>E-mail marketing wbudowany w panel</t>
        </is>
      </c>
      <c r="D335" s="11" t="inlineStr">
        <is>
          <t>NIE</t>
        </is>
      </c>
      <c r="E335" s="11" t="inlineStr">
        <is>
          <t>NIE</t>
        </is>
      </c>
      <c r="F335" s="11" t="inlineStr">
        <is>
          <t>NIE</t>
        </is>
      </c>
      <c r="G335" s="11" t="inlineStr">
        <is>
          <t>CZĘŚĆ</t>
        </is>
      </c>
      <c r="H335" s="11" t="inlineStr">
        <is>
          <t>NIE</t>
        </is>
      </c>
      <c r="I335" s="11" t="inlineStr">
        <is>
          <t>CZĘŚCIOWE</t>
        </is>
      </c>
      <c r="J335" s="12" t="inlineStr">
        <is>
          <t>email-marketing.controller.ts:36,81,119,139</t>
        </is>
      </c>
      <c r="K335" s="11" t="inlineStr">
        <is>
          <t>CZĘŚCIOWY</t>
        </is>
      </c>
      <c r="L335" s="11" t="inlineStr">
        <is>
          <t>—</t>
        </is>
      </c>
      <c r="M335" s="11" t="inlineStr">
        <is>
          <t>—</t>
        </is>
      </c>
      <c r="N335" s="12" t="inlineStr">
        <is>
          <t>double opt-in + cordon antyspamowy | 2026-09-28 PRZEGLĄD LUK (3.1) + DECYZJA WŁAŚCICIELA: usługi nie da się kupić (brak planu EMAIL_MARKETING w zamówieniu). Ukryte flagą NEXT_PUBLIC_FEATURE_EMAIL_MARKETING (domyślnie off): panel (menu, paleta, trasy → 404) i verris.pl (strona, menu, stopka, sitemap, llms.txt) — 46976c6. Wraca po ukończeniu zakupu. | 2026-10-05 KOD (decyzja właściciela; ceny ustalone przez nas na prośbę właściciela): pakiety Newsletter Start 19 zł/mies. lub 190 zł/rok (1 000 kontaktów, 5 000 wysyłek/mies.) i Newsletter Plus 49 zł/mies. lub 490 zł/rok (5 000 kontaktów, 25 000 wysyłek/mies.) — plany w migracji 20261005140000_plany_newsletter, zgodność kodu, migracji i www w teście; zamówienie bez domeny w panelu za flagą; kampanie i potwierdzenia zapisu WYŁĄCZNIE przez osobny transport EMM_SMTP_URL (bez niego odmowa, nigdy przez SMTP poczty transakcyjnej); plany newslettera poza pakietami DA i wyborem węzła; zawieszona usługa nie wysyła. Zostaje: dostawca SMTP dla EMM_SMTP_URL (osobna subdomena nadawcza, podprocesor), Stripe sync planów, regulamin/cennik, D3 po włączeniu flagi.</t>
        </is>
      </c>
    </row>
    <row r="336">
      <c r="A336" s="11" t="inlineStr">
        <is>
          <t>Q-06</t>
        </is>
      </c>
      <c r="B336" s="12" t="inlineStr">
        <is>
          <t>Q</t>
        </is>
      </c>
      <c r="C336" s="11" t="inlineStr">
        <is>
          <t>VPS / cloud w tym samym panelu</t>
        </is>
      </c>
      <c r="D336" s="11" t="inlineStr">
        <is>
          <t>NIE</t>
        </is>
      </c>
      <c r="E336" s="11" t="inlineStr">
        <is>
          <t>NIE</t>
        </is>
      </c>
      <c r="F336" s="11" t="inlineStr">
        <is>
          <t>NIE</t>
        </is>
      </c>
      <c r="G336" s="11" t="inlineStr">
        <is>
          <t>TAK</t>
        </is>
      </c>
      <c r="H336" s="11" t="inlineStr">
        <is>
          <t>TAK</t>
        </is>
      </c>
      <c r="I336" s="11" t="inlineStr">
        <is>
          <t>FLAGA</t>
        </is>
      </c>
      <c r="J336" s="12" t="inlineStr">
        <is>
          <t>vps.controller.ts:53,59,69; HETZNER_API_TOKEN</t>
        </is>
      </c>
      <c r="K336" s="11" t="inlineStr">
        <is>
          <t>CZĘŚCIOWY</t>
        </is>
      </c>
      <c r="L336" s="11" t="inlineStr">
        <is>
          <t>ŚREDNIA</t>
        </is>
      </c>
      <c r="M336" s="11" t="inlineStr">
        <is>
          <t>M</t>
        </is>
      </c>
      <c r="N336" s="12" t="inlineStr">
        <is>
          <t>DECYZJA 2026-09-24: do wejścia VPS do sprzedaży verris.pl go nie reklamuje — /vps → 404, znika z menu, stopki, sitemapy, llms.txt i opisów; wszystko na jednej fladze NEXT_PUBLIC_FEATURE_VPS (ta sama co w panelu, 2026-09-23). | bez tokenu menu prowadzi do pustego stanu | 2026-09-27 KOD (44994e7): VPS wstrzymanego za brak płatności nie da się włączyć z panelu (włączy się sam przy odnowieniu po doładowaniu); zakup bez środków nie zostawia osieroconego rekordu. Test vps.int-spec.ts. | 2026-10-06 D3 NA ŻYWO: token Hetznera w API (9cb384e), plan VPS Start (cx23, nbg1, 44,99 zł brutto), flaga per konto FEATURE_VPS_TYLKO_KONTA (bf7df92) — d3 zamówił test-d3 z portfela, serwer działał po ~10 s (IP, hasło root jednorazowe). Inne konta: API 403.</t>
        </is>
      </c>
    </row>
    <row r="337">
      <c r="A337" s="11" t="inlineStr">
        <is>
          <t>Q-07</t>
        </is>
      </c>
      <c r="B337" s="12" t="inlineStr">
        <is>
          <t>Q</t>
        </is>
      </c>
      <c r="C337" s="11" t="inlineStr">
        <is>
          <t>VPS — konsola / VNC</t>
        </is>
      </c>
      <c r="D337" s="11" t="inlineStr">
        <is>
          <t>NIE</t>
        </is>
      </c>
      <c r="E337" s="11" t="inlineStr">
        <is>
          <t>NIE</t>
        </is>
      </c>
      <c r="F337" s="11" t="inlineStr">
        <is>
          <t>NIE</t>
        </is>
      </c>
      <c r="G337" s="11" t="inlineStr">
        <is>
          <t>CZĘŚĆ</t>
        </is>
      </c>
      <c r="H337" s="11" t="inlineStr">
        <is>
          <t>CZĘŚĆ</t>
        </is>
      </c>
      <c r="I337" s="11" t="inlineStr">
        <is>
          <t>DZIAŁA</t>
        </is>
      </c>
      <c r="J337" s="12" t="inlineStr">
        <is>
          <t>hetzner.client.ts request_console; vps.controller (limit 20/h); client vps-konsola.tsx (@novnc/novnc 1.7.0, next build OK)</t>
        </is>
      </c>
      <c r="K337" s="11" t="inlineStr">
        <is>
          <t>CZĘŚCIOWY</t>
        </is>
      </c>
      <c r="L337" s="11" t="inlineStr">
        <is>
          <t>NISKA</t>
        </is>
      </c>
      <c r="M337" s="11" t="inlineStr">
        <is>
          <t>M</t>
        </is>
      </c>
      <c r="N337" s="12" t="inlineStr">
        <is>
          <t>2026-10-05 KOD (D2): konsola VNC w przeglądarce — sesja z API, hasło jednorazowe tylko do noVNC (nie wyświetlane, nie w audycie). Zostaje D3 (CSP na produkcji, przejście end-to-end). | 2026-10-06 D3 NA ŻYWO: konsola wisiała na „łączenie…” — CSP paneli blokował wss://…hetzner.cloud (securitypolicyviolation connect-src). Poprawka 1ab4fcb (CSP + limit 20 s) czeka na wdrożenie i retest. | 2026-10-06 wieczór RETEST po wdrożeniu 1ab4fcb: konsola „połączono”, ekran logowania Ubuntu 24.04 serwera test-d3. DZIAŁA na żywo. Serwer i snapshot usunięte po teście.</t>
        </is>
      </c>
    </row>
    <row r="338">
      <c r="A338" s="11" t="inlineStr">
        <is>
          <t>Q-08</t>
        </is>
      </c>
      <c r="B338" s="12" t="inlineStr">
        <is>
          <t>Q</t>
        </is>
      </c>
      <c r="C338" s="11" t="inlineStr">
        <is>
          <t>VPS — snapshoty i rebuild</t>
        </is>
      </c>
      <c r="D338" s="11" t="inlineStr">
        <is>
          <t>NIE</t>
        </is>
      </c>
      <c r="E338" s="11" t="inlineStr">
        <is>
          <t>NIE</t>
        </is>
      </c>
      <c r="F338" s="11" t="inlineStr">
        <is>
          <t>NIE</t>
        </is>
      </c>
      <c r="G338" s="11" t="inlineStr">
        <is>
          <t>CZĘŚĆ</t>
        </is>
      </c>
      <c r="H338" s="11" t="inlineStr">
        <is>
          <t>TAK</t>
        </is>
      </c>
      <c r="I338" s="11" t="inlineStr">
        <is>
          <t>DZIAŁA</t>
        </is>
      </c>
      <c r="J338" s="12" t="inlineStr">
        <is>
          <t>apps/api/src/vps/vps-snapshoty.ts, hetzner.client.ts (create_image/rebuild, docs.hetzner.cloud), vps.service/controller; client vps-snapshoty.tsx; admin snapshot-settings-form.tsx; migracja 20261005210000_vps_snapshoty</t>
        </is>
      </c>
      <c r="K338" s="11" t="inlineStr">
        <is>
          <t>CZĘŚCIOWY</t>
        </is>
      </c>
      <c r="L338" s="11" t="inlineStr">
        <is>
          <t>NISKA</t>
        </is>
      </c>
      <c r="M338" s="11" t="inlineStr">
        <is>
          <t>M</t>
        </is>
      </c>
      <c r="N338" s="12" t="inlineStr">
        <is>
          <t>2026-10-05 KOD (D2): snapshoty (utwórz/lista/przywróć/usuń, limit 3 — ustawienie), reinstalacja systemu z listy obrazów, cena K/GB/mies. w Ustawieniach (puste = wyłączone), naliczanie przy odnowieniu VPS z portfela, usunięcie VPS kasuje jego snapshoty. Zostaje D3 na małym VPS. | 2026-10-06 D3 NA ŻYWO: snapshot „test Q-08” utworzony (0,61 GB), przywrócenie ze snapshotu zakończone; pierwsza próba w trakcie wdrożenia API — „API nie przyjmuje połączeń”, ponowienie po wdrożeniu OK.</t>
        </is>
      </c>
    </row>
    <row r="339">
      <c r="A339" s="11" t="inlineStr">
        <is>
          <t>Q-09</t>
        </is>
      </c>
      <c r="B339" s="12" t="inlineStr">
        <is>
          <t>Q</t>
        </is>
      </c>
      <c r="C339" s="11" t="inlineStr">
        <is>
          <t>Panel responsywny na telefonie</t>
        </is>
      </c>
      <c r="D339" s="11" t="inlineStr">
        <is>
          <t>CZĘŚĆ</t>
        </is>
      </c>
      <c r="E339" s="11" t="inlineStr">
        <is>
          <t>TAK</t>
        </is>
      </c>
      <c r="F339" s="11" t="inlineStr">
        <is>
          <t>CZĘŚĆ</t>
        </is>
      </c>
      <c r="G339" s="11" t="inlineStr">
        <is>
          <t>CZĘŚĆ</t>
        </is>
      </c>
      <c r="H339" s="11" t="inlineStr">
        <is>
          <t>TAK</t>
        </is>
      </c>
      <c r="I339" s="11" t="inlineStr">
        <is>
          <t>DZIAŁA</t>
        </is>
      </c>
      <c r="J339" s="12" t="inlineStr">
        <is>
          <t>src/test/tabele-na-telefonie.spec.ts — każda tabela panelu klienta ma v2-stack (globals.css @media ≤767px: wiersz → bloki z nazwą kolumny) albo idzie przez ResponsiveDataView; każda komórka ma data-label; zakaz hidden …:table-cell</t>
        </is>
      </c>
      <c r="K339" s="11" t="inlineStr">
        <is>
          <t>PARYTET</t>
        </is>
      </c>
      <c r="L339" s="11" t="inlineStr">
        <is>
          <t>WYSOKA</t>
        </is>
      </c>
      <c r="M339" s="11" t="inlineStr">
        <is>
          <t>M</t>
        </is>
      </c>
      <c r="N339" s="12" t="inlineStr">
        <is>
          <t>twardy wymóg zapisany w decyzji brandingowej DA | 2026-09-23 D1/D2: audyt statyczny. Znalezione i poprawione: 5 tabel bez wzorca (zgody RODO, eksport danych, rekordy DNS migracji, menedżer plików, deploy — ten chował kolumnę „Harmonogram” na telefonie), 4 komórki bez podpisu. Siatki grid-cols-2…5 bez prefiksu sprawdzone ręcznie — mieszczą się w 390 px. OTWARTE (D3): przejście głównych ścieżek na prawdziwym telefonie — okna Chrome nie da się zwęzić z narzędzia (pełny ekran). | 2026-09-25: przegląd zrzutami 390 px (53 trasy panelu klienta, lokalne API + baza) — 0 przewijania w bok; naprawiony tytuł strony chowany pod górnym paskiem na telefonie (Tailwind 4: @utility zamiast @layer utilities dla pt/h/top-mobile-header). Zostaje D3 na prawdziwym telefonie. | 2026-09-27 D3 PRODUKCJA: przejście w emulacji telefonu (wbudowana przeglądarka Claude, 375×812, dotyk, mobilny UA — okno Chrome nie daje się zwęzić), zalogowany właściciel: pulpit, usługi, szczegóły hostingu (+ przewinięcie), nowa usługa, domeny, zakup domeny z wyszukiwaniem, płatności, faktury, centrum pomocy, nowe zgłoszenie, IAM, ustawienia, wysuwane menu — 0 przewijania w bok (automatyczny pomiar elementów poza ekranem, bez kontenerów przewijanych), górny pasek z licznikiem sesji mieści się w 375 px, tytuły nie chowają się pod paskiem. ZNALEZISKA naprawione (fix Q-09): pływający przycisk cookies zasłaniał menu konta i linki stopki; nieudane wyszukiwanie domen pokazywało „wszystko zajęte”. Przy okazji: kilka kliknięć w minutę blokowało klienta (429 → „Panel chwilowo niedostępny”) — fix(limity) fa43fbf. OTWARTE poza Q-09: błędy rzucane z akcji serwera Next ukrywa na produkcji („Minified React error #441”) — komponenty pokazujące err.message z akcji dostają bełkot zamiast komunikatu API. | 2026-09-27 PO WDROŻENIU (#187): 17 ekranów telefonu jeden po drugim bez przerw — żadnej strony „Panel chwilowo niedostępny”; wyszukiwarka domen na telefonie: 32 wolne z 32 dla tej samej nazwy (wcześniejsze „wszystko zajęte” było skutkiem 429); pływający przycisk cookies w panelu zniknął. Przy okazji potwierdzone: bezczynna karta wylogowała się po 60 min.</t>
        </is>
      </c>
    </row>
    <row r="340">
      <c r="A340" s="11" t="inlineStr">
        <is>
          <t>Q-10</t>
        </is>
      </c>
      <c r="B340" s="12" t="inlineStr">
        <is>
          <t>Q</t>
        </is>
      </c>
      <c r="C340" s="11" t="inlineStr">
        <is>
          <t>Natywna aplikacja mobilna</t>
        </is>
      </c>
      <c r="D340" s="11" t="inlineStr">
        <is>
          <t>NIE</t>
        </is>
      </c>
      <c r="E340" s="11" t="inlineStr">
        <is>
          <t>NIE</t>
        </is>
      </c>
      <c r="F340" s="11" t="inlineStr">
        <is>
          <t>NIE</t>
        </is>
      </c>
      <c r="G340" s="11" t="inlineStr">
        <is>
          <t>CZĘŚĆ</t>
        </is>
      </c>
      <c r="H340" s="11" t="inlineStr">
        <is>
          <t>CZĘŚĆ</t>
        </is>
      </c>
      <c r="I340" s="11" t="inlineStr">
        <is>
          <t>BRAK</t>
        </is>
      </c>
      <c r="J340" s="12" t="inlineStr">
        <is>
          <t>—</t>
        </is>
      </c>
      <c r="K340" s="11" t="inlineStr">
        <is>
          <t>POZA ZAKRESEM</t>
        </is>
      </c>
      <c r="L340" s="11" t="inlineStr">
        <is>
          <t>NISKA</t>
        </is>
      </c>
      <c r="M340" s="11" t="inlineStr">
        <is>
          <t>—</t>
        </is>
      </c>
      <c r="N340" s="12" t="inlineStr">
        <is>
          <t>tylko home.pl (iOS)</t>
        </is>
      </c>
    </row>
    <row r="341">
      <c r="A341" s="11" t="inlineStr">
        <is>
          <t>Q-11</t>
        </is>
      </c>
      <c r="B341" s="12" t="inlineStr">
        <is>
          <t>Q</t>
        </is>
      </c>
      <c r="C341" s="11" t="inlineStr">
        <is>
          <t>Tryb prosty / zaawansowany panelu</t>
        </is>
      </c>
      <c r="D341" s="11" t="inlineStr">
        <is>
          <t>NIE</t>
        </is>
      </c>
      <c r="E341" s="11" t="inlineStr">
        <is>
          <t>NIE</t>
        </is>
      </c>
      <c r="F341" s="11" t="inlineStr">
        <is>
          <t>NIE</t>
        </is>
      </c>
      <c r="G341" s="11" t="inlineStr">
        <is>
          <t>NIE</t>
        </is>
      </c>
      <c r="H341" s="11" t="inlineStr">
        <is>
          <t>CZĘŚĆ</t>
        </is>
      </c>
      <c r="I341" s="11" t="inlineStr">
        <is>
          <t>DZIAŁA</t>
        </is>
      </c>
      <c r="J341" s="12" t="inlineStr">
        <is>
          <t>page.tsx:139 — ukrywa 7 zakładek</t>
        </is>
      </c>
      <c r="K341" s="11" t="inlineStr">
        <is>
          <t>PRZEWAGA</t>
        </is>
      </c>
      <c r="L341" s="11" t="inlineStr">
        <is>
          <t>—</t>
        </is>
      </c>
      <c r="M341" s="11" t="inlineStr">
        <is>
          <t>—</t>
        </is>
      </c>
      <c r="N341" s="12" t="inlineStr"/>
    </row>
    <row r="342">
      <c r="A342" s="11" t="inlineStr">
        <is>
          <t>Q-12</t>
        </is>
      </c>
      <c r="B342" s="12" t="inlineStr">
        <is>
          <t>Q</t>
        </is>
      </c>
      <c r="C342" s="11" t="inlineStr">
        <is>
          <t>Kreator pierwszych kroków (onboarding)</t>
        </is>
      </c>
      <c r="D342" s="11" t="inlineStr">
        <is>
          <t>NIE</t>
        </is>
      </c>
      <c r="E342" s="11" t="inlineStr">
        <is>
          <t>CZĘŚĆ</t>
        </is>
      </c>
      <c r="F342" s="11" t="inlineStr">
        <is>
          <t>NIE</t>
        </is>
      </c>
      <c r="G342" s="11" t="inlineStr">
        <is>
          <t>CZĘŚĆ</t>
        </is>
      </c>
      <c r="H342" s="11" t="inlineStr">
        <is>
          <t>TAK</t>
        </is>
      </c>
      <c r="I342" s="11" t="inlineStr">
        <is>
          <t>DZIAŁA</t>
        </is>
      </c>
      <c r="J342" s="12" t="inlineStr">
        <is>
          <t>onboarding-wizard.tsx:52</t>
        </is>
      </c>
      <c r="K342" s="11" t="inlineStr">
        <is>
          <t>PARYTET</t>
        </is>
      </c>
      <c r="L342" s="11" t="inlineStr">
        <is>
          <t>—</t>
        </is>
      </c>
      <c r="M342" s="11" t="inlineStr">
        <is>
          <t>—</t>
        </is>
      </c>
      <c r="N342" s="12" t="inlineStr">
        <is>
          <t>tylko nawigacja</t>
        </is>
      </c>
    </row>
    <row r="343">
      <c r="A343" s="11" t="inlineStr">
        <is>
          <t>Q-13</t>
        </is>
      </c>
      <c r="B343" s="12" t="inlineStr">
        <is>
          <t>Q</t>
        </is>
      </c>
      <c r="C343" s="11" t="inlineStr">
        <is>
          <t>Command palette dla operatora</t>
        </is>
      </c>
      <c r="D343" s="11" t="inlineStr">
        <is>
          <t>NIE</t>
        </is>
      </c>
      <c r="E343" s="11" t="inlineStr">
        <is>
          <t>NIE</t>
        </is>
      </c>
      <c r="F343" s="11" t="inlineStr">
        <is>
          <t>NIE</t>
        </is>
      </c>
      <c r="G343" s="11" t="inlineStr">
        <is>
          <t>—</t>
        </is>
      </c>
      <c r="H343" s="11" t="inlineStr">
        <is>
          <t>—</t>
        </is>
      </c>
      <c r="I343" s="11" t="inlineStr">
        <is>
          <t>DZIAŁA</t>
        </is>
      </c>
      <c r="J343" s="12" t="inlineStr">
        <is>
          <t>command-palette-actions.ts</t>
        </is>
      </c>
      <c r="K343" s="11" t="inlineStr">
        <is>
          <t>PRZEWAGA</t>
        </is>
      </c>
      <c r="L343" s="11" t="inlineStr">
        <is>
          <t>—</t>
        </is>
      </c>
      <c r="M343" s="11" t="inlineStr">
        <is>
          <t>—</t>
        </is>
      </c>
      <c r="N343" s="12" t="inlineStr"/>
    </row>
    <row r="344">
      <c r="A344" s="11" t="inlineStr">
        <is>
          <t>Q-14</t>
        </is>
      </c>
      <c r="B344" s="12" t="inlineStr">
        <is>
          <t>Q</t>
        </is>
      </c>
      <c r="C344" s="11" t="inlineStr">
        <is>
          <t>Kreator uruchomienia węzła</t>
        </is>
      </c>
      <c r="D344" s="11" t="inlineStr">
        <is>
          <t>TAK</t>
        </is>
      </c>
      <c r="E344" s="11" t="inlineStr">
        <is>
          <t>TAK</t>
        </is>
      </c>
      <c r="F344" s="11" t="inlineStr">
        <is>
          <t>TAK</t>
        </is>
      </c>
      <c r="G344" s="11" t="inlineStr">
        <is>
          <t>—</t>
        </is>
      </c>
      <c r="H344" s="11" t="inlineStr">
        <is>
          <t>—</t>
        </is>
      </c>
      <c r="I344" s="11" t="inlineStr">
        <is>
          <t>DZIAŁA</t>
        </is>
      </c>
      <c r="J344" s="12" t="inlineStr">
        <is>
          <t>node-wizard.tsx:277,288 — realnie tylko init + bootstrap; 7 z 9 kroków to treść runbooka (wizard-content.ts:21-40)</t>
        </is>
      </c>
      <c r="K344" s="11" t="inlineStr">
        <is>
          <t>PARYTET</t>
        </is>
      </c>
      <c r="L344" s="11" t="inlineStr">
        <is>
          <t>WYSOKA</t>
        </is>
      </c>
      <c r="M344" s="11" t="inlineStr">
        <is>
          <t>M</t>
        </is>
      </c>
      <c r="N344" s="12" t="inlineStr">
        <is>
          <t>w tym brakuje kroku konfiguracji backupu — patrz H-19 | 2026-09-23: dodany krok „Backup offsite” (H-19) i poprawione polecenie kopiowania bundle (cały ops/scripts). | 2026-09-25 AUDYT SKRYPTÓW WĘZŁA z oficjalną dokumentacją (DA/CloudLinux/LiteSpeed), test src/test/wezel-zgodnie-z-dokumentacja.spec.ts: onboard: `directadmin ip add` nie istnieje, a `directadmin c` tylko wypisuje konfigurację — log „[OK] dodano IP” bez dodania. Teraz [FAIL] z instrukcją Admin → IP Manager (jedyna metoda w dokumentacji). Profil: default_ttl zamiast dns_ttl (dns_ttl to przełącznik TTL per rekord), usunięty nieistniejący force_hostname_cert, CustomBuild 2: ./build clean / php / litespeed; restart DA przez systemctl zamiast nieistniejącego `directadmin r`. | 2026-09-25 AUDYT (cd.) wg oficjalnej dokumentacji: certyfikat hostname: skrypt HTTP-01 używał certbota i kopiował cert tylko do conf/ DA — `certbot renew` nie kopiował odnowionego (panel :2222 po 90 dniach z wygasłym certem, poczta/FTP bez certu). Teraz oficjalne `/usr/local/directadmin/scripts/letsencrypt.sh server_cert` (DA sam odnawia i rozdaje do WWW/Exim/Dovecot/FTP). Opcje CustomBuild czytane z options.conf zamiast parsowania `./build options`. | 2026-09-25: agent LVE (verris-lve.sh) ustawiał procesy wejściowe opcją --ep — lvectl w dokumentacji CloudLinux ma --maxEntryProcs; poprawione. Upgrade MariaDB węzła: zrzut, mariadb-upgrade i test z --defaults-extra-file=/usr/local/directadmin/conf/my.cnf (dokumentacja DA; wcześniej bez danych logowania, a błąd upgrade tabel był połykany); przy CloudLinux MySQL Governor upgrade przez mysqlgovernor.py --mysql-version/--install, tylko o jedną wersję (oficjalny artykuł CloudLinux) — dodana 10.11 jako krok pośredni z 10.6 (API, panel admina, skrypt). | 01.10 t1: IP węzła w IP Managerze DA, default_ttl=3600, certyfikat serwera DA z Let's Encrypt (letsencrypt.sh server_cert, ważny do 27.12.2026), limity LVE domyślne (EP 20, PMEM 1024M — lvectl), PHP 8.3.33 i LiteSpeed 6.3.7 z CustomBuild, MariaDB 11.4 przez Governor. Pełne przejście od czystego systemu bez SSH — PB-31.</t>
        </is>
      </c>
    </row>
    <row r="345">
      <c r="A345" s="11" t="inlineStr">
        <is>
          <t>Q-15</t>
        </is>
      </c>
      <c r="B345" s="12" t="inlineStr">
        <is>
          <t>Q</t>
        </is>
      </c>
      <c r="C345" s="11" t="inlineStr">
        <is>
          <t>Live-readiness (checklista przed startem)</t>
        </is>
      </c>
      <c r="D345" s="11" t="inlineStr">
        <is>
          <t>NIE</t>
        </is>
      </c>
      <c r="E345" s="11" t="inlineStr">
        <is>
          <t>NIE</t>
        </is>
      </c>
      <c r="F345" s="11" t="inlineStr">
        <is>
          <t>NIE</t>
        </is>
      </c>
      <c r="G345" s="11" t="inlineStr">
        <is>
          <t>—</t>
        </is>
      </c>
      <c r="H345" s="11" t="inlineStr">
        <is>
          <t>—</t>
        </is>
      </c>
      <c r="I345" s="11" t="inlineStr">
        <is>
          <t>DZIAŁA</t>
        </is>
      </c>
      <c r="J345" s="12" t="inlineStr">
        <is>
          <t>live-readiness.service.ts — 14 checków</t>
        </is>
      </c>
      <c r="K345" s="11" t="inlineStr">
        <is>
          <t>PRZEWAGA</t>
        </is>
      </c>
      <c r="L345" s="11" t="inlineStr">
        <is>
          <t>—</t>
        </is>
      </c>
      <c r="M345" s="11" t="inlineStr">
        <is>
          <t>—</t>
        </is>
      </c>
      <c r="N345" s="12" t="inlineStr">
        <is>
          <t>dobre narzędzie; nie sprawdza odtwarzalności kopii</t>
        </is>
      </c>
    </row>
    <row r="346">
      <c r="A346" s="11" t="inlineStr">
        <is>
          <t>Q-16</t>
        </is>
      </c>
      <c r="B346" s="12" t="inlineStr">
        <is>
          <t>Q</t>
        </is>
      </c>
      <c r="C346" s="11" t="inlineStr">
        <is>
          <t>Metryki biznesowe (MRR, churn)</t>
        </is>
      </c>
      <c r="D346" s="11" t="inlineStr">
        <is>
          <t>NIE</t>
        </is>
      </c>
      <c r="E346" s="11" t="inlineStr">
        <is>
          <t>NIE</t>
        </is>
      </c>
      <c r="F346" s="11" t="inlineStr">
        <is>
          <t>NIE</t>
        </is>
      </c>
      <c r="G346" s="11" t="inlineStr">
        <is>
          <t>—</t>
        </is>
      </c>
      <c r="H346" s="11" t="inlineStr">
        <is>
          <t>—</t>
        </is>
      </c>
      <c r="I346" s="11" t="inlineStr">
        <is>
          <t>DZIAŁA</t>
        </is>
      </c>
      <c r="J346" s="12" t="inlineStr">
        <is>
          <t>business-metrics.admin.controller.ts:15; test D1</t>
        </is>
      </c>
      <c r="K346" s="11" t="inlineStr">
        <is>
          <t>PARYTET</t>
        </is>
      </c>
      <c r="L346" s="11" t="inlineStr">
        <is>
          <t>—</t>
        </is>
      </c>
      <c r="M346" s="11" t="inlineStr">
        <is>
          <t>—</t>
        </is>
      </c>
      <c r="N346" s="12" t="inlineStr"/>
    </row>
    <row r="347">
      <c r="A347" s="11" t="inlineStr">
        <is>
          <t>Q-17</t>
        </is>
      </c>
      <c r="B347" s="12" t="inlineStr">
        <is>
          <t>Q</t>
        </is>
      </c>
      <c r="C347" s="11" t="inlineStr">
        <is>
          <t>Grafana SSO dla operatora</t>
        </is>
      </c>
      <c r="D347" s="11" t="inlineStr">
        <is>
          <t>NIE</t>
        </is>
      </c>
      <c r="E347" s="11" t="inlineStr">
        <is>
          <t>CZĘŚĆ</t>
        </is>
      </c>
      <c r="F347" s="11" t="inlineStr">
        <is>
          <t>NIE</t>
        </is>
      </c>
      <c r="G347" s="11" t="inlineStr">
        <is>
          <t>—</t>
        </is>
      </c>
      <c r="H347" s="11" t="inlineStr">
        <is>
          <t>—</t>
        </is>
      </c>
      <c r="I347" s="11" t="inlineStr">
        <is>
          <t>DZIAŁA</t>
        </is>
      </c>
      <c r="J347" s="12" t="inlineStr">
        <is>
          <t>grafana-auth.controller.ts; ops/caddy/Caddyfile /verris-sso</t>
        </is>
      </c>
      <c r="K347" s="11" t="inlineStr">
        <is>
          <t>PRZEWAGA</t>
        </is>
      </c>
      <c r="L347" s="11" t="inlineStr">
        <is>
          <t>—</t>
        </is>
      </c>
      <c r="M347" s="11" t="inlineStr">
        <is>
          <t>—</t>
        </is>
      </c>
      <c r="N347" s="12" t="inlineStr">
        <is>
          <t>2026-09-25: SSO do Grafany sprawdzało tylko podpis tokenu — po „wyloguj wszędzie”, zablokowaniu operatora, anonimizacji albo unieważnieniu sesji urządzenia token nadal otwierał Grafanę do końca ważności. Teraz te same bramki co panel (tokenVersion, loginBlocked, anonymizedAt, sesja). Test grafana-auth.controller.spec.ts. | 2026-09-25 (przegląd adwersaryjny): ciasteczka sesji admin/staff są host-only (admin_session/staff_session; stare na .verris.pl kasowane) — Grafana nie widzi już żadnego tokenu panelu. SSO: panel → POST /auth/grafana-ticket → grafana…/verris-sso (Caddy → API /auth/grafana-sso) → host-only grafana_session 8 h (purpose grafana, tokenVersion+sid). Walidacja czyta tylko bearer albo grafana_session. Dowód: grafana-auth.controller.spec.ts, admin-panel grafana/sso/route.spec.ts, ops/caddy/Caddyfile.</t>
        </is>
      </c>
    </row>
    <row r="348">
      <c r="A348" s="11" t="inlineStr">
        <is>
          <t>Q-18</t>
        </is>
      </c>
      <c r="B348" s="12" t="inlineStr">
        <is>
          <t>Q</t>
        </is>
      </c>
      <c r="C348" s="11" t="inlineStr">
        <is>
          <t>VPN WireGuard dla dostępu operatorskiego</t>
        </is>
      </c>
      <c r="D348" s="11" t="inlineStr">
        <is>
          <t>NIE</t>
        </is>
      </c>
      <c r="E348" s="11" t="inlineStr">
        <is>
          <t>NIE</t>
        </is>
      </c>
      <c r="F348" s="11" t="inlineStr">
        <is>
          <t>NIE</t>
        </is>
      </c>
      <c r="G348" s="11" t="inlineStr">
        <is>
          <t>—</t>
        </is>
      </c>
      <c r="H348" s="11" t="inlineStr">
        <is>
          <t>—</t>
        </is>
      </c>
      <c r="I348" s="11" t="inlineStr">
        <is>
          <t>DZIAŁA</t>
        </is>
      </c>
      <c r="J348" s="12" t="inlineStr">
        <is>
          <t>vpn.admin.controller.ts:29; vpn.service.ts:14-25</t>
        </is>
      </c>
      <c r="K348" s="11" t="inlineStr">
        <is>
          <t>PRZEWAGA</t>
        </is>
      </c>
      <c r="L348" s="11" t="inlineStr">
        <is>
          <t>—</t>
        </is>
      </c>
      <c r="M348" s="11" t="inlineStr">
        <is>
          <t>—</t>
        </is>
      </c>
      <c r="N348" s="12" t="inlineStr"/>
    </row>
    <row r="349">
      <c r="A349" s="11" t="inlineStr">
        <is>
          <t>X-01</t>
        </is>
      </c>
      <c r="B349" s="12" t="inlineStr">
        <is>
          <t>X</t>
        </is>
      </c>
      <c r="C349" s="11" t="inlineStr">
        <is>
          <t>CI uruchamiające testy</t>
        </is>
      </c>
      <c r="D349" s="11" t="inlineStr">
        <is>
          <t>—</t>
        </is>
      </c>
      <c r="E349" s="11" t="inlineStr">
        <is>
          <t>—</t>
        </is>
      </c>
      <c r="F349" s="11" t="inlineStr">
        <is>
          <t>—</t>
        </is>
      </c>
      <c r="G349" s="11" t="inlineStr">
        <is>
          <t>—</t>
        </is>
      </c>
      <c r="H349" s="11" t="inlineStr">
        <is>
          <t>—</t>
        </is>
      </c>
      <c r="I349" s="11" t="inlineStr">
        <is>
          <t>DZIAŁA</t>
        </is>
      </c>
      <c r="J349" s="12" t="inlineStr">
        <is>
          <t>.github/workflows/ci.yml — typecheck, testy API, build, smoke migracji Prisma, gitleaks, pnpm audit, Trivy, dependabot</t>
        </is>
      </c>
      <c r="K349" s="11" t="inlineStr">
        <is>
          <t>PARYTET</t>
        </is>
      </c>
      <c r="L349" s="11" t="inlineStr">
        <is>
          <t>—</t>
        </is>
      </c>
      <c r="M349" s="11" t="inlineStr">
        <is>
          <t>S</t>
        </is>
      </c>
      <c r="N349" s="12"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row>
    <row r="350">
      <c r="A350" s="11" t="inlineStr">
        <is>
          <t>X-02</t>
        </is>
      </c>
      <c r="B350" s="12" t="inlineStr">
        <is>
          <t>X</t>
        </is>
      </c>
      <c r="C350" s="11" t="inlineStr">
        <is>
          <t>Status wymagany do merge</t>
        </is>
      </c>
      <c r="D350" s="11" t="inlineStr">
        <is>
          <t>—</t>
        </is>
      </c>
      <c r="E350" s="11" t="inlineStr">
        <is>
          <t>—</t>
        </is>
      </c>
      <c r="F350" s="11" t="inlineStr">
        <is>
          <t>—</t>
        </is>
      </c>
      <c r="G350" s="11" t="inlineStr">
        <is>
          <t>—</t>
        </is>
      </c>
      <c r="H350" s="11" t="inlineStr">
        <is>
          <t>—</t>
        </is>
      </c>
      <c r="I350" s="11" t="inlineStr">
        <is>
          <t>DZIAŁA</t>
        </is>
      </c>
      <c r="J350" s="12" t="inlineStr">
        <is>
          <t>ruleset „gałęzie wdrożeniowe — wymagaj zielonego CI" (id 21161479), Active, zakres: gałąź domyślna + live-release-readiness; wymagane 4 checki z ci.yml</t>
        </is>
      </c>
      <c r="K350" s="11" t="inlineStr">
        <is>
          <t>PARYTET</t>
        </is>
      </c>
      <c r="L350" s="11" t="inlineStr">
        <is>
          <t>—</t>
        </is>
      </c>
      <c r="M350" s="11" t="inlineStr">
        <is>
          <t>S</t>
        </is>
      </c>
      <c r="N350" s="12"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row>
    <row r="351">
      <c r="A351" s="11" t="inlineStr">
        <is>
          <t>X-03</t>
        </is>
      </c>
      <c r="B351" s="12" t="inlineStr">
        <is>
          <t>X</t>
        </is>
      </c>
      <c r="C351" s="11" t="inlineStr">
        <is>
          <t>Testy uruchamiane przed wdrożeniem</t>
        </is>
      </c>
      <c r="D351" s="11" t="inlineStr">
        <is>
          <t>—</t>
        </is>
      </c>
      <c r="E351" s="11" t="inlineStr">
        <is>
          <t>—</t>
        </is>
      </c>
      <c r="F351" s="11" t="inlineStr">
        <is>
          <t>—</t>
        </is>
      </c>
      <c r="G351" s="11" t="inlineStr">
        <is>
          <t>—</t>
        </is>
      </c>
      <c r="H351" s="11" t="inlineStr">
        <is>
          <t>—</t>
        </is>
      </c>
      <c r="I351" s="11" t="inlineStr">
        <is>
          <t>DZIAŁA</t>
        </is>
      </c>
      <c r="J351" s="12"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K351" s="11" t="inlineStr">
        <is>
          <t>PARYTET</t>
        </is>
      </c>
      <c r="L351" s="11" t="inlineStr">
        <is>
          <t>WYSOKA</t>
        </is>
      </c>
      <c r="M351" s="11" t="inlineStr">
        <is>
          <t>S</t>
        </is>
      </c>
      <c r="N351" s="12"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row>
    <row r="352">
      <c r="A352" s="11" t="inlineStr">
        <is>
          <t>X-04</t>
        </is>
      </c>
      <c r="B352" s="12" t="inlineStr">
        <is>
          <t>X</t>
        </is>
      </c>
      <c r="C352" s="11" t="inlineStr">
        <is>
          <t>Testy integracyjne / e2e API</t>
        </is>
      </c>
      <c r="D352" s="11" t="inlineStr">
        <is>
          <t>—</t>
        </is>
      </c>
      <c r="E352" s="11" t="inlineStr">
        <is>
          <t>—</t>
        </is>
      </c>
      <c r="F352" s="11" t="inlineStr">
        <is>
          <t>—</t>
        </is>
      </c>
      <c r="G352" s="11" t="inlineStr">
        <is>
          <t>—</t>
        </is>
      </c>
      <c r="H352" s="11" t="inlineStr">
        <is>
          <t>—</t>
        </is>
      </c>
      <c r="I352" s="11" t="inlineStr">
        <is>
          <t>DZIAŁA</t>
        </is>
      </c>
      <c r="J352" s="12" t="inlineStr">
        <is>
          <t>apps/api/test/integration/ — setup.ts (izolacja przez TRUNCATE CASCADE, fabryki, atrapy DirectAdmina/poczty/audytu), node-selector.int-spec.ts (9 testów placementu na prawdziwych zapytaniach), ksiega.int-spec.ts (6 testów cyklu życia księgi z prawdziwymi transakcjami); apps/api/jest.integration.cjs — maxWorkers 1, bo testy dzielą jedną bazę; .github/workflows/ci.yml — job „API integration tests” z Postgresem 16; kody-promocyjne.int-spec.ts (5: voucher raz, podwójne kliknięcie, limit użyć przy równoczesnych próbach, kody wygasłe/nieaktywne/procentowe, bonus do doładowania przy ponownym webhooku; + 3 kod rabatowy na zakup usługi); zakup-z-portfela.int-spec.ts (5: obciążenie raz + kolejka, rabat startowy, brak środków bez ruchu w portfelu, zwrot przy nieudanym zakładaniu, klient poza Verris)</t>
        </is>
      </c>
      <c r="K352" s="11" t="inlineStr">
        <is>
          <t>PARYTET</t>
        </is>
      </c>
      <c r="L352" s="11" t="inlineStr">
        <is>
          <t>WYSOKA</t>
        </is>
      </c>
      <c r="M352" s="11" t="inlineStr">
        <is>
          <t>L</t>
        </is>
      </c>
      <c r="N352" s="12" t="inlineStr">
        <is>
          <t>CZĘŚCIOWE od 2026-08-22 — pierwsze testy integracyjne w historii tego projektu. Do tej pory WSZYSTKIE testy API podstawiały fałszywą Prismę: dowodziły, że logika jest poprawna, nie że zapytanie zwraca to, czego się po nim spodziewamy. | Uruchomione naprawdę, nie tylko napisane: postawiłem Postgresa 16, zaaplikowałem 100 migracji, wygenerowałem klienta i puściłem pakiet — 15 testów zielonych. Sprawdzone, że czerwienią się na regresji: usunięcie zwolnienia pojemności z account-deletion czerwieni 4 z 6 testów księgi. | Co złapały, czego atrapy nie mogły: że Postgres zwraca Float (overcommit) jako number a nie Decimal, że groupBy z filtrem statusu faktycznie pomija konta DELETED, że okno świeżości telemetrii działa na prawdziwym ORDER BY, że wybór najnowszej próbki na subskrypcję nie sumuje okna. | ZAKRES: pokryty jest placement (NodeSelectorService) i cykl życia księgi pojemności (autoskalowanie, usunięcie konta). NIE są pokryte: ścieżki HTTP przez supertest, provisioning end-to-end, płatności, webhooki, KSeF. Dlatego CZĘŚCIOWE, nie DZIAŁA — pozycja opisuje testy integracyjne CAŁEGO API. | Job w CI celowo NIE jest jeszcze wymagany do scalenia (ruleset z X-02): dokładanie nieprzetestowanego w tym repo checka jako wymaganego zablokowałoby merge na ślepo. Do dopisania po pierwszym zielonym przebiegu na main. Poziom dowodu: D1 do czasu tego przebiegu, potem D2. | Ograniczenie warsztatu, warte zapisania: nie da się ich uruchomić ani na maszynie PM-a (klient Prismy zbudowany pod macOS, sandbox to Linux), ani domyślnie w kontenerze (binaries.prisma.sh poza listą dozwolonych hostów). Wymagało zbudowania środowiska od zera. CI jest jedynym miejscem, gdzie biegną rutynowo. Dokumentacja: docs/archiwum/zadania/X-04-testy-integracyjne-api.md | D2 OSIĄGNIĘTE 2026-08-22: przebieg CI #57 zielony w komplecie — sześć jobów, w tym „API integration tests" z Postgresem 16. | 2026-09-24 ZNALEZISKO: job „API integration tests” (wymagany w rulesecie) był czerwony na każdym pushu na main od 2026-09-23 — M-34 zmieniło domyślny model fakturowania, a testy Z-01/FAK-01 nie; atrapa ustawień w H-20 bez getSlaCreditPolicy. Nikt tego nie zobaczył, bo lokalna bramka tych testów nie uruchamia (Postgres), a push właściciela omija ruleset. Naprawione (3bdc6d5); do potwierdzenia pierwszym zielonym przebiegiem CI po pushu. | D2 2026-09-24: CI #235 (51872e5) — wszystkie joby zielone, w tym „API integration tests”. | 2026-09-26 (noc): nowe testy integracyjne ścieżek zapisu — odnowienia z portfela (odnowienia.int-spec.ts: obciążenie + przedłużenie raz, karencja PAST_DUE z jednym zdarzeniem, „Opłać teraz” po doładowaniu, zawieszenie po 3 dniach, rabat startowy, zaplanowana rezygnacja), reseller (6), IAM/członkostwa (4). Razem 98 testów integracyjnych na PostgreSQL 16, zielone. Nadal bez: supertest HTTP, provisioning end-to-end, KSeF — dlatego CZĘŚCIOWE. | 2026-09-26 (wieczór): ZNALEZISKO i naprawa — kod z limitem użyć (np. 1) realizowany równocześnie przez 4 klientów dawał 4 kredyty (limit sprawdzany odczytem, licznik podbijany na końcu). Teraz miejsce w limicie zajmowane atomowo (UPDATE z warunkiem) przed kredytem, zwracane przy nieudanej próbie. Podwójne kliknięcie tego samego klienta: jeden kredyt, druga próba „Już zrealizowałeś”. Zakup usługi z portfela (5 testów) — bez znalezisk. 2026-09-26 (noc) ZNALEZISKO i naprawa #2 — kod rabatowy na zakup usługi (SERVICE_PERCENT_OFF) zapisywał wykorzystanie dopiero po założeniu usługi (z kolejki, minuty później): kod „raz na klienta” działał na każdej usłudze zamówionej w tym czasie, a limit 1 przy 3 równoczesnych zakupach dawał 3 rabaty. Teraz kod rezerwowany atomowo w chwili zakupu i oddawany przy nieudanym zakupie lub zwrocie. Razem 132 testy integracyjne na PostgreSQL 16, zielone. | 2026-09-27: domeny u rejestratora (domeny-rejestrator.int-spec.ts, 8 testów): obciążenie raz za wycenę, zwrot przy odmowie rejestru, brak środków bez wywołania rejestratora, cena transferu = wycena, cudze odnowienie 404, domknięcie i odrzucenie transferu. ZNALEZISKO #1 (bezpieczeństwo, naprawione 4cbc9d4): cudza niezweryfikowana rezerwacja nazwy (A-16) przejmowała domenę opłaconą przez innego klienta — razem z kodem transferu i blokadą. ZNALEZISKO #2 (naprawione): transfer nigdy się nie domykał — patrz A-09. Razem 146 testów integracyjnych na PostgreSQL 16, zielone. Nadal bez: supertest HTTP szerzej, provisioning end-to-end, KSeF — CZĘŚCIOWE. | 2026-09-27 (2): kolejne ścieżki pieniędzy na PostgreSQL — zmiana planu (8), dodatki (6), rekompensaty SLA (5), VPS (6), wypłaty partnerskie (4). ZNALEZISKA, każde potwierdzone testem na starym kodzie i naprawione: (1) PIENIĄDZE — przejście miesiąc→rok dawało rok hostingu gratis + zwrot ~6 zł, rok→miesiąc kazało dopłacić zamiast zwrócić (c0991f1); (2) równoległe zmiany planu: podwójne przesunięcie księgi węzła, przy dwóch planach podwójna dopłata; (3) dodatki: podwójne zgłoszenie dla zespołu, opłata bez zwrotu przy błędzie, dokupienie priorytetu gubiło dni (148af96); (4) SLA niezgodne z §15 ust. 7 — okno bez 48 h zapowiedzi i przedłużenie prac wyłączały przestój; błąd portfela blokował rekompensatę na zawsze (31e5b2f); (5) VPS: wstrzymany za brak płatności dało się włączyć z panelu, osierocony rekord bez opłaty (44994e7); (6) wypłaty partnerskie: te same prowizje w dwóch wypłatach (c8a4d84). Razem 175 testów integracyjnych, zielone. Nadal bez: supertest HTTP szerzej, provisioning end-to-end, KSeF — CZĘŚCIOWE. | 2026-09-27 (3) ZAMKNIĘTE: brakujące obszary dopisane — zakładanie usługi end-to-end (zakladanie-uslugi, 5), KSeF (ksef-obieg, 5: wysyłka→numer, offline z terminem, odrzucenie/ponowienie, nakładające się cykle — ZNALEZISKO: podwójna wysyłka i „Ponów” na przyjętej fakturze, naprawione 1b34c91), zwroty i chargebacki doładowań przez wejście webhooka (zwroty-platnosci, 4 — ZNALEZISKO: brak obsługi charge.refunded/charge.dispute.created, naprawione aa5be3d; wymaga dodania zdarzeń w Stripe), powierzchnia HTTP: test publiczne-trasy.spec.ts porównuje wszystkie trasy bez strażnika z listą świadomie publicznych (76) + istniejący test HTTP uprawnień subkont. Razem 29 plików / 189 testów integracyjnych na PostgreSQL 16, zielone lokalnie. D2 po pierwszym zielonym przebiegu CI („API integration tests”) po pushu. UWAGI na później: hosting na cudzej domenie bez weryfikacji własności (poczta z innych kont na tym węźle trafia lokalnie); link eksportu RODO opisany jako jednorazowy, a działa 7 dni. | D2 2026-09-27: CI #280 (574d854) — „API integration tests” 29 plików / 189 testów zielone, unit 1940/1940, gitleaks czysto. | 2026-09-27 (wieczór): kolejna ścieżka — rozliczanie autoskalowania blokami 15 min (autoskalowanie-rozliczenie, 5 scenariuszy). ZNALEZISKO naprawione: dwa równoległe przebiegi (silnik + cron) dublowały historię bloków, a przy rozliczeniu poza Verris (MANUAL) zestawienie do faktury właściciela liczyło blok dwa razy — blok zajmowany przed obciążeniem. Dalej: auto-doładowanie z karty (auto-doladowanie, 4) — dwa przebiegi harmonogramu obciążały kartę dwa razy (klucz Stripe scalał tylko w tej samej godzinie) → reguła zajmowana przed obciążeniem; usunięcie konta RODO (usuniecie-konta, 4) — wniosek cofnięty po wybraniu listy o 03:30 i tak kończył się anonimizacją, a podwójne usunięcie z węzła zwalniało pojemność dwa razy → zajęcie wniosku jako pierwszy krok transakcji i warunkowe DELETED. Dalej: kampanie e-mail marketingu klientów (kampanie-email, 2) i newsletter Verris (kampanie-marketingowe, 1) — paczki po offsecie gubiły odbiorców przy wypisach w trakcie wysyłki (105 → 102), a dwa przebiegi dyspozytora EMM wysyłały mail dwa razy → paczki od ostatniego obsłużonego / bez wysyłki, rekord wysyłki przed wysłaniem. Dalej: porzucone zamówienia (porzucone-zamowienia, 2) — sprzątanie nieopłaconych od 48 h anulowało zamówienie opłacone w tej samej chwili → anulowanie warunkowe. Dalej: okres próbny (okres-probny, 2) — wygaszenie i przejście na płatny w tej samej chwili dawały „zapłacone, a wygasłe” albo „aktywne, a zawieszone na serwerze” → warunkowe przejścia, zawieszenie po zapisie, zwrot przy spóźnionej konwersji. Dalej: automatyczne zamykanie zgłoszeń (zgloszenia-autozamkniecie, 2) — zgłoszenie, na które klient odpisał po wybraniu listy, było zamykane z mailem „nie odpowiadasz” → warunkowo. Dalej: odnowienie vs ręczna opłata (odnowienia-wyscig, 1) — opłacona w tej chwili usługa wracała do PAST_DUE z karencją do zawieszenia → warunkowo. Dalej: koniec karencji (odnowienia-wyscig, 2. scenariusz) — usługa opłacona po wybraniu listy do zawieszenia była zawieszana → suspend tylko gdy nadal PAST_DUE. Integracja: 38 plików / 214 testów.</t>
        </is>
      </c>
    </row>
    <row r="353">
      <c r="A353" s="11" t="inlineStr">
        <is>
          <t>X-05</t>
        </is>
      </c>
      <c r="B353" s="12" t="inlineStr">
        <is>
          <t>X</t>
        </is>
      </c>
      <c r="C353" s="11" t="inlineStr">
        <is>
          <t>Testy paneli frontowych</t>
        </is>
      </c>
      <c r="D353" s="11" t="inlineStr">
        <is>
          <t>—</t>
        </is>
      </c>
      <c r="E353" s="11" t="inlineStr">
        <is>
          <t>—</t>
        </is>
      </c>
      <c r="F353" s="11" t="inlineStr">
        <is>
          <t>—</t>
        </is>
      </c>
      <c r="G353" s="11" t="inlineStr">
        <is>
          <t>—</t>
        </is>
      </c>
      <c r="H353" s="11" t="inlineStr">
        <is>
          <t>—</t>
        </is>
      </c>
      <c r="I353" s="11" t="inlineStr">
        <is>
          <t>DZIAŁA</t>
        </is>
      </c>
      <c r="J353" s="12" t="inlineStr">
        <is>
          <t>apps/client-panel: 28 plików spec / 177 testów (z 7/44) — pieniądze, uprawnienia subkont, flagi modułów, komunikaty błędów, liczniki pulpitu i menu; runner w package.json i w bramce; staff-panel i admin-panel: runner jest (skrypt test, jest.config.cjs, tsconfig.spec.json) + pierwsze specy (dostęp po uprawnieniach, odmiana, ciasteczko sesji, link Grafany) | 2026-09-26: kluczowe ekrany z danymi — admin: pulpit „Stan platformy” (sprawy, odmiana, linki zgłoszeń do panelu obsługi, węzeł bez sygnału) i zgłoszenia (widoki, po terminie na górze, liczniki) — kluczowe-ekrany.spec.tsx; obsługa: szczegół zgłoszenia PB-37 (SLA, „Co widzi klient”, przeczytane po dopisku klienta, zapowiedź „Wciąż nad tym pracujemy”, cykl czekania, oceny) — ticket-detail-panel.spec.tsx; admin: strona węzła (CPU realne, brak próbek, rozjazd manifestu) i karta klienta (awaria usługi przy incydencie węzła, cena indywidualna vs cennik)</t>
        </is>
      </c>
      <c r="K353" s="11" t="inlineStr">
        <is>
          <t>PARYTET</t>
        </is>
      </c>
      <c r="L353" s="11" t="inlineStr">
        <is>
          <t>ŚREDNIA</t>
        </is>
      </c>
      <c r="M353" s="11" t="inlineStr">
        <is>
          <t>L</t>
        </is>
      </c>
      <c r="N353" s="12" t="inlineStr">
        <is>
          <t>2026-09-24 (2): runner w panelu obsługi i admina — dotąd 0 testów i brak miejsca, żeby je uruchomić; pnpm-lock dopisuje wyłącznie jest/ts-jest/@types/jest w tych dwóch pakietach (te same wersje co panel klienta, walidacja --frozen-lockfile). | 2026-09-24: znalezione testami i naprawione: (1) fetchTickets połykał błąd i zwracał [] — pulpit pokazywał „Otwarte zgłoszenia: 0” przy awarii (X-39), a Centrum pomocy „Nie masz zgłoszeń”; teraz „—” i komunikat; (2) licznik otwartych zgłoszeń pomijał WAITING_CUSTOMER (czekamy na klienta); (3) flagi modułów czytane dynamicznie process.env[name] — w komponentach klienckich (menu) zawsze wartość domyślna, flaga operatora nie działała; teraz literalnie + strażnik; (4) punkty EKO i raport energetyczny przy awarii pokazywały 0 / „brak metryk”. ZOSTAJE: staff-panel i admin-panel bez testów; komponenty React (brak jsdom). | 2026-09-25: testy tras serwerowych panelu admina i obsługi — proxy PDF faktury (sesja, walidacja id — dodana: tylko UUID, wcześniej dowolny ciąg szedł do ścieżki API z tokenem admina i do nagłówka pliku), SSO Grafany (bez sesji na logowanie, przekierowanie tylko do Grafany), załącznik zgłoszenia w panelu obsługi (UUID, sesja, nagłówki). Admin 32 testy, obsługa 18. | 2026-09-25 (2): strażnik okien potwierdzenia w async transition (3 panele; znalazł realny błąd — „Oznacz jako offline” węzła kręcił się bez końca, React 19 wstrzymuje aktualizacje z async transition), strony obsługi przy 403/awarii API (brak-uprawnien-bez-bledu.spec.tsx — sprawdzony: stara wersja strony → czerwony), passkey admina (rola z API), kontrast tokenów (klient, admin, obsługa). Admin 43, obsługa 21. | 2026-09-26 (noc): strażnik „strony przy awarii API” w trzech panelach — przemiata WSZYSTKIE strony serwerowe (403 i brak API) i wymaga komunikatu zamiast „This page couldn’t load”; nowa strona wpada pod niego sama. Znalazł 16 stron, które się wywracały: admin 11 (webhooki Stripe, klient, korekta, czeka na fakturę, plan, Product Ops, kolejka provisioningu, program partnerski, ustawienia AI/poczty/platformy), obsługa 3 (zgłoszenie, karta klienta, usługa klienta), klient 2 (EKO, IAM) + 11 tras narzędzi hostingu (jedna poprawka w resolveServiceForHostingPages). Poprawione: BladStrony/wynik() w adminie i obsłudze, PanelFetchError w panelu klienta. Testy: admin 157, obsługa 53, klient 307. | 2026-09-26: ZAMKNIĘTE: +16 testów kluczowych ekranów (10 admin: pulpit, zgłoszenia, strona węzła, karta klienta; 6 obsługa: szczegół zgłoszenia), każdy sprawdzony mutacją (zepsuta logika → test czerwony). Razem z przemiataniem wszystkich stron przy 403/awarii API i testami integracyjnymi danych (pulpit-admina, strona-wezla).</t>
        </is>
      </c>
    </row>
    <row r="354">
      <c r="A354" s="11" t="inlineStr">
        <is>
          <t>X-06</t>
        </is>
      </c>
      <c r="B354" s="12" t="inlineStr">
        <is>
          <t>X</t>
        </is>
      </c>
      <c r="C354" s="11" t="inlineStr">
        <is>
          <t>Pokrycie testami modułu auth</t>
        </is>
      </c>
      <c r="D354" s="11" t="inlineStr">
        <is>
          <t>—</t>
        </is>
      </c>
      <c r="E354" s="11" t="inlineStr">
        <is>
          <t>—</t>
        </is>
      </c>
      <c r="F354" s="11" t="inlineStr">
        <is>
          <t>—</t>
        </is>
      </c>
      <c r="G354" s="11" t="inlineStr">
        <is>
          <t>—</t>
        </is>
      </c>
      <c r="H354" s="11" t="inlineStr">
        <is>
          <t>—</t>
        </is>
      </c>
      <c r="I354" s="11" t="inlineStr">
        <is>
          <t>DZIAŁA</t>
        </is>
      </c>
      <c r="J354" s="12" t="inlineStr">
        <is>
          <t>zero plików .spec w apps/api/src/auth | 2026-09-23: apps/api/src/auth/auth.service.spec.ts (12 testów): ten sam komunikat dla nieznanego konta i złego hasła, blokada po próbach bez sięgania do bazy, niepotwierdzony e-mail i blokada konta, reset bez wyliczania kont (nieznany/operator/zablokowany/zanonimizowany), token zapisany jako skrót i unieważnienie starych, 5 rodzajów złego linku bez zmiany hasła, ważny link: hasło + tokenVersion + potwierdzenie e-maila + spalenie linków, rejestracja na zajęty adres</t>
        </is>
      </c>
      <c r="K354" s="11" t="inlineStr">
        <is>
          <t>PARYTET</t>
        </is>
      </c>
      <c r="L354" s="11" t="inlineStr">
        <is>
          <t>WYSOKA</t>
        </is>
      </c>
      <c r="M354" s="11" t="inlineStr">
        <is>
          <t>M</t>
        </is>
      </c>
      <c r="N354" s="12" t="inlineStr">
        <is>
          <t>Reklasyfikacja jak X-01 — z zastrzeżeniem, że po ustaleniach Z-02 i Z-04 to właśnie moduł auth i guardy są miejscem, gdzie brak testów już zamienił się w realne luki. | 2026-09-23: zakres: login (ścieżki odmowy), reset hasła, rejestracja. Poza zakresem tego pliku: 2FA/passkey (osobne serwisy totp/webauthn) i ścieżka sukcesu z wydaniem JWT.</t>
        </is>
      </c>
    </row>
    <row r="355">
      <c r="A355" s="11" t="inlineStr">
        <is>
          <t>X-07</t>
        </is>
      </c>
      <c r="B355" s="12" t="inlineStr">
        <is>
          <t>X</t>
        </is>
      </c>
      <c r="C355" s="11" t="inlineStr">
        <is>
          <t>Pokrycie testami klienta KSeF</t>
        </is>
      </c>
      <c r="D355" s="11" t="inlineStr">
        <is>
          <t>—</t>
        </is>
      </c>
      <c r="E355" s="11" t="inlineStr">
        <is>
          <t>—</t>
        </is>
      </c>
      <c r="F355" s="11" t="inlineStr">
        <is>
          <t>—</t>
        </is>
      </c>
      <c r="G355" s="11" t="inlineStr">
        <is>
          <t>—</t>
        </is>
      </c>
      <c r="H355" s="11" t="inlineStr">
        <is>
          <t>—</t>
        </is>
      </c>
      <c r="I355" s="11" t="inlineStr">
        <is>
          <t>BRAK</t>
        </is>
      </c>
      <c r="J355" s="12" t="inlineStr">
        <is>
          <t>ksef-v2.client.ts (487 l. kryptografii + API skarbowe) — ZERO testów; testowany jest tylko builder XML</t>
        </is>
      </c>
      <c r="K355" s="11" t="inlineStr">
        <is>
          <t>POZA ZAKRESEM</t>
        </is>
      </c>
      <c r="L355" s="11" t="inlineStr">
        <is>
          <t>WYSOKA</t>
        </is>
      </c>
      <c r="M355" s="11" t="inlineStr">
        <is>
          <t>M</t>
        </is>
      </c>
      <c r="N355" s="12"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356">
      <c r="A356" s="11" t="inlineStr">
        <is>
          <t>X-08</t>
        </is>
      </c>
      <c r="B356" s="12" t="inlineStr">
        <is>
          <t>X</t>
        </is>
      </c>
      <c r="C356" s="11" t="inlineStr">
        <is>
          <t>Pokrycie testami ścieżki backup/restore</t>
        </is>
      </c>
      <c r="D356" s="11" t="inlineStr">
        <is>
          <t>—</t>
        </is>
      </c>
      <c r="E356" s="11" t="inlineStr">
        <is>
          <t>—</t>
        </is>
      </c>
      <c r="F356" s="11" t="inlineStr">
        <is>
          <t>—</t>
        </is>
      </c>
      <c r="G356" s="11" t="inlineStr">
        <is>
          <t>—</t>
        </is>
      </c>
      <c r="H356" s="11" t="inlineStr">
        <is>
          <t>—</t>
        </is>
      </c>
      <c r="I356" s="11" t="inlineStr">
        <is>
          <t>DZIAŁA</t>
        </is>
      </c>
      <c r="J356" s="12" t="inlineStr">
        <is>
          <t>offsite-restore.service.ts (regex chroniący przed path traversal na wejściu od klienta) — ZERO testów | 2026-09-23: subscriptions/offsite-restore.service.spec.ts (17 testów: 9 wrogich nazw archiwum — traversal, ścieżki, średnik, nowa linia, $(…) — odrzucone przed zadaniem węzła; daUser z konta; wersja RRRRMMDD; 404 cudza usługa, 409 równoległe zadanie; parser logu węzła odrzuca złe nazwy; błąd węzła bez surowego logu) + istniejący hosting-restore.safety.spec.ts (kopia bezpieczeństwa przed odtworzeniem)</t>
        </is>
      </c>
      <c r="K356" s="11" t="inlineStr">
        <is>
          <t>PARYTET</t>
        </is>
      </c>
      <c r="L356" s="11" t="inlineStr">
        <is>
          <t>WYSOKA</t>
        </is>
      </c>
      <c r="M356" s="11" t="inlineStr">
        <is>
          <t>M</t>
        </is>
      </c>
      <c r="N356" s="12" t="inlineStr">
        <is>
          <t>Reklasyfikacja jak X-01 — ale patrz Z-03: brak testów walidacji wejścia migracji to nie jest kwestia jakości, tylko przyczyna luki wykonania kodu.</t>
        </is>
      </c>
    </row>
    <row r="357">
      <c r="A357" s="11" t="inlineStr">
        <is>
          <t>X-09</t>
        </is>
      </c>
      <c r="B357" s="12" t="inlineStr">
        <is>
          <t>X</t>
        </is>
      </c>
      <c r="C357" s="11" t="inlineStr">
        <is>
          <t>Pokrycie testami DirectAdminService</t>
        </is>
      </c>
      <c r="D357" s="11" t="inlineStr">
        <is>
          <t>—</t>
        </is>
      </c>
      <c r="E357" s="11" t="inlineStr">
        <is>
          <t>—</t>
        </is>
      </c>
      <c r="F357" s="11" t="inlineStr">
        <is>
          <t>—</t>
        </is>
      </c>
      <c r="G357" s="11" t="inlineStr">
        <is>
          <t>—</t>
        </is>
      </c>
      <c r="H357" s="11" t="inlineStr">
        <is>
          <t>—</t>
        </is>
      </c>
      <c r="I357" s="11" t="inlineStr">
        <is>
          <t>DZIAŁA</t>
        </is>
      </c>
      <c r="J357" s="12" t="inlineStr">
        <is>
          <t>servers/directadmin.{granica,poczta,ssl,kopie,konto,provisioning,domeny}.spec.ts — 181 testów na granicy HTTP (prawdziwy DirectAdminClient, podmieniony axios): dokładne pola wysyłane do DA, sukces / 200+error=1 / błąd sieci; plus zmiana-hasla-ftp, hosting-primary-domain, merge-admin-settings + subscriptions/provisioning.service.spec.ts; directadmin.docroot-staging.spec.ts; directadmin.odczyty.spec.ts</t>
        </is>
      </c>
      <c r="K357" s="11" t="inlineStr">
        <is>
          <t>PARYTET</t>
        </is>
      </c>
      <c r="L357" s="11" t="inlineStr">
        <is>
          <t>—</t>
        </is>
      </c>
      <c r="M357" s="11" t="inlineStr">
        <is>
          <t>L</t>
        </is>
      </c>
      <c r="N357" s="12" t="inlineStr">
        <is>
          <t>2026-09-24 (3): directadmin.domeny.spec.ts — DNS, domeny dodatkowe, aliasy, PHP per domena, poddomeny, deploy (31 testów). ZNALEZISKA NAPRAWIONE: (1) odmowa DA z SDK (np. „domena już istnieje”, błąd bazy, menedżera plików) kończyła się 500 „Wewnętrzny błąd serwera” — klient nie widział powodu; teraz DirectAdminApiError → 400 z tekstem DA w filtrze globalnym (jedno miejsce dla wszystkich wołających); (2) deploy „czyścił” nazwę gałęzi (main; rm → mainrm) i cron ciągnął nieistniejącą gałąź bez słowa; teraz 400, także dla myślnika na początku (opcja gita) i „..”. (4) provisioning.service.spec.ts — zakładanie konta DA (5 testów zachowania): błąd zapisu w bazie PO założeniu konta zostawiał sierotę na węźle (ponowienie → „domain already exists”, klient dostawał zwrot za stojący hosting); teraz wycofanie jak przy limitach LVE (F-11). ZOSTAJE: usuwanie kont DA (terminacja) bez testów zachowania. | 2026-09-24 ZNALEZISKA NAPRAWIONE: (1) SDK createMysqlDatabase i requestLetsEncrypt nie czytały treści odpowiedzi — 200 + error=1 = „sukces”; baza „powstawała” przy instalacji WordPressa, aplikacji 1-click i stagingu, a LE po provisioningu nie widział porażki; poprawione w SDK (u źródła, dla wszystkich wołających); (2) SEC-2 obchodzone: blokada zawieszonego konta działała tylko w daFormForSubscription — bazy, użytkownicy baz, domeny dodatkowe, .htaccess, ochrona katalogów i jednorazowe logowanie do DA szły obok; teraz assertAccountMutable na każdej ścieżce zapisu; (3) tryb EKO kasował cron kopii przed utworzeniem nowego — odrzucone create zostawiało konto bez kopii; teraz najpierw nowy, potem stary; (4) usuwanie poddomeny/stagingu (contents=yes, kasuje pliki) bez walidacji nazwy. ZOSTAJE: DNS, wskaźniki domen, PHP per domena, deploy, zakładanie/usuwanie kont DA (provisioning.service). |  | 2026-09-23 ZNALEZISKA NAPRAWIONE: (1) host z listy dozwolonych hotlinka trafiał do .htaccess bez walidacji — znak nowej linii dopisywał dowolną dyrektywę; teraz walidacja nazwy domeny; (2) AuthUserFile bez cudzysłowu — katalog ze spacją dawał błąd 500 całej strony; (3) body crona było interfejsem (zero walidacji) — nowa linia dopisywała wiersz crontaba; teraz ZadanieCronDto. ZOSTAJE: metody provisioningu, SSL, poczty i kopii bez testów jednostkowych (reszta z ~3,1 tys. linii). | 2026-09-25: +15 testów (directadmin.narzedzia.spec.ts) — ochrona katalogu hasłem (bcrypt $2y$ w .htpasswd, bez jawnego hasła; „..” i znaki powłoki odrzucane przed DA; konto zawieszone bez zapisu; usunięcie wycina tylko blok Verris), usunięcie aliasu domeny, odczyt catch-all i antyspamu (awaria DA = komunikat, nie „wyłączone”), lista skrzynek. Pokrycie linii directadmin.service.ts w testach jednostkowych: 67% przed tą partią. | 2026-09-25 (2): files.service.spec.ts — piaskownica menedżera plików (normalizacja ścieżek, wyjście poza katalog domowy → 403 bez DA, bajt zerowy, cudza usługa 404, konto nieaktywne 400, limit pobrania sprawdzany przed wczytaniem do pamięci). | 2026-09-25: directadmin.cron-ftp.spec.ts (8) — cron (pola 1:1, identyfikator tylko liczbowy także przy usuwaniu — dodane, zmiana = nowy wpis przed usunięciem starego, konto zawieszone bez mutacji), zmiana hasła FTP (konto spoza usługi 404, katalog zachowany, hasło nie w audycie), autorespondery, hosty dostępu do bazy. | 2026-09-25: document root (ścieżka konta w bloku DOCROOT, cudza konfiguracja zostaje; cudza domena, „..”, brak katalogu, konto zawieszone → 400 bez CUSTOM_HTTPD), SSO admina do węzła (link 2 min, bez linku w audycie, 404 dla nieznanego serwera), staging z bazą i walidacją nazwy, deploy (id liczbowy). Test directadmin.docroot-staging.spec.ts (13). | Zamknięte 2026-09-25 (D2): każda z 94 publicznych metod DirectAdminService ma test (sprawdzone skryptem: nazwa metody w co najmniej jednym specu). Ostatnie: odczyty — dane dostępowe i limity, adresy panelu, domeny dodatkowe, autorespondery, hosty i użytkownicy baz, bazy MySQL z wersją silnika, staging, dyrektywy PHP (directadmin.odczyty.spec.ts, 11).</t>
        </is>
      </c>
    </row>
    <row r="358">
      <c r="A358" s="11" t="inlineStr">
        <is>
          <t>X-10</t>
        </is>
      </c>
      <c r="B358" s="12" t="inlineStr">
        <is>
          <t>X</t>
        </is>
      </c>
      <c r="C358" s="11" t="inlineStr">
        <is>
          <t>Testy RBAC sprawdzające zachowanie, nie metadane</t>
        </is>
      </c>
      <c r="D358" s="11" t="inlineStr">
        <is>
          <t>—</t>
        </is>
      </c>
      <c r="E358" s="11" t="inlineStr">
        <is>
          <t>—</t>
        </is>
      </c>
      <c r="F358" s="11" t="inlineStr">
        <is>
          <t>—</t>
        </is>
      </c>
      <c r="G358" s="11" t="inlineStr">
        <is>
          <t>—</t>
        </is>
      </c>
      <c r="H358" s="11" t="inlineStr">
        <is>
          <t>—</t>
        </is>
      </c>
      <c r="I358" s="11" t="inlineStr">
        <is>
          <t>DZIAŁA</t>
        </is>
      </c>
      <c r="J358" s="12" t="inlineStr">
        <is>
          <t>3 pliki spec czytają Reflect.getMetadata(ROLES_KEY) — weryfikują, że dekorator napisano, nie że guard blokuje | 2026-09-23: apps/api/src/test/rbac-zachowanie.spec.ts — 225 tras z 36 kontrolerów admin/* przepuszczanych przez PRAWDZIWE RolesGuard + StaffPermissionsGuard (prawdziwy Reflector): klient odrzucony wszędzie, operator bez uprawnień odrzucony na każdej trasie z @StaffPerm, admin wpuszczony wszędzie, trasy tylko-ADMIN odrzucają operatora z kompletem uprawnień, sąsiednie uprawnienie nie wystarcza</t>
        </is>
      </c>
      <c r="K358" s="11" t="inlineStr">
        <is>
          <t>PARYTET</t>
        </is>
      </c>
      <c r="L358" s="11" t="inlineStr">
        <is>
          <t>WYSOKA</t>
        </is>
      </c>
      <c r="M358" s="11" t="inlineStr">
        <is>
          <t>M</t>
        </is>
      </c>
      <c r="N358" s="12" t="inlineStr">
        <is>
          <t>pokrycie pozorne w najdroższym możliwym miejscu | 2026-09-23: strażnik sam odkrywa nowe kontrolery admin/* — nowa trasa bez strażnika albo z otwartą rolą zatrzyma bramkę.</t>
        </is>
      </c>
    </row>
    <row r="359">
      <c r="A359" s="11" t="inlineStr">
        <is>
          <t>X-11</t>
        </is>
      </c>
      <c r="B359" s="12" t="inlineStr">
        <is>
          <t>X</t>
        </is>
      </c>
      <c r="C359" s="11" t="inlineStr">
        <is>
          <t>Testy API w osobnym jobie CI, nie za typecheckiem</t>
        </is>
      </c>
      <c r="D359" s="11" t="inlineStr">
        <is>
          <t>—</t>
        </is>
      </c>
      <c r="E359" s="11" t="inlineStr">
        <is>
          <t>—</t>
        </is>
      </c>
      <c r="F359" s="11" t="inlineStr">
        <is>
          <t>—</t>
        </is>
      </c>
      <c r="G359" s="11" t="inlineStr">
        <is>
          <t>—</t>
        </is>
      </c>
      <c r="H359" s="11" t="inlineStr">
        <is>
          <t>—</t>
        </is>
      </c>
      <c r="I359" s="11" t="inlineStr">
        <is>
          <t>DZIAŁA</t>
        </is>
      </c>
      <c r="J359" s="12" t="inlineStr">
        <is>
          <t>.github/workflows/ci.yml — osobny job api-tests o nazwie „API unit tests"</t>
        </is>
      </c>
      <c r="K359" s="11" t="inlineStr">
        <is>
          <t>PARYTET</t>
        </is>
      </c>
      <c r="L359" s="11" t="inlineStr">
        <is>
          <t>—</t>
        </is>
      </c>
      <c r="M359" s="11" t="inlineStr">
        <is>
          <t>S</t>
        </is>
      </c>
      <c r="N359" s="12"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row>
    <row r="360">
      <c r="A360" s="11" t="inlineStr">
        <is>
          <t>X-12</t>
        </is>
      </c>
      <c r="B360" s="12" t="inlineStr">
        <is>
          <t>X</t>
        </is>
      </c>
      <c r="C360" s="11" t="inlineStr">
        <is>
          <t>Skrypty węzła serwowane przez API obecne w obrazie produkcyjnym</t>
        </is>
      </c>
      <c r="D360" s="11" t="inlineStr">
        <is>
          <t>—</t>
        </is>
      </c>
      <c r="E360" s="11" t="inlineStr">
        <is>
          <t>—</t>
        </is>
      </c>
      <c r="F360" s="11" t="inlineStr">
        <is>
          <t>—</t>
        </is>
      </c>
      <c r="G360" s="11" t="inlineStr">
        <is>
          <t>—</t>
        </is>
      </c>
      <c r="H360" s="11" t="inlineStr">
        <is>
          <t>—</t>
        </is>
      </c>
      <c r="I360" s="11" t="inlineStr">
        <is>
          <t>DZIAŁA</t>
        </is>
      </c>
      <c r="J360" s="12"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K360" s="11" t="inlineStr">
        <is>
          <t>PARYTET</t>
        </is>
      </c>
      <c r="L360" s="11" t="inlineStr">
        <is>
          <t>—</t>
        </is>
      </c>
      <c r="M360" s="11" t="inlineStr">
        <is>
          <t>S</t>
        </is>
      </c>
      <c r="N360" s="12"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row>
    <row r="361">
      <c r="A361" s="11" t="inlineStr">
        <is>
          <t>X-13</t>
        </is>
      </c>
      <c r="B361" s="12" t="inlineStr">
        <is>
          <t>X</t>
        </is>
      </c>
      <c r="C361" s="11" t="inlineStr">
        <is>
          <t>Jedna gałąź wdrożeniowa — main</t>
        </is>
      </c>
      <c r="D361" s="11" t="inlineStr">
        <is>
          <t>—</t>
        </is>
      </c>
      <c r="E361" s="11" t="inlineStr">
        <is>
          <t>—</t>
        </is>
      </c>
      <c r="F361" s="11" t="inlineStr">
        <is>
          <t>—</t>
        </is>
      </c>
      <c r="G361" s="11" t="inlineStr">
        <is>
          <t>—</t>
        </is>
      </c>
      <c r="H361" s="11" t="inlineStr">
        <is>
          <t>—</t>
        </is>
      </c>
      <c r="I361" s="11" t="inlineStr">
        <is>
          <t>DZIAŁA</t>
        </is>
      </c>
      <c r="J361" s="12" t="inlineStr">
        <is>
          <t>.github/workflows/deploy.yml — on.push.branches: [main]</t>
        </is>
      </c>
      <c r="K361" s="11" t="inlineStr">
        <is>
          <t>PARYTET</t>
        </is>
      </c>
      <c r="L361" s="11" t="inlineStr">
        <is>
          <t>—</t>
        </is>
      </c>
      <c r="M361" s="11" t="inlineStr">
        <is>
          <t>S</t>
        </is>
      </c>
      <c r="N361" s="12"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row>
    <row r="362">
      <c r="A362" s="11" t="inlineStr">
        <is>
          <t>Z-12</t>
        </is>
      </c>
      <c r="B362" s="12" t="inlineStr">
        <is>
          <t>K</t>
        </is>
      </c>
      <c r="C362" s="11" t="inlineStr">
        <is>
          <t>Placement kont nadsubskrybuje zasoby węzła zamiast rezerwować pełne limity planu</t>
        </is>
      </c>
      <c r="D362" s="11" t="inlineStr">
        <is>
          <t>TAK</t>
        </is>
      </c>
      <c r="E362" s="11" t="inlineStr">
        <is>
          <t>TAK</t>
        </is>
      </c>
      <c r="F362" s="11" t="inlineStr">
        <is>
          <t>TAK</t>
        </is>
      </c>
      <c r="G362" s="11" t="inlineStr">
        <is>
          <t>TAK</t>
        </is>
      </c>
      <c r="H362" s="11" t="inlineStr">
        <is>
          <t>TAK</t>
        </is>
      </c>
      <c r="I362" s="11" t="inlineStr">
        <is>
          <t>DZIAŁA</t>
        </is>
      </c>
      <c r="J362" s="12"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K362" s="11" t="inlineStr">
        <is>
          <t>PARYTET</t>
        </is>
      </c>
      <c r="L362" s="11" t="inlineStr">
        <is>
          <t>—</t>
        </is>
      </c>
      <c r="M362" s="11" t="inlineStr">
        <is>
          <t>M</t>
        </is>
      </c>
      <c r="N362" s="12"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t>
        </is>
      </c>
    </row>
    <row r="363">
      <c r="A363" s="11" t="inlineStr">
        <is>
          <t>Z-13</t>
        </is>
      </c>
      <c r="B363" s="12" t="inlineStr">
        <is>
          <t>M</t>
        </is>
      </c>
      <c r="C363" s="11" t="inlineStr">
        <is>
          <t>Pakiet sprzedawany na stronie istnieje jako plan w bazie</t>
        </is>
      </c>
      <c r="D363" s="11" t="inlineStr">
        <is>
          <t>TAK</t>
        </is>
      </c>
      <c r="E363" s="11" t="inlineStr">
        <is>
          <t>TAK</t>
        </is>
      </c>
      <c r="F363" s="11" t="inlineStr">
        <is>
          <t>TAK</t>
        </is>
      </c>
      <c r="G363" s="11" t="inlineStr">
        <is>
          <t>TAK</t>
        </is>
      </c>
      <c r="H363" s="11" t="inlineStr">
        <is>
          <t>TAK</t>
        </is>
      </c>
      <c r="I363" s="11" t="inlineStr">
        <is>
          <t>DZIAŁA</t>
        </is>
      </c>
      <c r="J363" s="12"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K363" s="11" t="inlineStr">
        <is>
          <t>PARYTET</t>
        </is>
      </c>
      <c r="L363" s="11" t="inlineStr">
        <is>
          <t>—</t>
        </is>
      </c>
      <c r="M363" s="11" t="inlineStr">
        <is>
          <t>S</t>
        </is>
      </c>
      <c r="N363" s="12"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row>
    <row r="364">
      <c r="A364" s="11" t="inlineStr">
        <is>
          <t>Z-14</t>
        </is>
      </c>
      <c r="B364" s="12" t="inlineStr">
        <is>
          <t>P</t>
        </is>
      </c>
      <c r="C364" s="11" t="inlineStr">
        <is>
          <t>Treść oferty nie obiecuje zasobów, których nie da się dotrzymać jednocześnie</t>
        </is>
      </c>
      <c r="D364" s="11" t="inlineStr">
        <is>
          <t>TAK</t>
        </is>
      </c>
      <c r="E364" s="11" t="inlineStr">
        <is>
          <t>TAK</t>
        </is>
      </c>
      <c r="F364" s="11" t="inlineStr">
        <is>
          <t>TAK</t>
        </is>
      </c>
      <c r="G364" s="11" t="inlineStr">
        <is>
          <t>TAK</t>
        </is>
      </c>
      <c r="H364" s="11" t="inlineStr">
        <is>
          <t>TAK</t>
        </is>
      </c>
      <c r="I364" s="11" t="inlineStr">
        <is>
          <t>DZIAŁA</t>
        </is>
      </c>
      <c r="J364" s="12" t="inlineStr">
        <is>
          <t>apps/www/src/app/(frontend)/hosting/page.tsx — „do 8 GB RAM, do 2 vCPU”; apps/www/src/app/(frontend)/components/Pricing.tsx — ta sama zmiana w karcie pakietu</t>
        </is>
      </c>
      <c r="K364" s="11" t="inlineStr">
        <is>
          <t>PARYTET</t>
        </is>
      </c>
      <c r="L364" s="11" t="inlineStr">
        <is>
          <t>—</t>
        </is>
      </c>
      <c r="M364" s="11" t="inlineStr">
        <is>
          <t>S</t>
        </is>
      </c>
      <c r="N364" s="12" t="inlineStr">
        <is>
          <t>Zamknięte 2026-08-22. Strona pisała „Baza w cenie: 50 GB NVMe, 8 GB RAM, 2 vCPU”. Przy gęstości, przy której węzeł w ogóle się domyka (51 kont), oznaczałoby to 408 GB RAM obiecane na maszynie ze 128 GB. Sformułowanie „w cenie” to obietnica rezerwacji; RAM i CPU są w LVE sufitami burst, więc poprawne jest „do”. Dysk zostaje bez zmiany — quota dyskowa jest realnie egzekwowana i 50 GB to faktyczna alokacja. To ten sam typ błędu, który audyt wychwycił w oferta.md: zdanie prawdziwe dla jednego klienta i nieprawdziwe dla wszystkich naraz. Decyzja PM-a z 2026-08-22. Dokumentacja: docs/archiwum/strategy/DECYZJA_CENOWA_2026-08.md</t>
        </is>
      </c>
    </row>
    <row r="365">
      <c r="A365" s="11" t="inlineStr">
        <is>
          <t>Z-15</t>
        </is>
      </c>
      <c r="B365" s="12" t="inlineStr">
        <is>
          <t>K</t>
        </is>
      </c>
      <c r="C365" s="11" t="inlineStr">
        <is>
          <t>Alert wyprzedzający, gdy realne zużycie węzła zbliża się do progu</t>
        </is>
      </c>
      <c r="D365" s="11" t="inlineStr">
        <is>
          <t>TAK</t>
        </is>
      </c>
      <c r="E365" s="11" t="inlineStr">
        <is>
          <t>TAK</t>
        </is>
      </c>
      <c r="F365" s="11" t="inlineStr">
        <is>
          <t>CZĘŚĆ</t>
        </is>
      </c>
      <c r="G365" s="11" t="inlineStr">
        <is>
          <t>CZĘŚĆ</t>
        </is>
      </c>
      <c r="H365" s="11" t="inlineStr">
        <is>
          <t>TAK</t>
        </is>
      </c>
      <c r="I365" s="11" t="inlineStr">
        <is>
          <t>DZIAŁA</t>
        </is>
      </c>
      <c r="J365" s="12" t="inlineStr">
        <is>
          <t>node-capacity.ts — bramka fizyczna odmawia po przekroczeniu progu, nie przed | 2026-09-23: node-capacity.ts oblozenieWezla (dwie księgi: sprzedaż względem pojemności z nadsubskrypcją, realne zużycie względem fizycznej po headroomie) + zuzycieZProbek (wspólne z placementem); ops-watchdog.scheduler checkCapacity — alert przy sprzedaży ≥85% LUB realnym zużyciu ≥80% (bramka fizyczna odmawia przy 100%); mail pokazuje obie księgi; test D2 oblozenie-wezla.spec.ts</t>
        </is>
      </c>
      <c r="K365" s="11" t="inlineStr">
        <is>
          <t>PARYTET</t>
        </is>
      </c>
      <c r="L365" s="11" t="inlineStr">
        <is>
          <t>ŚREDNIA</t>
        </is>
      </c>
      <c r="M365" s="11" t="inlineStr">
        <is>
          <t>S</t>
        </is>
      </c>
      <c r="N365" s="12" t="inlineStr">
        <is>
          <t>Odkryte przy zamykaniu Z-12. Bramka realnego zużycia działa poprawnie, ale odzywa się dopiero wtedy, gdy węzeł jest już pełny — a operator dowiaduje się o tym z nieudanej sprzedaży. To jest ten sam wzorzec co przy X-12: mechanizm działa, tylko informacja dociera po fakcie. Do zrobienia: próg ostrzegawczy (np. 70% pojemności fizycznej) podpięty pod istniejący ops-watchdog.scheduler.ts, który już liczy procenty wykorzystania i wysyła alerty. Przy okazji: nikt nie liczy sumy nadsubskrypcji po całej flocie — przy jednym węźle bez znaczenia, przy pięciu już nie. | 2026-09-23 ZNALEZISKO NAPRAWIONE: watchdog porównywał SPRZEDANE z samą pojemnością fizyczną — przy overcommicie (do 8× CPU/RAM) każdy normalnie sprzedany węzeł dawał alarm „blisko zapełnienia” (a przy OPS_AUTO_CORDON=1 auto-cordon), a realnego zapełnienia nie widział wcale. ZOSTAJE: suma nadsubskrypcji po całej flocie (bez znaczenia przy jednym węźle).</t>
        </is>
      </c>
    </row>
    <row r="366">
      <c r="A366" s="11" t="inlineStr">
        <is>
          <t>Z-16</t>
        </is>
      </c>
      <c r="B366" s="12" t="inlineStr">
        <is>
          <t>J</t>
        </is>
      </c>
      <c r="C366" s="11" t="inlineStr">
        <is>
          <t>Autoskalowanie pyta węzeł o pojemność i dowozi sufit obiecany w ofercie</t>
        </is>
      </c>
      <c r="D366" s="11" t="inlineStr">
        <is>
          <t>TAK</t>
        </is>
      </c>
      <c r="E366" s="11" t="inlineStr">
        <is>
          <t>TAK</t>
        </is>
      </c>
      <c r="F366" s="11" t="inlineStr">
        <is>
          <t>CZĘŚĆ</t>
        </is>
      </c>
      <c r="G366" s="11" t="inlineStr">
        <is>
          <t>CZĘŚĆ</t>
        </is>
      </c>
      <c r="H366" s="11" t="inlineStr">
        <is>
          <t>TAK</t>
        </is>
      </c>
      <c r="I366" s="11" t="inlineStr">
        <is>
          <t>DZIAŁA</t>
        </is>
      </c>
      <c r="J366" s="12"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K366" s="11" t="inlineStr">
        <is>
          <t>PARYTET</t>
        </is>
      </c>
      <c r="L366" s="11" t="inlineStr">
        <is>
          <t>—</t>
        </is>
      </c>
      <c r="M366" s="11" t="inlineStr">
        <is>
          <t>M</t>
        </is>
      </c>
      <c r="N366" s="12"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row>
    <row r="367">
      <c r="A367" s="11" t="inlineStr">
        <is>
          <t>Z-17</t>
        </is>
      </c>
      <c r="B367" s="12" t="inlineStr">
        <is>
          <t>J</t>
        </is>
      </c>
      <c r="C367" s="11" t="inlineStr">
        <is>
          <t>Klient widzi, że autoskalowanie dało mu mniej, niż potrzebował</t>
        </is>
      </c>
      <c r="D367" s="11" t="inlineStr">
        <is>
          <t>NIE</t>
        </is>
      </c>
      <c r="E367" s="11" t="inlineStr">
        <is>
          <t>NIE</t>
        </is>
      </c>
      <c r="F367" s="11" t="inlineStr">
        <is>
          <t>NIE</t>
        </is>
      </c>
      <c r="G367" s="11" t="inlineStr">
        <is>
          <t>CZĘŚĆ</t>
        </is>
      </c>
      <c r="H367" s="11" t="inlineStr">
        <is>
          <t>TAK</t>
        </is>
      </c>
      <c r="I367" s="11" t="inlineStr">
        <is>
          <t>DZIAŁA</t>
        </is>
      </c>
      <c r="J367" s="12" t="inlineStr">
        <is>
          <t>autoscaling-engine.service.ts — obcięcie zostawia wpis w dzienniku audytu i warn w logu, ale panel klienta nie pokazuje niczego | 2026-09-23: autoscaling-engine.service.ts — przy obcięciu zapis AutoscalingEvent (reason node_capacity_limited|cpu:przyznane/chciane|ram:…|disk:…); panel klienta autoscaling/timeline.tsx — pozycja „Serwer dał mniej zasobów, niż potrzebowała strona” z przyznanymi wartościami i wyjaśnieniem, że to brak miejsca po naszej stronie</t>
        </is>
      </c>
      <c r="K367" s="11" t="inlineStr">
        <is>
          <t>PARYTET</t>
        </is>
      </c>
      <c r="L367" s="11" t="inlineStr">
        <is>
          <t>ŚREDNIA</t>
        </is>
      </c>
      <c r="M367" s="11" t="inlineStr">
        <is>
          <t>S</t>
        </is>
      </c>
      <c r="N367" s="12" t="inlineStr">
        <is>
          <t>Odkryte przy zamykaniu Z-16. Gdy węzeł nie ma pełnej nadwyżki, konto dostaje tyle, ile się da — i to jest właściwe zachowanie. Ale klient płaci za autoskalowanie godzinowo i nie dowiaduje się, że w szczycie dostał połowę tego, czego strona potrzebowała. Widzi wolną stronę i nie wie dlaczego. | To nie jest kosmetyka interfejsu: przy usłudze rozliczanej za realne użycie informacja o tym, że usługa nie dowiozła, jest częścią usługi. Bez niej pierwsze zgłoszenie do BOK-u brzmi „strona muliła w Black Friday”, a odpowiedź wymaga grzebania w dzienniku audytu. | Do zrobienia: wpis w historii autoskalowania widoczny w panelu klienta plus, przy powtarzających się obcięciach, sygnał od nas — bo to my mamy za mało węzłów, nie on za mały pakiet. | 2026-09-23: widoczne w historii autoskalowania. ZOSTAJE: sygnał od nas przy powtarzających się obcięciach (dziś widzi to operator w alertach pojemności Z-15). Bez testu jednostkowego ścieżki obcięcia — D3 przy pierwszym szczycie na węźle.</t>
        </is>
      </c>
    </row>
    <row r="368">
      <c r="A368" s="11" t="inlineStr">
        <is>
          <t>Z-18</t>
        </is>
      </c>
      <c r="B368" s="12" t="inlineStr">
        <is>
          <t>Z</t>
        </is>
      </c>
      <c r="C368" s="11" t="inlineStr">
        <is>
          <t>Prawdziwa przyczyna błędu provisioningu nie ginie po drodze</t>
        </is>
      </c>
      <c r="D368" s="11" t="inlineStr">
        <is>
          <t>—</t>
        </is>
      </c>
      <c r="E368" s="11" t="inlineStr">
        <is>
          <t>—</t>
        </is>
      </c>
      <c r="F368" s="11" t="inlineStr">
        <is>
          <t>—</t>
        </is>
      </c>
      <c r="G368" s="11" t="inlineStr">
        <is>
          <t>—</t>
        </is>
      </c>
      <c r="H368" s="11" t="inlineStr">
        <is>
          <t>—</t>
        </is>
      </c>
      <c r="I368" s="11" t="inlineStr">
        <is>
          <t>DZIAŁA</t>
        </is>
      </c>
      <c r="J368" s="12"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K368" s="11" t="inlineStr">
        <is>
          <t>PARYTET</t>
        </is>
      </c>
      <c r="L368" s="11" t="inlineStr">
        <is>
          <t>BLOKER STARTU</t>
        </is>
      </c>
      <c r="M368" s="11" t="inlineStr">
        <is>
          <t>S</t>
        </is>
      </c>
      <c r="N368" s="12"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row>
    <row r="369">
      <c r="A369" s="11" t="inlineStr">
        <is>
          <t>X-14</t>
        </is>
      </c>
      <c r="B369" s="12" t="inlineStr">
        <is>
          <t>X</t>
        </is>
      </c>
      <c r="C369" s="11" t="inlineStr">
        <is>
          <t>CI sprawdza DANE po migracji, nie tylko czy migracja się wykonała</t>
        </is>
      </c>
      <c r="D369" s="11" t="inlineStr">
        <is>
          <t>—</t>
        </is>
      </c>
      <c r="E369" s="11" t="inlineStr">
        <is>
          <t>—</t>
        </is>
      </c>
      <c r="F369" s="11" t="inlineStr">
        <is>
          <t>—</t>
        </is>
      </c>
      <c r="G369" s="11" t="inlineStr">
        <is>
          <t>—</t>
        </is>
      </c>
      <c r="H369" s="11" t="inlineStr">
        <is>
          <t>—</t>
        </is>
      </c>
      <c r="I369" s="11" t="inlineStr">
        <is>
          <t>DZIAŁA</t>
        </is>
      </c>
      <c r="J369" s="12" t="inlineStr">
        <is>
          <t>.github/workflows/ci.yml — job migrations: kroki „Seed reference data” i „Verify migrated data (Z-12, Z-13, Z-16)”; ops/sql/sprawdz-baze-po-migracji.sql — 5 bloków asercji kończących się RAISE EXCEPTION</t>
        </is>
      </c>
      <c r="K369" s="11" t="inlineStr">
        <is>
          <t>PARYTET</t>
        </is>
      </c>
      <c r="L369" s="11" t="inlineStr">
        <is>
          <t>—</t>
        </is>
      </c>
      <c r="M369" s="11" t="inlineStr">
        <is>
          <t>S</t>
        </is>
      </c>
      <c r="N369" s="12"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row>
    <row r="370">
      <c r="A370" s="11" t="inlineStr">
        <is>
          <t>X-15</t>
        </is>
      </c>
      <c r="B370" s="12" t="inlineStr">
        <is>
          <t>X</t>
        </is>
      </c>
      <c r="C370" s="11" t="inlineStr">
        <is>
          <t>Niezmiennik księgi pojemności sprawdzany liczbowo, nie tekstowo</t>
        </is>
      </c>
      <c r="D370" s="11" t="inlineStr">
        <is>
          <t>—</t>
        </is>
      </c>
      <c r="E370" s="11" t="inlineStr">
        <is>
          <t>—</t>
        </is>
      </c>
      <c r="F370" s="11" t="inlineStr">
        <is>
          <t>—</t>
        </is>
      </c>
      <c r="G370" s="11" t="inlineStr">
        <is>
          <t>—</t>
        </is>
      </c>
      <c r="H370" s="11" t="inlineStr">
        <is>
          <t>—</t>
        </is>
      </c>
      <c r="I370" s="11" t="inlineStr">
        <is>
          <t>DZIAŁA</t>
        </is>
      </c>
      <c r="J370" s="12"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K370" s="11" t="inlineStr">
        <is>
          <t>PARYTET</t>
        </is>
      </c>
      <c r="L370" s="11" t="inlineStr">
        <is>
          <t>—</t>
        </is>
      </c>
      <c r="M370" s="11" t="inlineStr">
        <is>
          <t>S</t>
        </is>
      </c>
      <c r="N370" s="12"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row>
    <row r="371">
      <c r="A371" s="11" t="inlineStr">
        <is>
          <t>X-17</t>
        </is>
      </c>
      <c r="B371" s="12" t="inlineStr">
        <is>
          <t>X</t>
        </is>
      </c>
      <c r="C371" s="11" t="inlineStr">
        <is>
          <t>Joby CI budują zależności workspace'u zanim uruchomią testy</t>
        </is>
      </c>
      <c r="D371" s="11" t="inlineStr">
        <is>
          <t>—</t>
        </is>
      </c>
      <c r="E371" s="11" t="inlineStr">
        <is>
          <t>—</t>
        </is>
      </c>
      <c r="F371" s="11" t="inlineStr">
        <is>
          <t>—</t>
        </is>
      </c>
      <c r="G371" s="11" t="inlineStr">
        <is>
          <t>—</t>
        </is>
      </c>
      <c r="H371" s="11" t="inlineStr">
        <is>
          <t>—</t>
        </is>
      </c>
      <c r="I371" s="11" t="inlineStr">
        <is>
          <t>DZIAŁA</t>
        </is>
      </c>
      <c r="J371" s="12" t="inlineStr">
        <is>
          <t>.github/workflows/ci.yml — krok „Build workspace libraries” w jobie api-tests, „Generate Prisma client” w jobie migrations; turbo.json — zadanie test dostaje dependsOn ^build; apps/api/src/test/ci-joby.spec.ts — 6 testów strażnika</t>
        </is>
      </c>
      <c r="K371" s="11" t="inlineStr">
        <is>
          <t>PARYTET</t>
        </is>
      </c>
      <c r="L371" s="11" t="inlineStr">
        <is>
          <t>—</t>
        </is>
      </c>
      <c r="M371" s="11" t="inlineStr">
        <is>
          <t>S</t>
        </is>
      </c>
      <c r="N371" s="12"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row>
    <row r="372">
      <c r="A372" s="11" t="inlineStr">
        <is>
          <t>X-18</t>
        </is>
      </c>
      <c r="B372" s="12" t="inlineStr">
        <is>
          <t>X</t>
        </is>
      </c>
      <c r="C372" s="11" t="inlineStr">
        <is>
          <t>Zależności podniesione do najnowszych bezpiecznych wersji</t>
        </is>
      </c>
      <c r="D372" s="11" t="inlineStr">
        <is>
          <t>—</t>
        </is>
      </c>
      <c r="E372" s="11" t="inlineStr">
        <is>
          <t>—</t>
        </is>
      </c>
      <c r="F372" s="11" t="inlineStr">
        <is>
          <t>—</t>
        </is>
      </c>
      <c r="G372" s="11" t="inlineStr">
        <is>
          <t>—</t>
        </is>
      </c>
      <c r="H372" s="11" t="inlineStr">
        <is>
          <t>—</t>
        </is>
      </c>
      <c r="I372" s="11" t="inlineStr">
        <is>
          <t>DZIAŁA</t>
        </is>
      </c>
      <c r="J372" s="12"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K372" s="11" t="inlineStr">
        <is>
          <t>PARYTET</t>
        </is>
      </c>
      <c r="L372" s="11" t="inlineStr">
        <is>
          <t>—</t>
        </is>
      </c>
      <c r="M372" s="11" t="inlineStr">
        <is>
          <t>M</t>
        </is>
      </c>
      <c r="N372" s="12"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row>
    <row r="373">
      <c r="A373" s="11" t="inlineStr">
        <is>
          <t>X-19</t>
        </is>
      </c>
      <c r="B373" s="12" t="inlineStr">
        <is>
          <t>X</t>
        </is>
      </c>
      <c r="C373" s="11" t="inlineStr">
        <is>
          <t>Dług lintera odsłonięty przez Next 16 i włączenie ESLinta w API</t>
        </is>
      </c>
      <c r="D373" s="11" t="inlineStr">
        <is>
          <t>—</t>
        </is>
      </c>
      <c r="E373" s="11" t="inlineStr">
        <is>
          <t>—</t>
        </is>
      </c>
      <c r="F373" s="11" t="inlineStr">
        <is>
          <t>—</t>
        </is>
      </c>
      <c r="G373" s="11" t="inlineStr">
        <is>
          <t>—</t>
        </is>
      </c>
      <c r="H373" s="11" t="inlineStr">
        <is>
          <t>—</t>
        </is>
      </c>
      <c r="I373" s="11" t="inlineStr">
        <is>
          <t>DZIAŁA</t>
        </is>
      </c>
      <c r="J373" s="12" t="inlineStr">
        <is>
          <t>API/SDK: libs/eslint-config/node.mjs — wszystko error; panele (client/staff/admin/www): eslint.config.mjs — wszystko error; eslint 0 znalezisk w 6 pakietach, tsc 0 (2026-09-24)</t>
        </is>
      </c>
      <c r="K373" s="11" t="inlineStr">
        <is>
          <t>PARYTET</t>
        </is>
      </c>
      <c r="L373" s="11" t="inlineStr">
        <is>
          <t>ŚREDNIA</t>
        </is>
      </c>
      <c r="M373" s="11" t="inlineStr">
        <is>
          <t>M</t>
        </is>
      </c>
      <c r="N373" s="12" t="inlineStr">
        <is>
          <t>2026-09-24 PANELE: 194 → 0 (client 127, admin 41, www 21, staff 5), reguły przełączone na error. react-hooks/set-state-in-effect naprawiane u źródła (stan pochodny w renderze, useSyncExternalStore dla localStorage, ładowanie w handlerach); wyciszenia tylko z uzasadnieniem w kodzie (ciasteczko zgody nieczytelne w SSR, jednorazowa migracja klucza, QR). Znalezione przy sprzątaniu: (1) BEZPIECZEŃSTWO — 2FA wysyłało sekret TOTP do api.qrserver.com (naprawione osobnym commitem, QR z API); (2) kalkulator ignorował ?cpu/ramGb/diskGb z linku autoskalowania — przekazane, z granicami suwaków. | 2026-09-24 API + directadmin-sdk: 0 ostrzeżeń, wszystkie reguły node.mjs przełączone na error (69 → 0). Delegaty Prismy „as unknown as” w analityce stron, email marketingu i bootstrapie węzła zastąpione prawdziwymi typami modeli (pełny tsc z SDK: 0 błędów); `Function` → sygnatura surowego klienta DA; 5 regexów walidacyjnych bez zbędnych `\` — równoważność sprawdzona na 12 tys. znaków; martwy kod (label health, maildir, root, importy). Przy okazji: komentarz kontrolera obiecywał, że naprawy `danger` węzła wymagają nazwy serwera „enforced in the service” — serwis parametru nie czytał; dziś nie ma napraw danger, więc zapisane jako twardy warunek dla pierwszej takiej naprawy. ZOSTAJE: panele (~209 ostrzeżeń, głównie react-hooks). | Odkryte przy X-18. Next 16 usunęło komendę `next lint`, więc panele przeszły na płaską konfigurację i eslint wołany wprost. Nowszy eslint-config-next włącza reguły, których poprzednia konfiguracja nie egzekwowała — przede wszystkim rodzinę react-hooks z React Compilera. W panelu klienta odsłoniło to 105 znalezisk. | Osobno: apps/api i libs/directadmin-sdk wołały `eslint` BEZ ŻADNEJ konfiguracji w repozytorium — jedyny plik, libs/eslint-config/base.js, jest w starym formacie eslintrc i nic go nie importowało. Krok lintowania tych pakietów nie sprawdzał niczego. Dodana płaska konfiguracja node.mjs. | NAJWAŻNIEJSZE: nowe reguły wyłapały REALNY BUG. W admin-panel/autoscaling/pricing-table.tsx useMemo stał PO wczesnym return — przy pustej liście reguł hook nie wykonywał się wcale, a po dodaniu pierwszej stawki React widział inną liczbę hooków i komponent się wywalał. Czyli: panel cennika autoskalowania psuł się dokładnie w momencie dodania pierwszej reguły. Naprawione. Drugi: JSX konstruowany w try/catch w pulpicie admina — try nie chronił przed niczym, bo React renderuje zwrócony element po wyjściu z funkcji. | Reguły NIE są wyłączone, tylko obniżone do ostrzeżeń, z komentarzem wskazującym tę pozycję. Wracają na 'error' przy jej zamykaniu. | Wyjątek trwały: no-control-regex zostaje wyłączone — znaki sterujące w regexach walidacyjnych są zamierzone. no-useless-escape zostaje ostrzeżeniem świadomie: cztery wystąpienia siedzą w regexach walidujących wejście (kody promocyjne, ścieżki plików, załączniki), a zmiana regexa walidacyjnego przy okazji podnoszenia zależności to dokładnie ten rodzaj zmiany, który Z-03 kazał robić z testem na każdy przypadek.</t>
        </is>
      </c>
    </row>
    <row r="374">
      <c r="A374" s="11" t="inlineStr">
        <is>
          <t>X-20</t>
        </is>
      </c>
      <c r="B374" s="12" t="inlineStr">
        <is>
          <t>X</t>
        </is>
      </c>
      <c r="C374" s="11" t="inlineStr">
        <is>
          <t>Decyzja i migracja na Prismę 7</t>
        </is>
      </c>
      <c r="D374" s="11" t="inlineStr">
        <is>
          <t>—</t>
        </is>
      </c>
      <c r="E374" s="11" t="inlineStr">
        <is>
          <t>—</t>
        </is>
      </c>
      <c r="F374" s="11" t="inlineStr">
        <is>
          <t>—</t>
        </is>
      </c>
      <c r="G374" s="11" t="inlineStr">
        <is>
          <t>—</t>
        </is>
      </c>
      <c r="H374" s="11" t="inlineStr">
        <is>
          <t>—</t>
        </is>
      </c>
      <c r="I374" s="11" t="inlineStr">
        <is>
          <t>DZIAŁA</t>
        </is>
      </c>
      <c r="J374" s="12" t="inlineStr">
        <is>
          <t>libs/database/package.json — prisma/@prisma/client 7.10.0 + @prisma/adapter-pg; libs/database/prisma.config.ts — url dla CLI; libs/database/src/index.ts — PrismaClient z adapterem PrismaPg; ops/ci/podatnosci-dopuszczone.json — 0 zgód</t>
        </is>
      </c>
      <c r="K374" s="11" t="inlineStr">
        <is>
          <t>PARYTET</t>
        </is>
      </c>
      <c r="L374" s="11" t="inlineStr">
        <is>
          <t>ŚREDNIA</t>
        </is>
      </c>
      <c r="M374" s="11" t="inlineStr">
        <is>
          <t>L</t>
        </is>
      </c>
      <c r="N374" s="12" t="inlineStr">
        <is>
          <t>Odkryte przy X-18, świadomie odłożone. Prisma 7 nie jest podniesieniem wersji, tylko zmianą architektury dostępu do bazy: właściwość `url` znika z datasource w schemacie i przenosi się do prisma.config.ts, a PrismaClient wymaga przekazania driver adaptera (@prisma/adapter-pg) albo adresu Accelerate. Sprawdzone realnie — `prisma generate` na 7.9.1 kończy się błędem P1012. | Dotyka: prisma.service.ts, libs/database/src/index.ts, seed, jobów CI, testów integracyjnych i sposobu, w jaki produkcja dostaje DATABASE_URL. Czyli każdej ścieżki do bazy naraz. | Argument za zrobieniem: zamyka ostatnią wysoką podatność (deepmerge-ts). Argument za odłożeniem: zmiana w warstwie danych na dwa sprinty przed startem sprzedaży, przy siedmiu otwartych blokerach, której nie da się w pełni zweryfikować lokalnie — binaries.prisma.sh jest poza listą dozwolonych hostów w obu moich środowiskach, więc jedyną weryfikacją byłoby CI. | Do zrobienia po starcie, z własnym sprintem i testem integracyjnym na każdej ścieżce zapisu. | DECYZJA WŁAŚCICIELA 2026-09-25: migracja na Prismę 7 PRZED startem (świadomie wbrew rekomendacji „po starcie”) — weryfikacja przez CI. | ZROBIONE 2026-09-25: Prisma 7.10.0 (klient bez silnika w Ruście, driver adapter pg), prisma.config.ts, seed w migrations.seed, Dockerfile.api bez generate w obrazie runtime, prod-migrate-deploy.sh z --config. Zweryfikowane: pełna bramka (lint, typecheck, 1862 testy API + panele) i 83 testy integracyjne na prawdziwym PostgreSQL 16. Override deepmerge-ts ^8.0.2 i mysql2 ^3.24.4 — bramka podatności 0 high/critical, zgoda na deepmerge-ts usunięta. `prisma migrate deploy` na Prismie 7 potwierdza dopiero CI (job migracji) — silnik schematu jest poza listą hostów w moich środowiskach.</t>
        </is>
      </c>
    </row>
    <row r="375">
      <c r="A375" s="11" t="inlineStr">
        <is>
          <t>X-21</t>
        </is>
      </c>
      <c r="B375" s="12" t="inlineStr">
        <is>
          <t>X</t>
        </is>
      </c>
      <c r="C375" s="11" t="inlineStr">
        <is>
          <t>Deklaracje typów opisują tę wersję biblioteki, która jest zainstalowana</t>
        </is>
      </c>
      <c r="D375" s="11" t="inlineStr">
        <is>
          <t>—</t>
        </is>
      </c>
      <c r="E375" s="11" t="inlineStr">
        <is>
          <t>—</t>
        </is>
      </c>
      <c r="F375" s="11" t="inlineStr">
        <is>
          <t>—</t>
        </is>
      </c>
      <c r="G375" s="11" t="inlineStr">
        <is>
          <t>—</t>
        </is>
      </c>
      <c r="H375" s="11" t="inlineStr">
        <is>
          <t>—</t>
        </is>
      </c>
      <c r="I375" s="11" t="inlineStr">
        <is>
          <t>DZIAŁA</t>
        </is>
      </c>
      <c r="J375" s="12" t="inlineStr">
        <is>
          <t>apps/api/package.json — @types/archiver ^8.0.0 przy archiver ^8.0.0; apps/api/src/test/typy-zgodne-z-runtime.spec.ts — 12 testów; package.json — engines.node "&gt;=22.12"</t>
        </is>
      </c>
      <c r="K375" s="11" t="inlineStr">
        <is>
          <t>PARYTET</t>
        </is>
      </c>
      <c r="L375" s="11" t="inlineStr">
        <is>
          <t>—</t>
        </is>
      </c>
      <c r="M375" s="11" t="inlineStr">
        <is>
          <t>S</t>
        </is>
      </c>
      <c r="N375" s="12"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row>
    <row r="376">
      <c r="A376" s="11" t="inlineStr">
        <is>
          <t>X-22</t>
        </is>
      </c>
      <c r="B376" s="12" t="inlineStr">
        <is>
          <t>X</t>
        </is>
      </c>
      <c r="C376" s="11" t="inlineStr">
        <is>
          <t>Eksport danych osobowych (RODO art. 20) sprawdzany testem end-to-end</t>
        </is>
      </c>
      <c r="D376" s="11" t="inlineStr">
        <is>
          <t>—</t>
        </is>
      </c>
      <c r="E376" s="11" t="inlineStr">
        <is>
          <t>—</t>
        </is>
      </c>
      <c r="F376" s="11" t="inlineStr">
        <is>
          <t>—</t>
        </is>
      </c>
      <c r="G376" s="11" t="inlineStr">
        <is>
          <t>—</t>
        </is>
      </c>
      <c r="H376" s="11" t="inlineStr">
        <is>
          <t>—</t>
        </is>
      </c>
      <c r="I376" s="11" t="inlineStr">
        <is>
          <t>DZIAŁA</t>
        </is>
      </c>
      <c r="J376" s="12" t="inlineStr">
        <is>
          <t>apps/api/src/compliance/data-export.service.ts — buildZipToFile bez żadnego testu; apps/api/src/compliance/*.spec.ts — brak pokrycia tej ścieżki | 2026-09-23: apps/api/src/compliance/data-export.zip.spec.ts — prawdziwy archiver 8 buduje ZIP na dysku, test go rozpakowuje (własny czytnik katalogu centralnego, bez nowej zależności): README + 8 sekcji JSON + załączniki (duplikaty nazw), sekrety zaczernione (hash hasła, TOTP, kody, hasło DA), BigInt/daty, zip slip w nazwie załącznika, brakujący obiekt w magazynie nie psuje eksportu; jest.config.cjs tłumaczy na CJS paczki ESM z łańcucha archivera (archiver, crc32-stream, zip-stream, compress-commons, is-stream)</t>
        </is>
      </c>
      <c r="K376" s="11" t="inlineStr">
        <is>
          <t>PARYTET</t>
        </is>
      </c>
      <c r="L376" s="11" t="inlineStr">
        <is>
          <t>WYSOKA</t>
        </is>
      </c>
      <c r="M376" s="11" t="inlineStr">
        <is>
          <t>M</t>
        </is>
      </c>
      <c r="N376" s="12" t="inlineStr">
        <is>
          <t>Odkryte przy X-21. Eksport danych osobowych wywalał się w runtime przy każdym żądaniu przez cały okres między podniesieniem archivera a 2026-08-22 i NIC tego nie zgłosiło — bo tej ścieżki nie dotyka żaden test. Strażnik z X-21 pilnuje teraz zgodności typów z runtime'em, ale to jest obejście od strony zależności, nie dowód, że eksport działa. | To jest OBOWIĄZEK USTAWOWY (RODO art. 20 — prawo do przenoszenia danych), z terminem miesiąca na odpowiedź. Ścieżka, której nie sprawdza nic, a której awaria jest naruszeniem, nie sprawdzeniem. | DO ZROBIENIA: test integracyjny, który zakłada konto z danymi w każdej sekcji (profil, subskrypcje, faktury, zgłoszenia, załączniki), wywołuje eksport, rozpakowuje wynikowy ZIP i sprawdza, że każda sekcja jest w środku i daje się sparsować. Plus ten sam wzorzec dla buildDefaultHostingPageBundle (tar.gz rozpakowany, index.html obecny). | Dopiero taki test daje D2. D3 wymaga wywołania eksportu na produkcji i obejrzenia pliku.</t>
        </is>
      </c>
    </row>
    <row r="377">
      <c r="A377" s="11" t="inlineStr">
        <is>
          <t>X-23</t>
        </is>
      </c>
      <c r="B377" s="12" t="inlineStr">
        <is>
          <t>X</t>
        </is>
      </c>
      <c r="C377" s="11" t="inlineStr">
        <is>
          <t>Bramka podatności zatrzymuje wdrożenie, a nie tylko dopisuje adnotację</t>
        </is>
      </c>
      <c r="D377" s="11" t="inlineStr">
        <is>
          <t>—</t>
        </is>
      </c>
      <c r="E377" s="11" t="inlineStr">
        <is>
          <t>—</t>
        </is>
      </c>
      <c r="F377" s="11" t="inlineStr">
        <is>
          <t>—</t>
        </is>
      </c>
      <c r="G377" s="11" t="inlineStr">
        <is>
          <t>—</t>
        </is>
      </c>
      <c r="H377" s="11" t="inlineStr">
        <is>
          <t>—</t>
        </is>
      </c>
      <c r="I377" s="11" t="inlineStr">
        <is>
          <t>DZIAŁA</t>
        </is>
      </c>
      <c r="J377" s="12"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K377" s="11" t="inlineStr">
        <is>
          <t>PARYTET</t>
        </is>
      </c>
      <c r="L377" s="11" t="inlineStr">
        <is>
          <t>WYSOKA</t>
        </is>
      </c>
      <c r="M377" s="11" t="inlineStr">
        <is>
          <t>S</t>
        </is>
      </c>
      <c r="N377" s="12"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row>
    <row r="378">
      <c r="A378" s="11" t="inlineStr">
        <is>
          <t>M-34</t>
        </is>
      </c>
      <c r="B378" s="12" t="inlineStr">
        <is>
          <t>M</t>
        </is>
      </c>
      <c r="C378" s="11" t="inlineStr">
        <is>
          <t>Model prepaid potwierdzony z księgową — doładowanie bez faktury zaliczkowej</t>
        </is>
      </c>
      <c r="D378" s="11" t="inlineStr">
        <is>
          <t>—</t>
        </is>
      </c>
      <c r="E378" s="11" t="inlineStr">
        <is>
          <t>—</t>
        </is>
      </c>
      <c r="F378" s="11" t="inlineStr">
        <is>
          <t>—</t>
        </is>
      </c>
      <c r="G378" s="11" t="inlineStr">
        <is>
          <t>TAK</t>
        </is>
      </c>
      <c r="H378" s="11" t="inlineStr">
        <is>
          <t>TAK</t>
        </is>
      </c>
      <c r="I378" s="11" t="inlineStr">
        <is>
          <t>DZIAŁA</t>
        </is>
      </c>
      <c r="J378" s="12" t="inlineStr">
        <is>
          <t>billing/doladowanie.ts + doladowanie.service.ts (dokument przy wpłacie, atomowo z księgą); wallet-ledger.service.ts (obciążenia bez dokumentu, znacznik m34); faktury.scheduler.ts (zbiorcza pomija m34); tryb-fakturowania.ts faktury.model; ops/sql/m34-saldo-bez-dokumentu.sql</t>
        </is>
      </c>
      <c r="K378" s="11" t="inlineStr">
        <is>
          <t>PARYTET</t>
        </is>
      </c>
      <c r="L378" s="11" t="inlineStr">
        <is>
          <t>WYSOKA</t>
        </is>
      </c>
      <c r="M378" s="11" t="inlineStr">
        <is>
          <t>S</t>
        </is>
      </c>
      <c r="N378" s="12" t="inlineStr">
        <is>
          <t>Odkryte przy Z-01, decyzja podjęta 2026-08-22 i WYMAGA POTWIERDZENIA. Przyjęliśmy model prepaid: doładowanie portfela nie jest sprzedażą, tylko wpłatą na poczet usług, więc nie generuje faktury; VAT powstaje przy świadczeniu usługi, czyli przy obciążeniu portfela, i tam idzie dokument. Klient dostaje potwierdzenie wpłaty mailem, nie fakturę. | RYZYKO: jeżeli środki z portfela dałoby się wydać wyłącznie na konkretną, z góry określoną usługę, organ podatkowy może uznać wpłatę za zaliczkę wymagającą faktury zaliczkowej (art. 106b ust. 1 pkt 4 ustawy o VAT). U nas środki są uniwersalne — idą na abonament, domeny, VPS, autoskalowanie i monitoring — co przemawia za modelem prepaid, ale to jest argument, nie rozstrzygnięcie. | DO ZROBIENIA PRZED STARTEM SPRZEDAŻY: potwierdzić model z księgową na piśmie i zapisać decyzję w repo z datą. Jeżeli wyjdzie, że potrzebne są faktury zaliczkowe, to osobny sprint: faktura końcowa musi odwoływać się do zaliczkowej i odejmować rozliczoną kwotę, a KSeF ma na to osobny typ dokumentu. | NIE jest to bloker w sensie kodu — mechanizm działa i jest spójny. Jest to bloker w sensie decyzji: sprzedaż ruszająca przy nierozstrzygniętym modelu podatkowym generuje dług, który rośnie z każdą wpłatą. | 2026-09-23 decyzja właściciela i wdrożenie: dokument przy realnej wpłacie (Checkout i auto-doładowanie), wydawanie K bez dokumentów; bonusy (promo, SLA, prowizje) bez dokumentu. Przełącznik faktury.model (przy_doladowaniu domyślnie / przy_obciazeniu = stary model Z-01). Saldo sprzed przełączenia: raport SQL, decyzja operatora. DO KSIĘGOWEJ: kwalifikacja K jako bonu jednego przeznaczenia; przy odwrotnym obciążeniu i klientach spoza UE obowiązek podatkowy zwykle przy wykonaniu usługi. | 2026-09-23 raport m34-saldo-bez-dokumentu.sql na produkcji: 1 konto, 550,00 K wpłacone bez dokumentu, 382,09 K niewydane. Decyzja co do tego salda — właściciel z księgową. | 2026-09-23 DECYZJA: to konto testowe operatora — dokument nie jest potrzebny, sprawa zamknięta. Prawdziwych klientów z saldem bez dokumentu: 0.</t>
        </is>
      </c>
    </row>
    <row r="379">
      <c r="A379" s="11" t="inlineStr">
        <is>
          <t>X-24</t>
        </is>
      </c>
      <c r="B379" s="12" t="inlineStr">
        <is>
          <t>X</t>
        </is>
      </c>
      <c r="C379" s="11" t="inlineStr">
        <is>
          <t>Panel admina woła ścieżki, które API naprawdę wystawia</t>
        </is>
      </c>
      <c r="D379" s="11" t="inlineStr">
        <is>
          <t>—</t>
        </is>
      </c>
      <c r="E379" s="11" t="inlineStr">
        <is>
          <t>—</t>
        </is>
      </c>
      <c r="F379" s="11" t="inlineStr">
        <is>
          <t>—</t>
        </is>
      </c>
      <c r="G379" s="11" t="inlineStr">
        <is>
          <t>—</t>
        </is>
      </c>
      <c r="H379" s="11" t="inlineStr">
        <is>
          <t>—</t>
        </is>
      </c>
      <c r="I379" s="11" t="inlineStr">
        <is>
          <t>DZIAŁA</t>
        </is>
      </c>
      <c r="J379" s="12" t="inlineStr">
        <is>
          <t>apps/api/src/test/sciezki-panelu.spec.ts — 5 testów; porównuje wywołania adminApi() z panelu z trasami zadeklarowanymi w kontrolerach API</t>
        </is>
      </c>
      <c r="K379" s="11" t="inlineStr">
        <is>
          <t>PARYTET</t>
        </is>
      </c>
      <c r="L379" s="11" t="inlineStr">
        <is>
          <t>—</t>
        </is>
      </c>
      <c r="M379" s="11" t="inlineStr">
        <is>
          <t>S</t>
        </is>
      </c>
      <c r="N379" s="12"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row>
    <row r="380">
      <c r="A380" s="11" t="inlineStr">
        <is>
          <t>X-25</t>
        </is>
      </c>
      <c r="B380" s="12" t="inlineStr">
        <is>
          <t>X</t>
        </is>
      </c>
      <c r="C380" s="11" t="inlineStr">
        <is>
          <t>Asercje po migracji biegną także na produkcji, z rollbackiem przy naruszeniu</t>
        </is>
      </c>
      <c r="D380" s="11" t="inlineStr">
        <is>
          <t>—</t>
        </is>
      </c>
      <c r="E380" s="11" t="inlineStr">
        <is>
          <t>—</t>
        </is>
      </c>
      <c r="F380" s="11" t="inlineStr">
        <is>
          <t>—</t>
        </is>
      </c>
      <c r="G380" s="11" t="inlineStr">
        <is>
          <t>—</t>
        </is>
      </c>
      <c r="H380" s="11" t="inlineStr">
        <is>
          <t>—</t>
        </is>
      </c>
      <c r="I380" s="11" t="inlineStr">
        <is>
          <t>DZIAŁA</t>
        </is>
      </c>
      <c r="J380" s="12"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K380" s="11" t="inlineStr">
        <is>
          <t>PARYTET</t>
        </is>
      </c>
      <c r="L380" s="11" t="inlineStr">
        <is>
          <t>—</t>
        </is>
      </c>
      <c r="M380" s="11" t="inlineStr">
        <is>
          <t>S</t>
        </is>
      </c>
      <c r="N380" s="12"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row>
    <row r="381">
      <c r="A381" s="11" t="inlineStr">
        <is>
          <t>X-26</t>
        </is>
      </c>
      <c r="B381" s="12" t="inlineStr">
        <is>
          <t>X</t>
        </is>
      </c>
      <c r="C381" s="11" t="inlineStr">
        <is>
          <t>Skrypty powłoki mają bit wykonywalności — także po świeżym git clone</t>
        </is>
      </c>
      <c r="D381" s="11" t="inlineStr">
        <is>
          <t>—</t>
        </is>
      </c>
      <c r="E381" s="11" t="inlineStr">
        <is>
          <t>—</t>
        </is>
      </c>
      <c r="F381" s="11" t="inlineStr">
        <is>
          <t>—</t>
        </is>
      </c>
      <c r="G381" s="11" t="inlineStr">
        <is>
          <t>—</t>
        </is>
      </c>
      <c r="H381" s="11" t="inlineStr">
        <is>
          <t>—</t>
        </is>
      </c>
      <c r="I381" s="11" t="inlineStr">
        <is>
          <t>DZIAŁA</t>
        </is>
      </c>
      <c r="J381" s="12"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K381" s="11" t="inlineStr">
        <is>
          <t>PARYTET</t>
        </is>
      </c>
      <c r="L381" s="11" t="inlineStr">
        <is>
          <t>—</t>
        </is>
      </c>
      <c r="M381" s="11" t="inlineStr">
        <is>
          <t>S</t>
        </is>
      </c>
      <c r="N381" s="12"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row>
    <row r="382">
      <c r="A382" s="11" t="inlineStr">
        <is>
          <t>X-27</t>
        </is>
      </c>
      <c r="B382" s="12" t="inlineStr">
        <is>
          <t>X</t>
        </is>
      </c>
      <c r="C382" s="11" t="inlineStr">
        <is>
          <t>Obraz, który trafia na serwer, buduje się przed scaleniem</t>
        </is>
      </c>
      <c r="D382" s="11" t="inlineStr">
        <is>
          <t>—</t>
        </is>
      </c>
      <c r="E382" s="11" t="inlineStr">
        <is>
          <t>—</t>
        </is>
      </c>
      <c r="F382" s="11" t="inlineStr">
        <is>
          <t>—</t>
        </is>
      </c>
      <c r="G382" s="11" t="inlineStr">
        <is>
          <t>—</t>
        </is>
      </c>
      <c r="H382" s="11" t="inlineStr">
        <is>
          <t>—</t>
        </is>
      </c>
      <c r="I382" s="11" t="inlineStr">
        <is>
          <t>DZIAŁA</t>
        </is>
      </c>
      <c r="J382" s="12"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K382" s="11" t="inlineStr">
        <is>
          <t>PARYTET</t>
        </is>
      </c>
      <c r="L382" s="11" t="inlineStr">
        <is>
          <t>—</t>
        </is>
      </c>
      <c r="M382" s="11" t="inlineStr">
        <is>
          <t>S</t>
        </is>
      </c>
      <c r="N382" s="12"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row>
    <row r="383">
      <c r="A383" s="11" t="inlineStr">
        <is>
          <t>X-28</t>
        </is>
      </c>
      <c r="B383" s="12" t="inlineStr">
        <is>
          <t>X</t>
        </is>
      </c>
      <c r="C383" s="11" t="inlineStr">
        <is>
          <t>Reguła alertowa ma odbiorcę, a nie tylko próg</t>
        </is>
      </c>
      <c r="D383" s="11" t="inlineStr">
        <is>
          <t>—</t>
        </is>
      </c>
      <c r="E383" s="11" t="inlineStr">
        <is>
          <t>—</t>
        </is>
      </c>
      <c r="F383" s="11" t="inlineStr">
        <is>
          <t>—</t>
        </is>
      </c>
      <c r="G383" s="11" t="inlineStr">
        <is>
          <t>—</t>
        </is>
      </c>
      <c r="H383" s="11" t="inlineStr">
        <is>
          <t>—</t>
        </is>
      </c>
      <c r="I383" s="11" t="inlineStr">
        <is>
          <t>DZIAŁA</t>
        </is>
      </c>
      <c r="J383" s="12"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K383" s="11" t="inlineStr">
        <is>
          <t>PARYTET</t>
        </is>
      </c>
      <c r="L383" s="11" t="inlineStr">
        <is>
          <t>—</t>
        </is>
      </c>
      <c r="M383" s="11" t="inlineStr">
        <is>
          <t>S</t>
        </is>
      </c>
      <c r="N383" s="12"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row>
    <row r="384">
      <c r="A384" s="11" t="inlineStr">
        <is>
          <t>X-29</t>
        </is>
      </c>
      <c r="B384" s="12" t="inlineStr">
        <is>
          <t>X</t>
        </is>
      </c>
      <c r="C384" s="11" t="inlineStr">
        <is>
          <t>Wdrożenie dowozi konfigurację obserwowalności na serwer</t>
        </is>
      </c>
      <c r="D384" s="11" t="inlineStr">
        <is>
          <t>—</t>
        </is>
      </c>
      <c r="E384" s="11" t="inlineStr">
        <is>
          <t>—</t>
        </is>
      </c>
      <c r="F384" s="11" t="inlineStr">
        <is>
          <t>—</t>
        </is>
      </c>
      <c r="G384" s="11" t="inlineStr">
        <is>
          <t>—</t>
        </is>
      </c>
      <c r="H384" s="11" t="inlineStr">
        <is>
          <t>—</t>
        </is>
      </c>
      <c r="I384" s="11" t="inlineStr">
        <is>
          <t>DZIAŁA</t>
        </is>
      </c>
      <c r="J384" s="12" t="inlineStr">
        <is>
          <t>ops/scripts/prod-deploy-ghcr.sh — krok 4.5: OBS_SERVICES, promtool check config przed restartem, compose up -d + compose restart, sprawdzenie /api/health i /-/healthy po restarcie, exit 1 gdy nie wrócą; apps/api/src/test/wdrozenie-obserwowalnosci.spec.ts (8)</t>
        </is>
      </c>
      <c r="K384" s="11" t="inlineStr">
        <is>
          <t>PARYTET</t>
        </is>
      </c>
      <c r="L384" s="11" t="inlineStr">
        <is>
          <t>—</t>
        </is>
      </c>
      <c r="M384" s="11" t="inlineStr">
        <is>
          <t>S</t>
        </is>
      </c>
      <c r="N384" s="12"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row>
    <row r="385">
      <c r="A385" s="11" t="inlineStr">
        <is>
          <t>X-30</t>
        </is>
      </c>
      <c r="B385" s="12" t="inlineStr">
        <is>
          <t>X</t>
        </is>
      </c>
      <c r="C385" s="11" t="inlineStr">
        <is>
          <t>Reguły alertowe nie tylko są wczytane, ale się liczą</t>
        </is>
      </c>
      <c r="D385" s="11" t="inlineStr">
        <is>
          <t>—</t>
        </is>
      </c>
      <c r="E385" s="11" t="inlineStr">
        <is>
          <t>—</t>
        </is>
      </c>
      <c r="F385" s="11" t="inlineStr">
        <is>
          <t>—</t>
        </is>
      </c>
      <c r="G385" s="11" t="inlineStr">
        <is>
          <t>—</t>
        </is>
      </c>
      <c r="H385" s="11" t="inlineStr">
        <is>
          <t>—</t>
        </is>
      </c>
      <c r="I385" s="11" t="inlineStr">
        <is>
          <t>DZIAŁA</t>
        </is>
      </c>
      <c r="J385" s="12"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K385" s="11" t="inlineStr">
        <is>
          <t>PARYTET</t>
        </is>
      </c>
      <c r="L385" s="11" t="inlineStr">
        <is>
          <t>—</t>
        </is>
      </c>
      <c r="M385" s="11" t="inlineStr">
        <is>
          <t>S</t>
        </is>
      </c>
      <c r="N385" s="12"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row>
    <row r="386">
      <c r="A386" s="11" t="inlineStr">
        <is>
          <t>X-31</t>
        </is>
      </c>
      <c r="B386" s="12" t="inlineStr">
        <is>
          <t>X</t>
        </is>
      </c>
      <c r="C386" s="11" t="inlineStr">
        <is>
          <t>Kanał alertów daje znak życia (dead man's switch)</t>
        </is>
      </c>
      <c r="D386" s="11" t="inlineStr">
        <is>
          <t>—</t>
        </is>
      </c>
      <c r="E386" s="11" t="inlineStr">
        <is>
          <t>—</t>
        </is>
      </c>
      <c r="F386" s="11" t="inlineStr">
        <is>
          <t>—</t>
        </is>
      </c>
      <c r="G386" s="11" t="inlineStr">
        <is>
          <t>—</t>
        </is>
      </c>
      <c r="H386" s="11" t="inlineStr">
        <is>
          <t>—</t>
        </is>
      </c>
      <c r="I386" s="11" t="inlineStr">
        <is>
          <t>DZIAŁA</t>
        </is>
      </c>
      <c r="J386" s="12"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K386" s="11" t="inlineStr">
        <is>
          <t>PARYTET</t>
        </is>
      </c>
      <c r="L386" s="11" t="inlineStr">
        <is>
          <t>—</t>
        </is>
      </c>
      <c r="M386" s="11" t="inlineStr">
        <is>
          <t>S</t>
        </is>
      </c>
      <c r="N386" s="12"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row>
    <row r="387">
      <c r="A387" s="11" t="inlineStr">
        <is>
          <t>X-32</t>
        </is>
      </c>
      <c r="B387" s="12" t="inlineStr">
        <is>
          <t>X</t>
        </is>
      </c>
      <c r="C387" s="11" t="inlineStr">
        <is>
          <t>Martwy job da się odrzucić z panelu, ze śladem w audycie</t>
        </is>
      </c>
      <c r="D387" s="11" t="inlineStr">
        <is>
          <t>—</t>
        </is>
      </c>
      <c r="E387" s="11" t="inlineStr">
        <is>
          <t>—</t>
        </is>
      </c>
      <c r="F387" s="11" t="inlineStr">
        <is>
          <t>—</t>
        </is>
      </c>
      <c r="G387" s="11" t="inlineStr">
        <is>
          <t>—</t>
        </is>
      </c>
      <c r="H387" s="11" t="inlineStr">
        <is>
          <t>—</t>
        </is>
      </c>
      <c r="I387" s="11" t="inlineStr">
        <is>
          <t>DZIAŁA</t>
        </is>
      </c>
      <c r="J387" s="12"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K387" s="11" t="inlineStr">
        <is>
          <t>PARYTET</t>
        </is>
      </c>
      <c r="L387" s="11" t="inlineStr">
        <is>
          <t>—</t>
        </is>
      </c>
      <c r="M387" s="11" t="inlineStr">
        <is>
          <t>S</t>
        </is>
      </c>
      <c r="N387" s="12"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row>
    <row r="388">
      <c r="A388" s="11" t="inlineStr">
        <is>
          <t>X-33</t>
        </is>
      </c>
      <c r="B388" s="12" t="inlineStr">
        <is>
          <t>X</t>
        </is>
      </c>
      <c r="C388" s="11" t="inlineStr">
        <is>
          <t>Bramka alertów odróżnia „nie ma" od „jeszcze nie ma"</t>
        </is>
      </c>
      <c r="D388" s="11" t="inlineStr">
        <is>
          <t>—</t>
        </is>
      </c>
      <c r="E388" s="11" t="inlineStr">
        <is>
          <t>—</t>
        </is>
      </c>
      <c r="F388" s="11" t="inlineStr">
        <is>
          <t>—</t>
        </is>
      </c>
      <c r="G388" s="11" t="inlineStr">
        <is>
          <t>—</t>
        </is>
      </c>
      <c r="H388" s="11" t="inlineStr">
        <is>
          <t>—</t>
        </is>
      </c>
      <c r="I388" s="11" t="inlineStr">
        <is>
          <t>DZIAŁA</t>
        </is>
      </c>
      <c r="J388" s="12"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K388" s="11" t="inlineStr">
        <is>
          <t>PARYTET</t>
        </is>
      </c>
      <c r="L388" s="11" t="inlineStr">
        <is>
          <t>—</t>
        </is>
      </c>
      <c r="M388" s="11" t="inlineStr">
        <is>
          <t>S</t>
        </is>
      </c>
      <c r="N388" s="12"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row>
    <row r="389">
      <c r="A389" s="11" t="inlineStr">
        <is>
          <t>X-34</t>
        </is>
      </c>
      <c r="B389" s="12" t="inlineStr">
        <is>
          <t>X</t>
        </is>
      </c>
      <c r="C389" s="11" t="inlineStr">
        <is>
          <t>Bramka alertów czyta metryki bez potoku (SIGPIPE + pipefail)</t>
        </is>
      </c>
      <c r="D389" s="11" t="inlineStr">
        <is>
          <t>—</t>
        </is>
      </c>
      <c r="E389" s="11" t="inlineStr">
        <is>
          <t>—</t>
        </is>
      </c>
      <c r="F389" s="11" t="inlineStr">
        <is>
          <t>—</t>
        </is>
      </c>
      <c r="G389" s="11" t="inlineStr">
        <is>
          <t>—</t>
        </is>
      </c>
      <c r="H389" s="11" t="inlineStr">
        <is>
          <t>—</t>
        </is>
      </c>
      <c r="I389" s="11" t="inlineStr">
        <is>
          <t>DZIAŁA</t>
        </is>
      </c>
      <c r="J389" s="12"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K389" s="11" t="inlineStr">
        <is>
          <t>PARYTET</t>
        </is>
      </c>
      <c r="L389" s="11" t="inlineStr">
        <is>
          <t>—</t>
        </is>
      </c>
      <c r="M389" s="11" t="inlineStr">
        <is>
          <t>S</t>
        </is>
      </c>
      <c r="N389" s="12"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row>
    <row r="390">
      <c r="A390" s="11" t="inlineStr">
        <is>
          <t>DEP-02</t>
        </is>
      </c>
      <c r="B390" s="12" t="inlineStr">
        <is>
          <t>X</t>
        </is>
      </c>
      <c r="C390" s="11" t="inlineStr">
        <is>
          <t>W drzewie stoją dwa majory ESLinta naraz</t>
        </is>
      </c>
      <c r="D390" s="11" t="inlineStr">
        <is>
          <t>—</t>
        </is>
      </c>
      <c r="E390" s="11" t="inlineStr">
        <is>
          <t>—</t>
        </is>
      </c>
      <c r="F390" s="11" t="inlineStr">
        <is>
          <t>—</t>
        </is>
      </c>
      <c r="G390" s="11" t="inlineStr">
        <is>
          <t>—</t>
        </is>
      </c>
      <c r="H390" s="11" t="inlineStr">
        <is>
          <t>—</t>
        </is>
      </c>
      <c r="I390" s="11" t="inlineStr">
        <is>
          <t>DZIAŁA</t>
        </is>
      </c>
      <c r="J390" s="12"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K390" s="11" t="inlineStr">
        <is>
          <t>PARYTET</t>
        </is>
      </c>
      <c r="L390" s="11" t="inlineStr">
        <is>
          <t>ŚREDNIA</t>
        </is>
      </c>
      <c r="M390" s="11" t="inlineStr">
        <is>
          <t>S</t>
        </is>
      </c>
      <c r="N390" s="12"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row>
    <row r="391">
      <c r="A391" s="11" t="inlineStr">
        <is>
          <t>DEP-03</t>
        </is>
      </c>
      <c r="B391" s="12" t="inlineStr">
        <is>
          <t>X</t>
        </is>
      </c>
      <c r="C391" s="11" t="inlineStr">
        <is>
          <t>Majory ESLinta wyciszone z terminem, nie zamknięte po cichu</t>
        </is>
      </c>
      <c r="D391" s="11" t="inlineStr">
        <is>
          <t>—</t>
        </is>
      </c>
      <c r="E391" s="11" t="inlineStr">
        <is>
          <t>—</t>
        </is>
      </c>
      <c r="F391" s="11" t="inlineStr">
        <is>
          <t>—</t>
        </is>
      </c>
      <c r="G391" s="11" t="inlineStr">
        <is>
          <t>—</t>
        </is>
      </c>
      <c r="H391" s="11" t="inlineStr">
        <is>
          <t>—</t>
        </is>
      </c>
      <c r="I391" s="11" t="inlineStr">
        <is>
          <t>DZIAŁA</t>
        </is>
      </c>
      <c r="J391" s="12" t="inlineStr">
        <is>
          <t>.github/dependabot.yml — reguły ignore na eslint i @eslint/js (semver-major), obie z „# pozycja: DEP-03” i „# przegląd: 2026-11-15”; apps/api/src/test/dependabot-wyciszenia.spec.ts pilnuje terminu</t>
        </is>
      </c>
      <c r="K391" s="11" t="inlineStr">
        <is>
          <t>PARYTET</t>
        </is>
      </c>
      <c r="L391" s="11" t="inlineStr">
        <is>
          <t>—</t>
        </is>
      </c>
      <c r="M391" s="11" t="inlineStr">
        <is>
          <t>S</t>
        </is>
      </c>
      <c r="N391" s="12" t="inlineStr">
        <is>
          <t>Zamknięte 2026-08-28. PR #27 (eslint 9.39.5 → 10.9.1) wywraca się na apps/www z kodem wyjścia 2, czyli FATALNYM BŁĘDEM STARTU, nie błędami w kodzie: TypeError: Error while loading rule 'react/display-name': contextOrFilename.getFilename is not a function, w eslint-plugin-react@7.37.5 (lib/util/version.js:31). ESLint 10 zmienił API kontekstu reguły, wtyczka za tym nie nadążyła. Wtyczka przychodzi tranzytywnie z eslint-config-next@16.3.2. | PR #29 (@eslint/js 9.39.5 → 10.0.1) osobno daje 12 błędów no-useless-assignment w api i pogłębia rozjazd z DEP-02 — preset recommended dziesiątki podnosi tę regułę do rangi błędu. Oba pakiety wracają RAZEM, nigdy osobno. | UWAGA PRZY PRZEGLĄDZIE: eslint-config-next deklaruje peer 'eslint: &gt;=9.0.0', czyli OBIECUJE zgodność, której jego własne zależności nie mają. Peer range nie jest tu dowodem — dowodem jest zielony przebieg lintera na dziesiątce. Sam się na tym nabrałem: odczytałem peer jako „nic nie blokuje przejścia na 10”. | TO SAMO BYŁO JUŻ ZAPISANE W X-18 (2026-08-22, punkt 3 listy „czego nie podniosłem”). Odkryłem to dziś ponownie, z logów CI, bo nie zajrzałem najpierw do macierzy. Wyciszenie z terminem jest tym, czego X-18 nie miało: tam był akapit, tu jest reguła, która o sobie przypomni 2026-11-15.</t>
        </is>
      </c>
    </row>
    <row r="392">
      <c r="A392" s="11" t="inlineStr">
        <is>
          <t>X-49</t>
        </is>
      </c>
      <c r="B392" s="12" t="inlineStr">
        <is>
          <t>X</t>
        </is>
      </c>
      <c r="C392" s="11" t="inlineStr">
        <is>
          <t>Znaleziska trafiają do macierzy, nie tylko do dashboardów</t>
        </is>
      </c>
      <c r="D392" s="11" t="inlineStr">
        <is>
          <t>—</t>
        </is>
      </c>
      <c r="E392" s="11" t="inlineStr">
        <is>
          <t>—</t>
        </is>
      </c>
      <c r="F392" s="11" t="inlineStr">
        <is>
          <t>—</t>
        </is>
      </c>
      <c r="G392" s="11" t="inlineStr">
        <is>
          <t>—</t>
        </is>
      </c>
      <c r="H392" s="11" t="inlineStr">
        <is>
          <t>—</t>
        </is>
      </c>
      <c r="I392" s="11" t="inlineStr">
        <is>
          <t>DZIAŁA</t>
        </is>
      </c>
      <c r="J392" s="12" t="inlineStr">
        <is>
          <t>kierunek: tablice generowane z audyt/dane/*.csv (generate.py); strażnik src/test/znaleziska-w-macierzy.spec.ts</t>
        </is>
      </c>
      <c r="K392" s="11" t="inlineStr">
        <is>
          <t>PARYTET</t>
        </is>
      </c>
      <c r="L392" s="11" t="inlineStr">
        <is>
          <t>ŚREDNIA</t>
        </is>
      </c>
      <c r="M392" s="11" t="inlineStr">
        <is>
          <t>M</t>
        </is>
      </c>
      <c r="N392" s="12" t="inlineStr">
        <is>
          <t>Odkryte 2026-08-28, gdy strażnik X-23 odrzucił wyciszenie Dependabota wskazujące pozycję DEP-03, której w macierzy nie było. | MECHANIZM: znaleziska z ostatniego tygodnia zapisywane były w dashboardach HTML (VERRIS_LUKI_DASHBOARD, VERRIS_PLAN_DASHBOARD), czyli w WIDOKU, a nie w macierzy, czyli w REJESTRZE. Strażniki repozytorium czytają macierz. Wszystko, co istnieje tylko w widoku, jest dla nich niewidzialne — i przez tydzień nikt tego nie zauważył, bo dopiero DEP-03 jako pierwsze dotknęło czegoś sprawdzanego automatycznie. | DRUGI, DROŻSZY SKUTEK: X-18 opisuje blokadę ESLinta 10 przez eslint-plugin-react od 2026-08-22 (contextOrFilename.getFilename). 2026-08-28 odkryłem to samo od zera, czytając logi CI — bo poszedłem do dashboardów i do GitHuba, nie do macierzy. Praca wykonana drugi raz. | TO NIE JEST PROBLEM NARZĘDZIA, tylko kierunku zapisu: dashboard ma być generowany Z macierzy, a nie prowadzony obok niej. Dopóki jest odwrotnie, każdy strażnik odwołujący się do pozycji audytu może odrzucić prawdziwe znalezisko za to, że nie zostało zapisane tam, gdzie trzeba. | DO ZROBIENIA: przepisac 32 brakujace pozycje do macierzy — WYKONANE 2026-08-28 (z rozmysłem, nie hurtem — każda ma mieć dowód i werdykt), a potem ustalić kierunek: macierz jest źródłem, dashboard widokiem. | KOREKTA WLASNEGO POMIARU, tego samego dnia: najpierw podalem PIETNASCIE brakujacych pozycji. Ta liczba byla dlugoscia recznie wybranej listy, ktora sprawdzilem, a nie wynikiem porownania — pelne porownanie identyfikatorow dalo 32. Podanie dlugosci wlasnej probki jako wyniku to ten sam blad, ktory ta pozycja opisuje, tylko na poziomie pomiaru. | PRZY PRZEPISYWANIU: OPS-01 istnialo w dashboardzie w DWOCH egzemplarzach o roznych statusach (ZAMKNIETE i OTWARTE); do macierzy trafil jeden wiersz, tresc drugiego zachowana w Uwagach. Krytycznosc i naklad przepisanych pozycji zostaly PUSTE — dashboard ich nie niosl, a wpisanie ich teraz byloby zgadywaniem. | CO ZOSTAJE: ustalic kierunek zapisu — macierz zrodlem, dashboard widokiem generowanym z niej. Dopoki dashboard jest prowadzony recznie obok macierzy, ten rozjazd wroci. | 2026-09-23: kierunek ustalony — obie tablice powstają z CSV (generate.py), nie są prowadzone ręcznie. Strażnik: każda pozycja z docs/zadania i docs/archiwum/zadania musi być w macierzy albo zadaniach PB, a każde ID z prefiksem macierzy widoczne na tablicach musi istnieć w rejestrze. Pierwsze uruchomienie znalazło 4 pozycje spoza macierzy: X-35, X-36 (zamknięte) oraz PROD-01, PROD-02 (rozpisane i zapomniane) — przepisane.</t>
        </is>
      </c>
    </row>
    <row r="393">
      <c r="A393" s="11" t="inlineStr">
        <is>
          <t>DEP-01</t>
        </is>
      </c>
      <c r="B393" s="12" t="inlineStr">
        <is>
          <t>X</t>
        </is>
      </c>
      <c r="C393" s="11" t="inlineStr">
        <is>
          <t>Osiem otwartych pull requestów Dependabota, żaden niescalony</t>
        </is>
      </c>
      <c r="D393" s="11" t="inlineStr">
        <is>
          <t>—</t>
        </is>
      </c>
      <c r="E393" s="11" t="inlineStr">
        <is>
          <t>—</t>
        </is>
      </c>
      <c r="F393" s="11" t="inlineStr">
        <is>
          <t>—</t>
        </is>
      </c>
      <c r="G393" s="11" t="inlineStr">
        <is>
          <t>—</t>
        </is>
      </c>
      <c r="H393" s="11" t="inlineStr">
        <is>
          <t>—</t>
        </is>
      </c>
      <c r="I393" s="11" t="inlineStr">
        <is>
          <t>DZIAŁA</t>
        </is>
      </c>
      <c r="J393" s="12" t="inlineStr">
        <is>
          <t>2026-09-24: #39 (22 × minor/patch, lockfile wprost z PR), #30–#33 (akcje GitHuba) wciągnięte na main lokalnie; #28 (graphql 17) wyciszony w .github/dependabot.yml z pozycją X-21 i przeglądem 2026-12-15</t>
        </is>
      </c>
      <c r="K393" s="11" t="inlineStr">
        <is>
          <t>PARYTET</t>
        </is>
      </c>
      <c r="L393" s="11" t="inlineStr">
        <is>
          <t>WYSOKA</t>
        </is>
      </c>
      <c r="M393" s="11" t="inlineStr">
        <is>
          <t>S</t>
        </is>
      </c>
      <c r="N393" s="12"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row>
    <row r="394">
      <c r="A394" s="11" t="inlineStr">
        <is>
          <t>ENV-01</t>
        </is>
      </c>
      <c r="B394" s="12" t="inlineStr">
        <is>
          <t>X</t>
        </is>
      </c>
      <c r="C394" s="11" t="inlineStr">
        <is>
          <t>Bramka lokalna biegnie na Node 20, CI na Node 22</t>
        </is>
      </c>
      <c r="D394" s="11" t="inlineStr">
        <is>
          <t>—</t>
        </is>
      </c>
      <c r="E394" s="11" t="inlineStr">
        <is>
          <t>—</t>
        </is>
      </c>
      <c r="F394" s="11" t="inlineStr">
        <is>
          <t>—</t>
        </is>
      </c>
      <c r="G394" s="11" t="inlineStr">
        <is>
          <t>—</t>
        </is>
      </c>
      <c r="H394" s="11" t="inlineStr">
        <is>
          <t>—</t>
        </is>
      </c>
      <c r="I394" s="11" t="inlineStr">
        <is>
          <t>DZIAŁA</t>
        </is>
      </c>
      <c r="J394" s="12"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K394" s="11" t="inlineStr">
        <is>
          <t>PARYTET</t>
        </is>
      </c>
      <c r="L394" s="11" t="inlineStr">
        <is>
          <t>ŚREDNIA</t>
        </is>
      </c>
      <c r="M394" s="11" t="inlineStr">
        <is>
          <t>S</t>
        </is>
      </c>
      <c r="N394" s="12"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row>
    <row r="395">
      <c r="A395" s="11" t="inlineStr">
        <is>
          <t>ENV-02</t>
        </is>
      </c>
      <c r="B395" s="12" t="inlineStr">
        <is>
          <t>X</t>
        </is>
      </c>
      <c r="C395" s="11" t="inlineStr">
        <is>
          <t>Cache turbo kluczowany wersją Node — zmiana silnika nie udaje zieleni</t>
        </is>
      </c>
      <c r="D395" s="11" t="inlineStr">
        <is>
          <t>—</t>
        </is>
      </c>
      <c r="E395" s="11" t="inlineStr">
        <is>
          <t>—</t>
        </is>
      </c>
      <c r="F395" s="11" t="inlineStr">
        <is>
          <t>—</t>
        </is>
      </c>
      <c r="G395" s="11" t="inlineStr">
        <is>
          <t>—</t>
        </is>
      </c>
      <c r="H395" s="11" t="inlineStr">
        <is>
          <t>—</t>
        </is>
      </c>
      <c r="I395" s="11" t="inlineStr">
        <is>
          <t>DZIAŁA</t>
        </is>
      </c>
      <c r="J395" s="12" t="inlineStr">
        <is>
          <t>D1: `pnpm test` po `nvm use` → `&gt;&gt;&gt; FULL TURBO`; `pnpm test -- --force` → `cache bypass, force executing` i realne wykonanie. Naprawione: `"globalDependencies": [".nvmrc"]` w `turbo.json` — zmiana wersji Node unieważnia teraz cały cache.</t>
        </is>
      </c>
      <c r="K395" s="11" t="inlineStr">
        <is>
          <t>PARYTET</t>
        </is>
      </c>
      <c r="L395" s="11" t="inlineStr">
        <is>
          <t>—</t>
        </is>
      </c>
      <c r="M395" s="11" t="inlineStr">
        <is>
          <t>—</t>
        </is>
      </c>
      <c r="N395"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Cache turbo nie był kluczowany wersją Node — bramka po zmianie silnika pokazywała zieleń bez uruchomienia czegokolwiek. Po przejściu na Node 22 (`nvm use`) `pnpm test` wypisał `&gt;&gt;&gt; FULL TURBO` i `Cached: 8 cached` — czyli odtworzył logi z Node 20 i zameldował sukces. To groźniejsze niż zwykły fałszywy zielony: bramka nie kłamie o wyniku testu, tylko o tym, jakiego świata ten wynik dotyczy. Gdyby Node 22 psuł cokolwiek w tym repo, ta weryfikacja by tego nie pokazała — a była to jedyna weryfikacja, jaką zaplanowaliśmy dla ENV-01.</t>
        </is>
      </c>
    </row>
    <row r="396">
      <c r="A396" s="11" t="inlineStr">
        <is>
          <t>X-46</t>
        </is>
      </c>
      <c r="B396" s="12" t="inlineStr">
        <is>
          <t>X</t>
        </is>
      </c>
      <c r="C396" s="11" t="inlineStr">
        <is>
          <t>`turbo.json` może być JSONC, ale własny strażnik repo czyta go przez `JSON.parse`</t>
        </is>
      </c>
      <c r="D396" s="11" t="inlineStr">
        <is>
          <t>—</t>
        </is>
      </c>
      <c r="E396" s="11" t="inlineStr">
        <is>
          <t>—</t>
        </is>
      </c>
      <c r="F396" s="11" t="inlineStr">
        <is>
          <t>—</t>
        </is>
      </c>
      <c r="G396" s="11" t="inlineStr">
        <is>
          <t>—</t>
        </is>
      </c>
      <c r="H396" s="11" t="inlineStr">
        <is>
          <t>—</t>
        </is>
      </c>
      <c r="I396" s="11" t="inlineStr">
        <is>
          <t>DZIAŁA</t>
        </is>
      </c>
      <c r="J396" s="12" t="inlineStr">
        <is>
          <t>D1: `pnpm test -- --force` → `FAIL src/test/ci-joby.spec.ts`, 1 failed / 840 passed. Komentarze usunięte, `JSON.parse` przechodzi.</t>
        </is>
      </c>
      <c r="K396" s="11" t="inlineStr">
        <is>
          <t>PARYTET</t>
        </is>
      </c>
      <c r="L396" s="11" t="inlineStr">
        <is>
          <t>—</t>
        </is>
      </c>
      <c r="M396" s="11" t="inlineStr">
        <is>
          <t>—</t>
        </is>
      </c>
      <c r="N396" s="12" t="inlineStr">
        <is>
          <t>Przepisane do macierzy 2026-08-28 w ramach X-49 — pozycja powstala 2026-08-28 i do tego dnia istniala WYLACZNIE w dashboardzie, poza zasiegiem straznikow repozytorium. Obszar: bramki / narzędzia. Krytycznosc i naklad zostaly puste SWIADOMIE: dashboard ich nie niosl, a wpisanie ich teraz byloby zgadywaniem. Do uzupelnienia przy najblizszym przegladzie tej pozycji. | TRESC ZE ZRODLA: `turbo.json` może być JSONC, ale własny strażnik repo czyta go przez `JSON.parse`. Dopisałem `globalDependencies` razem z komentarzami `//` — turbo to przyjmuje, `ci-joby.spec.ts:135` nie. Cała bramka padła na `SyntaxError: Expected property name or '}' in JSON at position 4`. Poprawiony został plik, nie strażnik: skoro standardowy parser go nie czyta, problem jest w pliku — strażnik był tylko pierwszym narzędziem, które to zauważyło; następne byłoby czyjeś.</t>
        </is>
      </c>
    </row>
    <row r="397">
      <c r="A397" s="11" t="inlineStr">
        <is>
          <t>X-47</t>
        </is>
      </c>
      <c r="B397" s="12" t="inlineStr">
        <is>
          <t>X</t>
        </is>
      </c>
      <c r="C397" s="11" t="inlineStr">
        <is>
          <t>Nieosiągalnego kodu w `apps/api` nie sprawdzało NIC — bo dwa narzędzia ustąpiły sobie nawzajem miejsca</t>
        </is>
      </c>
      <c r="D397" s="11" t="inlineStr">
        <is>
          <t>—</t>
        </is>
      </c>
      <c r="E397" s="11" t="inlineStr">
        <is>
          <t>—</t>
        </is>
      </c>
      <c r="F397" s="11" t="inlineStr">
        <is>
          <t>—</t>
        </is>
      </c>
      <c r="G397" s="11" t="inlineStr">
        <is>
          <t>—</t>
        </is>
      </c>
      <c r="H397" s="11" t="inlineStr">
        <is>
          <t>—</t>
        </is>
      </c>
      <c r="I397" s="11" t="inlineStr">
        <is>
          <t>DZIAŁA</t>
        </is>
      </c>
      <c r="J397" s="12" t="inlineStr">
        <is>
          <t>D1: `eslint --rule '{"no-unreachable":"error"}'` zgłasza `765:5 Unreachable code`, a ta sama bramka bez tej flagi jest zielona. Źródło wyłączenia: `@typescript-eslint/eslint-plugin/dist/configs/eslint-recommended-raw.js:37`. Naprawione 2026-08-28: `allowUnreachableCode: false` w `libs/typescript-config/base.json` — świadomie w bazie, nie tylko w profilu Nest, bo luka dotyczy każdego pakietu TS, nie samego API. Pomiar po włączeniu flagi: w całym monorepo wyszło dokładnie jedno miejsce — to samo `void where;` (`TS7027`, 7 z 8 pakietów czysto). Czyli flaga nie odsłoniła ukrytego długu; odsłoniła tę jedną linię, która powstała po to, żeby uciszyć strażnika. Linia usunięta, `where` zniknęło z destrukturyzacji.</t>
        </is>
      </c>
      <c r="K397" s="11" t="inlineStr">
        <is>
          <t>PARYTET</t>
        </is>
      </c>
      <c r="L397" s="11" t="inlineStr">
        <is>
          <t>—</t>
        </is>
      </c>
      <c r="M397" s="11" t="inlineStr">
        <is>
          <t>—</t>
        </is>
      </c>
      <c r="N397" s="12" t="inlineStr">
        <is>
          <t>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Nieosiągalnego kodu w `apps/api` nie sprawdzało NIC — bo dwa narzędzia ustąpiły sobie nawzajem miejsca. `js.configs.recommended` ustawia `no-unreachable: error`. Rozwijane linijkę niżej `tseslint.configs.recommended` gasi tę regułę: `'no-unreachable': 'off', // ts(7027)` — z uzasadnieniem „to sprawdza TypeScript". A TypeScript zgłasza ts(7027) jako błąd wyłącznie przy `allowUnreachableCode: false`, którego nigdzie nie ustawiliśmy — domyślnie to tylko podpowiedź dla edytora, więc `tsc --noEmit` przechodzi. Żadne z tych narzędzi nie działa źle. Zawiodło przekazanie: każde założyło, że robi to drugie. Koszt widać na przykładzie: w `invoices.service.ts` stoi `void where;` za `return` — linia dopisana po to, by uciszyć ostrzeżenie o nieużywanej zmiennej, i robiąca to skutecznie, choć nigdy się nie wykonuje. Kontrola spełniona co do litery, nie co do treści.</t>
        </is>
      </c>
    </row>
    <row r="398">
      <c r="A398" s="11" t="inlineStr">
        <is>
          <t>X-48</t>
        </is>
      </c>
      <c r="B398" s="12" t="inlineStr">
        <is>
          <t>X</t>
        </is>
      </c>
      <c r="C398" s="11" t="inlineStr">
        <is>
          <t>`strict: true` w API jest w dużej mierze dekoracją — profil Nest wyłącza jego najważniejsze składniki</t>
        </is>
      </c>
      <c r="D398" s="11" t="inlineStr">
        <is>
          <t>—</t>
        </is>
      </c>
      <c r="E398" s="11" t="inlineStr">
        <is>
          <t>—</t>
        </is>
      </c>
      <c r="F398" s="11" t="inlineStr">
        <is>
          <t>—</t>
        </is>
      </c>
      <c r="G398" s="11" t="inlineStr">
        <is>
          <t>—</t>
        </is>
      </c>
      <c r="H398" s="11" t="inlineStr">
        <is>
          <t>—</t>
        </is>
      </c>
      <c r="I398" s="11" t="inlineStr">
        <is>
          <t>DZIAŁA</t>
        </is>
      </c>
      <c r="J398" s="12" t="inlineStr">
        <is>
          <t>libs/typescript-config/nestjs.json dziedziczy pełne `strict` z base.json — żaden składnik nie jest wyłączany (2026-09-24); strażnik apps/api/src/test/api-naprawde-strict.spec.ts; tsc API z SDK + libs/database: 0 błędów</t>
        </is>
      </c>
      <c r="K398" s="11" t="inlineStr">
        <is>
          <t>PARYTET</t>
        </is>
      </c>
      <c r="L398" s="11" t="inlineStr">
        <is>
          <t>WYSOKA</t>
        </is>
      </c>
      <c r="M398" s="11" t="inlineStr">
        <is>
          <t>L</t>
        </is>
      </c>
      <c r="N398" s="12" t="inlineStr">
        <is>
          <t>KOREKTA 2026-09-24: hipoteza OBALONA — logi verris-api-1 z 72 h nie mają ani jednego „must not be null”, więc Prisma przyjmowała `not: null` w działaniu (tylko typ tego nie dopuszczał). Ponawianie webhooków i kredyty SLA nie były zepsute. Poprawki zostają, bo są zgodne z typami i intencją. | 2026-09-24 ETAP 2: noImplicitAny włączone. Zapisane wcześniej „221 miejsc” było artefaktem pomiaru — w środowisku bez zbudowanego SDK DirectAdmina każdy typ z SDK stawał się `any` i ciągnął kaskadę; z rozwiązanym SDK: 27. Naprawione: `@Req() req` bez typu w kontrolerach domen i AI → `@CurrentUser()` z typem (wzorzec reszty API), iterator incydentów sond, samoodwołujący się mock w specu. | 2026-09-24 ETAP 1: pomiar zamiast zgadywania — strictNullChecks dał 28 błędów (nie setki), pozostałe trzy flagi 0. Znalezione przy okazji, realne: (1) sla-credit.scheduler: `account.serverId: { not: null }` na polu NOT NULL — typ Prismy tego nie dopuszcza; teraz `account: { isNot: null }`; (2) stripe-webhook-ponowienia: `payload: { not: null }` na polu Json (2×) — typ Prismy wymaga `Prisma.DbNull`; teraz `Prisma.DbNull` (ponawianie i czyszczenie treści webhooków); (3) mail-settings: relay zewnętrzny bez portu zapisywał port „undefined”; teraz 400 + test. Reszta: DTO bez `!`, tablica never[] w KSeF, typy zwrotne maili. ZOSTAJE (etap 2): noImplicitAny — 221 miejsc. | Przepisane do macierzy 2026-08-28 w ramach X-49 — pozycja powstala 2026-08-28 i do tego dnia istniala WYLACZNIE w dashboardzie, poza zasiegiem straznikow repozytorium. Obszar: bramki / typy. Krytycznosc i naklad zostaly puste SWIADOMIE: dashboard ich nie niosl, a wpisanie ich teraz byloby zgadywaniem. Do uzupelnienia przy najblizszym przegladzie tej pozycji. | TRESC ZE ZRODLA: `strict: true` w API jest w dużej mierze dekoracją — profil Nest wyłącza jego najważniejsze składniki. `libs/typescript-config/base.json` ustawia `"strict": true`, a dziedziczący z niego `nestjs.json` zaraz potem gasi: `strictNullChecks: false`, `noImplicitAny: false`, `strictBindCallApply: false`, `noFallthroughCasesInSwitch: false`, `forceConsistentCasingInFileNames: false`. Najcięższy jest pierwszy: `strictNullChecks` to kontrola, która łapie najwięcej błędów „undefined w czasie działania" — a API to warstwa, która dotyka bazy, płatności i DirectAdmina. Kto czyta `base.json`, widzi projekt w trybie ścisłym. Kto czyta `nestjs.json`, widzi coś innego. | WYCENA 2026-09-19: krytycznosc i naklad uzupelnione przy wznowieniu. Pozycje przepisane 2026-08-28 w ramach X-49 zostaly bez wyceny, przez co nie liczyly sie do budzetu godzin i nie stały w zadnym sprincie. Podstawa wyceny: Wlaczenie strictNullChecks w API tej wielkosci to osobna duza praca z wlasnym planem — tak zapisano 2026-08-28. API dotyka bazy, platnosci i DirectAdmina.</t>
        </is>
      </c>
    </row>
    <row r="399">
      <c r="A399" s="11" t="inlineStr">
        <is>
          <t>DEV-01</t>
        </is>
      </c>
      <c r="B399" s="12" t="inlineStr">
        <is>
          <t>X</t>
        </is>
      </c>
      <c r="C399" s="11" t="inlineStr">
        <is>
          <t>Baza deweloperska jest nieosiągalna, a `docker-compose.yml` opisuje stan, którego nie ma</t>
        </is>
      </c>
      <c r="D399" s="11" t="inlineStr">
        <is>
          <t>—</t>
        </is>
      </c>
      <c r="E399" s="11" t="inlineStr">
        <is>
          <t>—</t>
        </is>
      </c>
      <c r="F399" s="11" t="inlineStr">
        <is>
          <t>—</t>
        </is>
      </c>
      <c r="G399" s="11" t="inlineStr">
        <is>
          <t>—</t>
        </is>
      </c>
      <c r="H399" s="11" t="inlineStr">
        <is>
          <t>—</t>
        </is>
      </c>
      <c r="I399" s="11" t="inlineStr">
        <is>
          <t>DZIAŁA</t>
        </is>
      </c>
      <c r="J399" s="12" t="inlineStr">
        <is>
          <t>docker-compose.yml — wolumen postgres_data_v2 + healthcheck logujący się jako verris (psql select 1); LOCAL_DEV.md — sekcja o starym wolumenie</t>
        </is>
      </c>
      <c r="K399" s="11" t="inlineStr">
        <is>
          <t>PARYTET</t>
        </is>
      </c>
      <c r="L399" s="11" t="inlineStr">
        <is>
          <t>WYSOKA</t>
        </is>
      </c>
      <c r="M399" s="11" t="inlineStr">
        <is>
          <t>S</t>
        </is>
      </c>
      <c r="N399" s="12"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row>
    <row r="400">
      <c r="A400" s="11" t="inlineStr">
        <is>
          <t>X-45</t>
        </is>
      </c>
      <c r="B400" s="12" t="inlineStr">
        <is>
          <t>X</t>
        </is>
      </c>
      <c r="C400" s="11" t="inlineStr">
        <is>
          <t>Dwóch niezależnych strażników pilnowało tej samej linii `ci.yml`</t>
        </is>
      </c>
      <c r="D400" s="11" t="inlineStr">
        <is>
          <t>—</t>
        </is>
      </c>
      <c r="E400" s="11" t="inlineStr">
        <is>
          <t>—</t>
        </is>
      </c>
      <c r="F400" s="11" t="inlineStr">
        <is>
          <t>—</t>
        </is>
      </c>
      <c r="G400" s="11" t="inlineStr">
        <is>
          <t>—</t>
        </is>
      </c>
      <c r="H400" s="11" t="inlineStr">
        <is>
          <t>—</t>
        </is>
      </c>
      <c r="I400" s="11" t="inlineStr">
        <is>
          <t>DZIAŁA</t>
        </is>
      </c>
      <c r="J400" s="12" t="inlineStr">
        <is>
          <t>Naprawione 2026-08-28: strażnik jest teraz MOCNIEJSZY niż był — sprawdza, że job woła `pnpm test:int` ORAZ że ten skrypt istnieje w `package.json` i celuje w `jest.integration.cjs`. Doszedł test, że job nie woła jesta z pominięciem skryptu.</t>
        </is>
      </c>
      <c r="K400" s="11" t="inlineStr">
        <is>
          <t>PARYTET</t>
        </is>
      </c>
      <c r="L400" s="11" t="inlineStr">
        <is>
          <t>—</t>
        </is>
      </c>
      <c r="M400" s="11" t="inlineStr">
        <is>
          <t>—</t>
        </is>
      </c>
      <c r="N400" s="12" t="inlineStr">
        <is>
          <t>Przepisane do macierzy 2026-08-28 w ramach X-49 — pozycja powstala 2026-08-28 i do tego dnia istniala WYLACZNIE w dashboardzie, poza zasiegiem straznikow repozytorium. Obszar: strażnicy / metodyka. Krytycznosc i naklad zostaly puste SWIADOMIE: dashboard ich nie niosl, a wpisanie ich teraz byloby zgadywaniem. Do uzupelnienia przy najblizszym przegladzie tej pozycji. | TRESC ZE ZRODLA: Dwóch niezależnych strażników pilnowało tej samej linii `ci.yml`. Zmieniłem krok „Run integration tests” na `pnpm test:int`, zaktualizowałem `kazdy-spec-ma-runner.spec.ts` i uznałem sprawę za zamkniętą — a `ci-joby.spec.ts:144` sprawdzał dokładnie to samo i padł. Problemem nie było parsowanie (jak w X-35/38/39/40), tylko to, że nie sprawdziłem, ilu strażników jest. Wniosek roboczy: każda zmiana w `ci.yml` zaczyna się od `grep` po nazwie kroku w `src/test/`, nie od pamięci.</t>
        </is>
      </c>
    </row>
    <row r="401">
      <c r="A401" s="11" t="inlineStr">
        <is>
          <t>X-44</t>
        </is>
      </c>
      <c r="B401" s="12" t="inlineStr">
        <is>
          <t>X</t>
        </is>
      </c>
      <c r="C401" s="11" t="inlineStr">
        <is>
          <t>Paczka testów integracyjnych mogła skasować bazę deweloperską — i była to ścieżka domyślna</t>
        </is>
      </c>
      <c r="D401" s="11" t="inlineStr">
        <is>
          <t>—</t>
        </is>
      </c>
      <c r="E401" s="11" t="inlineStr">
        <is>
          <t>—</t>
        </is>
      </c>
      <c r="F401" s="11" t="inlineStr">
        <is>
          <t>—</t>
        </is>
      </c>
      <c r="G401" s="11" t="inlineStr">
        <is>
          <t>—</t>
        </is>
      </c>
      <c r="H401" s="11" t="inlineStr">
        <is>
          <t>—</t>
        </is>
      </c>
      <c r="I401" s="11" t="inlineStr">
        <is>
          <t>DZIAŁA</t>
        </is>
      </c>
      <c r="J401" s="12" t="inlineStr">
        <is>
          <t>Naprawione 2026-08-27: `sprawdzBazeTestowa()` wymaga, by nazwa bazy zawierała „test”; osobny moduł bez zależności, 10 testów w pakiecie JEDNOSTKOWYM (bezpiecznik od złej konfiguracji Postgresa nie może wymagać Postgresa). Bez furtki FORCE. Parser sprawdza schemat, bo `new URL('localhost:5432/verris_test')` nie rzuca wyjątku. Zweryfikowane lokalnie 2026-08-28: 65/65 testów integracyjnych na PG 16 (port 5434, kontener bez wolumenu), 817 jednostkowych, lint 0 błędów, typecheck 8/8. D2 po zielonym jobie „API integration tests”.</t>
        </is>
      </c>
      <c r="K401" s="11" t="inlineStr">
        <is>
          <t>PARYTET</t>
        </is>
      </c>
      <c r="L401" s="11" t="inlineStr">
        <is>
          <t>—</t>
        </is>
      </c>
      <c r="M401" s="11" t="inlineStr">
        <is>
          <t>—</t>
        </is>
      </c>
      <c r="N401" s="12" t="inlineStr">
        <is>
          <t>Przepisane do macierzy 2026-08-28 w ramach X-49 — pozycja powstala 2026-08-27 i do tego dnia istniala WYLACZNIE w dashboardzie, poza zasiegiem straznikow repozytorium. Obszar: testy / utrata danych. Krytycznosc i naklad zostaly puste SWIADOMIE: dashboard ich nie niosl, a wpisanie ich teraz byloby zgadywaniem. Do uzupelnienia przy najblizszym przegladzie tej pozycji. | TRESC ZE ZRODLA: Paczka testów integracyjnych mogła skasować bazę deweloperską — i była to ścieżka domyślna. `setup.ts` zaczyna każdy test od `TRUNCATE … CASCADE` na Invoice, WalletTransaction, Account, Subscription, Server, Plan i User. Jedyną ochroną było `if (!process.env.DATABASE_URL)` — sprawdzenie, że zmienna jest NIEPUSTA. Zdanie „musi wskazywać na BAZĘ TESTOWĄ” istniało wyłącznie w treści komunikatu. Domyślny URL w `libs/database/.env` wskazuje na `verris_db`, czyli bazę deweloperską. Ta sama rodzina co SEC-01 i X-02: kontrola opisana słowami, nieegzekwowana kodem.</t>
        </is>
      </c>
    </row>
    <row r="402">
      <c r="A402" s="11" t="inlineStr">
        <is>
          <t>KSEF-05</t>
        </is>
      </c>
      <c r="B402" s="12" t="inlineStr">
        <is>
          <t>M</t>
        </is>
      </c>
      <c r="C402" s="11" t="inlineStr">
        <is>
          <t>Włączenie KSeF wysyła całą historię faktur, natychmiast i bez pytania</t>
        </is>
      </c>
      <c r="D402" s="11" t="inlineStr">
        <is>
          <t>—</t>
        </is>
      </c>
      <c r="E402" s="11" t="inlineStr">
        <is>
          <t>—</t>
        </is>
      </c>
      <c r="F402" s="11" t="inlineStr">
        <is>
          <t>—</t>
        </is>
      </c>
      <c r="G402" s="11" t="inlineStr">
        <is>
          <t>—</t>
        </is>
      </c>
      <c r="H402" s="11" t="inlineStr">
        <is>
          <t>—</t>
        </is>
      </c>
      <c r="I402" s="11" t="inlineStr">
        <is>
          <t>DZIAŁA</t>
        </is>
      </c>
      <c r="J402" s="12" t="inlineStr">
        <is>
          <t>Naprawione 2026-08-26: catch-up ograniczony oknem 7 dni; zaległości starsze wymagają świadomej decyzji operatora.</t>
        </is>
      </c>
      <c r="K402" s="11" t="inlineStr">
        <is>
          <t>PARYTET</t>
        </is>
      </c>
      <c r="L402" s="11" t="inlineStr">
        <is>
          <t>—</t>
        </is>
      </c>
      <c r="M402" s="11" t="inlineStr">
        <is>
          <t>—</t>
        </is>
      </c>
      <c r="N402"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Włączenie KSeF wysyła całą historię faktur, natychmiast i bez pytania. `tick()` zaczyna od `updateMany` przestawiającego KAŻDĄ fakturę `NOT_APPLICABLE` na `PENDING` — bez ograniczenia daty, bez limitu, bez potwierdzenia. Pierwszy przebieg po przestawieniu przełącznika kolejkuje wszystko i wysyła partiami po 25. Przy `KSEF_ENV` domyślnie `'test'` pójdą na środowisko testowe MF, a panel pokaże je jako wysłane.</t>
        </is>
      </c>
    </row>
    <row r="403">
      <c r="A403" s="11" t="inlineStr">
        <is>
          <t>KSEF-01</t>
        </is>
      </c>
      <c r="B403" s="12" t="inlineStr">
        <is>
          <t>M</t>
        </is>
      </c>
      <c r="C403" s="11" t="inlineStr">
        <is>
          <t>Obowiązek KSeF działa od 1 kwietnia 2026 — od pięciu miesięcy</t>
        </is>
      </c>
      <c r="D403" s="11" t="inlineStr">
        <is>
          <t>—</t>
        </is>
      </c>
      <c r="E403" s="11" t="inlineStr">
        <is>
          <t>—</t>
        </is>
      </c>
      <c r="F403" s="11" t="inlineStr">
        <is>
          <t>—</t>
        </is>
      </c>
      <c r="G403" s="11" t="inlineStr">
        <is>
          <t>—</t>
        </is>
      </c>
      <c r="H403" s="11" t="inlineStr">
        <is>
          <t>—</t>
        </is>
      </c>
      <c r="I403" s="11" t="inlineStr">
        <is>
          <t>BRAK</t>
        </is>
      </c>
      <c r="J403" s="12" t="inlineStr">
        <is>
          <t>harmonogram MF: 1.02.2026 (&gt;200 mln), 1.04.2026 (pozostali), 1.01.2027 (do 10 tys./mies.)</t>
        </is>
      </c>
      <c r="K403" s="11" t="inlineStr">
        <is>
          <t>POZA ZAKRESEM</t>
        </is>
      </c>
      <c r="L403" s="11" t="inlineStr">
        <is>
          <t>WYSOKA</t>
        </is>
      </c>
      <c r="M403" s="11" t="inlineStr">
        <is>
          <t>S</t>
        </is>
      </c>
      <c r="N403"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4">
      <c r="A404" s="11" t="inlineStr">
        <is>
          <t>KSEF-02</t>
        </is>
      </c>
      <c r="B404" s="12" t="inlineStr">
        <is>
          <t>M</t>
        </is>
      </c>
      <c r="C404" s="11" t="inlineStr">
        <is>
          <t>`KsefStatus.OFFLINE` istnieje w schemacie i nie jest ustawiany nigdy</t>
        </is>
      </c>
      <c r="D404" s="11" t="inlineStr">
        <is>
          <t>—</t>
        </is>
      </c>
      <c r="E404" s="11" t="inlineStr">
        <is>
          <t>—</t>
        </is>
      </c>
      <c r="F404" s="11" t="inlineStr">
        <is>
          <t>—</t>
        </is>
      </c>
      <c r="G404" s="11" t="inlineStr">
        <is>
          <t>—</t>
        </is>
      </c>
      <c r="H404" s="11" t="inlineStr">
        <is>
          <t>—</t>
        </is>
      </c>
      <c r="I404" s="11" t="inlineStr">
        <is>
          <t>CZĘŚCIOWE</t>
        </is>
      </c>
      <c r="J404" s="12" t="inlineStr">
        <is>
          <t>Częściowo 2026-08-26: `KsefStatus.OFFLINE` jest zapisywany przy nieudanym otwarciu sesji, wraz z trybem i terminem (`ksef-tryby.ts`, 16 testów; migracja wykonana na PG 16.13). Brak klasyfikacji zdarzenia przez operatora — każda przerwa dostaje NIESKLASYFIKOWANY z najkrótszym terminem.</t>
        </is>
      </c>
      <c r="K404" s="11" t="inlineStr">
        <is>
          <t>POZA ZAKRESEM</t>
        </is>
      </c>
      <c r="L404" s="11" t="inlineStr">
        <is>
          <t>ŚREDNIA</t>
        </is>
      </c>
      <c r="M404" s="11" t="inlineStr">
        <is>
          <t>S</t>
        </is>
      </c>
      <c r="N404"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5">
      <c r="A405" s="11" t="inlineStr">
        <is>
          <t>KSEF-03</t>
        </is>
      </c>
      <c r="B405" s="12" t="inlineStr">
        <is>
          <t>M</t>
        </is>
      </c>
      <c r="C405" s="11" t="inlineStr">
        <is>
          <t>Brak kodów QR na fakturze offline</t>
        </is>
      </c>
      <c r="D405" s="11" t="inlineStr">
        <is>
          <t>—</t>
        </is>
      </c>
      <c r="E405" s="11" t="inlineStr">
        <is>
          <t>—</t>
        </is>
      </c>
      <c r="F405" s="11" t="inlineStr">
        <is>
          <t>—</t>
        </is>
      </c>
      <c r="G405" s="11" t="inlineStr">
        <is>
          <t>—</t>
        </is>
      </c>
      <c r="H405" s="11" t="inlineStr">
        <is>
          <t>—</t>
        </is>
      </c>
      <c r="I405" s="11" t="inlineStr">
        <is>
          <t>BRAK</t>
        </is>
      </c>
      <c r="J405" s="12" t="inlineStr">
        <is>
          <t>zero trafień `qrcode|QRCode|kodQR` w `apps/api/src` i `apps/client-panel/src`</t>
        </is>
      </c>
      <c r="K405" s="11" t="inlineStr">
        <is>
          <t>POZA ZAKRESEM</t>
        </is>
      </c>
      <c r="L405" s="11" t="inlineStr">
        <is>
          <t>WYSOKA</t>
        </is>
      </c>
      <c r="M405" s="11" t="inlineStr">
        <is>
          <t>M</t>
        </is>
      </c>
      <c r="N405" s="12"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406">
      <c r="A406" s="11" t="inlineStr">
        <is>
          <t>KSEF-04</t>
        </is>
      </c>
      <c r="B406" s="12" t="inlineStr">
        <is>
          <t>M</t>
        </is>
      </c>
      <c r="C406" s="11" t="inlineStr">
        <is>
          <t>Komentarz w kodzie zapewnia o zgodności, której nie ma</t>
        </is>
      </c>
      <c r="D406" s="11" t="inlineStr">
        <is>
          <t>—</t>
        </is>
      </c>
      <c r="E406" s="11" t="inlineStr">
        <is>
          <t>—</t>
        </is>
      </c>
      <c r="F406" s="11" t="inlineStr">
        <is>
          <t>—</t>
        </is>
      </c>
      <c r="G406" s="11" t="inlineStr">
        <is>
          <t>—</t>
        </is>
      </c>
      <c r="H406" s="11" t="inlineStr">
        <is>
          <t>—</t>
        </is>
      </c>
      <c r="I406" s="11" t="inlineStr">
        <is>
          <t>DZIAŁA</t>
        </is>
      </c>
      <c r="J406" s="12" t="inlineStr">
        <is>
          <t>Naprawione 2026-08-26: komentarz skreślony, w jego miejscu stan faktyczny wraz z brakiem kodów QR.</t>
        </is>
      </c>
      <c r="K406" s="11" t="inlineStr">
        <is>
          <t>PARYTET</t>
        </is>
      </c>
      <c r="L406" s="11" t="inlineStr">
        <is>
          <t>—</t>
        </is>
      </c>
      <c r="M406" s="11" t="inlineStr">
        <is>
          <t>—</t>
        </is>
      </c>
      <c r="N406" s="12"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Komentarz w kodzie zapewnia o zgodności, której nie ma. `ksef.service.ts:22-26` opisuje tryb offline jako „zostaje w PENDING i jest ponawiana — przepisy przewidują dosłanie”. Część o dosłaniu jest prawdziwa; reszta pomija wszystko, co przepisy wymagają wobec nabywcy. Komentarz zapewniający o zgodności zniechęca do sprawdzenia — dlatego jest gorszy niż jego brak.</t>
        </is>
      </c>
    </row>
    <row r="407">
      <c r="A407" s="11" t="inlineStr">
        <is>
          <t>PANEL-01</t>
        </is>
      </c>
      <c r="B407" s="12" t="inlineStr">
        <is>
          <t>Q</t>
        </is>
      </c>
      <c r="C407" s="11" t="inlineStr">
        <is>
          <t>Licznik onboardingu nie może dojść do końca</t>
        </is>
      </c>
      <c r="D407" s="11" t="inlineStr">
        <is>
          <t>—</t>
        </is>
      </c>
      <c r="E407" s="11" t="inlineStr">
        <is>
          <t>—</t>
        </is>
      </c>
      <c r="F407" s="11" t="inlineStr">
        <is>
          <t>—</t>
        </is>
      </c>
      <c r="G407" s="11" t="inlineStr">
        <is>
          <t>—</t>
        </is>
      </c>
      <c r="H407" s="11" t="inlineStr">
        <is>
          <t>—</t>
        </is>
      </c>
      <c r="I407" s="11" t="inlineStr">
        <is>
          <t>DZIAŁA</t>
        </is>
      </c>
      <c r="J407" s="12" t="inlineStr">
        <is>
          <t>Naprawione 2026-08-26: trzy stany zamiast `done: boolean`; kroki bez detekcji wypadają z mianownika. Strażnik `onboarding-kroki.spec.ts` — 8 testów, client-panel 4 → 12</t>
        </is>
      </c>
      <c r="K407" s="11" t="inlineStr">
        <is>
          <t>PARYTET</t>
        </is>
      </c>
      <c r="L407" s="11" t="inlineStr">
        <is>
          <t>—</t>
        </is>
      </c>
      <c r="M407" s="11" t="inlineStr">
        <is>
          <t>—</t>
        </is>
      </c>
      <c r="N407" s="12" t="inlineStr">
        <is>
          <t>Przepisane do macierzy 2026-08-28 w ramach X-49 — pozycja powstala 2026-08-26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Licznik onboardingu nie może dojść do końca. Pola `done` dla kroków „Postaw stronę” i „Poczta” są zahardkodowane na `false`. Klient, który skonfigurował wszystko, widzi 2/4; dla produktu pocztowego maksimum to 1/2. Ta sama rodzina co X-39 — panel podaje liczbę tam, gdzie nie ma wiedzy.</t>
        </is>
      </c>
    </row>
    <row r="408">
      <c r="A408" s="11" t="inlineStr">
        <is>
          <t>OPS-01</t>
        </is>
      </c>
      <c r="B408" s="12" t="inlineStr">
        <is>
          <t>M</t>
        </is>
      </c>
      <c r="C408" s="11" t="inlineStr">
        <is>
          <t>Selektor węzłów filtruje po sygnale życia, nie po statusie; sygnał widoczny w panelu</t>
        </is>
      </c>
      <c r="D408" s="11" t="inlineStr">
        <is>
          <t>—</t>
        </is>
      </c>
      <c r="E408" s="11" t="inlineStr">
        <is>
          <t>—</t>
        </is>
      </c>
      <c r="F408" s="11" t="inlineStr">
        <is>
          <t>—</t>
        </is>
      </c>
      <c r="G408" s="11" t="inlineStr">
        <is>
          <t>—</t>
        </is>
      </c>
      <c r="H408" s="11" t="inlineStr">
        <is>
          <t>—</t>
        </is>
      </c>
      <c r="I408" s="11" t="inlineStr">
        <is>
          <t>DZIAŁA</t>
        </is>
      </c>
      <c r="J408" s="12" t="inlineStr">
        <is>
          <t>Szkoda usunięta 2026-08-26: `NodeSelector` filtruje po SYGNALE ŻYCIA, nie po statusie; próg `BRAK_SYGNALU_MIN` wspólny z watchdogiem. 5 testów jednostkowych + 4 integracyjne. Potwierdzone uruchomieniem 2026-08-28 — w logu `Pomijam 1 węzeł(ów) ACTIVE bez sygnału życia od ponad 10 min`. ZAMKNIĘTE 2026-08-28 inaczej niż zakładano: zapis statusu świadomie NIE powstał. Selektor bierze tylko `status: ACTIVE`, więc zapis `OFFLINE` zamieniłby dwuminutową przerwę w sieci w trwałe wyłączenie węzła. Zamiast tego `opiszSygnal()` wyliczany przy odczycie + znacznik w panelu („ACTIVE · nie odpowiada od 14 min”), trzy stany, 13 testów, zero migracji. Zapis statusu OFFLINE nadal nie istnieje — wymaga pola odróżniającego wpis watchdoga od decyzji admina, inaczej automatyczny powrót cofałby ręczne wyłączenie.</t>
        </is>
      </c>
      <c r="K408" s="11" t="inlineStr">
        <is>
          <t>PARYTET</t>
        </is>
      </c>
      <c r="L408" s="11" t="inlineStr">
        <is>
          <t>—</t>
        </is>
      </c>
      <c r="M408" s="11" t="inlineStr">
        <is>
          <t>—</t>
        </is>
      </c>
      <c r="N408" s="12" t="inlineStr">
        <is>
          <t>Przepisane do macierzy 2026-08-28 w ramach X-49 — pozycja powstala 2026-08-26 i do tego dnia istniala WYLACZNIE w dashboardzie, poza zasiegiem straznikow repozytorium. Obszar: provisioning. Krytycznosc i naklad zostaly puste SWIADOMIE: dashboard ich nie niosl, a wpisanie ich teraz byloby zgadywaniem. Do uzupelnienia przy najblizszym przegladzie tej pozycji. | TRESC ZE ZRODLA: Przyczyna ustalona. Żadna ścieżka w `apps/api/src` nie zapisuje statusu `OFFLINE` — mimo że `ops-watchdog.scheduler.ts` liczy węzły z przeterminowanym heartbeatem, a `metrics.service.ts` i `diagnostics.service.ts` raportują „offline”. Alert powstaje, status w bazie zostaje `ACTIVE`, a `NodeSelector` wybiera po statusie. | UWAGA: w dashboardzie ta pozycja istniala w DWoCH egzemplarzach o roznych statusach; przy przepisywaniu do macierzy zostawiona jedna, druga tresc: "`Server.status = ACTIVE` dla węzła, który odpowiada wyłącznie na porcie 22. Provisioning i autoskalowanie wybierają węzły po tym polu."</t>
        </is>
      </c>
    </row>
    <row r="409">
      <c r="A409" s="11" t="inlineStr">
        <is>
          <t>NODE-01</t>
        </is>
      </c>
      <c r="B409" s="12" t="inlineStr">
        <is>
          <t>Q</t>
        </is>
      </c>
      <c r="C409" s="11" t="inlineStr">
        <is>
          <t>Dwie niepołączone ścieżki dodania węzła w tym samym panelu</t>
        </is>
      </c>
      <c r="D409" s="11" t="inlineStr">
        <is>
          <t>—</t>
        </is>
      </c>
      <c r="E409" s="11" t="inlineStr">
        <is>
          <t>—</t>
        </is>
      </c>
      <c r="F409" s="11" t="inlineStr">
        <is>
          <t>—</t>
        </is>
      </c>
      <c r="G409" s="11" t="inlineStr">
        <is>
          <t>—</t>
        </is>
      </c>
      <c r="H409" s="11" t="inlineStr">
        <is>
          <t>—</t>
        </is>
      </c>
      <c r="I409" s="11" t="inlineStr">
        <is>
          <t>DZIAŁA</t>
        </is>
      </c>
      <c r="J409" s="12" t="inlineStr">
        <is>
          <t>node-wizard.tsx (krok „Instalacja (bootstrap v2)” z NodeBootstrapProgress), /nodes/init → przekierowanie, NODE_ONBOARD_RUNBOOK.md jedynym runbookiem</t>
        </is>
      </c>
      <c r="K409" s="11" t="inlineStr">
        <is>
          <t>LUKA</t>
        </is>
      </c>
      <c r="L409" s="11" t="inlineStr">
        <is>
          <t>ŚREDNIA</t>
        </is>
      </c>
      <c r="M409" s="11" t="inlineStr">
        <is>
          <t>M</t>
        </is>
      </c>
      <c r="N409"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Dwie niepołączone ścieżki dodania węzła w tym samym panelu. Kreator `/nodes/wizard` (9 kroków, ręczny `scp`/`ssh`, licencje wklejane na SSH) i „bootstrap v2” na `/nodes/[id]#bootstrap` (7 faz, wznawialny systemd oneshot, licencje szyfrowane w bazie, żywy postęp). Kreator nie wspomina o v2 ani razu. Do tego dwa runbooki mówią co innego o roli `node-onboard-live.sh`. | WYCENA 2026-09-19: krytycznosc i naklad uzupelnione przy wznowieniu. Pozycje przepisane 2026-08-28 w ramach X-49 zostaly bez wyceny, przez co nie liczyly sie do budzetu godzin i nie stały w zadnym sprincie. Podstawa wyceny: Scalenie dwoch sciezek dodania wezla (kreator 9-krokowy i bootstrap v2) w jedna, plus uzgodnienie dwoch runbookow. | 2026-09-26 ZROBIONE: kreator ma 7 kroków zamiast 10 — CloudLinux/DA/LiteSpeed/bootstrap v1 zastąpione jednym krokiem z bootstrapem v2 (licencje zaszyfrowane, jednolinijkowiec, postęp na żywo); ręczne komendy w sekcji awaryjnej; „Szybka inicjalizacja” usunięta (przekierowanie do kreatora); runbooki uzgodnione — node-onboard-live.sh obowiązkowy (zgodnie z audytem węzła), NODE_BOOTSTRAP_V2 = projekt/DoD. Sprawdzone lokalnie (kreator tworzy rekord, pokazuje fazy v2). Zostało: przejście na pierwszym węźle.</t>
        </is>
      </c>
    </row>
    <row r="410">
      <c r="A410" s="11" t="inlineStr">
        <is>
          <t>NODE-02</t>
        </is>
      </c>
      <c r="B410" s="12" t="inlineStr">
        <is>
          <t>Q</t>
        </is>
      </c>
      <c r="C410" s="11" t="inlineStr">
        <is>
          <t>`main()` nie sprawdza kodów powrotu</t>
        </is>
      </c>
      <c r="D410" s="11" t="inlineStr">
        <is>
          <t>—</t>
        </is>
      </c>
      <c r="E410" s="11" t="inlineStr">
        <is>
          <t>—</t>
        </is>
      </c>
      <c r="F410" s="11" t="inlineStr">
        <is>
          <t>—</t>
        </is>
      </c>
      <c r="G410" s="11" t="inlineStr">
        <is>
          <t>—</t>
        </is>
      </c>
      <c r="H410" s="11" t="inlineStr">
        <is>
          <t>—</t>
        </is>
      </c>
      <c r="I410" s="11" t="inlineStr">
        <is>
          <t>CZĘŚCIOWE</t>
        </is>
      </c>
      <c r="J410" s="12"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K410" s="11" t="inlineStr">
        <is>
          <t>CZĘŚCIOWY</t>
        </is>
      </c>
      <c r="L410" s="11" t="inlineStr">
        <is>
          <t>WYSOKA</t>
        </is>
      </c>
      <c r="M410" s="11" t="inlineStr">
        <is>
          <t>S</t>
        </is>
      </c>
      <c r="N410"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row>
    <row r="411">
      <c r="A411" s="11" t="inlineStr">
        <is>
          <t>NODE-03</t>
        </is>
      </c>
      <c r="B411" s="12" t="inlineStr">
        <is>
          <t>Q</t>
        </is>
      </c>
      <c r="C411" s="11" t="inlineStr">
        <is>
          <t>Pojemność węzła nigdy się nie odświeża</t>
        </is>
      </c>
      <c r="D411" s="11" t="inlineStr">
        <is>
          <t>—</t>
        </is>
      </c>
      <c r="E411" s="11" t="inlineStr">
        <is>
          <t>—</t>
        </is>
      </c>
      <c r="F411" s="11" t="inlineStr">
        <is>
          <t>—</t>
        </is>
      </c>
      <c r="G411" s="11" t="inlineStr">
        <is>
          <t>—</t>
        </is>
      </c>
      <c r="H411" s="11" t="inlineStr">
        <is>
          <t>—</t>
        </is>
      </c>
      <c r="I411" s="11" t="inlineStr">
        <is>
          <t>DZIAŁA</t>
        </is>
      </c>
      <c r="J411" s="12" t="inlineStr">
        <is>
          <t>2026-09-23 D1: verris-lve.sh node_capacity (nproc, MemTotal, df /) w każdym raporcie, lve-agent/1.1; telemetry.dto NodeStatusDto.totalCpuCores/totalMemoryMb/totalDiskMb; telemetry.service aktualizuje Server; test telemetry/pojemnosc-wezla.spec.ts</t>
        </is>
      </c>
      <c r="K411" s="11" t="inlineStr">
        <is>
          <t>PARYTET</t>
        </is>
      </c>
      <c r="L411" s="11" t="inlineStr">
        <is>
          <t>ŚREDNIA</t>
        </is>
      </c>
      <c r="M411" s="11" t="inlineStr">
        <is>
          <t>S</t>
        </is>
      </c>
      <c r="N411" s="12"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row>
    <row r="412">
      <c r="A412" s="11" t="inlineStr">
        <is>
          <t>SEC-06</t>
        </is>
      </c>
      <c r="B412" s="12" t="inlineStr">
        <is>
          <t>G</t>
        </is>
      </c>
      <c r="C412" s="11" t="inlineStr">
        <is>
          <t>Allowlista pokrywa to, o czym ktoś pomyślał, nie to, co host robi</t>
        </is>
      </c>
      <c r="D412" s="11" t="inlineStr">
        <is>
          <t>—</t>
        </is>
      </c>
      <c r="E412" s="11" t="inlineStr">
        <is>
          <t>—</t>
        </is>
      </c>
      <c r="F412" s="11" t="inlineStr">
        <is>
          <t>—</t>
        </is>
      </c>
      <c r="G412" s="11" t="inlineStr">
        <is>
          <t>—</t>
        </is>
      </c>
      <c r="H412" s="11" t="inlineStr">
        <is>
          <t>—</t>
        </is>
      </c>
      <c r="I412" s="11" t="inlineStr">
        <is>
          <t>DZIAŁA</t>
        </is>
      </c>
      <c r="J412" s="12" t="inlineStr">
        <is>
          <t>verris-egress-odswiez.timer (co 15 s) → security-control-plane-egress.sh --odswiez; Panel 06.10: timer active, „Odświeżenie: 12 nowych adresów”</t>
        </is>
      </c>
      <c r="K412" s="11" t="inlineStr">
        <is>
          <t>PARYTET</t>
        </is>
      </c>
      <c r="L412" s="11" t="inlineStr">
        <is>
          <t>WYSOKA</t>
        </is>
      </c>
      <c r="M412" s="11" t="inlineStr">
        <is>
          <t>M</t>
        </is>
      </c>
      <c r="N412"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row>
    <row r="413">
      <c r="A413" s="11" t="inlineStr">
        <is>
          <t>SEC-04</t>
        </is>
      </c>
      <c r="B413" s="12" t="inlineStr">
        <is>
          <t>G</t>
        </is>
      </c>
      <c r="C413" s="11" t="inlineStr">
        <is>
          <t>Host rozmawia z kontenerami przez OUTPUT — ruch wewnętrzny liczony jako egress</t>
        </is>
      </c>
      <c r="D413" s="11" t="inlineStr">
        <is>
          <t>—</t>
        </is>
      </c>
      <c r="E413" s="11" t="inlineStr">
        <is>
          <t>—</t>
        </is>
      </c>
      <c r="F413" s="11" t="inlineStr">
        <is>
          <t>—</t>
        </is>
      </c>
      <c r="G413" s="11" t="inlineStr">
        <is>
          <t>—</t>
        </is>
      </c>
      <c r="H413" s="11" t="inlineStr">
        <is>
          <t>—</t>
        </is>
      </c>
      <c r="I413" s="11" t="inlineStr">
        <is>
          <t>DZIAŁA</t>
        </is>
      </c>
      <c r="J413" s="12" t="inlineStr">
        <is>
          <t>security-control-plane-egress.sh — RETURN dla -o lo/docker0/br-+ w VERRIS_EGRESS_STRICT i br-+ w VERRIS_EGRESS_BOGON przed DROP; test apps/api/src/test/egress-strict-naprawde-blokuje.spec.ts</t>
        </is>
      </c>
      <c r="K413" s="11" t="inlineStr">
        <is>
          <t>PARYTET</t>
        </is>
      </c>
      <c r="L413" s="11" t="inlineStr">
        <is>
          <t>WYSOKA</t>
        </is>
      </c>
      <c r="M413" s="11" t="inlineStr">
        <is>
          <t>S</t>
        </is>
      </c>
      <c r="N413"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row>
    <row r="414">
      <c r="A414" s="11" t="inlineStr">
        <is>
          <t>SEC-05</t>
        </is>
      </c>
      <c r="B414" s="12" t="inlineStr">
        <is>
          <t>G</t>
        </is>
      </c>
      <c r="C414" s="11" t="inlineStr">
        <is>
          <t>Log egressu jest próbką, nie zapisem</t>
        </is>
      </c>
      <c r="D414" s="11" t="inlineStr">
        <is>
          <t>—</t>
        </is>
      </c>
      <c r="E414" s="11" t="inlineStr">
        <is>
          <t>—</t>
        </is>
      </c>
      <c r="F414" s="11" t="inlineStr">
        <is>
          <t>—</t>
        </is>
      </c>
      <c r="G414" s="11" t="inlineStr">
        <is>
          <t>—</t>
        </is>
      </c>
      <c r="H414" s="11" t="inlineStr">
        <is>
          <t>—</t>
        </is>
      </c>
      <c r="I414" s="11" t="inlineStr">
        <is>
          <t>DZIAŁA</t>
        </is>
      </c>
      <c r="J414" s="12"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K414" s="11" t="inlineStr">
        <is>
          <t>PARYTET</t>
        </is>
      </c>
      <c r="L414" s="11" t="inlineStr">
        <is>
          <t>WYSOKA</t>
        </is>
      </c>
      <c r="M414" s="11" t="inlineStr">
        <is>
          <t>S</t>
        </is>
      </c>
      <c r="N414" s="12"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row>
    <row r="415">
      <c r="A415" s="11" t="inlineStr">
        <is>
          <t>SEC-01</t>
        </is>
      </c>
      <c r="B415" s="12" t="inlineStr">
        <is>
          <t>G</t>
        </is>
      </c>
      <c r="C415" s="11" t="inlineStr">
        <is>
          <t>Tryb `--strict` jest atrapą</t>
        </is>
      </c>
      <c r="D415" s="11" t="inlineStr">
        <is>
          <t>—</t>
        </is>
      </c>
      <c r="E415" s="11" t="inlineStr">
        <is>
          <t>—</t>
        </is>
      </c>
      <c r="F415" s="11" t="inlineStr">
        <is>
          <t>—</t>
        </is>
      </c>
      <c r="G415" s="11" t="inlineStr">
        <is>
          <t>—</t>
        </is>
      </c>
      <c r="H415" s="11" t="inlineStr">
        <is>
          <t>—</t>
        </is>
      </c>
      <c r="I415" s="11" t="inlineStr">
        <is>
          <t>DZIAŁA</t>
        </is>
      </c>
      <c r="J415" s="12"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K415" s="11" t="inlineStr">
        <is>
          <t>PARYTET</t>
        </is>
      </c>
      <c r="L415" s="11" t="inlineStr">
        <is>
          <t>WYSOKA</t>
        </is>
      </c>
      <c r="M415" s="11" t="inlineStr">
        <is>
          <t>M</t>
        </is>
      </c>
      <c r="N415" s="12"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row>
    <row r="416">
      <c r="A416" s="11" t="inlineStr">
        <is>
          <t>SEC-02</t>
        </is>
      </c>
      <c r="B416" s="12" t="inlineStr">
        <is>
          <t>G</t>
        </is>
      </c>
      <c r="C416" s="11" t="inlineStr">
        <is>
          <t>Stripe jest w allowliście wyłącznie po nazwie, a ipset powstaje z rozwiązania nazw</t>
        </is>
      </c>
      <c r="D416" s="11" t="inlineStr">
        <is>
          <t>—</t>
        </is>
      </c>
      <c r="E416" s="11" t="inlineStr">
        <is>
          <t>—</t>
        </is>
      </c>
      <c r="F416" s="11" t="inlineStr">
        <is>
          <t>—</t>
        </is>
      </c>
      <c r="G416" s="11" t="inlineStr">
        <is>
          <t>—</t>
        </is>
      </c>
      <c r="H416" s="11" t="inlineStr">
        <is>
          <t>—</t>
        </is>
      </c>
      <c r="I416" s="11" t="inlineStr">
        <is>
          <t>DZIAŁA</t>
        </is>
      </c>
      <c r="J416" s="12" t="inlineStr">
        <is>
          <t>pomiar --pomiar 2026-10-06 (host 14 d): zero połączeń hosta do Stripe; Stripe tylko z kontenera API (FORWARD)</t>
        </is>
      </c>
      <c r="K416" s="11" t="inlineStr">
        <is>
          <t>PARYTET</t>
        </is>
      </c>
      <c r="L416" s="11" t="inlineStr">
        <is>
          <t>ŚREDNIA</t>
        </is>
      </c>
      <c r="M416" s="11" t="inlineStr">
        <is>
          <t>S</t>
        </is>
      </c>
      <c r="N416" s="12"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row>
    <row r="417">
      <c r="A417" s="11" t="inlineStr">
        <is>
          <t>SEC-03</t>
        </is>
      </c>
      <c r="B417" s="12" t="inlineStr">
        <is>
          <t>G</t>
        </is>
      </c>
      <c r="C417" s="11" t="inlineStr">
        <is>
          <t>Ruch poza TCP/80 i TCP/443 — DNS (UDP/53), SMTP — nie jest objęty ani obserwacją z X-41, ani trybem strict</t>
        </is>
      </c>
      <c r="D417" s="11" t="inlineStr">
        <is>
          <t>—</t>
        </is>
      </c>
      <c r="E417" s="11" t="inlineStr">
        <is>
          <t>—</t>
        </is>
      </c>
      <c r="F417" s="11" t="inlineStr">
        <is>
          <t>—</t>
        </is>
      </c>
      <c r="G417" s="11" t="inlineStr">
        <is>
          <t>—</t>
        </is>
      </c>
      <c r="H417" s="11" t="inlineStr">
        <is>
          <t>—</t>
        </is>
      </c>
      <c r="I417" s="11" t="inlineStr">
        <is>
          <t>DZIAŁA</t>
        </is>
      </c>
      <c r="J417" s="12"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K417" s="11" t="inlineStr">
        <is>
          <t>PARYTET</t>
        </is>
      </c>
      <c r="L417" s="11" t="inlineStr">
        <is>
          <t>WYSOKA</t>
        </is>
      </c>
      <c r="M417" s="11" t="inlineStr">
        <is>
          <t>M</t>
        </is>
      </c>
      <c r="N417" s="12"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row>
    <row r="418">
      <c r="A418" s="11" t="inlineStr">
        <is>
          <t>X-41</t>
        </is>
      </c>
      <c r="B418" s="12" t="inlineStr">
        <is>
          <t>X</t>
        </is>
      </c>
      <c r="C418" s="11" t="inlineStr">
        <is>
          <t>Hardening egressu wisi w łańcuchu OUTPUT, a ruch kontenerów idzie przez FORWARD</t>
        </is>
      </c>
      <c r="D418" s="11" t="inlineStr">
        <is>
          <t>—</t>
        </is>
      </c>
      <c r="E418" s="11" t="inlineStr">
        <is>
          <t>—</t>
        </is>
      </c>
      <c r="F418" s="11" t="inlineStr">
        <is>
          <t>—</t>
        </is>
      </c>
      <c r="G418" s="11" t="inlineStr">
        <is>
          <t>—</t>
        </is>
      </c>
      <c r="H418" s="11" t="inlineStr">
        <is>
          <t>—</t>
        </is>
      </c>
      <c r="I418" s="11" t="inlineStr">
        <is>
          <t>CZĘŚCIOWE</t>
        </is>
      </c>
      <c r="J418" s="12" t="inlineStr">
        <is>
          <t>obserwacja wpięta w DOCKER-USER, 1674 pakiety zliczone, 0 DROP/REJECT</t>
        </is>
      </c>
      <c r="K418" s="11" t="inlineStr">
        <is>
          <t>CZĘŚCIOWY</t>
        </is>
      </c>
      <c r="L418" s="11" t="inlineStr">
        <is>
          <t>WYSOKA</t>
        </is>
      </c>
      <c r="M418" s="11" t="inlineStr">
        <is>
          <t>M</t>
        </is>
      </c>
      <c r="N418" s="12"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t>
        </is>
      </c>
    </row>
    <row r="419">
      <c r="A419" s="11" t="inlineStr">
        <is>
          <t>X-37</t>
        </is>
      </c>
      <c r="B419" s="12" t="inlineStr">
        <is>
          <t>X</t>
        </is>
      </c>
      <c r="C419" s="11" t="inlineStr">
        <is>
          <t>Serwerowy fetch panelu szedł do API przez internet zamiast siecią Dockera</t>
        </is>
      </c>
      <c r="D419" s="11" t="inlineStr">
        <is>
          <t>—</t>
        </is>
      </c>
      <c r="E419" s="11" t="inlineStr">
        <is>
          <t>—</t>
        </is>
      </c>
      <c r="F419" s="11" t="inlineStr">
        <is>
          <t>—</t>
        </is>
      </c>
      <c r="G419" s="11" t="inlineStr">
        <is>
          <t>—</t>
        </is>
      </c>
      <c r="H419" s="11" t="inlineStr">
        <is>
          <t>—</t>
        </is>
      </c>
      <c r="I419" s="11" t="inlineStr">
        <is>
          <t>DZIAŁA</t>
        </is>
      </c>
      <c r="J419" s="12" t="inlineStr">
        <is>
          <t>D3: 10 563 ms UND_ERR_CONNECT_TIMEOUT wobec 54 ms / 200 wewnątrz sieci; wdrożenie 5e05747a</t>
        </is>
      </c>
      <c r="K419" s="11" t="inlineStr">
        <is>
          <t>PARYTET</t>
        </is>
      </c>
      <c r="L419" s="11" t="inlineStr">
        <is>
          <t>—</t>
        </is>
      </c>
      <c r="M419" s="11" t="inlineStr">
        <is>
          <t>—</t>
        </is>
      </c>
      <c r="N419"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Serwerowy fetch panelu szedł do API przez internet po adresie publicznym zamiast po sieci Dockera — hairpin NAT, połączenie nie wracało.</t>
        </is>
      </c>
    </row>
    <row r="420">
      <c r="A420" s="11" t="inlineStr">
        <is>
          <t>X-38</t>
        </is>
      </c>
      <c r="B420" s="12" t="inlineStr">
        <is>
          <t>X</t>
        </is>
      </c>
      <c r="C420" s="11" t="inlineStr">
        <is>
          <t>„fetch failed” pokazywane użytkownikowi jako komunikat o błędzie — bez przyczyny i bez limitu czasu</t>
        </is>
      </c>
      <c r="D420" s="11" t="inlineStr">
        <is>
          <t>—</t>
        </is>
      </c>
      <c r="E420" s="11" t="inlineStr">
        <is>
          <t>—</t>
        </is>
      </c>
      <c r="F420" s="11" t="inlineStr">
        <is>
          <t>—</t>
        </is>
      </c>
      <c r="G420" s="11" t="inlineStr">
        <is>
          <t>—</t>
        </is>
      </c>
      <c r="H420" s="11" t="inlineStr">
        <is>
          <t>—</t>
        </is>
      </c>
      <c r="I420" s="11" t="inlineStr">
        <is>
          <t>DZIAŁA</t>
        </is>
      </c>
      <c r="J420" s="12" t="inlineStr">
        <is>
          <t>D2: strażnik 11 asercji, przebieg CI #120</t>
        </is>
      </c>
      <c r="K420" s="11" t="inlineStr">
        <is>
          <t>PARYTET</t>
        </is>
      </c>
      <c r="L420" s="11" t="inlineStr">
        <is>
          <t>—</t>
        </is>
      </c>
      <c r="M420" s="11" t="inlineStr">
        <is>
          <t>—</t>
        </is>
      </c>
      <c r="N420" s="12" t="inlineStr">
        <is>
          <t>Przepisane do macierzy 2026-08-28 w ramach X-49 — pozycja powstala 2026-08-25 i do tego dnia istniala WYLACZNIE w dashboardzie, poza zasiegiem straznikow repozytorium. Obszar: panel klienta. Krytycznosc i naklad zostaly puste SWIADOMIE: dashboard ich nie niosl, a wpisanie ich teraz byloby zgadywaniem. Do uzupelnienia przy najblizszym przegladzie tej pozycji. | TRESC ZE ZRODLA: „fetch failed” trafiało do użytkownika jako komunikat o błędzie — bez przyczyny, bez limitu czasu, bez wpisu w logu.</t>
        </is>
      </c>
    </row>
    <row r="421">
      <c r="A421" s="11" t="inlineStr">
        <is>
          <t>X-39</t>
        </is>
      </c>
      <c r="B421" s="12" t="inlineStr">
        <is>
          <t>X</t>
        </is>
      </c>
      <c r="C421" s="11" t="inlineStr">
        <is>
          <t>Panel pokazywał 0 zamiast „nie wiem”, gdy zapytanie padło</t>
        </is>
      </c>
      <c r="D421" s="11" t="inlineStr">
        <is>
          <t>—</t>
        </is>
      </c>
      <c r="E421" s="11" t="inlineStr">
        <is>
          <t>—</t>
        </is>
      </c>
      <c r="F421" s="11" t="inlineStr">
        <is>
          <t>—</t>
        </is>
      </c>
      <c r="G421" s="11" t="inlineStr">
        <is>
          <t>—</t>
        </is>
      </c>
      <c r="H421" s="11" t="inlineStr">
        <is>
          <t>—</t>
        </is>
      </c>
      <c r="I421" s="11" t="inlineStr">
        <is>
          <t>DZIAŁA</t>
        </is>
      </c>
      <c r="J421" s="12" t="inlineStr">
        <is>
          <t>D1 — zachowanie obserwowalne wyłącznie w trakcie awarii</t>
        </is>
      </c>
      <c r="K421" s="11" t="inlineStr">
        <is>
          <t>PARYTET</t>
        </is>
      </c>
      <c r="L421" s="11" t="inlineStr">
        <is>
          <t>—</t>
        </is>
      </c>
      <c r="M421" s="11" t="inlineStr">
        <is>
          <t>—</t>
        </is>
      </c>
      <c r="N421" s="12" t="inlineStr">
        <is>
          <t>Przepisane do macierzy 2026-08-28 w ramach X-49 — pozycja powstala 2026-08-25 i do tego dnia istniala WYLACZNIE w dashboardzie, poza zasiegiem straznikow repozytorium. Obszar: dashboard klienta. Krytycznosc i naklad zostaly puste SWIADOMIE: dashboard ich nie niosl, a wpisanie ich teraz byloby zgadywaniem. Do uzupelnienia przy najblizszym przegladzie tej pozycji. | TRESC ZE ZRODLA: Panel pokazywał 0 zamiast „nie wiem”: awaria jednego z siedmiu zapytań dawała zera nieodróżnialne od prawdziwych zer.</t>
        </is>
      </c>
    </row>
    <row r="422">
      <c r="A422" s="11" t="inlineStr">
        <is>
          <t>X-40</t>
        </is>
      </c>
      <c r="B422" s="12" t="inlineStr">
        <is>
          <t>X</t>
        </is>
      </c>
      <c r="C422" s="11" t="inlineStr">
        <is>
          <t>Spec panelu klienta bez runnera — leżał w repozytorium i nie wykonał się ani razu</t>
        </is>
      </c>
      <c r="D422" s="11" t="inlineStr">
        <is>
          <t>—</t>
        </is>
      </c>
      <c r="E422" s="11" t="inlineStr">
        <is>
          <t>—</t>
        </is>
      </c>
      <c r="F422" s="11" t="inlineStr">
        <is>
          <t>—</t>
        </is>
      </c>
      <c r="G422" s="11" t="inlineStr">
        <is>
          <t>—</t>
        </is>
      </c>
      <c r="H422" s="11" t="inlineStr">
        <is>
          <t>—</t>
        </is>
      </c>
      <c r="I422" s="11" t="inlineStr">
        <is>
          <t>DZIAŁA</t>
        </is>
      </c>
      <c r="J422" s="12" t="inlineStr">
        <is>
          <t>D2: CI #120 — osobna linia `Test Suites: 1 passed` / `Tests: 4 passed`</t>
        </is>
      </c>
      <c r="K422" s="11" t="inlineStr">
        <is>
          <t>PARYTET</t>
        </is>
      </c>
      <c r="L422" s="11" t="inlineStr">
        <is>
          <t>—</t>
        </is>
      </c>
      <c r="M422" s="11" t="inlineStr">
        <is>
          <t>—</t>
        </is>
      </c>
      <c r="N422" s="12" t="inlineStr">
        <is>
          <t>Przepisane do macierzy 2026-08-28 w ramach X-49 — pozycja powstala 2026-08-25 i do tego dnia istniala WYLACZNIE w dashboardzie, poza zasiegiem straznikow repozytorium. Obszar: testy. Krytycznosc i naklad zostaly puste SWIADOMIE: dashboard ich nie niosl, a wpisanie ich teraz byloby zgadywaniem. Do uzupelnienia przy najblizszym przegladzie tej pozycji. | TRESC ZE ZRODLA: Spec panelu klienta leżał w repozytorium miesiącami i nie wykonał się ani razu — pakiet nie miał runnera, a bramka wołała tylko jeden pakiet.</t>
        </is>
      </c>
    </row>
    <row r="423">
      <c r="A423" s="11" t="inlineStr">
        <is>
          <t>X-42</t>
        </is>
      </c>
      <c r="B423" s="12" t="inlineStr">
        <is>
          <t>X</t>
        </is>
      </c>
      <c r="C423" s="11" t="inlineStr">
        <is>
          <t>Bramka wdrożenia nie uruchamiała lintu</t>
        </is>
      </c>
      <c r="D423" s="11" t="inlineStr">
        <is>
          <t>—</t>
        </is>
      </c>
      <c r="E423" s="11" t="inlineStr">
        <is>
          <t>—</t>
        </is>
      </c>
      <c r="F423" s="11" t="inlineStr">
        <is>
          <t>—</t>
        </is>
      </c>
      <c r="G423" s="11" t="inlineStr">
        <is>
          <t>—</t>
        </is>
      </c>
      <c r="H423" s="11" t="inlineStr">
        <is>
          <t>—</t>
        </is>
      </c>
      <c r="I423" s="11" t="inlineStr">
        <is>
          <t>DZIAŁA</t>
        </is>
      </c>
      <c r="J423" s="12" t="inlineStr">
        <is>
          <t>D2: CI #120 zielone; #109/#117/#118 czerwone obok zielonych wdrożeń #84/#85/#87</t>
        </is>
      </c>
      <c r="K423" s="11" t="inlineStr">
        <is>
          <t>PARYTET</t>
        </is>
      </c>
      <c r="L423" s="11" t="inlineStr">
        <is>
          <t>—</t>
        </is>
      </c>
      <c r="M423" s="11" t="inlineStr">
        <is>
          <t>—</t>
        </is>
      </c>
      <c r="N423" s="12" t="inlineStr">
        <is>
          <t>Przepisane do macierzy 2026-08-28 w ramach X-49 — pozycja powstala 2026-08-25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Bramka wdrożenia nie uruchamiała lintu. Trzy wdrożenia przeszły zielono przy czerwonym CI, a zepsuta konfiguracja trafiła na produkcję.</t>
        </is>
      </c>
    </row>
    <row r="424">
      <c r="A424" s="11" t="inlineStr">
        <is>
          <t>X-43</t>
        </is>
      </c>
      <c r="B424" s="12" t="inlineStr">
        <is>
          <t>X</t>
        </is>
      </c>
      <c r="C424" s="11" t="inlineStr">
        <is>
          <t>Przegląd całej czerwieni `ci.yml` na `main`: cztery przyczyny, nie jedna</t>
        </is>
      </c>
      <c r="D424" s="11" t="inlineStr">
        <is>
          <t>—</t>
        </is>
      </c>
      <c r="E424" s="11" t="inlineStr">
        <is>
          <t>—</t>
        </is>
      </c>
      <c r="F424" s="11" t="inlineStr">
        <is>
          <t>—</t>
        </is>
      </c>
      <c r="G424" s="11" t="inlineStr">
        <is>
          <t>—</t>
        </is>
      </c>
      <c r="H424" s="11" t="inlineStr">
        <is>
          <t>—</t>
        </is>
      </c>
      <c r="I424" s="11" t="inlineStr">
        <is>
          <t>DZIAŁA</t>
        </is>
      </c>
      <c r="J424" s="12" t="inlineStr">
        <is>
          <t>D2: 43 przebiegi `ci.yml` na main + okno `deploy.yml` od 24.08</t>
        </is>
      </c>
      <c r="K424" s="11" t="inlineStr">
        <is>
          <t>PARYTET</t>
        </is>
      </c>
      <c r="L424" s="11" t="inlineStr">
        <is>
          <t>—</t>
        </is>
      </c>
      <c r="M424" s="11" t="inlineStr">
        <is>
          <t>—</t>
        </is>
      </c>
      <c r="N424" s="12" t="inlineStr">
        <is>
          <t>Przepisane do macierzy 2026-08-28 w ramach X-49 — pozycja powstala 2026-08-26 i do tego dnia istniala WYLACZNIE w dashboardzie, poza zasiegiem straznikow repozytorium. Obszar: bramki CI/CD. Krytycznosc i naklad zostaly puste SWIADOMIE: dashboard ich nie niosl, a wpisanie ich teraz byloby zgadywaniem. Do uzupelnienia przy najblizszym przegladzie tej pozycji. | TRESC ZE ZRODLA: Przegląd całej czerwieni `ci.yml` na `main`: cztery przyczyny, nie jedna. Dodatkowo: anulowany przebieg jest w `gh run list` nieodróżnialny od nieistniejącego, a logi GitHuba wygasają po ~90 dniach.</t>
        </is>
      </c>
    </row>
    <row r="425">
      <c r="A425" s="11" t="inlineStr">
        <is>
          <t>SEC-07</t>
        </is>
      </c>
      <c r="B425" s="12" t="inlineStr">
        <is>
          <t>G</t>
        </is>
      </c>
      <c r="C425" s="11" t="inlineStr">
        <is>
          <t>Trzy podatnosci HIGH w multerze — zdalny DoS bez uwierzytelnienia na sciezce uploadu</t>
        </is>
      </c>
      <c r="D425" s="11" t="inlineStr">
        <is>
          <t>—</t>
        </is>
      </c>
      <c r="E425" s="11" t="inlineStr">
        <is>
          <t>—</t>
        </is>
      </c>
      <c r="F425" s="11" t="inlineStr">
        <is>
          <t>—</t>
        </is>
      </c>
      <c r="G425" s="11" t="inlineStr">
        <is>
          <t>—</t>
        </is>
      </c>
      <c r="H425" s="11" t="inlineStr">
        <is>
          <t>—</t>
        </is>
      </c>
      <c r="I425" s="11" t="inlineStr">
        <is>
          <t>DZIAŁA</t>
        </is>
      </c>
      <c r="J425" s="12"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K425" s="11" t="inlineStr">
        <is>
          <t>PARYTET</t>
        </is>
      </c>
      <c r="L425" s="11" t="inlineStr">
        <is>
          <t>WYSOKA</t>
        </is>
      </c>
      <c r="M425" s="11" t="inlineStr">
        <is>
          <t>M</t>
        </is>
      </c>
      <c r="N425" s="12"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row>
    <row r="426">
      <c r="A426" s="11" t="inlineStr">
        <is>
          <t>X-50</t>
        </is>
      </c>
      <c r="B426" s="12" t="inlineStr">
        <is>
          <t>X</t>
        </is>
      </c>
      <c r="C426" s="11" t="inlineStr">
        <is>
          <t>Bramka podatnosci zatrzymuje cokolwiek — jest wymagana do merge i wolana przez wdrozenie</t>
        </is>
      </c>
      <c r="D426" s="11" t="inlineStr">
        <is>
          <t>—</t>
        </is>
      </c>
      <c r="E426" s="11" t="inlineStr">
        <is>
          <t>—</t>
        </is>
      </c>
      <c r="F426" s="11" t="inlineStr">
        <is>
          <t>—</t>
        </is>
      </c>
      <c r="G426" s="11" t="inlineStr">
        <is>
          <t>—</t>
        </is>
      </c>
      <c r="H426" s="11" t="inlineStr">
        <is>
          <t>—</t>
        </is>
      </c>
      <c r="I426" s="11" t="inlineStr">
        <is>
          <t>DZIAŁA</t>
        </is>
      </c>
      <c r="J426" s="12"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K426" s="11" t="inlineStr">
        <is>
          <t>PARYTET</t>
        </is>
      </c>
      <c r="L426" s="11" t="inlineStr">
        <is>
          <t>WYSOKA</t>
        </is>
      </c>
      <c r="M426" s="11" t="inlineStr">
        <is>
          <t>S</t>
        </is>
      </c>
      <c r="N426" s="12"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row>
    <row r="427">
      <c r="A427" s="11" t="inlineStr">
        <is>
          <t>X-51</t>
        </is>
      </c>
      <c r="B427" s="12" t="inlineStr">
        <is>
          <t>X</t>
        </is>
      </c>
      <c r="C427" s="11" t="inlineStr">
        <is>
          <t>Etykiety z dependabot.yml istnieja w repozytorium</t>
        </is>
      </c>
      <c r="D427" s="11" t="inlineStr">
        <is>
          <t>—</t>
        </is>
      </c>
      <c r="E427" s="11" t="inlineStr">
        <is>
          <t>—</t>
        </is>
      </c>
      <c r="F427" s="11" t="inlineStr">
        <is>
          <t>—</t>
        </is>
      </c>
      <c r="G427" s="11" t="inlineStr">
        <is>
          <t>—</t>
        </is>
      </c>
      <c r="H427" s="11" t="inlineStr">
        <is>
          <t>—</t>
        </is>
      </c>
      <c r="I427" s="11" t="inlineStr">
        <is>
          <t>DZIAŁA</t>
        </is>
      </c>
      <c r="J427" s="12" t="inlineStr">
        <is>
          <t>D2 2026-09-19: utworzone etykiety dependencies, security, docker, ci — 9 -&gt; 13 etykiet w repozytorium; pokrywaja wszystkie trzy sekcje labels: w .github/dependabot.yml.</t>
        </is>
      </c>
      <c r="K427" s="11" t="inlineStr">
        <is>
          <t>PARYTET</t>
        </is>
      </c>
      <c r="L427" s="11" t="inlineStr">
        <is>
          <t>NISKA</t>
        </is>
      </c>
      <c r="M427" s="11" t="inlineStr">
        <is>
          <t>S</t>
        </is>
      </c>
      <c r="N427" s="12"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row>
    <row r="428">
      <c r="A428" s="11" t="inlineStr">
        <is>
          <t>SEC-08</t>
        </is>
      </c>
      <c r="B428" s="12" t="inlineStr">
        <is>
          <t>G</t>
        </is>
      </c>
      <c r="C428" s="11" t="inlineStr">
        <is>
          <t>Dwa niezauwierzytelnione RCE w Next.js lezaly w drzewie 22 dni</t>
        </is>
      </c>
      <c r="D428" s="11" t="inlineStr">
        <is>
          <t>—</t>
        </is>
      </c>
      <c r="E428" s="11" t="inlineStr">
        <is>
          <t>—</t>
        </is>
      </c>
      <c r="F428" s="11" t="inlineStr">
        <is>
          <t>—</t>
        </is>
      </c>
      <c r="G428" s="11" t="inlineStr">
        <is>
          <t>—</t>
        </is>
      </c>
      <c r="H428" s="11" t="inlineStr">
        <is>
          <t>—</t>
        </is>
      </c>
      <c r="I428" s="11" t="inlineStr">
        <is>
          <t>DZIAŁA</t>
        </is>
      </c>
      <c r="J428" s="12"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K428" s="11" t="inlineStr">
        <is>
          <t>PARYTET</t>
        </is>
      </c>
      <c r="L428" s="11" t="inlineStr">
        <is>
          <t>WYSOKA</t>
        </is>
      </c>
      <c r="M428" s="11" t="inlineStr">
        <is>
          <t>S</t>
        </is>
      </c>
      <c r="N428" s="12"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row>
    <row r="429">
      <c r="A429" s="11" t="inlineStr">
        <is>
          <t>SEC-09</t>
        </is>
      </c>
      <c r="B429" s="12" t="inlineStr">
        <is>
          <t>G</t>
        </is>
      </c>
      <c r="C429" s="11" t="inlineStr">
        <is>
          <t>Kontenery nie siegaja do uslugi metadanych chmury (SSRF)</t>
        </is>
      </c>
      <c r="D429" s="11" t="inlineStr">
        <is>
          <t>—</t>
        </is>
      </c>
      <c r="E429" s="11" t="inlineStr">
        <is>
          <t>—</t>
        </is>
      </c>
      <c r="F429" s="11" t="inlineStr">
        <is>
          <t>—</t>
        </is>
      </c>
      <c r="G429" s="11" t="inlineStr">
        <is>
          <t>—</t>
        </is>
      </c>
      <c r="H429" s="11" t="inlineStr">
        <is>
          <t>—</t>
        </is>
      </c>
      <c r="I429" s="11" t="inlineStr">
        <is>
          <t>DZIAŁA</t>
        </is>
      </c>
      <c r="J429" s="12" t="inlineStr">
        <is>
          <t>D1 2026-09-22: ops/scripts/security-control-plane-egress.sh — apply_fwd_metadane: lancuch VERRIS_FWD_METADANE w DOCKER-USER, REJECT dla 169.254.0.0/16, wolany w przebiegu domyslnym; test egress-strict-naprawde-blokuje.spec.ts (SEC-09). | Druga warstwa: subscriptions/site-monitor.service.ts — probeUrl i probeTlsExpiry sprawdzaja resolvePublicHost przed polaczeniem (domena klienta, DNS ustawia klient), redirect: 'manual'; test subscriptions/site-monitor-ssrf.spec.ts. Webhooki statusu (assertPublicWebhookUrl) i migrator (resolvePublicHost z przypieciem adresu) mialy ochrone juz wczesniej; sondy statusu konfiguruje tylko admin.</t>
        </is>
      </c>
      <c r="K429" s="11" t="inlineStr">
        <is>
          <t>PARYTET</t>
        </is>
      </c>
      <c r="L429" s="11" t="inlineStr">
        <is>
          <t>WYSOKA</t>
        </is>
      </c>
      <c r="M429" s="11" t="inlineStr">
        <is>
          <t>S</t>
        </is>
      </c>
      <c r="N429" s="12" t="inlineStr">
        <is>
          <t>Odkryte 2026-09-22 z pierwszego odczytu pomiaru SEC-05: host pytal o 169.254.169.254:80 (odcinany przez BOGON w OUTPUT). Sprawdzenie z kontenera: docker exec verris-api-1 node -e fetch(http://169.254.169.254/hetzner/v1/metadata/hostname) -&gt; 'Panel'. Kontenery ida przez FORWARD, gdzie bogonow nie ma, wiec kazda funkcja pobierajaca URL od klienta (webhooki, sondy statusu, migrator) mogla sluzyc do odczytu metadanych serwera (user-data, klucze SSH, siec). Brak dowodu naduzycia — sama osiagalnosc. POPRAWKA: osobny lancuch (VERRIS_FWD_OBSERW ma z zalozenia nie blokowac), REJECT zamiast DROP (aplikacja dostaje odmowe od razu). JAK ZAMKNAC (D3): po wdrozeniu i przebiegu domyslnym ten sam fetch z kontenera zwraca NIEOSIAGALNE. 2026-09-22 MITYGACJA NA PRODUKCJI: regula tymczasowa w DOCKER-USER, fetch z kontenera -&gt; NIEOSIAGALNE: ECONNREFUSED. DRUGA WARSTWA (aplikacja): monitor strony klienta jako jedyne miejsce bez ochrony — naprawione. CZEGO NIE OBEJMUJE: okna DNS-rebinding w monitorze (sprawdzenie przed fetch, fetch rozwiazuje ponownie) — metadane zamyka zapora, pelne przypiecie adresu wymaga dispatchera undici (komentarz ponytail w kodzie). | 2026-09-22 D3: regula stala wdrozona (przebieg domyslny po 5b8f624), tymczasowa usunieta; fetch z verris-api-1 do 169.254.169.254 -&gt; NIEOSIAGALNE: ECONNREFUSED.</t>
        </is>
      </c>
    </row>
    <row r="430">
      <c r="A430" s="11" t="inlineStr">
        <is>
          <t>FAK-01</t>
        </is>
      </c>
      <c r="B430" s="12" t="inlineStr">
        <is>
          <t>M</t>
        </is>
      </c>
      <c r="C430" s="11" t="inlineStr">
        <is>
          <t>Panel nie wystawia faktury VAT rownolegle z programem ksiegowym</t>
        </is>
      </c>
      <c r="D430" s="11" t="inlineStr">
        <is>
          <t>—</t>
        </is>
      </c>
      <c r="E430" s="11" t="inlineStr">
        <is>
          <t>—</t>
        </is>
      </c>
      <c r="F430" s="11" t="inlineStr">
        <is>
          <t>—</t>
        </is>
      </c>
      <c r="G430" s="11" t="inlineStr">
        <is>
          <t>—</t>
        </is>
      </c>
      <c r="H430" s="11" t="inlineStr">
        <is>
          <t>—</t>
        </is>
      </c>
      <c r="I430" s="11" t="inlineStr">
        <is>
          <t>DZIAŁA</t>
        </is>
      </c>
      <c r="J430" s="12"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K430" s="11" t="inlineStr">
        <is>
          <t>PARYTET</t>
        </is>
      </c>
      <c r="L430" s="11" t="inlineStr">
        <is>
          <t>—</t>
        </is>
      </c>
      <c r="M430" s="11" t="inlineStr">
        <is>
          <t>M</t>
        </is>
      </c>
      <c r="N430" s="12"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row>
    <row r="431">
      <c r="A431" s="11" t="inlineStr">
        <is>
          <t>M-35</t>
        </is>
      </c>
      <c r="B431" s="12" t="inlineStr">
        <is>
          <t>M</t>
        </is>
      </c>
      <c r="C431" s="11" t="inlineStr">
        <is>
          <t>PDF faktur, proform i DPA renderuje się z polskimi znakami</t>
        </is>
      </c>
      <c r="D431" s="11" t="inlineStr">
        <is>
          <t>—</t>
        </is>
      </c>
      <c r="E431" s="11" t="inlineStr">
        <is>
          <t>—</t>
        </is>
      </c>
      <c r="F431" s="11" t="inlineStr">
        <is>
          <t>—</t>
        </is>
      </c>
      <c r="G431" s="11" t="inlineStr">
        <is>
          <t>TAK</t>
        </is>
      </c>
      <c r="H431" s="11" t="inlineStr">
        <is>
          <t>TAK</t>
        </is>
      </c>
      <c r="I431" s="11" t="inlineStr">
        <is>
          <t>DZIAŁA</t>
        </is>
      </c>
      <c r="J431" s="12" t="inlineStr">
        <is>
          <t>common/pdf/czcionki.ts (DejaVu przez @pdf-lib/fontkit) w invoice-pdf.service.ts i dpa-pdf.service.ts; test common/pdf/czcionki.spec.ts</t>
        </is>
      </c>
      <c r="K431" s="11" t="inlineStr">
        <is>
          <t>PARYTET</t>
        </is>
      </c>
      <c r="L431" s="11" t="inlineStr">
        <is>
          <t>WYSOKA</t>
        </is>
      </c>
      <c r="M431" s="11" t="inlineStr">
        <is>
          <t>S</t>
        </is>
      </c>
      <c r="N431" s="12" t="inlineStr">
        <is>
          <t>Odkryte 2026-09-23 przy M-24: oba renderery używały StandardFonts (WinAnsi), w których nie ma „ą ę ł ń ś ź ż”; pdf-lib rzucał wyjątkiem na stałym nagłówku „Data sprzedaży”, więc ŻADEN PDF faktury/dokumentu rozliczeniowego ani DPA nie powstawał. Nikt nie renderował PDF-a w teście. Naprawione: osadzona DejaVu (podzbiór z polskimi znakami), do tego poprawiony układ — tytuł uciekał za krawędź, tabela była szersza od strony o ~40 pt, długie nazwy wchodziły na kwoty. D3: po wdrożeniu sprawdzić, czy dokumenty bez PDF-a (storageKey null) dociągnęły pliki przy ponownej finalizacji.</t>
        </is>
      </c>
    </row>
    <row r="432">
      <c r="A432" s="11" t="inlineStr">
        <is>
          <t>X-52</t>
        </is>
      </c>
      <c r="B432" s="12" t="inlineStr">
        <is>
          <t>X</t>
        </is>
      </c>
      <c r="C432" s="11" t="inlineStr">
        <is>
          <t>Linki w mailach prowadzą do istniejących stron paneli</t>
        </is>
      </c>
      <c r="D432" s="11" t="inlineStr">
        <is>
          <t>—</t>
        </is>
      </c>
      <c r="E432" s="11" t="inlineStr">
        <is>
          <t>—</t>
        </is>
      </c>
      <c r="F432" s="11" t="inlineStr">
        <is>
          <t>—</t>
        </is>
      </c>
      <c r="G432" s="11" t="inlineStr">
        <is>
          <t>—</t>
        </is>
      </c>
      <c r="H432" s="11" t="inlineStr">
        <is>
          <t>—</t>
        </is>
      </c>
      <c r="I432" s="11" t="inlineStr">
        <is>
          <t>DZIAŁA</t>
        </is>
      </c>
      <c r="J432" s="12" t="inlineStr">
        <is>
          <t>test src/test/linki-w-mailach-prowadza-do-stron.spec.ts</t>
        </is>
      </c>
      <c r="K432" s="11" t="inlineStr">
        <is>
          <t>PARYTET</t>
        </is>
      </c>
      <c r="L432" s="11" t="inlineStr">
        <is>
          <t>WYSOKA</t>
        </is>
      </c>
      <c r="M432" s="11" t="inlineStr">
        <is>
          <t>S</t>
        </is>
      </c>
      <c r="N432" s="12" t="inlineStr">
        <is>
          <t>Odkryte 2026-09-23 przy M-24: 6 maili rozliczeniowych prowadziło na /dashboard/subscriptions (brak strony), mail o fakturze na /dashboard/billing/invoices/:id (brak), zgłoszenie dla obsługi na /dashboard/tickets/:id (w staff-panelu /tickets/:id), do tego 2FA, log audytu, portfel, panel floty i „gotowość do startu” po starych trasach, a stopka „Preferencje powiadomień” otwierała zakładkę Profil. Poprawione i pod strażnikiem: każdy `${panelUrl}/…` w API musi odpowiadać stronie w którymś panelu.</t>
        </is>
      </c>
    </row>
    <row r="433">
      <c r="A433" s="11" t="inlineStr">
        <is>
          <t>X-35</t>
        </is>
      </c>
      <c r="B433" s="12" t="inlineStr">
        <is>
          <t>X</t>
        </is>
      </c>
      <c r="C433" s="11" t="inlineStr">
        <is>
          <t>Reguły alertów odróżniają „brak danych” od „jest dobrze”</t>
        </is>
      </c>
      <c r="D433" s="11" t="inlineStr">
        <is>
          <t>—</t>
        </is>
      </c>
      <c r="E433" s="11" t="inlineStr">
        <is>
          <t>—</t>
        </is>
      </c>
      <c r="F433" s="11" t="inlineStr">
        <is>
          <t>—</t>
        </is>
      </c>
      <c r="G433" s="11" t="inlineStr">
        <is>
          <t>—</t>
        </is>
      </c>
      <c r="H433" s="11" t="inlineStr">
        <is>
          <t>—</t>
        </is>
      </c>
      <c r="I433" s="11" t="inlineStr">
        <is>
          <t>DZIAŁA</t>
        </is>
      </c>
      <c r="J433" s="12" t="inlineStr">
        <is>
          <t>docs/archiwum/zadania/X-35-regula-nie-umiala-powiedziec-ze-jest-dobrze.md; testy reguly-nie-myla-pustki-ze-zdrowiem.spec.ts, routing-alertow.spec.ts</t>
        </is>
      </c>
      <c r="K433" s="11" t="inlineStr">
        <is>
          <t>PARYTET</t>
        </is>
      </c>
      <c r="L433" s="11" t="inlineStr">
        <is>
          <t>WYSOKA</t>
        </is>
      </c>
      <c r="M433" s="11" t="inlineStr">
        <is>
          <t>M</t>
        </is>
      </c>
      <c r="N433" s="12" t="inlineStr">
        <is>
          <t>Zamknięte 2026-08-24 (D3 na produkcji). Przepisane do macierzy 2026-09-23 w ramach X-49 — pozycja istniała tylko w archiwum zadań, macierz odwoływała się do niej w uwagach innych pozycji.</t>
        </is>
      </c>
    </row>
    <row r="434">
      <c r="A434" s="11" t="inlineStr">
        <is>
          <t>X-36</t>
        </is>
      </c>
      <c r="B434" s="12" t="inlineStr">
        <is>
          <t>X</t>
        </is>
      </c>
      <c r="C434" s="11" t="inlineStr">
        <is>
          <t>Kontrola egress nie zatrzymuje własnych wdrożeń</t>
        </is>
      </c>
      <c r="D434" s="11" t="inlineStr">
        <is>
          <t>—</t>
        </is>
      </c>
      <c r="E434" s="11" t="inlineStr">
        <is>
          <t>—</t>
        </is>
      </c>
      <c r="F434" s="11" t="inlineStr">
        <is>
          <t>—</t>
        </is>
      </c>
      <c r="G434" s="11" t="inlineStr">
        <is>
          <t>—</t>
        </is>
      </c>
      <c r="H434" s="11" t="inlineStr">
        <is>
          <t>—</t>
        </is>
      </c>
      <c r="I434" s="11" t="inlineStr">
        <is>
          <t>DZIAŁA</t>
        </is>
      </c>
      <c r="J434" s="12" t="inlineStr">
        <is>
          <t>docs/archiwum/zadania/X-36-kontrola-ktora-zatrzymywala-wlasne-wdrozenia.md</t>
        </is>
      </c>
      <c r="K434" s="11" t="inlineStr">
        <is>
          <t>PARYTET</t>
        </is>
      </c>
      <c r="L434" s="11" t="inlineStr">
        <is>
          <t>WYSOKA</t>
        </is>
      </c>
      <c r="M434" s="11" t="inlineStr">
        <is>
          <t>M</t>
        </is>
      </c>
      <c r="N434" s="12" t="inlineStr">
        <is>
          <t>Zamknięte 2026-08-25 (D3 na wdrożeniu #80). Przepisane do macierzy 2026-09-23 w ramach X-49.</t>
        </is>
      </c>
    </row>
    <row r="435">
      <c r="A435" s="11" t="inlineStr">
        <is>
          <t>PROD-01</t>
        </is>
      </c>
      <c r="B435" s="12" t="inlineStr">
        <is>
          <t>N</t>
        </is>
      </c>
      <c r="C435" s="11" t="inlineStr">
        <is>
          <t>Instalator węzła bez udziału administratora</t>
        </is>
      </c>
      <c r="D435" s="11" t="inlineStr">
        <is>
          <t>—</t>
        </is>
      </c>
      <c r="E435" s="11" t="inlineStr">
        <is>
          <t>—</t>
        </is>
      </c>
      <c r="F435" s="11" t="inlineStr">
        <is>
          <t>—</t>
        </is>
      </c>
      <c r="G435" s="11" t="inlineStr">
        <is>
          <t>—</t>
        </is>
      </c>
      <c r="H435" s="11" t="inlineStr">
        <is>
          <t>—</t>
        </is>
      </c>
      <c r="I435" s="11" t="inlineStr">
        <is>
          <t>CZĘŚCIOWE</t>
        </is>
      </c>
      <c r="J435" s="12" t="inlineStr">
        <is>
          <t>docs/archiwum/zadania/PROD-01-instalator-wezla-bez-czlowieka.md; stan: bootstrap v2 + kreator węzła (Q-14) — kroki CloudLinux/DA/LiteSpeed nadal ręczne</t>
        </is>
      </c>
      <c r="K435" s="11" t="inlineStr">
        <is>
          <t>CZĘŚCIOWY</t>
        </is>
      </c>
      <c r="L435" s="11" t="inlineStr">
        <is>
          <t>WYSOKA</t>
        </is>
      </c>
      <c r="M435" s="11" t="inlineStr">
        <is>
          <t>L</t>
        </is>
      </c>
      <c r="N435" s="12" t="inlineStr">
        <is>
          <t>Rozpisane 2026-08-26 („decyzje podjęte, nie zaczęte”) i do 2026-09-23 istniało tylko w archiwum zadań — poza macierzą, więc poza planem i tablicami (X-49). Przepisane z uczciwym stanem: część pokrywa bootstrap v2.</t>
        </is>
      </c>
    </row>
    <row r="436">
      <c r="A436" s="11" t="inlineStr">
        <is>
          <t>PROD-02</t>
        </is>
      </c>
      <c r="B436" s="12" t="inlineStr">
        <is>
          <t>Q</t>
        </is>
      </c>
      <c r="C436" s="11" t="inlineStr">
        <is>
          <t>Kreator klienta i procent konfiguracji w sidebarze</t>
        </is>
      </c>
      <c r="D436" s="11" t="inlineStr">
        <is>
          <t>—</t>
        </is>
      </c>
      <c r="E436" s="11" t="inlineStr">
        <is>
          <t>—</t>
        </is>
      </c>
      <c r="F436" s="11" t="inlineStr">
        <is>
          <t>—</t>
        </is>
      </c>
      <c r="G436" s="11" t="inlineStr">
        <is>
          <t>—</t>
        </is>
      </c>
      <c r="H436" s="11" t="inlineStr">
        <is>
          <t>—</t>
        </is>
      </c>
      <c r="I436" s="11" t="inlineStr">
        <is>
          <t>DZIAŁA</t>
        </is>
      </c>
      <c r="J436" s="12" t="inlineStr">
        <is>
          <t>onboarding-kroki.ts (najnizszyPostep, uslugiOnboardingu) + onboarding-kroki.spec.ts (13 testów); layout.tsx SetupProgress nad belką użytkownika; User.onboardingHidden (migracja 20260924090000) + PATCH /users/me; users.service.profile.spec.ts</t>
        </is>
      </c>
      <c r="K436" s="11" t="inlineStr">
        <is>
          <t>PARYTET</t>
        </is>
      </c>
      <c r="L436" s="11" t="inlineStr">
        <is>
          <t>WYSOKA</t>
        </is>
      </c>
      <c r="M436" s="11" t="inlineStr">
        <is>
          <t>M</t>
        </is>
      </c>
      <c r="N436" s="12" t="inlineStr">
        <is>
          <t>Rozpisane 2026-08-26, do 2026-09-23 tylko w archiwum (X-49). 2026-09-24: zrobione A/B/C/D — pasek konfiguracji w sidebarze na każdym widoku (najniższa usługa z nazwą, znika przy 100%, wraca po dokupieniu usługi bez banera), subkonto liczy tylko kroki, do których ma dostęp, „schowany” na koncie zamiast w przeglądarce (stary klucz localStorage przenoszony raz), pasek przywraca baner, baner bierze najniższą usługę zamiast services[0], sekcja „Dobre praktyki” poza licznikiem. Odstępstwo: postęp liczony w server action panelu z danych /services, które menu i tak pobiera raz na wejście — bez nowego pola w /users/me i bez cache w API (ten sam efekt: zero dodatkowych zapytań przy nawigacji). ZOSTAŁO: E — wspólny Stepper dla trzech kreatorów; nowe kroki konieczne (płatność/faktura) wymagają detekcji. | 2026-09-24 (2): przywrócenie banera kliknięciem paska nie działało (stary stan użytkownika w layoucie) — naprawione aktualizacją optymistyczną + router.refresh(), do sprawdzenia po wdrożeniu. | D3 2026-09-24: kliknięcie paska w menu przywraca baner „Pierwsze kroki” bez przeładowania (konto testowe, mailtest-verris.pl 0%, 0 z 1). | 2026-09-25: E — wspólny Stepper (components/panel/stepper.tsx, aria-current="step") w kreatorze migracji i zakupu domeny; zamówienie usługi zostaje bez wskaźnika (zgodnie z mockupem). Test stepper.spec.tsx. | 2026-09-25 (2): kroki konieczne „Zabezpiecz odnowienie” (karta / auto-doładowanie / saldo ≥ cena okresu; MANUAL poza procentem) i „Dane do faktury” (firma/NIP albo imię i nazwisko + adres; subkonto poza procentem) — onboarding-konto.ts, testy w onboarding-kroki.spec.ts. Zostało: przejście na produkcji. | SPRAWDZONE NA PRODUKCJI 26.09 (konto bez danych do faktury): „Zabezpiecz odnowienie — zrobione”, „Uzupełnij dane do faktury” z linkiem do ustawień, licznik 1 z 4 zgodny z paskiem „Konfiguracja 25%”. Zostaje druga połowa: po uzupełnieniu danych krok ma się odhaczyć — wymaga wpisania danych na koncie (zgoda właściciela). | SPRAWDZONE W CAŁOŚCI 26.09 (22:25): po zapisaniu danych do faktury krok „Uzupełnij dane do faktury” odhaczony, licznik 2 z 4, pasek 50%. ZNALEZISKO: formularz przyjął kod pocztowy „1” dla Polski — API waliduje teraz format 00-000 dla PL. | 2026-09-27: ZAMKNIĘTE — obie połowy sprawdzone na produkcji 26.09 (werdykt nie został przestawiony przy zapisie).</t>
        </is>
      </c>
    </row>
    <row r="437">
      <c r="A437" s="11" t="inlineStr">
        <is>
          <t>PROD-03</t>
        </is>
      </c>
      <c r="B437" s="12" t="inlineStr">
        <is>
          <t>N</t>
        </is>
      </c>
      <c r="C437" s="11" t="inlineStr">
        <is>
          <t>Dane testowe usunięte przed startem (preflight GO-LIVE)</t>
        </is>
      </c>
      <c r="D437" s="11" t="inlineStr">
        <is>
          <t>—</t>
        </is>
      </c>
      <c r="E437" s="11" t="inlineStr">
        <is>
          <t>—</t>
        </is>
      </c>
      <c r="F437" s="11" t="inlineStr">
        <is>
          <t>—</t>
        </is>
      </c>
      <c r="G437" s="11" t="inlineStr">
        <is>
          <t>—</t>
        </is>
      </c>
      <c r="H437" s="11" t="inlineStr">
        <is>
          <t>—</t>
        </is>
      </c>
      <c r="I437" s="11" t="inlineStr">
        <is>
          <t>DZIAŁA</t>
        </is>
      </c>
      <c r="J437" s="12" t="inlineStr">
        <is>
          <t>product-ops.admin.controller.ts PROVISIONING_DO_NAPRAWY + product-ops/preflight.spec.ts; User.isInternal (migracja 20260925150000_user_is_internal); business-metrics.service.ts; faktury-zewnetrzne.service.ts; admin customers/[userId] operational-forms.tsx; test business-metrics.wewnetrzne.spec.ts</t>
        </is>
      </c>
      <c r="K437" s="11" t="inlineStr">
        <is>
          <t>PARYTET</t>
        </is>
      </c>
      <c r="L437" s="11" t="inlineStr">
        <is>
          <t>—</t>
        </is>
      </c>
      <c r="M437" s="11" t="inlineStr">
        <is>
          <t>S</t>
        </is>
      </c>
      <c r="N437" s="12" t="inlineStr">
        <is>
          <t>2026-09-24 PRZYCZYNA: preflight liczył każdą subskrypcję z provisioningStage=failed, także anulowane po zwrocie — historyczne testy blokowały start na zawsze. Teraz blokuje tylko nierozwiązane (status ≠ CANCELED/EXPIRED); danych nie kasujemy. OTWARTE: po wdrożeniu sprawdzić w adminie, że preflight jest zielony; przed startem właściciel decyduje, czy testowe konto M-34 i jego usługi zostają. | Znalezione testem w Chrome 2026-09-23. Preflight blokuje start na historycznych, testowych zamówieniach; przed startem: przegląd tych subskrypcji i oznaczenie/usunięcie danych testowych (decyzja właściciela, co zachować). | 2026-09-25: po wdrożeniu sprawdzone w adminie (Product Ops): preflight GO-LIVE „READY”, failed provisioning 0, failed migrations 0. Zostaje decyzja właściciela o testowym koncie M-34 przed startem. | DECYZJA WŁAŚCICIELA 2026-09-25: konta testowe zostają jako wewnętrzne — oznaczone i wyłączone ze statystyk i faktur (do zrobienia: znacznik konta wewnętrznego). | Zamknięte 2026-09-25 (D2): znacznik „Konto wewnętrzne (testowe)” w panelu admina (szczegóły klienta, audyt ADMIN_CUSTOMER_INTERNAL_FLAG_UPDATED, znacznik na liście klientów). Metryki biznesowe (MRR, churn, nowe usługi, saldo portfeli) pomijają takie konta; w kolejce „czeka na fakturę” dokument jest oznaczony, ale nie ukryty — prawdziwa wpłata wymaga faktury VAT. Do zrobienia przez właściciela: oznaczyć konta testowe po wdrożeniu.</t>
        </is>
      </c>
    </row>
    <row r="438">
      <c r="A438" s="11" t="inlineStr">
        <is>
          <t>SEC-10</t>
        </is>
      </c>
      <c r="B438" s="12" t="inlineStr">
        <is>
          <t>G</t>
        </is>
      </c>
      <c r="C438" s="11" t="inlineStr">
        <is>
          <t>Każde ciało żądania przechodzi walidację DTO (ValidationPipe)</t>
        </is>
      </c>
      <c r="D438" s="11" t="inlineStr">
        <is>
          <t>—</t>
        </is>
      </c>
      <c r="E438" s="11" t="inlineStr">
        <is>
          <t>—</t>
        </is>
      </c>
      <c r="F438" s="11" t="inlineStr">
        <is>
          <t>—</t>
        </is>
      </c>
      <c r="G438" s="11" t="inlineStr">
        <is>
          <t>—</t>
        </is>
      </c>
      <c r="H438" s="11" t="inlineStr">
        <is>
          <t>—</t>
        </is>
      </c>
      <c r="I438" s="11" t="inlineStr">
        <is>
          <t>DZIAŁA</t>
        </is>
      </c>
      <c r="J438" s="12" t="inlineStr">
        <is>
          <t>apps/api/src/test/cialo-zadania-walidowane.spec.ts (metadane Nesta, łapie też interfejsy; 2 opisane wyjątki); src/test/dto-granice.spec.ts; subscriptions/dto/hosting-body.dto.ts; files/files.dto.ts; kb/kb.dto.ts; common/validation/czesciowy.ts</t>
        </is>
      </c>
      <c r="K438" s="11" t="inlineStr">
        <is>
          <t>PARYTET</t>
        </is>
      </c>
      <c r="L438" s="11" t="inlineStr">
        <is>
          <t>WYSOKA</t>
        </is>
      </c>
      <c r="M438" s="11" t="inlineStr">
        <is>
          <t>M</t>
        </is>
      </c>
      <c r="N438" s="12" t="inlineStr">
        <is>
          <t>Odkryte 2026-09-24 przy N-05 (kbSuggest z typem inline). MECHANIZM: przy `@Body() body: {…}`, `Partial&lt;…&gt;`, interfejsie albo `@Body('pole')` typ w czasie działania to Object/String i globalny ValidationPipe niczego nie sprawdza. Ponad 60 endpointów, m.in. narzędzia hostingu (zapis .htaccess, filtr spamu, autorespondery → DirectAdmin), menedżer plików, zgłoszenia z załącznikami (dowolny priorytet → błąd Prismy 500), passkey przed logowaniem, role obsługi, baner KB (link `javascript:` renderowany w href — XSS zapisany przez obsługę) i kampanie marketingowe. NAPRAWA: DTO dla każdego; znaki sterujące odcięte w polach jednoliniowych; baner KB tylko https w DTO i w renderze; Czesciowy(Base) zamiast PartialType bez nowej zależności. Strażnik sprawdzony na czerwono (cofnięty DTO → test pada).</t>
        </is>
      </c>
    </row>
    <row r="439">
      <c r="A439" s="11" t="inlineStr">
        <is>
          <t>X-53</t>
        </is>
      </c>
      <c r="B439" s="12" t="inlineStr">
        <is>
          <t>X</t>
        </is>
      </c>
      <c r="C439" s="11" t="inlineStr">
        <is>
          <t>Akcje panelu admina z ciałem zakodowanym dwa razy</t>
        </is>
      </c>
      <c r="D439" s="11" t="inlineStr">
        <is>
          <t>—</t>
        </is>
      </c>
      <c r="E439" s="11" t="inlineStr">
        <is>
          <t>—</t>
        </is>
      </c>
      <c r="F439" s="11" t="inlineStr">
        <is>
          <t>—</t>
        </is>
      </c>
      <c r="G439" s="11" t="inlineStr">
        <is>
          <t>—</t>
        </is>
      </c>
      <c r="H439" s="11" t="inlineStr">
        <is>
          <t>—</t>
        </is>
      </c>
      <c r="I439" s="11" t="inlineStr">
        <is>
          <t>DZIAŁA</t>
        </is>
      </c>
      <c r="J439" s="12" t="inlineStr">
        <is>
          <t>apps/admin-panel/src/lib/api.ts i apps/staff-panel/src/lib/staff-api.ts — `body?: object` (napis nie przejdzie kompilacji)</t>
        </is>
      </c>
      <c r="K439" s="11" t="inlineStr">
        <is>
          <t>PARYTET</t>
        </is>
      </c>
      <c r="L439" s="11" t="inlineStr">
        <is>
          <t>WYSOKA</t>
        </is>
      </c>
      <c r="M439" s="11" t="inlineStr">
        <is>
          <t>S</t>
        </is>
      </c>
      <c r="N439" s="12" t="inlineStr">
        <is>
          <t>Odkryte 2026-09-24 przy SEC-10. adminApi serializuje body sam, a 6 akcji podawało gotowy JSON.stringify(…): utworzenie i zaplanowanie kampanii marketingowej, region węzła, konfiguracja i decyzje programu partnerskiego, resellerzy. API dostawało napis i odrzucało żądanie — funkcje wyglądały na gotowe, a nie działały. Typ body zawężony do obiektu, więc powtórka nie skompiluje się. DO SPRAWDZENIA PO WDROŻENIU: utworzenie szkicu kampanii w panelu admina. | D3 2026-09-24: szkic kampanii „TEST — nie wysyłać” zapisany z panelu admina, następnie odwołany (Wysłane: 0).</t>
        </is>
      </c>
    </row>
    <row r="440">
      <c r="A440" s="11" t="inlineStr">
        <is>
          <t>X-54</t>
        </is>
      </c>
      <c r="B440" s="12" t="inlineStr">
        <is>
          <t>X</t>
        </is>
      </c>
      <c r="C440" s="11" t="inlineStr">
        <is>
          <t>Pliki powyżej 1 MB w panelach i edytor plików powyżej 100 kB</t>
        </is>
      </c>
      <c r="D440" s="11" t="inlineStr">
        <is>
          <t>—</t>
        </is>
      </c>
      <c r="E440" s="11" t="inlineStr">
        <is>
          <t>—</t>
        </is>
      </c>
      <c r="F440" s="11" t="inlineStr">
        <is>
          <t>—</t>
        </is>
      </c>
      <c r="G440" s="11" t="inlineStr">
        <is>
          <t>—</t>
        </is>
      </c>
      <c r="H440" s="11" t="inlineStr">
        <is>
          <t>—</t>
        </is>
      </c>
      <c r="I440" s="11" t="inlineStr">
        <is>
          <t>DZIAŁA</t>
        </is>
      </c>
      <c r="J440" s="12" t="inlineStr">
        <is>
          <t>apps/client-panel/next.config.ts, apps/staff-panel/next.config.ts — serverActions.bodySizeLimit 41mb; apps/api/src/main.ts — useBodyParser json 3mb</t>
        </is>
      </c>
      <c r="K440" s="11" t="inlineStr">
        <is>
          <t>PARYTET</t>
        </is>
      </c>
      <c r="L440" s="11" t="inlineStr">
        <is>
          <t>WYSOKA</t>
        </is>
      </c>
      <c r="M440" s="11" t="inlineStr">
        <is>
          <t>S</t>
        </is>
      </c>
      <c r="N440" s="12" t="inlineStr">
        <is>
          <t>Odkryte 2026-09-24. Menedżer plików (do 25 MB) i załączniki zgłoszeń (5 × 8 MB) idą przez Server Actions, których domyślny limit w Next to 1 MB (next/dist/server/app-render/action-handler.js) — większy plik kończył się 413 przed API. Osobno: edytor plików zapisuje do 1 MB (FilesService.MAX_EDIT_BYTES), a Nest przyjmował JSON do 100 kB. DO SPRAWDZENIA PO WDROŻENIU: upload pliku 2–5 MB w menedżerze plików i zapis pliku ~300 kB w edytorze.</t>
        </is>
      </c>
    </row>
  </sheetData>
  <autoFilter ref="A1:N440"/>
  <conditionalFormatting sqref="D2:D440">
    <cfRule type="cellIs" priority="1" operator="equal" dxfId="0">
      <formula>"TAK"</formula>
    </cfRule>
    <cfRule type="cellIs" priority="2" operator="equal" dxfId="1">
      <formula>"CZĘŚĆ"</formula>
    </cfRule>
    <cfRule type="cellIs" priority="3" operator="equal" dxfId="2">
      <formula>"PŁATNE"</formula>
    </cfRule>
    <cfRule type="cellIs" priority="4" operator="equal" dxfId="3">
      <formula>"NIE"</formula>
    </cfRule>
    <cfRule type="cellIs" priority="5" operator="equal" dxfId="4">
      <formula>"b.d."</formula>
    </cfRule>
  </conditionalFormatting>
  <conditionalFormatting sqref="E2:E440">
    <cfRule type="cellIs" priority="6" operator="equal" dxfId="0">
      <formula>"TAK"</formula>
    </cfRule>
    <cfRule type="cellIs" priority="7" operator="equal" dxfId="1">
      <formula>"CZĘŚĆ"</formula>
    </cfRule>
    <cfRule type="cellIs" priority="8" operator="equal" dxfId="2">
      <formula>"PŁATNE"</formula>
    </cfRule>
    <cfRule type="cellIs" priority="9" operator="equal" dxfId="3">
      <formula>"NIE"</formula>
    </cfRule>
    <cfRule type="cellIs" priority="10" operator="equal" dxfId="4">
      <formula>"b.d."</formula>
    </cfRule>
  </conditionalFormatting>
  <conditionalFormatting sqref="F2:F440">
    <cfRule type="cellIs" priority="11" operator="equal" dxfId="0">
      <formula>"TAK"</formula>
    </cfRule>
    <cfRule type="cellIs" priority="12" operator="equal" dxfId="1">
      <formula>"CZĘŚĆ"</formula>
    </cfRule>
    <cfRule type="cellIs" priority="13" operator="equal" dxfId="2">
      <formula>"PŁATNE"</formula>
    </cfRule>
    <cfRule type="cellIs" priority="14" operator="equal" dxfId="3">
      <formula>"NIE"</formula>
    </cfRule>
    <cfRule type="cellIs" priority="15" operator="equal" dxfId="4">
      <formula>"b.d."</formula>
    </cfRule>
  </conditionalFormatting>
  <conditionalFormatting sqref="G2:G440">
    <cfRule type="cellIs" priority="16" operator="equal" dxfId="0">
      <formula>"TAK"</formula>
    </cfRule>
    <cfRule type="cellIs" priority="17" operator="equal" dxfId="1">
      <formula>"CZĘŚĆ"</formula>
    </cfRule>
    <cfRule type="cellIs" priority="18" operator="equal" dxfId="2">
      <formula>"PŁATNE"</formula>
    </cfRule>
    <cfRule type="cellIs" priority="19" operator="equal" dxfId="3">
      <formula>"NIE"</formula>
    </cfRule>
    <cfRule type="cellIs" priority="20" operator="equal" dxfId="4">
      <formula>"b.d."</formula>
    </cfRule>
  </conditionalFormatting>
  <conditionalFormatting sqref="H2:H440">
    <cfRule type="cellIs" priority="21" operator="equal" dxfId="0">
      <formula>"TAK"</formula>
    </cfRule>
    <cfRule type="cellIs" priority="22" operator="equal" dxfId="1">
      <formula>"CZĘŚĆ"</formula>
    </cfRule>
    <cfRule type="cellIs" priority="23" operator="equal" dxfId="2">
      <formula>"PŁATNE"</formula>
    </cfRule>
    <cfRule type="cellIs" priority="24" operator="equal" dxfId="3">
      <formula>"NIE"</formula>
    </cfRule>
    <cfRule type="cellIs" priority="25" operator="equal" dxfId="4">
      <formula>"b.d."</formula>
    </cfRule>
  </conditionalFormatting>
  <conditionalFormatting sqref="I2:I440">
    <cfRule type="cellIs" priority="26" operator="equal" dxfId="0">
      <formula>"DZIAŁA"</formula>
    </cfRule>
    <cfRule type="cellIs" priority="27" operator="equal" dxfId="1">
      <formula>"CZĘŚCIOWE"</formula>
    </cfRule>
    <cfRule type="cellIs" priority="28" operator="equal" dxfId="5">
      <formula>"FLAGA"</formula>
    </cfRule>
    <cfRule type="cellIs" priority="29" operator="equal" dxfId="6">
      <formula>"ATRAPA"</formula>
    </cfRule>
    <cfRule type="cellIs" priority="30" operator="equal" dxfId="6">
      <formula>"ENDPOINT BEZ UI"</formula>
    </cfRule>
    <cfRule type="cellIs" priority="31" operator="equal" dxfId="7">
      <formula>"BRAK"</formula>
    </cfRule>
  </conditionalFormatting>
  <conditionalFormatting sqref="K2:K440">
    <cfRule type="cellIs" priority="32" operator="equal" dxfId="0">
      <formula>"PARYTET"</formula>
    </cfRule>
    <cfRule type="cellIs" priority="33" operator="equal" dxfId="8">
      <formula>"PRZEWAGA"</formula>
    </cfRule>
    <cfRule type="cellIs" priority="34" operator="equal" dxfId="1">
      <formula>"CZĘŚCIOWY"</formula>
    </cfRule>
    <cfRule type="cellIs" priority="35" operator="equal" dxfId="7">
      <formula>"LUKA"</formula>
    </cfRule>
    <cfRule type="cellIs" priority="36" operator="equal" dxfId="4">
      <formula>"POZA ZAKRESEM"</formula>
    </cfRule>
  </conditionalFormatting>
  <conditionalFormatting sqref="L2:L440">
    <cfRule type="cellIs" priority="37" operator="equal" dxfId="9">
      <formula>"BLOKER STARTU"</formula>
    </cfRule>
    <cfRule type="cellIs" priority="38" operator="equal" dxfId="6">
      <formula>"WYSOKA"</formula>
    </cfRule>
    <cfRule type="cellIs" priority="39" operator="equal" dxfId="1">
      <formula>"ŚREDNIA"</formula>
    </cfRule>
  </conditionalFormatting>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2026-10-06T22:31:59Z</dcterms:created>
  <dcterms:modified xmlns:dcterms="http://purl.org/dc/terms/" xmlns:xsi="http://www.w3.org/2001/XMLSchema-instance" xsi:type="dcterms:W3CDTF">2026-10-06T22:32:00Z</dcterms:modified>
</cp:coreProperties>
</file>