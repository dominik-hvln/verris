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'Macierz'!$A$1:$N$429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COUNTIF(Macierz!$K$2:$K$429,A6)</f>
        <v/>
      </c>
    </row>
    <row r="7">
      <c r="A7" s="5" t="inlineStr">
        <is>
          <t>PRZEWAGA</t>
        </is>
      </c>
      <c r="B7" s="5">
        <f>COUNTIF(Macierz!$K$2:$K$429,A7)</f>
        <v/>
      </c>
    </row>
    <row r="8">
      <c r="A8" s="5" t="inlineStr">
        <is>
          <t>CZĘŚCIOWY</t>
        </is>
      </c>
      <c r="B8" s="5">
        <f>COUNTIF(Macierz!$K$2:$K$429,A8)</f>
        <v/>
      </c>
    </row>
    <row r="9">
      <c r="A9" s="5" t="inlineStr">
        <is>
          <t>LUKA</t>
        </is>
      </c>
      <c r="B9" s="5">
        <f>COUNTIF(Macierz!$K$2:$K$429,A9)</f>
        <v/>
      </c>
    </row>
    <row r="10">
      <c r="A10" s="5" t="inlineStr">
        <is>
          <t>POZA ZAKRESEM</t>
        </is>
      </c>
      <c r="B10" s="5">
        <f>COUNTIF(Macierz!$K$2:$K$429,A10)</f>
        <v/>
      </c>
    </row>
    <row r="13">
      <c r="A13" s="3" t="inlineStr">
        <is>
          <t>Stan implementacji</t>
        </is>
      </c>
    </row>
    <row r="14">
      <c r="A14" s="4" t="inlineStr">
        <is>
          <t>Wartość</t>
        </is>
      </c>
      <c r="B14" s="4" t="inlineStr">
        <is>
          <t>Pozycji</t>
        </is>
      </c>
    </row>
    <row r="15">
      <c r="A15" s="5" t="inlineStr">
        <is>
          <t>DZIAŁA</t>
        </is>
      </c>
      <c r="B15" s="5">
        <f>COUNTIF(Macierz!$I$2:$I$429,A15)</f>
        <v/>
      </c>
    </row>
    <row r="16">
      <c r="A16" s="5" t="inlineStr">
        <is>
          <t>CZĘŚCIOWE</t>
        </is>
      </c>
      <c r="B16" s="5">
        <f>COUNTIF(Macierz!$I$2:$I$429,A16)</f>
        <v/>
      </c>
    </row>
    <row r="17">
      <c r="A17" s="5" t="inlineStr">
        <is>
          <t>FLAGA</t>
        </is>
      </c>
      <c r="B17" s="5">
        <f>COUNTIF(Macierz!$I$2:$I$429,A17)</f>
        <v/>
      </c>
    </row>
    <row r="18">
      <c r="A18" s="5" t="inlineStr">
        <is>
          <t>ATRAPA</t>
        </is>
      </c>
      <c r="B18" s="5">
        <f>COUNTIF(Macierz!$I$2:$I$429,A18)</f>
        <v/>
      </c>
    </row>
    <row r="19">
      <c r="A19" s="5" t="inlineStr">
        <is>
          <t>ENDPOINT BEZ UI</t>
        </is>
      </c>
      <c r="B19" s="5">
        <f>COUNTIF(Macierz!$I$2:$I$429,A19)</f>
        <v/>
      </c>
    </row>
    <row r="20">
      <c r="A20" s="5" t="inlineStr">
        <is>
          <t>BRAK</t>
        </is>
      </c>
      <c r="B20" s="5">
        <f>COUNTIF(Macierz!$I$2:$I$429,A20)</f>
        <v/>
      </c>
    </row>
    <row r="21">
      <c r="A21" s="5" t="inlineStr">
        <is>
          <t>b.d.</t>
        </is>
      </c>
      <c r="B21" s="5">
        <f>COUNTIF(Macierz!$I$2:$I$429,A21)</f>
        <v/>
      </c>
    </row>
    <row r="24">
      <c r="A24" s="3" t="inlineStr">
        <is>
          <t>Krytyczność luk</t>
        </is>
      </c>
    </row>
    <row r="25">
      <c r="A25" s="4" t="inlineStr">
        <is>
          <t>Wartość</t>
        </is>
      </c>
      <c r="B25" s="4" t="inlineStr">
        <is>
          <t>Pozycji</t>
        </is>
      </c>
    </row>
    <row r="26">
      <c r="A26" s="6" t="inlineStr">
        <is>
          <t>BLOKER STARTU</t>
        </is>
      </c>
      <c r="B26" s="6">
        <f>COUNTIF(Macierz!$L$2:$L$429,A26)</f>
        <v/>
      </c>
    </row>
    <row r="27">
      <c r="A27" s="5" t="inlineStr">
        <is>
          <t>WYSOKA</t>
        </is>
      </c>
      <c r="B27" s="5">
        <f>COUNTIF(Macierz!$L$2:$L$429,A27)</f>
        <v/>
      </c>
    </row>
    <row r="28">
      <c r="A28" s="5" t="inlineStr">
        <is>
          <t>ŚREDNIA</t>
        </is>
      </c>
      <c r="B28" s="5">
        <f>COUNTIF(Macierz!$L$2:$L$429,A28)</f>
        <v/>
      </c>
    </row>
    <row r="29">
      <c r="A29" s="5" t="inlineStr">
        <is>
          <t>NISKA</t>
        </is>
      </c>
      <c r="B29" s="5">
        <f>COUNTIF(Macierz!$L$2:$L$429,A29)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COUNTIF(Macierz!$B$2:$B$429,"A")</f>
        <v/>
      </c>
      <c r="C33" s="7">
        <f>COUNTIFS(Macierz!$B$2:$B$429,"A",Macierz!$K$2:$K$429,"PARYTET")+COUNTIFS(Macierz!$B$2:$B$429,"A",Macierz!$K$2:$K$429,"PRZEWAGA")</f>
        <v/>
      </c>
      <c r="D33" s="7">
        <f>COUNTIFS(Macierz!$B$2:$B$429,"A",Macierz!$K$2:$K$429,"LUKA")</f>
        <v/>
      </c>
      <c r="E33" s="7">
        <f>COUNTIFS(Macierz!$B$2:$B$429,"A",Macierz!$L$2:$L$429,"BLOKER STARTU")</f>
        <v/>
      </c>
      <c r="F33" s="8">
        <f>IFERROR(C33/B33,0)</f>
        <v/>
      </c>
    </row>
    <row r="34">
      <c r="A34" s="7" t="inlineStr">
        <is>
          <t>B — Runtime WWW</t>
        </is>
      </c>
      <c r="B34" s="7">
        <f>COUNTIF(Macierz!$B$2:$B$429,"B")</f>
        <v/>
      </c>
      <c r="C34" s="7">
        <f>COUNTIFS(Macierz!$B$2:$B$429,"B",Macierz!$K$2:$K$429,"PARYTET")+COUNTIFS(Macierz!$B$2:$B$429,"B",Macierz!$K$2:$K$429,"PRZEWAGA")</f>
        <v/>
      </c>
      <c r="D34" s="7">
        <f>COUNTIFS(Macierz!$B$2:$B$429,"B",Macierz!$K$2:$K$429,"LUKA")</f>
        <v/>
      </c>
      <c r="E34" s="7">
        <f>COUNTIFS(Macierz!$B$2:$B$429,"B",Macierz!$L$2:$L$429,"BLOKER STARTU")</f>
        <v/>
      </c>
      <c r="F34" s="8">
        <f>IFERROR(C34/B34,0)</f>
        <v/>
      </c>
    </row>
    <row r="35">
      <c r="A35" s="7" t="inlineStr">
        <is>
          <t>C — Pliki, FTP, SSH, Git</t>
        </is>
      </c>
      <c r="B35" s="7">
        <f>COUNTIF(Macierz!$B$2:$B$429,"C")</f>
        <v/>
      </c>
      <c r="C35" s="7">
        <f>COUNTIFS(Macierz!$B$2:$B$429,"C",Macierz!$K$2:$K$429,"PARYTET")+COUNTIFS(Macierz!$B$2:$B$429,"C",Macierz!$K$2:$K$429,"PRZEWAGA")</f>
        <v/>
      </c>
      <c r="D35" s="7">
        <f>COUNTIFS(Macierz!$B$2:$B$429,"C",Macierz!$K$2:$K$429,"LUKA")</f>
        <v/>
      </c>
      <c r="E35" s="7">
        <f>COUNTIFS(Macierz!$B$2:$B$429,"C",Macierz!$L$2:$L$429,"BLOKER STARTU")</f>
        <v/>
      </c>
      <c r="F35" s="8">
        <f>IFERROR(C35/B35,0)</f>
        <v/>
      </c>
    </row>
    <row r="36">
      <c r="A36" s="7" t="inlineStr">
        <is>
          <t>D — Bazy danych</t>
        </is>
      </c>
      <c r="B36" s="7">
        <f>COUNTIF(Macierz!$B$2:$B$429,"D")</f>
        <v/>
      </c>
      <c r="C36" s="7">
        <f>COUNTIFS(Macierz!$B$2:$B$429,"D",Macierz!$K$2:$K$429,"PARYTET")+COUNTIFS(Macierz!$B$2:$B$429,"D",Macierz!$K$2:$K$429,"PRZEWAGA")</f>
        <v/>
      </c>
      <c r="D36" s="7">
        <f>COUNTIFS(Macierz!$B$2:$B$429,"D",Macierz!$K$2:$K$429,"LUKA")</f>
        <v/>
      </c>
      <c r="E36" s="7">
        <f>COUNTIFS(Macierz!$B$2:$B$429,"D",Macierz!$L$2:$L$429,"BLOKER STARTU")</f>
        <v/>
      </c>
      <c r="F36" s="8">
        <f>IFERROR(C36/B36,0)</f>
        <v/>
      </c>
    </row>
    <row r="37">
      <c r="A37" s="7" t="inlineStr">
        <is>
          <t>E — Poczta</t>
        </is>
      </c>
      <c r="B37" s="7">
        <f>COUNTIF(Macierz!$B$2:$B$429,"E")</f>
        <v/>
      </c>
      <c r="C37" s="7">
        <f>COUNTIFS(Macierz!$B$2:$B$429,"E",Macierz!$K$2:$K$429,"PARYTET")+COUNTIFS(Macierz!$B$2:$B$429,"E",Macierz!$K$2:$K$429,"PRZEWAGA")</f>
        <v/>
      </c>
      <c r="D37" s="7">
        <f>COUNTIFS(Macierz!$B$2:$B$429,"E",Macierz!$K$2:$K$429,"LUKA")</f>
        <v/>
      </c>
      <c r="E37" s="7">
        <f>COUNTIFS(Macierz!$B$2:$B$429,"E",Macierz!$L$2:$L$429,"BLOKER STARTU")</f>
        <v/>
      </c>
      <c r="F37" s="8">
        <f>IFERROR(C37/B37,0)</f>
        <v/>
      </c>
    </row>
    <row r="38">
      <c r="A38" s="7" t="inlineStr">
        <is>
          <t>F — DNS</t>
        </is>
      </c>
      <c r="B38" s="7">
        <f>COUNTIF(Macierz!$B$2:$B$429,"F")</f>
        <v/>
      </c>
      <c r="C38" s="7">
        <f>COUNTIFS(Macierz!$B$2:$B$429,"F",Macierz!$K$2:$K$429,"PARYTET")+COUNTIFS(Macierz!$B$2:$B$429,"F",Macierz!$K$2:$K$429,"PRZEWAGA")</f>
        <v/>
      </c>
      <c r="D38" s="7">
        <f>COUNTIFS(Macierz!$B$2:$B$429,"F",Macierz!$K$2:$K$429,"LUKA")</f>
        <v/>
      </c>
      <c r="E38" s="7">
        <f>COUNTIFS(Macierz!$B$2:$B$429,"F",Macierz!$L$2:$L$429,"BLOKER STARTU")</f>
        <v/>
      </c>
      <c r="F38" s="8">
        <f>IFERROR(C38/B38,0)</f>
        <v/>
      </c>
    </row>
    <row r="39">
      <c r="A39" s="7" t="inlineStr">
        <is>
          <t>G — SSL i bezpieczeństwo</t>
        </is>
      </c>
      <c r="B39" s="7">
        <f>COUNTIF(Macierz!$B$2:$B$429,"G")</f>
        <v/>
      </c>
      <c r="C39" s="7">
        <f>COUNTIFS(Macierz!$B$2:$B$429,"G",Macierz!$K$2:$K$429,"PARYTET")+COUNTIFS(Macierz!$B$2:$B$429,"G",Macierz!$K$2:$K$429,"PRZEWAGA")</f>
        <v/>
      </c>
      <c r="D39" s="7">
        <f>COUNTIFS(Macierz!$B$2:$B$429,"G",Macierz!$K$2:$K$429,"LUKA")</f>
        <v/>
      </c>
      <c r="E39" s="7">
        <f>COUNTIFS(Macierz!$B$2:$B$429,"G",Macierz!$L$2:$L$429,"BLOKER STARTU")</f>
        <v/>
      </c>
      <c r="F39" s="8">
        <f>IFERROR(C39/B39,0)</f>
        <v/>
      </c>
    </row>
    <row r="40">
      <c r="A40" s="7" t="inlineStr">
        <is>
          <t>H — Backup i odtwarzanie</t>
        </is>
      </c>
      <c r="B40" s="7">
        <f>COUNTIF(Macierz!$B$2:$B$429,"H")</f>
        <v/>
      </c>
      <c r="C40" s="7">
        <f>COUNTIFS(Macierz!$B$2:$B$429,"H",Macierz!$K$2:$K$429,"PARYTET")+COUNTIFS(Macierz!$B$2:$B$429,"H",Macierz!$K$2:$K$429,"PRZEWAGA")</f>
        <v/>
      </c>
      <c r="D40" s="7">
        <f>COUNTIFS(Macierz!$B$2:$B$429,"H",Macierz!$K$2:$K$429,"LUKA")</f>
        <v/>
      </c>
      <c r="E40" s="7">
        <f>COUNTIFS(Macierz!$B$2:$B$429,"H",Macierz!$L$2:$L$429,"BLOKER STARTU")</f>
        <v/>
      </c>
      <c r="F40" s="8">
        <f>IFERROR(C40/B40,0)</f>
        <v/>
      </c>
    </row>
    <row r="41">
      <c r="A41" s="7" t="inlineStr">
        <is>
          <t>I — Aplikacje i WordPress</t>
        </is>
      </c>
      <c r="B41" s="7">
        <f>COUNTIF(Macierz!$B$2:$B$429,"I")</f>
        <v/>
      </c>
      <c r="C41" s="7">
        <f>COUNTIFS(Macierz!$B$2:$B$429,"I",Macierz!$K$2:$K$429,"PARYTET")+COUNTIFS(Macierz!$B$2:$B$429,"I",Macierz!$K$2:$K$429,"PRZEWAGA")</f>
        <v/>
      </c>
      <c r="D41" s="7">
        <f>COUNTIFS(Macierz!$B$2:$B$429,"I",Macierz!$K$2:$K$429,"LUKA")</f>
        <v/>
      </c>
      <c r="E41" s="7">
        <f>COUNTIFS(Macierz!$B$2:$B$429,"I",Macierz!$L$2:$L$429,"BLOKER STARTU")</f>
        <v/>
      </c>
      <c r="F41" s="8">
        <f>IFERROR(C41/B41,0)</f>
        <v/>
      </c>
    </row>
    <row r="42">
      <c r="A42" s="7" t="inlineStr">
        <is>
          <t>J — Wydajność i cache</t>
        </is>
      </c>
      <c r="B42" s="7">
        <f>COUNTIF(Macierz!$B$2:$B$429,"J")</f>
        <v/>
      </c>
      <c r="C42" s="7">
        <f>COUNTIFS(Macierz!$B$2:$B$429,"J",Macierz!$K$2:$K$429,"PARYTET")+COUNTIFS(Macierz!$B$2:$B$429,"J",Macierz!$K$2:$K$429,"PRZEWAGA")</f>
        <v/>
      </c>
      <c r="D42" s="7">
        <f>COUNTIFS(Macierz!$B$2:$B$429,"J",Macierz!$K$2:$K$429,"LUKA")</f>
        <v/>
      </c>
      <c r="E42" s="7">
        <f>COUNTIFS(Macierz!$B$2:$B$429,"J",Macierz!$L$2:$L$429,"BLOKER STARTU")</f>
        <v/>
      </c>
      <c r="F42" s="8">
        <f>IFERROR(C42/B42,0)</f>
        <v/>
      </c>
    </row>
    <row r="43">
      <c r="A43" s="7" t="inlineStr">
        <is>
          <t>K — Statystyki, logi, limity</t>
        </is>
      </c>
      <c r="B43" s="7">
        <f>COUNTIF(Macierz!$B$2:$B$429,"K")</f>
        <v/>
      </c>
      <c r="C43" s="7">
        <f>COUNTIFS(Macierz!$B$2:$B$429,"K",Macierz!$K$2:$K$429,"PARYTET")+COUNTIFS(Macierz!$B$2:$B$429,"K",Macierz!$K$2:$K$429,"PRZEWAGA")</f>
        <v/>
      </c>
      <c r="D43" s="7">
        <f>COUNTIFS(Macierz!$B$2:$B$429,"K",Macierz!$K$2:$K$429,"LUKA")</f>
        <v/>
      </c>
      <c r="E43" s="7">
        <f>COUNTIFS(Macierz!$B$2:$B$429,"K",Macierz!$L$2:$L$429,"BLOKER STARTU")</f>
        <v/>
      </c>
      <c r="F43" s="8">
        <f>IFERROR(C43/B43,0)</f>
        <v/>
      </c>
    </row>
    <row r="44">
      <c r="A44" s="7" t="inlineStr">
        <is>
          <t>L — Automatyzacja</t>
        </is>
      </c>
      <c r="B44" s="7">
        <f>COUNTIF(Macierz!$B$2:$B$429,"L")</f>
        <v/>
      </c>
      <c r="C44" s="7">
        <f>COUNTIFS(Macierz!$B$2:$B$429,"L",Macierz!$K$2:$K$429,"PARYTET")+COUNTIFS(Macierz!$B$2:$B$429,"L",Macierz!$K$2:$K$429,"PRZEWAGA")</f>
        <v/>
      </c>
      <c r="D44" s="7">
        <f>COUNTIFS(Macierz!$B$2:$B$429,"L",Macierz!$K$2:$K$429,"LUKA")</f>
        <v/>
      </c>
      <c r="E44" s="7">
        <f>COUNTIFS(Macierz!$B$2:$B$429,"L",Macierz!$L$2:$L$429,"BLOKER STARTU")</f>
        <v/>
      </c>
      <c r="F44" s="8">
        <f>IFERROR(C44/B44,0)</f>
        <v/>
      </c>
    </row>
    <row r="45">
      <c r="A45" s="7" t="inlineStr">
        <is>
          <t>M — Rozliczenia</t>
        </is>
      </c>
      <c r="B45" s="7">
        <f>COUNTIF(Macierz!$B$2:$B$429,"M")</f>
        <v/>
      </c>
      <c r="C45" s="7">
        <f>COUNTIFS(Macierz!$B$2:$B$429,"M",Macierz!$K$2:$K$429,"PARYTET")+COUNTIFS(Macierz!$B$2:$B$429,"M",Macierz!$K$2:$K$429,"PRZEWAGA")</f>
        <v/>
      </c>
      <c r="D45" s="7">
        <f>COUNTIFS(Macierz!$B$2:$B$429,"M",Macierz!$K$2:$K$429,"LUKA")</f>
        <v/>
      </c>
      <c r="E45" s="7">
        <f>COUNTIFS(Macierz!$B$2:$B$429,"M",Macierz!$L$2:$L$429,"BLOKER STARTU")</f>
        <v/>
      </c>
      <c r="F45" s="8">
        <f>IFERROR(C45/B45,0)</f>
        <v/>
      </c>
    </row>
    <row r="46">
      <c r="A46" s="7" t="inlineStr">
        <is>
          <t>N — Wsparcie i ops</t>
        </is>
      </c>
      <c r="B46" s="7">
        <f>COUNTIF(Macierz!$B$2:$B$429,"N")</f>
        <v/>
      </c>
      <c r="C46" s="7">
        <f>COUNTIFS(Macierz!$B$2:$B$429,"N",Macierz!$K$2:$K$429,"PARYTET")+COUNTIFS(Macierz!$B$2:$B$429,"N",Macierz!$K$2:$K$429,"PRZEWAGA")</f>
        <v/>
      </c>
      <c r="D46" s="7">
        <f>COUNTIFS(Macierz!$B$2:$B$429,"N",Macierz!$K$2:$K$429,"LUKA")</f>
        <v/>
      </c>
      <c r="E46" s="7">
        <f>COUNTIFS(Macierz!$B$2:$B$429,"N",Macierz!$L$2:$L$429,"BLOKER STARTU")</f>
        <v/>
      </c>
      <c r="F46" s="8">
        <f>IFERROR(C46/B46,0)</f>
        <v/>
      </c>
    </row>
    <row r="47">
      <c r="A47" s="7" t="inlineStr">
        <is>
          <t>O — Multi-user i reseller</t>
        </is>
      </c>
      <c r="B47" s="7">
        <f>COUNTIF(Macierz!$B$2:$B$429,"O")</f>
        <v/>
      </c>
      <c r="C47" s="7">
        <f>COUNTIFS(Macierz!$B$2:$B$429,"O",Macierz!$K$2:$K$429,"PARYTET")+COUNTIFS(Macierz!$B$2:$B$429,"O",Macierz!$K$2:$K$429,"PRZEWAGA")</f>
        <v/>
      </c>
      <c r="D47" s="7">
        <f>COUNTIFS(Macierz!$B$2:$B$429,"O",Macierz!$K$2:$K$429,"LUKA")</f>
        <v/>
      </c>
      <c r="E47" s="7">
        <f>COUNTIFS(Macierz!$B$2:$B$429,"O",Macierz!$L$2:$L$429,"BLOKER STARTU")</f>
        <v/>
      </c>
      <c r="F47" s="8">
        <f>IFERROR(C47/B47,0)</f>
        <v/>
      </c>
    </row>
    <row r="48">
      <c r="A48" s="7" t="inlineStr">
        <is>
          <t>P — Zgodność</t>
        </is>
      </c>
      <c r="B48" s="7">
        <f>COUNTIF(Macierz!$B$2:$B$429,"P")</f>
        <v/>
      </c>
      <c r="C48" s="7">
        <f>COUNTIFS(Macierz!$B$2:$B$429,"P",Macierz!$K$2:$K$429,"PARYTET")+COUNTIFS(Macierz!$B$2:$B$429,"P",Macierz!$K$2:$K$429,"PRZEWAGA")</f>
        <v/>
      </c>
      <c r="D48" s="7">
        <f>COUNTIFS(Macierz!$B$2:$B$429,"P",Macierz!$K$2:$K$429,"LUKA")</f>
        <v/>
      </c>
      <c r="E48" s="7">
        <f>COUNTIFS(Macierz!$B$2:$B$429,"P",Macierz!$L$2:$L$429,"BLOKER STARTU")</f>
        <v/>
      </c>
      <c r="F48" s="8">
        <f>IFERROR(C48/B48,0)</f>
        <v/>
      </c>
    </row>
    <row r="49">
      <c r="A49" s="7" t="inlineStr">
        <is>
          <t>Q — Przewaga</t>
        </is>
      </c>
      <c r="B49" s="7">
        <f>COUNTIF(Macierz!$B$2:$B$429,"Q")</f>
        <v/>
      </c>
      <c r="C49" s="7">
        <f>COUNTIFS(Macierz!$B$2:$B$429,"Q",Macierz!$K$2:$K$429,"PARYTET")+COUNTIFS(Macierz!$B$2:$B$429,"Q",Macierz!$K$2:$K$429,"PRZEWAGA")</f>
        <v/>
      </c>
      <c r="D49" s="7">
        <f>COUNTIFS(Macierz!$B$2:$B$429,"Q",Macierz!$K$2:$K$429,"LUKA")</f>
        <v/>
      </c>
      <c r="E49" s="7">
        <f>COUNTIFS(Macierz!$B$2:$B$429,"Q",Macierz!$L$2:$L$429,"BLOKER STARTU")</f>
        <v/>
      </c>
      <c r="F49" s="8">
        <f>IFERROR(C49/B49,0)</f>
        <v/>
      </c>
    </row>
    <row r="50">
      <c r="A50" s="7" t="inlineStr">
        <is>
          <t>X — Infrastruktura jakości</t>
        </is>
      </c>
      <c r="B50" s="7">
        <f>COUNTIF(Macierz!$B$2:$B$429,"X")</f>
        <v/>
      </c>
      <c r="C50" s="7">
        <f>COUNTIFS(Macierz!$B$2:$B$429,"X",Macierz!$K$2:$K$429,"PARYTET")+COUNTIFS(Macierz!$B$2:$B$429,"X",Macierz!$K$2:$K$429,"PRZEWAGA")</f>
        <v/>
      </c>
      <c r="D50" s="7">
        <f>COUNTIFS(Macierz!$B$2:$B$429,"X",Macierz!$K$2:$K$429,"LUKA")</f>
        <v/>
      </c>
      <c r="E50" s="7">
        <f>COUNTIFS(Macierz!$B$2:$B$429,"X",Macierz!$L$2:$L$429,"BLOKER STARTU")</f>
        <v/>
      </c>
      <c r="F50" s="8">
        <f>IFERROR(C50/B50,0)</f>
        <v/>
      </c>
    </row>
    <row r="51">
      <c r="A51" s="7" t="inlineStr">
        <is>
          <t>Z — Pass adwersaryjny</t>
        </is>
      </c>
      <c r="B51" s="7">
        <f>COUNTIF(Macierz!$B$2:$B$429,"Z")</f>
        <v/>
      </c>
      <c r="C51" s="7">
        <f>COUNTIFS(Macierz!$B$2:$B$429,"Z",Macierz!$K$2:$K$429,"PARYTET")+COUNTIFS(Macierz!$B$2:$B$429,"Z",Macierz!$K$2:$K$429,"PRZEWAGA")</f>
        <v/>
      </c>
      <c r="D51" s="7">
        <f>COUNTIFS(Macierz!$B$2:$B$429,"Z",Macierz!$K$2:$K$429,"LUKA")</f>
        <v/>
      </c>
      <c r="E51" s="7">
        <f>COUNTIFS(Macierz!$B$2:$B$429,"Z",Macierz!$L$2:$L$429,"BLOKER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ATRAPA</t>
        </is>
      </c>
      <c r="J120" s="12" t="inlineStr">
        <is>
          <t>dns-manager.tsx:79,91 — komponent osierocony; dns/page.tsx:15 przekierowuje gdzie indziej</t>
        </is>
      </c>
      <c r="K120" s="11" t="inlineStr">
        <is>
          <t>LUKA</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ATRAPA</t>
        </is>
      </c>
      <c r="J121" s="12" t="inlineStr">
        <is>
          <t>j.w.</t>
        </is>
      </c>
      <c r="K121" s="11" t="inlineStr">
        <is>
          <t>LUKA</t>
        </is>
      </c>
      <c r="L121" s="11" t="inlineStr">
        <is>
          <t>WYSOKA</t>
        </is>
      </c>
      <c r="M121" s="11" t="inlineStr">
        <is>
          <t>S</t>
        </is>
      </c>
      <c r="N121" s="12" t="inlineStr"/>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CZĘŚCIOWE</t>
        </is>
      </c>
      <c r="J351" s="12" t="inlineStr">
        <is>
          <t>.github/workflows/deploy.yml — job test-gate (typecheck + pnpm --filter api test), build-push ma needs: test-gate</t>
        </is>
      </c>
      <c r="K351" s="11" t="inlineStr">
        <is>
          <t>CZĘŚCIOWY</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CZĘŚCIOWE</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CZĘŚCIOWY</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CZĘŚCIOWE</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CZĘŚCIOWY</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CZĘŚCIOWE</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CZĘŚCIOWY</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CZĘŚCIOWE</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CZĘŚCIOWY</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BRAK</t>
        </is>
      </c>
      <c r="J410" s="12" t="inlineStr">
        <is>
          <t>odczyt obu skryptów — `log_fail` ustawia `FAIL=1`, brak sprawdzenia returnów w `main`</t>
        </is>
      </c>
      <c r="K410" s="11" t="inlineStr">
        <is>
          <t>LUKA</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BRAK</t>
        </is>
      </c>
      <c r="J413" s="12" t="inlineStr">
        <is>
          <t>journalctl -k, 48 h: 15 wpisów DPT=443 + 5 wpisów DPT=80 na 172.19.0.3</t>
        </is>
      </c>
      <c r="K413" s="11" t="inlineStr">
        <is>
          <t>LUKA</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BRAK</t>
        </is>
      </c>
      <c r="J414" s="12" t="inlineStr">
        <is>
          <t>1 814 000 pakietów (RETURN) wobec 1796 wpisów w journalctl</t>
        </is>
      </c>
      <c r="K414" s="11" t="inlineStr">
        <is>
          <t>LUKA</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BRAK</t>
        </is>
      </c>
      <c r="J415" s="12" t="inlineStr">
        <is>
          <t>Panel: łańcuch = 2× RETURN, bez DROP; 1 814 000 pakietów przeszło ostatnim RETURN-em; `cgroup --path: NIEDOSTEPNE`</t>
        </is>
      </c>
      <c r="K415" s="11" t="inlineStr">
        <is>
          <t>LUKA</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FAK-01</t>
        </is>
      </c>
      <c r="B429" s="12" t="inlineStr">
        <is>
          <t>M</t>
        </is>
      </c>
      <c r="C429" s="11" t="inlineStr">
        <is>
          <t>Panel nie wystawia faktury VAT rownolegle z programem ksiegowym</t>
        </is>
      </c>
      <c r="D429" s="11" t="inlineStr">
        <is>
          <t>—</t>
        </is>
      </c>
      <c r="E429" s="11" t="inlineStr">
        <is>
          <t>—</t>
        </is>
      </c>
      <c r="F429" s="11" t="inlineStr">
        <is>
          <t>—</t>
        </is>
      </c>
      <c r="G429" s="11" t="inlineStr">
        <is>
          <t>—</t>
        </is>
      </c>
      <c r="H429" s="11" t="inlineStr">
        <is>
          <t>—</t>
        </is>
      </c>
      <c r="I429" s="11" t="inlineStr">
        <is>
          <t>BRAK</t>
        </is>
      </c>
      <c r="J429" s="12" t="inlineStr">
        <is>
          <t>billing/faktura-za-portfel.ts — nadajNumerFaktury nadaje numer z serii panelu przy kazdym obciazeniu portfela; billing/korekty.service.ts — korekty w tej samej serii; platform-settings.keys.ts:136 — ksef.enabled = 0. Brak przelacznika trybu fakturowania.</t>
        </is>
      </c>
      <c r="K429" s="11" t="inlineStr">
        <is>
          <t>LUKA</t>
        </is>
      </c>
      <c r="L429" s="11" t="inlineStr">
        <is>
          <t>BLOKER STARTU</t>
        </is>
      </c>
      <c r="M429" s="11" t="inlineStr">
        <is>
          <t>M</t>
        </is>
      </c>
      <c r="N429"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t>
        </is>
      </c>
    </row>
  </sheetData>
  <autoFilter ref="A1:N429"/>
  <conditionalFormatting sqref="D2:D429">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29">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29">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29">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29">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29">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29">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29">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2026-09-21T22:12:12Z</dcterms:created>
  <dcterms:modified xmlns:dcterms="http://purl.org/dc/terms/" xmlns:xsi="http://www.w3.org/2001/XMLSchema-instance" xsi:type="dcterms:W3CDTF">2026-09-21T22:12:13Z</dcterms:modified>
</cp:coreProperties>
</file>