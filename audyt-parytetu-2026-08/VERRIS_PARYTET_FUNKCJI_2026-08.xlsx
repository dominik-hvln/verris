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COUNTIF(Macierz!$K$2:$K$377,A6)</f>
        <v/>
      </c>
    </row>
    <row r="7">
      <c r="A7" s="5" t="inlineStr">
        <is>
          <t>PRZEWAGA</t>
        </is>
      </c>
      <c r="B7" s="5">
        <f>COUNTIF(Macierz!$K$2:$K$377,A7)</f>
        <v/>
      </c>
    </row>
    <row r="8">
      <c r="A8" s="5" t="inlineStr">
        <is>
          <t>CZĘŚCIOWY</t>
        </is>
      </c>
      <c r="B8" s="5">
        <f>COUNTIF(Macierz!$K$2:$K$377,A8)</f>
        <v/>
      </c>
    </row>
    <row r="9">
      <c r="A9" s="5" t="inlineStr">
        <is>
          <t>LUKA</t>
        </is>
      </c>
      <c r="B9" s="5">
        <f>COUNTIF(Macierz!$K$2:$K$377,A9)</f>
        <v/>
      </c>
    </row>
    <row r="10">
      <c r="A10" s="5" t="inlineStr">
        <is>
          <t>POZA ZAKRESEM</t>
        </is>
      </c>
      <c r="B10" s="5">
        <f>COUNTIF(Macierz!$K$2:$K$377,A10)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COUNTIF(Macierz!$I$2:$I$377,A15)</f>
        <v/>
      </c>
    </row>
    <row r="16">
      <c r="A16" s="5" t="inlineStr">
        <is>
          <t>CZĘŚCIOWE</t>
        </is>
      </c>
      <c r="B16" s="5">
        <f>COUNTIF(Macierz!$I$2:$I$377,A16)</f>
        <v/>
      </c>
    </row>
    <row r="17">
      <c r="A17" s="5" t="inlineStr">
        <is>
          <t>FLAGA</t>
        </is>
      </c>
      <c r="B17" s="5">
        <f>COUNTIF(Macierz!$I$2:$I$377,A17)</f>
        <v/>
      </c>
    </row>
    <row r="18">
      <c r="A18" s="5" t="inlineStr">
        <is>
          <t>ATRAPA</t>
        </is>
      </c>
      <c r="B18" s="5">
        <f>COUNTIF(Macierz!$I$2:$I$377,A18)</f>
        <v/>
      </c>
    </row>
    <row r="19">
      <c r="A19" s="5" t="inlineStr">
        <is>
          <t>ENDPOINT BEZ UI</t>
        </is>
      </c>
      <c r="B19" s="5">
        <f>COUNTIF(Macierz!$I$2:$I$377,A19)</f>
        <v/>
      </c>
    </row>
    <row r="20">
      <c r="A20" s="5" t="inlineStr">
        <is>
          <t>BRAK</t>
        </is>
      </c>
      <c r="B20" s="5">
        <f>COUNTIF(Macierz!$I$2:$I$377,A20)</f>
        <v/>
      </c>
    </row>
    <row r="21">
      <c r="A21" s="5" t="inlineStr">
        <is>
          <t>b.d.</t>
        </is>
      </c>
      <c r="B21" s="5">
        <f>COUNTIF(Macierz!$I$2:$I$377,A21)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COUNTIF(Macierz!$L$2:$L$377,A26)</f>
        <v/>
      </c>
    </row>
    <row r="27">
      <c r="A27" s="5" t="inlineStr">
        <is>
          <t>WYSOKA</t>
        </is>
      </c>
      <c r="B27" s="5">
        <f>COUNTIF(Macierz!$L$2:$L$377,A27)</f>
        <v/>
      </c>
    </row>
    <row r="28">
      <c r="A28" s="5" t="inlineStr">
        <is>
          <t>ŚREDNIA</t>
        </is>
      </c>
      <c r="B28" s="5">
        <f>COUNTIF(Macierz!$L$2:$L$377,A28)</f>
        <v/>
      </c>
    </row>
    <row r="29">
      <c r="A29" s="5" t="inlineStr">
        <is>
          <t>NISKA</t>
        </is>
      </c>
      <c r="B29" s="5">
        <f>COUNTIF(Macierz!$L$2:$L$377,A29)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COUNTIF(Macierz!$B$2:$B$377,"A")</f>
        <v/>
      </c>
      <c r="C33" s="7">
        <f>COUNTIFS(Macierz!$B$2:$B$377,"A",Macierz!$K$2:$K$377,"PARYTET")+COUNTIFS(Macierz!$B$2:$B$377,"A",Macierz!$K$2:$K$377,"PRZEWAGA")</f>
        <v/>
      </c>
      <c r="D33" s="7">
        <f>COUNTIFS(Macierz!$B$2:$B$377,"A",Macierz!$K$2:$K$377,"LUKA")</f>
        <v/>
      </c>
      <c r="E33" s="7">
        <f>COUNTIFS(Macierz!$B$2:$B$377,"A",Macierz!$L$2:$L$377,"BLOKER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COUNTIF(Macierz!$B$2:$B$377,"B")</f>
        <v/>
      </c>
      <c r="C34" s="7">
        <f>COUNTIFS(Macierz!$B$2:$B$377,"B",Macierz!$K$2:$K$377,"PARYTET")+COUNTIFS(Macierz!$B$2:$B$377,"B",Macierz!$K$2:$K$377,"PRZEWAGA")</f>
        <v/>
      </c>
      <c r="D34" s="7">
        <f>COUNTIFS(Macierz!$B$2:$B$377,"B",Macierz!$K$2:$K$377,"LUKA")</f>
        <v/>
      </c>
      <c r="E34" s="7">
        <f>COUNTIFS(Macierz!$B$2:$B$377,"B",Macierz!$L$2:$L$377,"BLOKER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COUNTIF(Macierz!$B$2:$B$377,"C")</f>
        <v/>
      </c>
      <c r="C35" s="7">
        <f>COUNTIFS(Macierz!$B$2:$B$377,"C",Macierz!$K$2:$K$377,"PARYTET")+COUNTIFS(Macierz!$B$2:$B$377,"C",Macierz!$K$2:$K$377,"PRZEWAGA")</f>
        <v/>
      </c>
      <c r="D35" s="7">
        <f>COUNTIFS(Macierz!$B$2:$B$377,"C",Macierz!$K$2:$K$377,"LUKA")</f>
        <v/>
      </c>
      <c r="E35" s="7">
        <f>COUNTIFS(Macierz!$B$2:$B$377,"C",Macierz!$L$2:$L$377,"BLOKER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COUNTIF(Macierz!$B$2:$B$377,"D")</f>
        <v/>
      </c>
      <c r="C36" s="7">
        <f>COUNTIFS(Macierz!$B$2:$B$377,"D",Macierz!$K$2:$K$377,"PARYTET")+COUNTIFS(Macierz!$B$2:$B$377,"D",Macierz!$K$2:$K$377,"PRZEWAGA")</f>
        <v/>
      </c>
      <c r="D36" s="7">
        <f>COUNTIFS(Macierz!$B$2:$B$377,"D",Macierz!$K$2:$K$377,"LUKA")</f>
        <v/>
      </c>
      <c r="E36" s="7">
        <f>COUNTIFS(Macierz!$B$2:$B$377,"D",Macierz!$L$2:$L$377,"BLOKER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COUNTIF(Macierz!$B$2:$B$377,"E")</f>
        <v/>
      </c>
      <c r="C37" s="7">
        <f>COUNTIFS(Macierz!$B$2:$B$377,"E",Macierz!$K$2:$K$377,"PARYTET")+COUNTIFS(Macierz!$B$2:$B$377,"E",Macierz!$K$2:$K$377,"PRZEWAGA")</f>
        <v/>
      </c>
      <c r="D37" s="7">
        <f>COUNTIFS(Macierz!$B$2:$B$377,"E",Macierz!$K$2:$K$377,"LUKA")</f>
        <v/>
      </c>
      <c r="E37" s="7">
        <f>COUNTIFS(Macierz!$B$2:$B$377,"E",Macierz!$L$2:$L$377,"BLOKER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COUNTIF(Macierz!$B$2:$B$377,"F")</f>
        <v/>
      </c>
      <c r="C38" s="7">
        <f>COUNTIFS(Macierz!$B$2:$B$377,"F",Macierz!$K$2:$K$377,"PARYTET")+COUNTIFS(Macierz!$B$2:$B$377,"F",Macierz!$K$2:$K$377,"PRZEWAGA")</f>
        <v/>
      </c>
      <c r="D38" s="7">
        <f>COUNTIFS(Macierz!$B$2:$B$377,"F",Macierz!$K$2:$K$377,"LUKA")</f>
        <v/>
      </c>
      <c r="E38" s="7">
        <f>COUNTIFS(Macierz!$B$2:$B$377,"F",Macierz!$L$2:$L$377,"BLOKER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COUNTIF(Macierz!$B$2:$B$377,"G")</f>
        <v/>
      </c>
      <c r="C39" s="7">
        <f>COUNTIFS(Macierz!$B$2:$B$377,"G",Macierz!$K$2:$K$377,"PARYTET")+COUNTIFS(Macierz!$B$2:$B$377,"G",Macierz!$K$2:$K$377,"PRZEWAGA")</f>
        <v/>
      </c>
      <c r="D39" s="7">
        <f>COUNTIFS(Macierz!$B$2:$B$377,"G",Macierz!$K$2:$K$377,"LUKA")</f>
        <v/>
      </c>
      <c r="E39" s="7">
        <f>COUNTIFS(Macierz!$B$2:$B$377,"G",Macierz!$L$2:$L$377,"BLOKER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COUNTIF(Macierz!$B$2:$B$377,"H")</f>
        <v/>
      </c>
      <c r="C40" s="7">
        <f>COUNTIFS(Macierz!$B$2:$B$377,"H",Macierz!$K$2:$K$377,"PARYTET")+COUNTIFS(Macierz!$B$2:$B$377,"H",Macierz!$K$2:$K$377,"PRZEWAGA")</f>
        <v/>
      </c>
      <c r="D40" s="7">
        <f>COUNTIFS(Macierz!$B$2:$B$377,"H",Macierz!$K$2:$K$377,"LUKA")</f>
        <v/>
      </c>
      <c r="E40" s="7">
        <f>COUNTIFS(Macierz!$B$2:$B$377,"H",Macierz!$L$2:$L$377,"BLOKER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COUNTIF(Macierz!$B$2:$B$377,"I")</f>
        <v/>
      </c>
      <c r="C41" s="7">
        <f>COUNTIFS(Macierz!$B$2:$B$377,"I",Macierz!$K$2:$K$377,"PARYTET")+COUNTIFS(Macierz!$B$2:$B$377,"I",Macierz!$K$2:$K$377,"PRZEWAGA")</f>
        <v/>
      </c>
      <c r="D41" s="7">
        <f>COUNTIFS(Macierz!$B$2:$B$377,"I",Macierz!$K$2:$K$377,"LUKA")</f>
        <v/>
      </c>
      <c r="E41" s="7">
        <f>COUNTIFS(Macierz!$B$2:$B$377,"I",Macierz!$L$2:$L$377,"BLOKER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COUNTIF(Macierz!$B$2:$B$377,"J")</f>
        <v/>
      </c>
      <c r="C42" s="7">
        <f>COUNTIFS(Macierz!$B$2:$B$377,"J",Macierz!$K$2:$K$377,"PARYTET")+COUNTIFS(Macierz!$B$2:$B$377,"J",Macierz!$K$2:$K$377,"PRZEWAGA")</f>
        <v/>
      </c>
      <c r="D42" s="7">
        <f>COUNTIFS(Macierz!$B$2:$B$377,"J",Macierz!$K$2:$K$377,"LUKA")</f>
        <v/>
      </c>
      <c r="E42" s="7">
        <f>COUNTIFS(Macierz!$B$2:$B$377,"J",Macierz!$L$2:$L$377,"BLOKER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COUNTIF(Macierz!$B$2:$B$377,"K")</f>
        <v/>
      </c>
      <c r="C43" s="7">
        <f>COUNTIFS(Macierz!$B$2:$B$377,"K",Macierz!$K$2:$K$377,"PARYTET")+COUNTIFS(Macierz!$B$2:$B$377,"K",Macierz!$K$2:$K$377,"PRZEWAGA")</f>
        <v/>
      </c>
      <c r="D43" s="7">
        <f>COUNTIFS(Macierz!$B$2:$B$377,"K",Macierz!$K$2:$K$377,"LUKA")</f>
        <v/>
      </c>
      <c r="E43" s="7">
        <f>COUNTIFS(Macierz!$B$2:$B$377,"K",Macierz!$L$2:$L$377,"BLOKER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COUNTIF(Macierz!$B$2:$B$377,"L")</f>
        <v/>
      </c>
      <c r="C44" s="7">
        <f>COUNTIFS(Macierz!$B$2:$B$377,"L",Macierz!$K$2:$K$377,"PARYTET")+COUNTIFS(Macierz!$B$2:$B$377,"L",Macierz!$K$2:$K$377,"PRZEWAGA")</f>
        <v/>
      </c>
      <c r="D44" s="7">
        <f>COUNTIFS(Macierz!$B$2:$B$377,"L",Macierz!$K$2:$K$377,"LUKA")</f>
        <v/>
      </c>
      <c r="E44" s="7">
        <f>COUNTIFS(Macierz!$B$2:$B$377,"L",Macierz!$L$2:$L$377,"BLOKER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COUNTIF(Macierz!$B$2:$B$377,"M")</f>
        <v/>
      </c>
      <c r="C45" s="7">
        <f>COUNTIFS(Macierz!$B$2:$B$377,"M",Macierz!$K$2:$K$377,"PARYTET")+COUNTIFS(Macierz!$B$2:$B$377,"M",Macierz!$K$2:$K$377,"PRZEWAGA")</f>
        <v/>
      </c>
      <c r="D45" s="7">
        <f>COUNTIFS(Macierz!$B$2:$B$377,"M",Macierz!$K$2:$K$377,"LUKA")</f>
        <v/>
      </c>
      <c r="E45" s="7">
        <f>COUNTIFS(Macierz!$B$2:$B$377,"M",Macierz!$L$2:$L$377,"BLOKER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COUNTIF(Macierz!$B$2:$B$377,"N")</f>
        <v/>
      </c>
      <c r="C46" s="7">
        <f>COUNTIFS(Macierz!$B$2:$B$377,"N",Macierz!$K$2:$K$377,"PARYTET")+COUNTIFS(Macierz!$B$2:$B$377,"N",Macierz!$K$2:$K$377,"PRZEWAGA")</f>
        <v/>
      </c>
      <c r="D46" s="7">
        <f>COUNTIFS(Macierz!$B$2:$B$377,"N",Macierz!$K$2:$K$377,"LUKA")</f>
        <v/>
      </c>
      <c r="E46" s="7">
        <f>COUNTIFS(Macierz!$B$2:$B$377,"N",Macierz!$L$2:$L$377,"BLOKER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COUNTIF(Macierz!$B$2:$B$377,"O")</f>
        <v/>
      </c>
      <c r="C47" s="7">
        <f>COUNTIFS(Macierz!$B$2:$B$377,"O",Macierz!$K$2:$K$377,"PARYTET")+COUNTIFS(Macierz!$B$2:$B$377,"O",Macierz!$K$2:$K$377,"PRZEWAGA")</f>
        <v/>
      </c>
      <c r="D47" s="7">
        <f>COUNTIFS(Macierz!$B$2:$B$377,"O",Macierz!$K$2:$K$377,"LUKA")</f>
        <v/>
      </c>
      <c r="E47" s="7">
        <f>COUNTIFS(Macierz!$B$2:$B$377,"O",Macierz!$L$2:$L$377,"BLOKER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COUNTIF(Macierz!$B$2:$B$377,"P")</f>
        <v/>
      </c>
      <c r="C48" s="7">
        <f>COUNTIFS(Macierz!$B$2:$B$377,"P",Macierz!$K$2:$K$377,"PARYTET")+COUNTIFS(Macierz!$B$2:$B$377,"P",Macierz!$K$2:$K$377,"PRZEWAGA")</f>
        <v/>
      </c>
      <c r="D48" s="7">
        <f>COUNTIFS(Macierz!$B$2:$B$377,"P",Macierz!$K$2:$K$377,"LUKA")</f>
        <v/>
      </c>
      <c r="E48" s="7">
        <f>COUNTIFS(Macierz!$B$2:$B$377,"P",Macierz!$L$2:$L$377,"BLOKER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COUNTIF(Macierz!$B$2:$B$377,"Q")</f>
        <v/>
      </c>
      <c r="C49" s="7">
        <f>COUNTIFS(Macierz!$B$2:$B$377,"Q",Macierz!$K$2:$K$377,"PARYTET")+COUNTIFS(Macierz!$B$2:$B$377,"Q",Macierz!$K$2:$K$377,"PRZEWAGA")</f>
        <v/>
      </c>
      <c r="D49" s="7">
        <f>COUNTIFS(Macierz!$B$2:$B$377,"Q",Macierz!$K$2:$K$377,"LUKA")</f>
        <v/>
      </c>
      <c r="E49" s="7">
        <f>COUNTIFS(Macierz!$B$2:$B$377,"Q",Macierz!$L$2:$L$377,"BLOKER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COUNTIF(Macierz!$B$2:$B$377,"X")</f>
        <v/>
      </c>
      <c r="C50" s="7">
        <f>COUNTIFS(Macierz!$B$2:$B$377,"X",Macierz!$K$2:$K$377,"PARYTET")+COUNTIFS(Macierz!$B$2:$B$377,"X",Macierz!$K$2:$K$377,"PRZEWAGA")</f>
        <v/>
      </c>
      <c r="D50" s="7">
        <f>COUNTIFS(Macierz!$B$2:$B$377,"X",Macierz!$K$2:$K$377,"LUKA")</f>
        <v/>
      </c>
      <c r="E50" s="7">
        <f>COUNTIFS(Macierz!$B$2:$B$377,"X",Macierz!$L$2:$L$377,"BLOKER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COUNTIF(Macierz!$B$2:$B$377,"Z")</f>
        <v/>
      </c>
      <c r="C51" s="7">
        <f>COUNTIFS(Macierz!$B$2:$B$377,"Z",Macierz!$K$2:$K$377,"PARYTET")+COUNTIFS(Macierz!$B$2:$B$377,"Z",Macierz!$K$2:$K$377,"PRZEWAGA")</f>
        <v/>
      </c>
      <c r="D51" s="7">
        <f>COUNTIFS(Macierz!$B$2:$B$377,"Z",Macierz!$K$2:$K$377,"LUKA")</f>
        <v/>
      </c>
      <c r="E51" s="7">
        <f>COUNTIFS(Macierz!$B$2:$B$377,"Z",Macierz!$L$2:$L$377,"BLOKER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L</t>
        </is>
      </c>
      <c r="N244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DZIAŁA</t>
        </is>
      </c>
      <c r="J272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2" s="11" t="inlineStr">
        <is>
          <t>PARYTET</t>
        </is>
      </c>
      <c r="L272" s="11" t="inlineStr">
        <is>
          <t>—</t>
        </is>
      </c>
      <c r="M272" s="11" t="inlineStr">
        <is>
          <t>L</t>
        </is>
      </c>
      <c r="N272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M</t>
        </is>
      </c>
      <c r="N274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7">
      <c r="A367" s="11" t="inlineStr">
        <is>
          <t>X-14</t>
        </is>
      </c>
      <c r="B367" s="12" t="inlineStr">
        <is>
          <t>X</t>
        </is>
      </c>
      <c r="C367" s="11" t="inlineStr">
        <is>
          <t>CI sprawdza DANE po migracji, nie tylko czy migracja się wykonała</t>
        </is>
      </c>
      <c r="D367" s="11" t="inlineStr">
        <is>
          <t>—</t>
        </is>
      </c>
      <c r="E367" s="11" t="inlineStr">
        <is>
          <t>—</t>
        </is>
      </c>
      <c r="F367" s="11" t="inlineStr">
        <is>
          <t>—</t>
        </is>
      </c>
      <c r="G367" s="11" t="inlineStr">
        <is>
          <t>—</t>
        </is>
      </c>
      <c r="H367" s="11" t="inlineStr">
        <is>
          <t>—</t>
        </is>
      </c>
      <c r="I367" s="11" t="inlineStr">
        <is>
          <t>DZIAŁA</t>
        </is>
      </c>
      <c r="J367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7" s="11" t="inlineStr">
        <is>
          <t>PARYTET</t>
        </is>
      </c>
      <c r="L367" s="11" t="inlineStr">
        <is>
          <t>—</t>
        </is>
      </c>
      <c r="M367" s="11" t="inlineStr">
        <is>
          <t>S</t>
        </is>
      </c>
      <c r="N367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8">
      <c r="A368" s="11" t="inlineStr">
        <is>
          <t>X-15</t>
        </is>
      </c>
      <c r="B368" s="12" t="inlineStr">
        <is>
          <t>X</t>
        </is>
      </c>
      <c r="C368" s="11" t="inlineStr">
        <is>
          <t>Niezmiennik księgi pojemności sprawdzany liczbowo, nie tekstowo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69">
      <c r="A369" s="11" t="inlineStr">
        <is>
          <t>X-17</t>
        </is>
      </c>
      <c r="B369" s="12" t="inlineStr">
        <is>
          <t>X</t>
        </is>
      </c>
      <c r="C369" s="11" t="inlineStr">
        <is>
          <t>Joby CI budują zależności workspace'u zanim uruchomią testy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0">
      <c r="A370" s="11" t="inlineStr">
        <is>
          <t>X-18</t>
        </is>
      </c>
      <c r="B370" s="12" t="inlineStr">
        <is>
          <t>X</t>
        </is>
      </c>
      <c r="C370" s="11" t="inlineStr">
        <is>
          <t>Zależności podniesione do najnowszych bezpiecznych wersji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M</t>
        </is>
      </c>
      <c r="N370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1">
      <c r="A371" s="11" t="inlineStr">
        <is>
          <t>X-19</t>
        </is>
      </c>
      <c r="B371" s="12" t="inlineStr">
        <is>
          <t>X</t>
        </is>
      </c>
      <c r="C371" s="11" t="inlineStr">
        <is>
          <t>Dług lintera odsłonięty przez Next 16 i włączenie ESLinta w API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CZĘŚCIOWE</t>
        </is>
      </c>
      <c r="J371" s="12" t="inlineStr">
        <is>
          <t>libs/eslint-config/node.mjs oraz apps/*/eslint.config.mjs — reguły włączone, ale część jako ostrzeżenia; 209 ostrzeżeń w panelach, 58 w API</t>
        </is>
      </c>
      <c r="K371" s="11" t="inlineStr">
        <is>
          <t>CZĘŚCIOWY</t>
        </is>
      </c>
      <c r="L371" s="11" t="inlineStr">
        <is>
          <t>ŚREDNIA</t>
        </is>
      </c>
      <c r="M371" s="11" t="inlineStr">
        <is>
          <t>M</t>
        </is>
      </c>
      <c r="N371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2">
      <c r="A372" s="11" t="inlineStr">
        <is>
          <t>X-20</t>
        </is>
      </c>
      <c r="B372" s="12" t="inlineStr">
        <is>
          <t>X</t>
        </is>
      </c>
      <c r="C372" s="11" t="inlineStr">
        <is>
          <t>Decyzja i migracja na Prismę 7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BRAK</t>
        </is>
      </c>
      <c r="J372" s="12" t="inlineStr">
        <is>
          <t>libs/database/package.json — prisma 6.19.3; schema.prisma:17 — datasource url = env("DATABASE_URL"), składnia usunięta w Prismie 7</t>
        </is>
      </c>
      <c r="K372" s="11" t="inlineStr">
        <is>
          <t>LUKA</t>
        </is>
      </c>
      <c r="L372" s="11" t="inlineStr">
        <is>
          <t>ŚREDNIA</t>
        </is>
      </c>
      <c r="M372" s="11" t="inlineStr">
        <is>
          <t>L</t>
        </is>
      </c>
      <c r="N372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3">
      <c r="A373" s="11" t="inlineStr">
        <is>
          <t>X-21</t>
        </is>
      </c>
      <c r="B373" s="12" t="inlineStr">
        <is>
          <t>X</t>
        </is>
      </c>
      <c r="C373" s="11" t="inlineStr">
        <is>
          <t>Deklaracje typów opisują tę wersję biblioteki, która jest zainstalowana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DZIAŁA</t>
        </is>
      </c>
      <c r="J373" s="12" t="inlineStr">
        <is>
          <t>apps/api/package.json — @types/archiver ^8.0.0 przy archiver ^8.0.0; apps/api/src/test/typy-zgodne-z-runtime.spec.ts — 12 testów; package.json — engines.node "&gt;=22.12"</t>
        </is>
      </c>
      <c r="K373" s="11" t="inlineStr">
        <is>
          <t>PARYTET</t>
        </is>
      </c>
      <c r="L373" s="11" t="inlineStr">
        <is>
          <t>—</t>
        </is>
      </c>
      <c r="M373" s="11" t="inlineStr">
        <is>
          <t>S</t>
        </is>
      </c>
      <c r="N373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4">
      <c r="A374" s="11" t="inlineStr">
        <is>
          <t>X-22</t>
        </is>
      </c>
      <c r="B374" s="12" t="inlineStr">
        <is>
          <t>X</t>
        </is>
      </c>
      <c r="C374" s="11" t="inlineStr">
        <is>
          <t>Eksport danych osobowych (RODO art. 20) sprawdzany testem end-to-end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apps/api/src/compliance/data-export.service.ts — buildZipToFile bez żadnego testu; apps/api/src/compliance/*.spec.ts — brak pokrycia tej ścieżki</t>
        </is>
      </c>
      <c r="K374" s="11" t="inlineStr">
        <is>
          <t>LUKA</t>
        </is>
      </c>
      <c r="L374" s="11" t="inlineStr">
        <is>
          <t>WYSOKA</t>
        </is>
      </c>
      <c r="M374" s="11" t="inlineStr">
        <is>
          <t>M</t>
        </is>
      </c>
      <c r="N374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5">
      <c r="A375" s="11" t="inlineStr">
        <is>
          <t>X-23</t>
        </is>
      </c>
      <c r="B375" s="12" t="inlineStr">
        <is>
          <t>X</t>
        </is>
      </c>
      <c r="C375" s="11" t="inlineStr">
        <is>
          <t>Bramka podatności zatrzymuje wdrożenie, a nie tylko dopisuje adnotację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6">
      <c r="A376" s="11" t="inlineStr">
        <is>
          <t>M-34</t>
        </is>
      </c>
      <c r="B376" s="12" t="inlineStr">
        <is>
          <t>M</t>
        </is>
      </c>
      <c r="C376" s="11" t="inlineStr">
        <is>
          <t>Model prepaid potwierdzony z księgową — doładowanie bez faktury zaliczkowej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TAK</t>
        </is>
      </c>
      <c r="H376" s="11" t="inlineStr">
        <is>
          <t>TAK</t>
        </is>
      </c>
      <c r="I376" s="11" t="inlineStr">
        <is>
          <t>b.d.</t>
        </is>
      </c>
      <c r="J376" s="12" t="inlineStr">
        <is>
          <t>faktura-za-portfel.ts — TYPY_SPRZEDAZY nie obejmuje TOPUP; billing.service.ts:handleCheckoutCompleted — doładowanie kredytuje portfel i nie tworzy dokumentu</t>
        </is>
      </c>
      <c r="K376" s="11" t="inlineStr">
        <is>
          <t>CZĘŚCIOWY</t>
        </is>
      </c>
      <c r="L376" s="11" t="inlineStr">
        <is>
          <t>WYSOKA</t>
        </is>
      </c>
      <c r="M376" s="11" t="inlineStr">
        <is>
          <t>S</t>
        </is>
      </c>
      <c r="N376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7">
      <c r="A377" s="11" t="inlineStr">
        <is>
          <t>X-24</t>
        </is>
      </c>
      <c r="B377" s="12" t="inlineStr">
        <is>
          <t>X</t>
        </is>
      </c>
      <c r="C377" s="11" t="inlineStr">
        <is>
          <t>Panel admina woła ścieżki, które API naprawdę wystawia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—</t>
        </is>
      </c>
      <c r="H377" s="11" t="inlineStr">
        <is>
          <t>—</t>
        </is>
      </c>
      <c r="I377" s="11" t="inlineStr">
        <is>
          <t>DZIAŁA</t>
        </is>
      </c>
      <c r="J377" s="12" t="inlineStr">
        <is>
          <t>apps/api/src/test/sciezki-panelu.spec.ts — 5 testów; porównuje wywołania adminApi() z panelu z trasami zadeklarowanymi w kontrolerach API</t>
        </is>
      </c>
      <c r="K377" s="11" t="inlineStr">
        <is>
          <t>PARYTET</t>
        </is>
      </c>
      <c r="L377" s="11" t="inlineStr">
        <is>
          <t>—</t>
        </is>
      </c>
      <c r="M377" s="11" t="inlineStr">
        <is>
          <t>S</t>
        </is>
      </c>
      <c r="N377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</sheetData>
  <autoFilter ref="A1:N377"/>
  <conditionalFormatting sqref="D2:D377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77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77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77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77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77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77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77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2026-08-22T16:35:26Z</dcterms:created>
  <dcterms:modified xmlns:dcterms="http://purl.org/dc/terms/" xmlns:xsi="http://www.w3.org/2001/XMLSchema-instance" xsi:type="dcterms:W3CDTF">2026-08-22T16:35:26Z</dcterms:modified>
</cp:coreProperties>
</file>