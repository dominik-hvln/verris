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dsumowanie" sheetId="1" state="visible" r:id="rId1"/>
    <sheet xmlns:r="http://schemas.openxmlformats.org/officeDocument/2006/relationships" name="Macierz" sheetId="2" state="visible" r:id="rId2"/>
  </sheets>
  <definedNames>
    <definedName name="_xlnm._FilterDatabase" localSheetId="1" hidden="1">'Macierz'!$A$1:$N$441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color rgb="001F3A5F"/>
      <sz val="15"/>
    </font>
    <font>
      <name val="Arial"/>
      <i val="1"/>
      <color rgb="00606060"/>
      <sz val="10"/>
    </font>
    <font>
      <name val="Arial"/>
      <b val="1"/>
      <color rgb="001F3A5F"/>
      <sz val="13"/>
    </font>
    <font>
      <name val="Arial"/>
      <color rgb="00000000"/>
      <sz val="10"/>
    </font>
    <font>
      <name val="Arial"/>
      <b val="1"/>
      <color rgb="00C00000"/>
      <sz val="10"/>
    </font>
    <font>
      <name val="Arial"/>
      <b val="1"/>
      <color rgb="00C00000"/>
      <sz val="11"/>
    </font>
  </fonts>
  <fills count="3">
    <fill>
      <patternFill/>
    </fill>
    <fill>
      <patternFill patternType="gray125"/>
    </fill>
    <fill>
      <patternFill patternType="solid">
        <fgColor rgb="001F3A5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0" pivotButton="0" quotePrefix="0" xfId="0"/>
    <xf numFmtId="0" fontId="6" fillId="0" borderId="0" pivotButton="0" quotePrefix="0" xfId="0"/>
    <xf numFmtId="0" fontId="7" fillId="0" borderId="0" pivotButton="0" quotePrefix="0" xfId="0"/>
    <xf numFmtId="0" fontId="2" fillId="0" borderId="0" pivotButton="0" quotePrefix="0" xfId="0"/>
    <xf numFmtId="9" fontId="2" fillId="0" borderId="0" pivotButton="0" quotePrefix="0" xfId="0"/>
    <xf numFmtId="0" fontId="8"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dxfs count="10">
    <dxf>
      <font>
        <name val="Arial"/>
        <b val="1"/>
        <color rgb="00000000"/>
        <sz val="10"/>
      </font>
      <fill>
        <patternFill patternType="solid">
          <fgColor rgb="00D6EFD8"/>
        </patternFill>
      </fill>
    </dxf>
    <dxf>
      <font>
        <name val="Arial"/>
        <b val="1"/>
        <color rgb="00000000"/>
        <sz val="10"/>
      </font>
      <fill>
        <patternFill patternType="solid">
          <fgColor rgb="00FFF2CC"/>
        </patternFill>
      </fill>
    </dxf>
    <dxf>
      <font>
        <name val="Arial"/>
        <b val="1"/>
        <color rgb="00000000"/>
        <sz val="10"/>
      </font>
      <fill>
        <patternFill patternType="solid">
          <fgColor rgb="00FCE4D6"/>
        </patternFill>
      </fill>
    </dxf>
    <dxf>
      <font>
        <name val="Arial"/>
        <b val="1"/>
        <color rgb="00000000"/>
        <sz val="10"/>
      </font>
      <fill>
        <patternFill patternType="solid">
          <fgColor rgb="00F2F2F2"/>
        </patternFill>
      </fill>
    </dxf>
    <dxf>
      <font>
        <name val="Arial"/>
        <b val="1"/>
        <color rgb="00000000"/>
        <sz val="10"/>
      </font>
      <fill>
        <patternFill patternType="solid">
          <fgColor rgb="00EDEDED"/>
        </patternFill>
      </fill>
    </dxf>
    <dxf>
      <font>
        <name val="Arial"/>
        <b val="1"/>
        <color rgb="00000000"/>
        <sz val="10"/>
      </font>
      <fill>
        <patternFill patternType="solid">
          <fgColor rgb="00FFE699"/>
        </patternFill>
      </fill>
    </dxf>
    <dxf>
      <font>
        <name val="Arial"/>
        <b val="1"/>
        <color rgb="00000000"/>
        <sz val="10"/>
      </font>
      <fill>
        <patternFill patternType="solid">
          <fgColor rgb="00F8CBAD"/>
        </patternFill>
      </fill>
    </dxf>
    <dxf>
      <font>
        <name val="Arial"/>
        <b val="1"/>
        <color rgb="00000000"/>
        <sz val="10"/>
      </font>
      <fill>
        <patternFill patternType="solid">
          <fgColor rgb="00F4B6B6"/>
        </patternFill>
      </fill>
    </dxf>
    <dxf>
      <font>
        <name val="Arial"/>
        <b val="1"/>
        <color rgb="00000000"/>
        <sz val="10"/>
      </font>
      <fill>
        <patternFill patternType="solid">
          <fgColor rgb="00BDD7EE"/>
        </patternFill>
      </fill>
    </dxf>
    <dxf>
      <font>
        <name val="Arial"/>
        <b val="1"/>
        <color rgb="00FFFFFF"/>
        <sz val="10"/>
      </font>
      <fill>
        <patternFill patternType="solid">
          <f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6" customWidth="1" min="1" max="1"/>
    <col width="15" customWidth="1" min="2" max="2"/>
    <col width="15" customWidth="1" min="3" max="3"/>
    <col width="15" customWidth="1" min="4" max="4"/>
    <col width="15" customWidth="1" min="5" max="5"/>
    <col width="15" customWidth="1" min="6" max="6"/>
  </cols>
  <sheetData>
    <row r="1">
      <c r="A1" s="1" t="inlineStr">
        <is>
          <t>Verris — parytet funkcji wobec rynku</t>
        </is>
      </c>
    </row>
    <row r="2">
      <c r="A2" s="2" t="inlineStr">
        <is>
          <t>Wygenerowane 2026-10-13 z audyt/dane/macierz.csv · nie edytuj tego pliku ręcznie</t>
        </is>
      </c>
    </row>
    <row r="4">
      <c r="A4" s="3" t="inlineStr">
        <is>
          <t>Werdykt parytetu</t>
        </is>
      </c>
    </row>
    <row r="5">
      <c r="A5" s="4" t="inlineStr">
        <is>
          <t>Wartość</t>
        </is>
      </c>
      <c r="B5" s="4" t="inlineStr">
        <is>
          <t>Pozycji</t>
        </is>
      </c>
    </row>
    <row r="6">
      <c r="A6" s="5" t="inlineStr">
        <is>
          <t>PARYTET</t>
        </is>
      </c>
      <c r="B6" s="5">
        <f>COUNTIF(Macierz!$K$2:$K$441,A6)</f>
        <v/>
      </c>
    </row>
    <row r="7">
      <c r="A7" s="5" t="inlineStr">
        <is>
          <t>PRZEWAGA</t>
        </is>
      </c>
      <c r="B7" s="5">
        <f>COUNTIF(Macierz!$K$2:$K$441,A7)</f>
        <v/>
      </c>
    </row>
    <row r="8">
      <c r="A8" s="5" t="inlineStr">
        <is>
          <t>CZĘŚCIOWY</t>
        </is>
      </c>
      <c r="B8" s="5">
        <f>COUNTIF(Macierz!$K$2:$K$441,A8)</f>
        <v/>
      </c>
    </row>
    <row r="9">
      <c r="A9" s="5" t="inlineStr">
        <is>
          <t>LUKA</t>
        </is>
      </c>
      <c r="B9" s="5">
        <f>COUNTIF(Macierz!$K$2:$K$441,A9)</f>
        <v/>
      </c>
    </row>
    <row r="10">
      <c r="A10" s="5" t="inlineStr">
        <is>
          <t>POZA ZAKRESEM</t>
        </is>
      </c>
      <c r="B10" s="5">
        <f>COUNTIF(Macierz!$K$2:$K$441,A10)</f>
        <v/>
      </c>
    </row>
    <row r="13">
      <c r="A13" s="3" t="inlineStr">
        <is>
          <t>Stan implementacji</t>
        </is>
      </c>
    </row>
    <row r="14">
      <c r="A14" s="4" t="inlineStr">
        <is>
          <t>Wartość</t>
        </is>
      </c>
      <c r="B14" s="4" t="inlineStr">
        <is>
          <t>Pozycji</t>
        </is>
      </c>
    </row>
    <row r="15">
      <c r="A15" s="5" t="inlineStr">
        <is>
          <t>DZIAŁA</t>
        </is>
      </c>
      <c r="B15" s="5">
        <f>COUNTIF(Macierz!$I$2:$I$441,A15)</f>
        <v/>
      </c>
    </row>
    <row r="16">
      <c r="A16" s="5" t="inlineStr">
        <is>
          <t>CZĘŚCIOWE</t>
        </is>
      </c>
      <c r="B16" s="5">
        <f>COUNTIF(Macierz!$I$2:$I$441,A16)</f>
        <v/>
      </c>
    </row>
    <row r="17">
      <c r="A17" s="5" t="inlineStr">
        <is>
          <t>FLAGA</t>
        </is>
      </c>
      <c r="B17" s="5">
        <f>COUNTIF(Macierz!$I$2:$I$441,A17)</f>
        <v/>
      </c>
    </row>
    <row r="18">
      <c r="A18" s="5" t="inlineStr">
        <is>
          <t>ATRAPA</t>
        </is>
      </c>
      <c r="B18" s="5">
        <f>COUNTIF(Macierz!$I$2:$I$441,A18)</f>
        <v/>
      </c>
    </row>
    <row r="19">
      <c r="A19" s="5" t="inlineStr">
        <is>
          <t>ENDPOINT BEZ UI</t>
        </is>
      </c>
      <c r="B19" s="5">
        <f>COUNTIF(Macierz!$I$2:$I$441,A19)</f>
        <v/>
      </c>
    </row>
    <row r="20">
      <c r="A20" s="5" t="inlineStr">
        <is>
          <t>BRAK</t>
        </is>
      </c>
      <c r="B20" s="5">
        <f>COUNTIF(Macierz!$I$2:$I$441,A20)</f>
        <v/>
      </c>
    </row>
    <row r="21">
      <c r="A21" s="5" t="inlineStr">
        <is>
          <t>b.d.</t>
        </is>
      </c>
      <c r="B21" s="5">
        <f>COUNTIF(Macierz!$I$2:$I$441,A21)</f>
        <v/>
      </c>
    </row>
    <row r="24">
      <c r="A24" s="3" t="inlineStr">
        <is>
          <t>Krytyczność luk</t>
        </is>
      </c>
    </row>
    <row r="25">
      <c r="A25" s="4" t="inlineStr">
        <is>
          <t>Wartość</t>
        </is>
      </c>
      <c r="B25" s="4" t="inlineStr">
        <is>
          <t>Pozycji</t>
        </is>
      </c>
    </row>
    <row r="26">
      <c r="A26" s="6" t="inlineStr">
        <is>
          <t>BLOKER STARTU</t>
        </is>
      </c>
      <c r="B26" s="6">
        <f>COUNTIF(Macierz!$L$2:$L$441,A26)</f>
        <v/>
      </c>
    </row>
    <row r="27">
      <c r="A27" s="5" t="inlineStr">
        <is>
          <t>WYSOKA</t>
        </is>
      </c>
      <c r="B27" s="5">
        <f>COUNTIF(Macierz!$L$2:$L$441,A27)</f>
        <v/>
      </c>
    </row>
    <row r="28">
      <c r="A28" s="5" t="inlineStr">
        <is>
          <t>ŚREDNIA</t>
        </is>
      </c>
      <c r="B28" s="5">
        <f>COUNTIF(Macierz!$L$2:$L$441,A28)</f>
        <v/>
      </c>
    </row>
    <row r="29">
      <c r="A29" s="5" t="inlineStr">
        <is>
          <t>NISKA</t>
        </is>
      </c>
      <c r="B29" s="5">
        <f>COUNTIF(Macierz!$L$2:$L$441,A29)</f>
        <v/>
      </c>
    </row>
    <row r="31">
      <c r="A31" s="3" t="inlineStr">
        <is>
          <t>Pokrycie per kategoria</t>
        </is>
      </c>
    </row>
    <row r="32">
      <c r="A32" s="4" t="inlineStr">
        <is>
          <t>Kategoria</t>
        </is>
      </c>
      <c r="B32" s="4" t="inlineStr">
        <is>
          <t>Pozycji</t>
        </is>
      </c>
      <c r="C32" s="4" t="inlineStr">
        <is>
          <t>Parytet+Przewaga</t>
        </is>
      </c>
      <c r="D32" s="4" t="inlineStr">
        <is>
          <t>Luki</t>
        </is>
      </c>
      <c r="E32" s="4" t="inlineStr">
        <is>
          <t>Blokery</t>
        </is>
      </c>
      <c r="F32" s="4" t="inlineStr">
        <is>
          <t>Pokrycie</t>
        </is>
      </c>
    </row>
    <row r="33">
      <c r="A33" s="7" t="inlineStr">
        <is>
          <t>A — Domeny i konta</t>
        </is>
      </c>
      <c r="B33" s="7">
        <f>COUNTIF(Macierz!$B$2:$B$441,"A")</f>
        <v/>
      </c>
      <c r="C33" s="7">
        <f>COUNTIFS(Macierz!$B$2:$B$441,"A",Macierz!$K$2:$K$441,"PARYTET")+COUNTIFS(Macierz!$B$2:$B$441,"A",Macierz!$K$2:$K$441,"PRZEWAGA")</f>
        <v/>
      </c>
      <c r="D33" s="7">
        <f>COUNTIFS(Macierz!$B$2:$B$441,"A",Macierz!$K$2:$K$441,"LUKA")</f>
        <v/>
      </c>
      <c r="E33" s="7">
        <f>COUNTIFS(Macierz!$B$2:$B$441,"A",Macierz!$L$2:$L$441,"BLOKER STARTU")</f>
        <v/>
      </c>
      <c r="F33" s="8">
        <f>IFERROR(C33/B33,0)</f>
        <v/>
      </c>
    </row>
    <row r="34">
      <c r="A34" s="7" t="inlineStr">
        <is>
          <t>B — Runtime WWW</t>
        </is>
      </c>
      <c r="B34" s="7">
        <f>COUNTIF(Macierz!$B$2:$B$441,"B")</f>
        <v/>
      </c>
      <c r="C34" s="7">
        <f>COUNTIFS(Macierz!$B$2:$B$441,"B",Macierz!$K$2:$K$441,"PARYTET")+COUNTIFS(Macierz!$B$2:$B$441,"B",Macierz!$K$2:$K$441,"PRZEWAGA")</f>
        <v/>
      </c>
      <c r="D34" s="7">
        <f>COUNTIFS(Macierz!$B$2:$B$441,"B",Macierz!$K$2:$K$441,"LUKA")</f>
        <v/>
      </c>
      <c r="E34" s="7">
        <f>COUNTIFS(Macierz!$B$2:$B$441,"B",Macierz!$L$2:$L$441,"BLOKER STARTU")</f>
        <v/>
      </c>
      <c r="F34" s="8">
        <f>IFERROR(C34/B34,0)</f>
        <v/>
      </c>
    </row>
    <row r="35">
      <c r="A35" s="7" t="inlineStr">
        <is>
          <t>C — Pliki, FTP, SSH, Git</t>
        </is>
      </c>
      <c r="B35" s="7">
        <f>COUNTIF(Macierz!$B$2:$B$441,"C")</f>
        <v/>
      </c>
      <c r="C35" s="7">
        <f>COUNTIFS(Macierz!$B$2:$B$441,"C",Macierz!$K$2:$K$441,"PARYTET")+COUNTIFS(Macierz!$B$2:$B$441,"C",Macierz!$K$2:$K$441,"PRZEWAGA")</f>
        <v/>
      </c>
      <c r="D35" s="7">
        <f>COUNTIFS(Macierz!$B$2:$B$441,"C",Macierz!$K$2:$K$441,"LUKA")</f>
        <v/>
      </c>
      <c r="E35" s="7">
        <f>COUNTIFS(Macierz!$B$2:$B$441,"C",Macierz!$L$2:$L$441,"BLOKER STARTU")</f>
        <v/>
      </c>
      <c r="F35" s="8">
        <f>IFERROR(C35/B35,0)</f>
        <v/>
      </c>
    </row>
    <row r="36">
      <c r="A36" s="7" t="inlineStr">
        <is>
          <t>D — Bazy danych</t>
        </is>
      </c>
      <c r="B36" s="7">
        <f>COUNTIF(Macierz!$B$2:$B$441,"D")</f>
        <v/>
      </c>
      <c r="C36" s="7">
        <f>COUNTIFS(Macierz!$B$2:$B$441,"D",Macierz!$K$2:$K$441,"PARYTET")+COUNTIFS(Macierz!$B$2:$B$441,"D",Macierz!$K$2:$K$441,"PRZEWAGA")</f>
        <v/>
      </c>
      <c r="D36" s="7">
        <f>COUNTIFS(Macierz!$B$2:$B$441,"D",Macierz!$K$2:$K$441,"LUKA")</f>
        <v/>
      </c>
      <c r="E36" s="7">
        <f>COUNTIFS(Macierz!$B$2:$B$441,"D",Macierz!$L$2:$L$441,"BLOKER STARTU")</f>
        <v/>
      </c>
      <c r="F36" s="8">
        <f>IFERROR(C36/B36,0)</f>
        <v/>
      </c>
    </row>
    <row r="37">
      <c r="A37" s="7" t="inlineStr">
        <is>
          <t>E — Poczta</t>
        </is>
      </c>
      <c r="B37" s="7">
        <f>COUNTIF(Macierz!$B$2:$B$441,"E")</f>
        <v/>
      </c>
      <c r="C37" s="7">
        <f>COUNTIFS(Macierz!$B$2:$B$441,"E",Macierz!$K$2:$K$441,"PARYTET")+COUNTIFS(Macierz!$B$2:$B$441,"E",Macierz!$K$2:$K$441,"PRZEWAGA")</f>
        <v/>
      </c>
      <c r="D37" s="7">
        <f>COUNTIFS(Macierz!$B$2:$B$441,"E",Macierz!$K$2:$K$441,"LUKA")</f>
        <v/>
      </c>
      <c r="E37" s="7">
        <f>COUNTIFS(Macierz!$B$2:$B$441,"E",Macierz!$L$2:$L$441,"BLOKER STARTU")</f>
        <v/>
      </c>
      <c r="F37" s="8">
        <f>IFERROR(C37/B37,0)</f>
        <v/>
      </c>
    </row>
    <row r="38">
      <c r="A38" s="7" t="inlineStr">
        <is>
          <t>F — DNS</t>
        </is>
      </c>
      <c r="B38" s="7">
        <f>COUNTIF(Macierz!$B$2:$B$441,"F")</f>
        <v/>
      </c>
      <c r="C38" s="7">
        <f>COUNTIFS(Macierz!$B$2:$B$441,"F",Macierz!$K$2:$K$441,"PARYTET")+COUNTIFS(Macierz!$B$2:$B$441,"F",Macierz!$K$2:$K$441,"PRZEWAGA")</f>
        <v/>
      </c>
      <c r="D38" s="7">
        <f>COUNTIFS(Macierz!$B$2:$B$441,"F",Macierz!$K$2:$K$441,"LUKA")</f>
        <v/>
      </c>
      <c r="E38" s="7">
        <f>COUNTIFS(Macierz!$B$2:$B$441,"F",Macierz!$L$2:$L$441,"BLOKER STARTU")</f>
        <v/>
      </c>
      <c r="F38" s="8">
        <f>IFERROR(C38/B38,0)</f>
        <v/>
      </c>
    </row>
    <row r="39">
      <c r="A39" s="7" t="inlineStr">
        <is>
          <t>G — SSL i bezpieczeństwo</t>
        </is>
      </c>
      <c r="B39" s="7">
        <f>COUNTIF(Macierz!$B$2:$B$441,"G")</f>
        <v/>
      </c>
      <c r="C39" s="7">
        <f>COUNTIFS(Macierz!$B$2:$B$441,"G",Macierz!$K$2:$K$441,"PARYTET")+COUNTIFS(Macierz!$B$2:$B$441,"G",Macierz!$K$2:$K$441,"PRZEWAGA")</f>
        <v/>
      </c>
      <c r="D39" s="7">
        <f>COUNTIFS(Macierz!$B$2:$B$441,"G",Macierz!$K$2:$K$441,"LUKA")</f>
        <v/>
      </c>
      <c r="E39" s="7">
        <f>COUNTIFS(Macierz!$B$2:$B$441,"G",Macierz!$L$2:$L$441,"BLOKER STARTU")</f>
        <v/>
      </c>
      <c r="F39" s="8">
        <f>IFERROR(C39/B39,0)</f>
        <v/>
      </c>
    </row>
    <row r="40">
      <c r="A40" s="7" t="inlineStr">
        <is>
          <t>H — Backup i odtwarzanie</t>
        </is>
      </c>
      <c r="B40" s="7">
        <f>COUNTIF(Macierz!$B$2:$B$441,"H")</f>
        <v/>
      </c>
      <c r="C40" s="7">
        <f>COUNTIFS(Macierz!$B$2:$B$441,"H",Macierz!$K$2:$K$441,"PARYTET")+COUNTIFS(Macierz!$B$2:$B$441,"H",Macierz!$K$2:$K$441,"PRZEWAGA")</f>
        <v/>
      </c>
      <c r="D40" s="7">
        <f>COUNTIFS(Macierz!$B$2:$B$441,"H",Macierz!$K$2:$K$441,"LUKA")</f>
        <v/>
      </c>
      <c r="E40" s="7">
        <f>COUNTIFS(Macierz!$B$2:$B$441,"H",Macierz!$L$2:$L$441,"BLOKER STARTU")</f>
        <v/>
      </c>
      <c r="F40" s="8">
        <f>IFERROR(C40/B40,0)</f>
        <v/>
      </c>
    </row>
    <row r="41">
      <c r="A41" s="7" t="inlineStr">
        <is>
          <t>I — Aplikacje i WordPress</t>
        </is>
      </c>
      <c r="B41" s="7">
        <f>COUNTIF(Macierz!$B$2:$B$441,"I")</f>
        <v/>
      </c>
      <c r="C41" s="7">
        <f>COUNTIFS(Macierz!$B$2:$B$441,"I",Macierz!$K$2:$K$441,"PARYTET")+COUNTIFS(Macierz!$B$2:$B$441,"I",Macierz!$K$2:$K$441,"PRZEWAGA")</f>
        <v/>
      </c>
      <c r="D41" s="7">
        <f>COUNTIFS(Macierz!$B$2:$B$441,"I",Macierz!$K$2:$K$441,"LUKA")</f>
        <v/>
      </c>
      <c r="E41" s="7">
        <f>COUNTIFS(Macierz!$B$2:$B$441,"I",Macierz!$L$2:$L$441,"BLOKER STARTU")</f>
        <v/>
      </c>
      <c r="F41" s="8">
        <f>IFERROR(C41/B41,0)</f>
        <v/>
      </c>
    </row>
    <row r="42">
      <c r="A42" s="7" t="inlineStr">
        <is>
          <t>J — Wydajność i cache</t>
        </is>
      </c>
      <c r="B42" s="7">
        <f>COUNTIF(Macierz!$B$2:$B$441,"J")</f>
        <v/>
      </c>
      <c r="C42" s="7">
        <f>COUNTIFS(Macierz!$B$2:$B$441,"J",Macierz!$K$2:$K$441,"PARYTET")+COUNTIFS(Macierz!$B$2:$B$441,"J",Macierz!$K$2:$K$441,"PRZEWAGA")</f>
        <v/>
      </c>
      <c r="D42" s="7">
        <f>COUNTIFS(Macierz!$B$2:$B$441,"J",Macierz!$K$2:$K$441,"LUKA")</f>
        <v/>
      </c>
      <c r="E42" s="7">
        <f>COUNTIFS(Macierz!$B$2:$B$441,"J",Macierz!$L$2:$L$441,"BLOKER STARTU")</f>
        <v/>
      </c>
      <c r="F42" s="8">
        <f>IFERROR(C42/B42,0)</f>
        <v/>
      </c>
    </row>
    <row r="43">
      <c r="A43" s="7" t="inlineStr">
        <is>
          <t>K — Statystyki, logi, limity</t>
        </is>
      </c>
      <c r="B43" s="7">
        <f>COUNTIF(Macierz!$B$2:$B$441,"K")</f>
        <v/>
      </c>
      <c r="C43" s="7">
        <f>COUNTIFS(Macierz!$B$2:$B$441,"K",Macierz!$K$2:$K$441,"PARYTET")+COUNTIFS(Macierz!$B$2:$B$441,"K",Macierz!$K$2:$K$441,"PRZEWAGA")</f>
        <v/>
      </c>
      <c r="D43" s="7">
        <f>COUNTIFS(Macierz!$B$2:$B$441,"K",Macierz!$K$2:$K$441,"LUKA")</f>
        <v/>
      </c>
      <c r="E43" s="7">
        <f>COUNTIFS(Macierz!$B$2:$B$441,"K",Macierz!$L$2:$L$441,"BLOKER STARTU")</f>
        <v/>
      </c>
      <c r="F43" s="8">
        <f>IFERROR(C43/B43,0)</f>
        <v/>
      </c>
    </row>
    <row r="44">
      <c r="A44" s="7" t="inlineStr">
        <is>
          <t>L — Automatyzacja</t>
        </is>
      </c>
      <c r="B44" s="7">
        <f>COUNTIF(Macierz!$B$2:$B$441,"L")</f>
        <v/>
      </c>
      <c r="C44" s="7">
        <f>COUNTIFS(Macierz!$B$2:$B$441,"L",Macierz!$K$2:$K$441,"PARYTET")+COUNTIFS(Macierz!$B$2:$B$441,"L",Macierz!$K$2:$K$441,"PRZEWAGA")</f>
        <v/>
      </c>
      <c r="D44" s="7">
        <f>COUNTIFS(Macierz!$B$2:$B$441,"L",Macierz!$K$2:$K$441,"LUKA")</f>
        <v/>
      </c>
      <c r="E44" s="7">
        <f>COUNTIFS(Macierz!$B$2:$B$441,"L",Macierz!$L$2:$L$441,"BLOKER STARTU")</f>
        <v/>
      </c>
      <c r="F44" s="8">
        <f>IFERROR(C44/B44,0)</f>
        <v/>
      </c>
    </row>
    <row r="45">
      <c r="A45" s="7" t="inlineStr">
        <is>
          <t>M — Rozliczenia</t>
        </is>
      </c>
      <c r="B45" s="7">
        <f>COUNTIF(Macierz!$B$2:$B$441,"M")</f>
        <v/>
      </c>
      <c r="C45" s="7">
        <f>COUNTIFS(Macierz!$B$2:$B$441,"M",Macierz!$K$2:$K$441,"PARYTET")+COUNTIFS(Macierz!$B$2:$B$441,"M",Macierz!$K$2:$K$441,"PRZEWAGA")</f>
        <v/>
      </c>
      <c r="D45" s="7">
        <f>COUNTIFS(Macierz!$B$2:$B$441,"M",Macierz!$K$2:$K$441,"LUKA")</f>
        <v/>
      </c>
      <c r="E45" s="7">
        <f>COUNTIFS(Macierz!$B$2:$B$441,"M",Macierz!$L$2:$L$441,"BLOKER STARTU")</f>
        <v/>
      </c>
      <c r="F45" s="8">
        <f>IFERROR(C45/B45,0)</f>
        <v/>
      </c>
    </row>
    <row r="46">
      <c r="A46" s="7" t="inlineStr">
        <is>
          <t>N — Wsparcie i ops</t>
        </is>
      </c>
      <c r="B46" s="7">
        <f>COUNTIF(Macierz!$B$2:$B$441,"N")</f>
        <v/>
      </c>
      <c r="C46" s="7">
        <f>COUNTIFS(Macierz!$B$2:$B$441,"N",Macierz!$K$2:$K$441,"PARYTET")+COUNTIFS(Macierz!$B$2:$B$441,"N",Macierz!$K$2:$K$441,"PRZEWAGA")</f>
        <v/>
      </c>
      <c r="D46" s="7">
        <f>COUNTIFS(Macierz!$B$2:$B$441,"N",Macierz!$K$2:$K$441,"LUKA")</f>
        <v/>
      </c>
      <c r="E46" s="7">
        <f>COUNTIFS(Macierz!$B$2:$B$441,"N",Macierz!$L$2:$L$441,"BLOKER STARTU")</f>
        <v/>
      </c>
      <c r="F46" s="8">
        <f>IFERROR(C46/B46,0)</f>
        <v/>
      </c>
    </row>
    <row r="47">
      <c r="A47" s="7" t="inlineStr">
        <is>
          <t>O — Multi-user i reseller</t>
        </is>
      </c>
      <c r="B47" s="7">
        <f>COUNTIF(Macierz!$B$2:$B$441,"O")</f>
        <v/>
      </c>
      <c r="C47" s="7">
        <f>COUNTIFS(Macierz!$B$2:$B$441,"O",Macierz!$K$2:$K$441,"PARYTET")+COUNTIFS(Macierz!$B$2:$B$441,"O",Macierz!$K$2:$K$441,"PRZEWAGA")</f>
        <v/>
      </c>
      <c r="D47" s="7">
        <f>COUNTIFS(Macierz!$B$2:$B$441,"O",Macierz!$K$2:$K$441,"LUKA")</f>
        <v/>
      </c>
      <c r="E47" s="7">
        <f>COUNTIFS(Macierz!$B$2:$B$441,"O",Macierz!$L$2:$L$441,"BLOKER STARTU")</f>
        <v/>
      </c>
      <c r="F47" s="8">
        <f>IFERROR(C47/B47,0)</f>
        <v/>
      </c>
    </row>
    <row r="48">
      <c r="A48" s="7" t="inlineStr">
        <is>
          <t>P — Zgodność</t>
        </is>
      </c>
      <c r="B48" s="7">
        <f>COUNTIF(Macierz!$B$2:$B$441,"P")</f>
        <v/>
      </c>
      <c r="C48" s="7">
        <f>COUNTIFS(Macierz!$B$2:$B$441,"P",Macierz!$K$2:$K$441,"PARYTET")+COUNTIFS(Macierz!$B$2:$B$441,"P",Macierz!$K$2:$K$441,"PRZEWAGA")</f>
        <v/>
      </c>
      <c r="D48" s="7">
        <f>COUNTIFS(Macierz!$B$2:$B$441,"P",Macierz!$K$2:$K$441,"LUKA")</f>
        <v/>
      </c>
      <c r="E48" s="7">
        <f>COUNTIFS(Macierz!$B$2:$B$441,"P",Macierz!$L$2:$L$441,"BLOKER STARTU")</f>
        <v/>
      </c>
      <c r="F48" s="8">
        <f>IFERROR(C48/B48,0)</f>
        <v/>
      </c>
    </row>
    <row r="49">
      <c r="A49" s="7" t="inlineStr">
        <is>
          <t>Q — Przewaga</t>
        </is>
      </c>
      <c r="B49" s="7">
        <f>COUNTIF(Macierz!$B$2:$B$441,"Q")</f>
        <v/>
      </c>
      <c r="C49" s="7">
        <f>COUNTIFS(Macierz!$B$2:$B$441,"Q",Macierz!$K$2:$K$441,"PARYTET")+COUNTIFS(Macierz!$B$2:$B$441,"Q",Macierz!$K$2:$K$441,"PRZEWAGA")</f>
        <v/>
      </c>
      <c r="D49" s="7">
        <f>COUNTIFS(Macierz!$B$2:$B$441,"Q",Macierz!$K$2:$K$441,"LUKA")</f>
        <v/>
      </c>
      <c r="E49" s="7">
        <f>COUNTIFS(Macierz!$B$2:$B$441,"Q",Macierz!$L$2:$L$441,"BLOKER STARTU")</f>
        <v/>
      </c>
      <c r="F49" s="8">
        <f>IFERROR(C49/B49,0)</f>
        <v/>
      </c>
    </row>
    <row r="50">
      <c r="A50" s="7" t="inlineStr">
        <is>
          <t>X — Infrastruktura jakości</t>
        </is>
      </c>
      <c r="B50" s="7">
        <f>COUNTIF(Macierz!$B$2:$B$441,"X")</f>
        <v/>
      </c>
      <c r="C50" s="7">
        <f>COUNTIFS(Macierz!$B$2:$B$441,"X",Macierz!$K$2:$K$441,"PARYTET")+COUNTIFS(Macierz!$B$2:$B$441,"X",Macierz!$K$2:$K$441,"PRZEWAGA")</f>
        <v/>
      </c>
      <c r="D50" s="7">
        <f>COUNTIFS(Macierz!$B$2:$B$441,"X",Macierz!$K$2:$K$441,"LUKA")</f>
        <v/>
      </c>
      <c r="E50" s="7">
        <f>COUNTIFS(Macierz!$B$2:$B$441,"X",Macierz!$L$2:$L$441,"BLOKER STARTU")</f>
        <v/>
      </c>
      <c r="F50" s="8">
        <f>IFERROR(C50/B50,0)</f>
        <v/>
      </c>
    </row>
    <row r="51">
      <c r="A51" s="7" t="inlineStr">
        <is>
          <t>Z — Pass adwersaryjny</t>
        </is>
      </c>
      <c r="B51" s="7">
        <f>COUNTIF(Macierz!$B$2:$B$441,"Z")</f>
        <v/>
      </c>
      <c r="C51" s="7">
        <f>COUNTIFS(Macierz!$B$2:$B$441,"Z",Macierz!$K$2:$K$441,"PARYTET")+COUNTIFS(Macierz!$B$2:$B$441,"Z",Macierz!$K$2:$K$441,"PRZEWAGA")</f>
        <v/>
      </c>
      <c r="D51" s="7">
        <f>COUNTIFS(Macierz!$B$2:$B$441,"Z",Macierz!$K$2:$K$441,"LUKA")</f>
        <v/>
      </c>
      <c r="E51" s="7">
        <f>COUNTIFS(Macierz!$B$2:$B$441,"Z",Macierz!$L$2:$L$441,"BLOKER STARTU")</f>
        <v/>
      </c>
      <c r="F51" s="8">
        <f>IFERROR(C51/B51,0)</f>
        <v/>
      </c>
    </row>
    <row r="54">
      <c r="A54" s="9" t="inlineStr">
        <is>
          <t>UWAGA METODOLOGICZNA</t>
        </is>
      </c>
    </row>
    <row r="55">
      <c r="A55" s="7" t="inlineStr">
        <is>
          <t>• Procent pokrycia jest metryką OPISOWĄ. Decyzję o starcie podejmuje się wyłącznie na podstawie liczby blokerów.</t>
        </is>
      </c>
    </row>
    <row r="56">
      <c r="A56" s="7" t="inlineStr">
        <is>
          <t>• Kolumny cPanel/Plesk/DirectAdmin pokazują możliwości silnika — nie to, co hosting faktycznie daje klientowi.</t>
        </is>
      </c>
    </row>
    <row r="57">
      <c r="A57" s="7" t="inlineStr">
        <is>
          <t>• Werdykt liczony jest wobec kolumny „Rynek PL”, nie wobec sumy możliwości paneli.</t>
        </is>
      </c>
    </row>
    <row r="58">
      <c r="A58" s="7" t="inlineStr">
        <is>
          <t>• Stan Verris ustalany z kodu (plik:linia), nie z dokumentacji projektu.</t>
        </is>
      </c>
    </row>
    <row r="59">
      <c r="A59" s="7" t="inlineStr">
        <is>
          <t>• „ATRAPA” = UI bez działającego backendu. „ENDPOINT BEZ UI” = backend gotowy, żaden panel go nie woła.</t>
        </is>
      </c>
    </row>
    <row r="60">
      <c r="A60" s="7" t="inlineStr">
        <is>
          <t>• Ten plik jest generowany. Zmiany wprowadzaj w audyt/dane/macierz.csv i uruchom audyt/generate.py.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3" customWidth="1" min="3" max="3"/>
    <col width="10" customWidth="1" min="4" max="4"/>
    <col width="10" customWidth="1" min="5" max="5"/>
    <col width="13" customWidth="1" min="6" max="6"/>
    <col width="11" customWidth="1" min="7" max="7"/>
    <col width="11" customWidth="1" min="8" max="8"/>
    <col width="17" customWidth="1" min="9" max="9"/>
    <col width="46" customWidth="1" min="10" max="10"/>
    <col width="13" customWidth="1" min="11" max="11"/>
    <col width="15" customWidth="1" min="12" max="12"/>
    <col width="8" customWidth="1" min="13" max="13"/>
    <col width="60" customWidth="1" min="14" max="14"/>
  </cols>
  <sheetData>
    <row r="1" ht="30" customHeight="1">
      <c r="A1" s="10" t="inlineStr">
        <is>
          <t>ID</t>
        </is>
      </c>
      <c r="B1" s="10" t="inlineStr">
        <is>
          <t>Kat</t>
        </is>
      </c>
      <c r="C1" s="10" t="inlineStr">
        <is>
          <t>Funkcja</t>
        </is>
      </c>
      <c r="D1" s="10" t="inlineStr">
        <is>
          <t>cPanel</t>
        </is>
      </c>
      <c r="E1" s="10" t="inlineStr">
        <is>
          <t>Plesk</t>
        </is>
      </c>
      <c r="F1" s="10" t="inlineStr">
        <is>
          <t>DirectAdmin</t>
        </is>
      </c>
      <c r="G1" s="10" t="inlineStr">
        <is>
          <t>Rynek PL</t>
        </is>
      </c>
      <c r="H1" s="10" t="inlineStr">
        <is>
          <t>Nowa fala</t>
        </is>
      </c>
      <c r="I1" s="10" t="inlineStr">
        <is>
          <t>Verris — stan</t>
        </is>
      </c>
      <c r="J1" s="10" t="inlineStr">
        <is>
          <t>Dowód (plik:linia)</t>
        </is>
      </c>
      <c r="K1" s="10" t="inlineStr">
        <is>
          <t>Werdykt</t>
        </is>
      </c>
      <c r="L1" s="10" t="inlineStr">
        <is>
          <t>Krytyczność</t>
        </is>
      </c>
      <c r="M1" s="10" t="inlineStr">
        <is>
          <t>Nakład</t>
        </is>
      </c>
      <c r="N1" s="10" t="inlineStr">
        <is>
          <t>Uwagi</t>
        </is>
      </c>
    </row>
    <row r="2">
      <c r="A2" s="11" t="inlineStr">
        <is>
          <t>A-01</t>
        </is>
      </c>
      <c r="B2" s="12" t="inlineStr">
        <is>
          <t>A</t>
        </is>
      </c>
      <c r="C2" s="11" t="inlineStr">
        <is>
          <t>Dodanie domeny do konta</t>
        </is>
      </c>
      <c r="D2" s="11" t="inlineStr">
        <is>
          <t>TAK</t>
        </is>
      </c>
      <c r="E2" s="11" t="inlineStr">
        <is>
          <t>TAK</t>
        </is>
      </c>
      <c r="F2" s="11" t="inlineStr">
        <is>
          <t>TAK</t>
        </is>
      </c>
      <c r="G2" s="11" t="inlineStr">
        <is>
          <t>TAK</t>
        </is>
      </c>
      <c r="H2" s="11" t="inlineStr">
        <is>
          <t>TAK</t>
        </is>
      </c>
      <c r="I2" s="11" t="inlineStr">
        <is>
          <t>DZIAŁA</t>
        </is>
      </c>
      <c r="J2" s="12" t="inlineStr">
        <is>
          <t>services.controller.ts:539</t>
        </is>
      </c>
      <c r="K2" s="11" t="inlineStr">
        <is>
          <t>PARYTET</t>
        </is>
      </c>
      <c r="L2" s="11" t="inlineStr">
        <is>
          <t>—</t>
        </is>
      </c>
      <c r="M2" s="11" t="inlineStr">
        <is>
          <t>—</t>
        </is>
      </c>
      <c r="N2" s="12" t="inlineStr"/>
    </row>
    <row r="3">
      <c r="A3" s="11" t="inlineStr">
        <is>
          <t>A-02</t>
        </is>
      </c>
      <c r="B3" s="12" t="inlineStr">
        <is>
          <t>A</t>
        </is>
      </c>
      <c r="C3" s="11" t="inlineStr">
        <is>
          <t>Usunięcie domeny z konta</t>
        </is>
      </c>
      <c r="D3" s="11" t="inlineStr">
        <is>
          <t>TAK</t>
        </is>
      </c>
      <c r="E3" s="11" t="inlineStr">
        <is>
          <t>TAK</t>
        </is>
      </c>
      <c r="F3" s="11" t="inlineStr">
        <is>
          <t>TAK</t>
        </is>
      </c>
      <c r="G3" s="11" t="inlineStr">
        <is>
          <t>TAK</t>
        </is>
      </c>
      <c r="H3" s="11" t="inlineStr">
        <is>
          <t>TAK</t>
        </is>
      </c>
      <c r="I3" s="11" t="inlineStr">
        <is>
          <t>DZIAŁA</t>
        </is>
      </c>
      <c r="J3" s="12" t="inlineStr">
        <is>
          <t>services.controller.ts:548</t>
        </is>
      </c>
      <c r="K3" s="11" t="inlineStr">
        <is>
          <t>PARYTET</t>
        </is>
      </c>
      <c r="L3" s="11" t="inlineStr">
        <is>
          <t>—</t>
        </is>
      </c>
      <c r="M3" s="11" t="inlineStr">
        <is>
          <t>—</t>
        </is>
      </c>
      <c r="N3" s="12" t="inlineStr">
        <is>
          <t>2026-10-08: usunięcie domeny-poddomeny zdejmuje delegację NS/DS w strefie rodzica (60ff05ba) — D3 t1: z10.d3.hvln.pl dodana (NS+DS w d3.hvln.pl) i usunięta (delegacja znika); sieroty test3/4/5, z18b, z09 usunięte z panelu (DS przez dsrecs0 działa). | 2026-10-08 KOD (495019a5): także usunięcie CAŁEGO konta (retencja, operator, RODO, wycofanie provisioningu), którego domena jest poddomeną domeny innego konta na tym węźle (z18b) — domeny konta czytane przed usunięciem, po nim NS/DS zdejmowane w strefie konta-rodzica (najbliższy żywy przodek, ten sam węzeł), audyt HOSTING_DNS_DELEGATION_REMOVED. Testy D2 + integracja. Zostaje: D3 na t1 (konto z domeną-poddomeną d3.hvln.pl → usunięcie przez operatora → NS/DS znikają z d3.hvln.pl). Poza zakresem nadal: rodzic będący domeną dodatkową innego konta.</t>
        </is>
      </c>
    </row>
    <row r="4">
      <c r="A4" s="11" t="inlineStr">
        <is>
          <t>A-03</t>
        </is>
      </c>
      <c r="B4" s="12" t="inlineStr">
        <is>
          <t>A</t>
        </is>
      </c>
      <c r="C4" s="11" t="inlineStr">
        <is>
          <t>Subdomeny — tworzenie</t>
        </is>
      </c>
      <c r="D4" s="11" t="inlineStr">
        <is>
          <t>TAK</t>
        </is>
      </c>
      <c r="E4" s="11" t="inlineStr">
        <is>
          <t>TAK</t>
        </is>
      </c>
      <c r="F4" s="11" t="inlineStr">
        <is>
          <t>TAK</t>
        </is>
      </c>
      <c r="G4" s="11" t="inlineStr">
        <is>
          <t>TAK</t>
        </is>
      </c>
      <c r="H4" s="11" t="inlineStr">
        <is>
          <t>TAK</t>
        </is>
      </c>
      <c r="I4" s="11" t="inlineStr">
        <is>
          <t>DZIAŁA</t>
        </is>
      </c>
      <c r="J4" s="12" t="inlineStr">
        <is>
          <t>services.controller.ts:671</t>
        </is>
      </c>
      <c r="K4" s="11" t="inlineStr">
        <is>
          <t>PARYTET</t>
        </is>
      </c>
      <c r="L4" s="11" t="inlineStr">
        <is>
          <t>—</t>
        </is>
      </c>
      <c r="M4" s="11" t="inlineStr">
        <is>
          <t>—</t>
        </is>
      </c>
      <c r="N4" s="12" t="inlineStr"/>
    </row>
    <row r="5">
      <c r="A5" s="11" t="inlineStr">
        <is>
          <t>A-04</t>
        </is>
      </c>
      <c r="B5" s="12" t="inlineStr">
        <is>
          <t>A</t>
        </is>
      </c>
      <c r="C5" s="11" t="inlineStr">
        <is>
          <t>Subdomeny — usuwanie</t>
        </is>
      </c>
      <c r="D5" s="11" t="inlineStr">
        <is>
          <t>TAK</t>
        </is>
      </c>
      <c r="E5" s="11" t="inlineStr">
        <is>
          <t>TAK</t>
        </is>
      </c>
      <c r="F5" s="11" t="inlineStr">
        <is>
          <t>TAK</t>
        </is>
      </c>
      <c r="G5" s="11" t="inlineStr">
        <is>
          <t>TAK</t>
        </is>
      </c>
      <c r="H5" s="11" t="inlineStr">
        <is>
          <t>TAK</t>
        </is>
      </c>
      <c r="I5" s="11" t="inlineStr">
        <is>
          <t>DZIAŁA</t>
        </is>
      </c>
      <c r="J5" s="12" t="inlineStr">
        <is>
          <t>services.controller.ts:680</t>
        </is>
      </c>
      <c r="K5" s="11" t="inlineStr">
        <is>
          <t>PARYTET</t>
        </is>
      </c>
      <c r="L5" s="11" t="inlineStr">
        <is>
          <t>—</t>
        </is>
      </c>
      <c r="M5" s="11" t="inlineStr">
        <is>
          <t>—</t>
        </is>
      </c>
      <c r="N5" s="12" t="inlineStr"/>
    </row>
    <row r="6">
      <c r="A6" s="11" t="inlineStr">
        <is>
          <t>A-05</t>
        </is>
      </c>
      <c r="B6" s="12" t="inlineStr">
        <is>
          <t>A</t>
        </is>
      </c>
      <c r="C6" s="11" t="inlineStr">
        <is>
          <t>Alias / parkowanie domeny (domain pointer)</t>
        </is>
      </c>
      <c r="D6" s="11" t="inlineStr">
        <is>
          <t>TAK</t>
        </is>
      </c>
      <c r="E6" s="11" t="inlineStr">
        <is>
          <t>TAK</t>
        </is>
      </c>
      <c r="F6" s="11" t="inlineStr">
        <is>
          <t>TAK</t>
        </is>
      </c>
      <c r="G6" s="11" t="inlineStr">
        <is>
          <t>TAK</t>
        </is>
      </c>
      <c r="H6" s="11" t="inlineStr">
        <is>
          <t>TAK</t>
        </is>
      </c>
      <c r="I6" s="11" t="inlineStr">
        <is>
          <t>DZIAŁA</t>
        </is>
      </c>
      <c r="J6" s="12" t="inlineStr">
        <is>
          <t>services.controller.ts:562</t>
        </is>
      </c>
      <c r="K6" s="11" t="inlineStr">
        <is>
          <t>PARYTET</t>
        </is>
      </c>
      <c r="L6" s="11" t="inlineStr">
        <is>
          <t>—</t>
        </is>
      </c>
      <c r="M6" s="11" t="inlineStr">
        <is>
          <t>—</t>
        </is>
      </c>
      <c r="N6" s="12" t="inlineStr"/>
    </row>
    <row r="7">
      <c r="A7" s="11" t="inlineStr">
        <is>
          <t>A-06</t>
        </is>
      </c>
      <c r="B7" s="12" t="inlineStr">
        <is>
          <t>A</t>
        </is>
      </c>
      <c r="C7" s="11" t="inlineStr">
        <is>
          <t>Zmiana document root domeny</t>
        </is>
      </c>
      <c r="D7" s="11" t="inlineStr">
        <is>
          <t>TAK</t>
        </is>
      </c>
      <c r="E7" s="11" t="inlineStr">
        <is>
          <t>TAK</t>
        </is>
      </c>
      <c r="F7" s="11" t="inlineStr">
        <is>
          <t>TAK</t>
        </is>
      </c>
      <c r="G7" s="11" t="inlineStr">
        <is>
          <t>CZĘŚĆ</t>
        </is>
      </c>
      <c r="H7" s="11" t="inlineStr">
        <is>
          <t>TAK</t>
        </is>
      </c>
      <c r="I7" s="11" t="inlineStr">
        <is>
          <t>DZIAŁA</t>
        </is>
      </c>
      <c r="J7" s="12" t="inlineStr">
        <is>
          <t>servers/docroot.ts; servers/directadmin.service.ts getHostingDocroot/setHostingDocroot; GET/POST /services/:id/hosting-docroot; client components/hosting/DocrootPanel.tsx; test servers/docroot.spec.ts; D3 t1 28.09: odczyt zawsze błąd — GET CMD_API_CUSTOM_HTTPD zwraca surową treść .cust_httpd → docroot.ts trescCustomHttpd; retest; D3 t1 29.09 (panel klienta, d3.hvln.pl): „Katalog główny strony” → git-test: po ~1 min / serwuje git-test (v.php 8.1.34, readme Hello Dolly, wp-login 404); „Przywróć public_html” → WordPress znów 200</t>
        </is>
      </c>
      <c r="K7" s="11" t="inlineStr">
        <is>
          <t>PARYTET</t>
        </is>
      </c>
      <c r="L7" s="11" t="inlineStr">
        <is>
          <t>NISKA</t>
        </is>
      </c>
      <c r="M7" s="11" t="inlineStr">
        <is>
          <t>S</t>
        </is>
      </c>
      <c r="N7" s="12" t="inlineStr">
        <is>
          <t>DA to potrafi; brak UI | 2026-09-25 ROZPOZNANIE: DirectAdmin nie ma zmiany document root na poziomie użytkownika — robi się to jako administrator w Custom HTTPD Configurations tokenem |?DOCROOT=/home/&lt;user&gt;/domains/&lt;domena&gt;/public_html/&lt;katalog&gt;| (obejmuje http i https), potem przebudowa konfiguracji serwera WWW. Plan: zadanie węzła z białą listą katalogów wewnątrz public_html (np. public/, web/) — typowo pod Laravel/Symfony. Wymaga ustalenia serwera WWW na węźle (J-01: Apache/LiteSpeed/OpenLiteSpeed mają osobne pliki custom), więc budowa razem z D3 na węźle #1. | 2026-09-25 ŹRÓDŁA OFICJALNE: DirectAdmin „Customizing Apache” — token |?DOCROOT=/nowa/ścieżka| w Custom HTTPD (dla samej domeny: |*if !SUB| … |*endif|), plik data/users/&lt;user&gt;/domains/&lt;domena&gt;.cust_httpd, zastosowanie: task.queue action=rewrite&amp;value=httpd albo da build rewrite_confs. LiteSpeed Enterprise na DA czyta tę konfigurację Apache (dokumentacja LiteSpeed), więc na naszym węźle (webserver=litespeed) mechanizm zadziała. Wcześniejsza notka opierała się na źródle nieoficjalnym. | 2026-09-25 ZROBIONE (D2): strona domeny → PHP → „Katalog główny strony”: podkatalog public_html (do 4 poziomów, bez .., katalog musi istnieć). API GET/POST /services/:id/hosting-docroot (reguła FILES_MANAGE, RateLimit 20/h, dziennik HOSTING_DOCROOT_SET). Zapis przez CMD_API_CUSTOM_HTTPD (oficjalny changelog DA 1.26.0: domain + config) jako admin węzła: blok Verris między znacznikami z |*if !SUB| |?DOCROOT=…| |*endif|, wpisy administratora zostają; gdy DA nie odda bieżącego config — odmowa bez zapisu. Bez zadania węzła (DA sam przepisuje httpd.conf). D3 na węźle: format odpowiedzi GET CMD_API_CUSTOM_HTTPD (pole config), uprawnienie klucza admina do tej komendy, czas przebudowy, działanie pod LSWS i HTTPS.</t>
        </is>
      </c>
    </row>
    <row r="8">
      <c r="A8" s="11" t="inlineStr">
        <is>
          <t>A-07</t>
        </is>
      </c>
      <c r="B8" s="12" t="inlineStr">
        <is>
          <t>A</t>
        </is>
      </c>
      <c r="C8" s="11" t="inlineStr">
        <is>
          <t>Przekierowanie domeny (web forwarding)</t>
        </is>
      </c>
      <c r="D8" s="11" t="inlineStr">
        <is>
          <t>TAK</t>
        </is>
      </c>
      <c r="E8" s="11" t="inlineStr">
        <is>
          <t>TAK</t>
        </is>
      </c>
      <c r="F8" s="11" t="inlineStr">
        <is>
          <t>TAK</t>
        </is>
      </c>
      <c r="G8" s="11" t="inlineStr">
        <is>
          <t>TAK</t>
        </is>
      </c>
      <c r="H8" s="11" t="inlineStr">
        <is>
          <t>TAK</t>
        </is>
      </c>
      <c r="I8" s="11" t="inlineStr">
        <is>
          <t>DZIAŁA</t>
        </is>
      </c>
      <c r="J8" s="12" t="inlineStr">
        <is>
          <t>WebToolsTab.tsx:143</t>
        </is>
      </c>
      <c r="K8" s="11" t="inlineStr">
        <is>
          <t>PARYTET</t>
        </is>
      </c>
      <c r="L8" s="11" t="inlineStr">
        <is>
          <t>—</t>
        </is>
      </c>
      <c r="M8" s="11" t="inlineStr">
        <is>
          <t>—</t>
        </is>
      </c>
      <c r="N8" s="12" t="inlineStr">
        <is>
          <t>przez .htaccess</t>
        </is>
      </c>
    </row>
    <row r="9">
      <c r="A9" s="11" t="inlineStr">
        <is>
          <t>A-08</t>
        </is>
      </c>
      <c r="B9" s="12" t="inlineStr">
        <is>
          <t>A</t>
        </is>
      </c>
      <c r="C9" s="11" t="inlineStr">
        <is>
          <t>Rejestracja domeny z panelu</t>
        </is>
      </c>
      <c r="D9" s="11" t="inlineStr">
        <is>
          <t>NIE</t>
        </is>
      </c>
      <c r="E9" s="11" t="inlineStr">
        <is>
          <t>NIE</t>
        </is>
      </c>
      <c r="F9" s="11" t="inlineStr">
        <is>
          <t>NIE</t>
        </is>
      </c>
      <c r="G9" s="11" t="inlineStr">
        <is>
          <t>TAK</t>
        </is>
      </c>
      <c r="H9" s="11" t="inlineStr">
        <is>
          <t>TAK</t>
        </is>
      </c>
      <c r="I9" s="11" t="inlineStr">
        <is>
          <t>DZIAŁA</t>
        </is>
      </c>
      <c r="J9" s="12" t="inlineStr">
        <is>
          <t>domains.controller.ts:118</t>
        </is>
      </c>
      <c r="K9" s="11" t="inlineStr">
        <is>
          <t>PARYTET</t>
        </is>
      </c>
      <c r="L9" s="11" t="inlineStr">
        <is>
          <t>ŚREDNIA</t>
        </is>
      </c>
      <c r="M9" s="11" t="inlineStr">
        <is>
          <t>M</t>
        </is>
      </c>
      <c r="N9" s="12" t="inlineStr">
        <is>
          <t>Skorygowane: sekcja jest wpięta w panel (domains/actions.ts:165,181,198), backend kompletny. To brak wpisu w ENV, nie brak funkcji — hosting da się sprzedać na domenie klienta. | 2026-09-27 KOD (4cbc9d4): opłacona rejestracja zapisuje domenę na koncie płacącego także wtedy, gdy ktoś wcześniej dopisał tę nazwę do swojego konta bez weryfikacji (wcześniej zostawała u rezerwującego). Test integracyjny. | 2026-10-04: D3 (sandbox OpenProvidera (api.sandbox.openprovider.nl), panel klienta prod, klient d3 czasowo na portfelu) — rejestracja verris-test-d3-2026.com na 1 rok z kreatora: 70,99 zł z portfela, domena „zarejestrowana, wygasa 4.10.2027”, abonent na kliencie (uchwyt OP). Znalezione: domyślne NS ns1/ns2.verris.pl nie istnieją w DNS → 9eb936d4 (NS węzła/platformy). Prawdziwa rejestracja (produkcyjne konto OP) — PB-05 wg decyzji 27.09. | 2026-10-07 KOD + D3: zmiana serwerów nazw zarejestrowanej domeny (panel → Serwery nazw, OpenProvider PUT /v1/domains/{id} name_servers, walidacja 2–8 hostów, audyt DOMAIN_NAMESERVERS_UPDATED) — d91ce97. verris-test-d3-2026.com z 04.10 miała ns1/ns2.verris.pl → ustawione ns3/ns4.verris.pl, rejestrator przyjął.</t>
        </is>
      </c>
    </row>
    <row r="10">
      <c r="A10" s="11" t="inlineStr">
        <is>
          <t>A-09</t>
        </is>
      </c>
      <c r="B10" s="12" t="inlineStr">
        <is>
          <t>A</t>
        </is>
      </c>
      <c r="C10" s="11" t="inlineStr">
        <is>
          <t>Transfer domeny (kod authinfo)</t>
        </is>
      </c>
      <c r="D10" s="11" t="inlineStr">
        <is>
          <t>NIE</t>
        </is>
      </c>
      <c r="E10" s="11" t="inlineStr">
        <is>
          <t>NIE</t>
        </is>
      </c>
      <c r="F10" s="11" t="inlineStr">
        <is>
          <t>NIE</t>
        </is>
      </c>
      <c r="G10" s="11" t="inlineStr">
        <is>
          <t>TAK</t>
        </is>
      </c>
      <c r="H10" s="11" t="inlineStr">
        <is>
          <t>TAK</t>
        </is>
      </c>
      <c r="I10" s="11" t="inlineStr">
        <is>
          <t>CZĘŚCIOWE</t>
        </is>
      </c>
      <c r="J10" s="12" t="inlineStr">
        <is>
          <t>POST /domains/:id/registrar/authcode (A-09, tylko właściciel konta, 5/h, audyt DOMAIN_AUTHCODE_REVEALED bez kodu) → OpenProvider GET /v1/domains/{id}/authcode; panel: Domeny → domena → „Transfer i abonent” → Pokaż kod; transfer PRZYCHODZĄCY: formularz z danymi abonenta i oświadczeniem; test domains/abonent-domeny.spec.ts</t>
        </is>
      </c>
      <c r="K10" s="11" t="inlineStr">
        <is>
          <t>CZĘŚCIOWY</t>
        </is>
      </c>
      <c r="L10" s="11" t="inlineStr">
        <is>
          <t>WYSOKA</t>
        </is>
      </c>
      <c r="M10" s="11" t="inlineStr">
        <is>
          <t>M</t>
        </is>
      </c>
      <c r="N10" s="12" t="inlineStr">
        <is>
          <t>j.w. | 2026-09-23: kod transferu wychodzącego z panelu. ZNALEZISKO: formularz transferu przychodzącego nie wysyłał oświadczenia o odstąpieniu, a API go wymaga — każdy transfer kończył się błędem 400, bez komunikatu (akcja formularza). Przepisany na formularz z komunikatem błędu. FLAGA do konfiguracji OpenProvider (A-11). | 2026-09-27 KOD: klient zlecał transfer bez zobaczenia kwoty (obciążenie portfela). Nowy POST /domains/registrar/quote-transfer (ta sama ścieżka ceny co transfer()), formularz pokazuje koszt brutto i blokuje „Zleć transfer” bez ceny; pola z etykietami, historia zleceń po polsku (a186d54). D3 przy teście z węzłem. | 2026-09-27 KOD (4cbc9d4): transfer zostawał na zawsze „wysłany do rejestru” — domena nie pojawiała się na koncie po udanym przeniesieniu. Nowe zadanie co godzinę (domains:transfer-sync): stan u rejestratora ACT → domena na koncie płacącego z datą wygaśnięcia, FAI/DEL → zwrot na portfel. Kody stanów OpenProvidera do potwierdzenia przy pierwszym prawdziwym transferze (D3 z węzłem). | 2026-09-27 PRODUKCJA: cena transferu przed zleceniem działa (hvln.pl 0,99 zł brutto, przycisk zablokowany bez ceny, etykiety pól). Poprawka tekstu: transfer .pl nie przedłuża ważności (NASK) — usunięte pole lat i obietnica „przedłużenia o rok” dla .pl. | 2026-10-04: D3 (sandbox OpenProvidera (api.sandbox.openprovider.nl), panel klienta prod, klient d3 czasowo na portfelu) — kod transferu (AuthInfo) z rejestratora: 12 znaków, wyświetlenie w dzienniku; odblokowanie przed transferem działa (A-15). Sam transfer przychodzący — sandbox OP go nie obsługuje; zostaje do produkcyjnego konta OP. | 2026-10-04 DECYZJA WŁAŚCICIELA: prawdziwy transfer przychodzący w PB-05 (produkcyjne konto OP, grudzień). | 2026-10-07 KOD: webhook OpenProvidera (podpis HMAC + klucz, Caddy tylko adresy OP): incomingTransfer* domyka transfer od razu, outgoingTransferCompleted/deletionCompleted = domena odeszła (bez odnowień i przypomnień); codzienne sprawdzenie stanu jako zabezpieczenie — 20c5196. Transfer wychodzący wcześniej nieobsługiwany. Webhook do włączenia: klucze (prod-ustaw-klucze.sh openprovider) + formularz OP. | 2026-10-07 PRODUKCJA: webhook zapisany w panelu OP (sandbox); test OP dotarł do API — 2× REGISTRAR_WEBHOOK w dzienniku (13:16 UTC). Sandbox OP wysyła z 34.91.59.39 (brak w dokumentacji OP, wykryte tcpdumpem) — dopisany do Caddy (503c1c3); odrzucenia logowane z powodem (fe283d0).</t>
        </is>
      </c>
    </row>
    <row r="11">
      <c r="A11" s="11" t="inlineStr">
        <is>
          <t>A-10</t>
        </is>
      </c>
      <c r="B11" s="12" t="inlineStr">
        <is>
          <t>A</t>
        </is>
      </c>
      <c r="C11" s="11" t="inlineStr">
        <is>
          <t>Odnowienie domeny przez klienta</t>
        </is>
      </c>
      <c r="D11" s="11" t="inlineStr">
        <is>
          <t>NIE</t>
        </is>
      </c>
      <c r="E11" s="11" t="inlineStr">
        <is>
          <t>NIE</t>
        </is>
      </c>
      <c r="F11" s="11" t="inlineStr">
        <is>
          <t>NIE</t>
        </is>
      </c>
      <c r="G11" s="11" t="inlineStr">
        <is>
          <t>TAK</t>
        </is>
      </c>
      <c r="H11" s="11" t="inlineStr">
        <is>
          <t>TAK</t>
        </is>
      </c>
      <c r="I11" s="11" t="inlineStr">
        <is>
          <t>DZIAŁA</t>
        </is>
      </c>
      <c r="J11" s="12" t="inlineStr">
        <is>
          <t>panel: Domeny → domena → „Odnowienie domeny” (domain-renew-box.tsx: okres → cena z nowego POST domains/:id/registrar/renew-quote → potwierdzenie → POST domains/:id/registrar/renew, obciążenie portfela, zwrot przy błędzie rejestratora); liczba lat walidowana 1–10 (wcześniej body bez walidacji)</t>
        </is>
      </c>
      <c r="K11" s="11" t="inlineStr">
        <is>
          <t>PARYTET</t>
        </is>
      </c>
      <c r="L11" s="11" t="inlineStr">
        <is>
          <t>ŚREDNIA</t>
        </is>
      </c>
      <c r="M11" s="11" t="inlineStr">
        <is>
          <t>S</t>
        </is>
      </c>
      <c r="N11" s="12" t="inlineStr">
        <is>
          <t>Skorygowane: brak wywołania potwierdzony, ale obejście istnieje (panel rejestratora). Nie spełnia żadnego z czterech warunków blokera. | 2026-09-23: UI zrobione. Działa po włączeniu rejestratora (A-08/A-11 FLAGA — REGISTRAR_PROVIDER); do tego czasu pole pokazuje się tylko domenom z datą ważności z rejestratora. | 2026-10-04: D3 (sandbox OpenProvidera (api.sandbox.openprovider.nl), panel klienta prod, klient d3 czasowo na portfelu) — „Odnów za 70,99” → „Domena odnowiona”, portfel −70,99 (240,11 po rejestracji i odnowieniu). Błąd: data ważności w panelu została 4.10.2027 (odpowiedź renew bez expiration_date) → 9eb936d4 czyta datę z domeny u rejestratora; retest po wdrożeniu. | 2026-10-04 po c240269: drugie odnowienie w sandboxie — „Ważna do 4.10.2029” (data z rejestru, domainInfo), portfel −70,99 jednorazowo (169,12). Opis w historii „(1 lata/lat)” → „(1 rok)” poprawiony.</t>
        </is>
      </c>
    </row>
    <row r="12">
      <c r="A12" s="11" t="inlineStr">
        <is>
          <t>A-11</t>
        </is>
      </c>
      <c r="B12" s="12" t="inlineStr">
        <is>
          <t>A</t>
        </is>
      </c>
      <c r="C12" s="11" t="inlineStr">
        <is>
          <t>Wyszukiwarka wolnych domen</t>
        </is>
      </c>
      <c r="D12" s="11" t="inlineStr">
        <is>
          <t>NIE</t>
        </is>
      </c>
      <c r="E12" s="11" t="inlineStr">
        <is>
          <t>NIE</t>
        </is>
      </c>
      <c r="F12" s="11" t="inlineStr">
        <is>
          <t>NIE</t>
        </is>
      </c>
      <c r="G12" s="11" t="inlineStr">
        <is>
          <t>TAK</t>
        </is>
      </c>
      <c r="H12" s="11" t="inlineStr">
        <is>
          <t>TAK</t>
        </is>
      </c>
      <c r="I12" s="11" t="inlineStr">
        <is>
          <t>DZIAŁA</t>
        </is>
      </c>
      <c r="J12" s="12" t="inlineStr">
        <is>
          <t>domains.controller.ts:54</t>
        </is>
      </c>
      <c r="K12" s="11" t="inlineStr">
        <is>
          <t>PARYTET</t>
        </is>
      </c>
      <c r="L12" s="11" t="inlineStr">
        <is>
          <t>WYSOKA</t>
        </is>
      </c>
      <c r="M12" s="11" t="inlineStr">
        <is>
          <t>S</t>
        </is>
      </c>
      <c r="N12" s="12" t="inlineStr">
        <is>
          <t>DECYZJA WŁAŚCICIELA 2026-09-23: konfiguracja OpenProvider (REGISTRAR_PROVIDER + dane API w .env.prod, wpisuje właściciel) razem z zakupem węzła w sprincie 18; do tego czasu wyszukiwarka za flagą. | 2026-09-25: preflight GO-LIVE blokuje start bez REGISTRAR_PROVIDER (strona oferuje rejestrację domen). Wyszukiwarka na verris.pl prowadzi do /dashboard/domains/buy?domain=… i panel wpisuje nazwę w wyszukiwarkę (wcześniej nazwa przepadała). /domeny: „bez blokad transferu” → blokadę włączasz i zdejmujesz sam (A-15). | 2026-09-27 PRODUKCJA po b0a556f: wyszukiwarka działa — „hvln-test-verris” → 32 wolne warianty z ceną rejestracji i odnowienia (brutto). Przyczyna „wszystko zajęte”: OpenProvider zwraca wyniki w innej kolejności niż w zapytaniu — dopasowanie po nazwie domeny, zapytania po 15 końcówek. Zostaje do pełnego testu z węzłem (decyzja właściciela). | 2026-10-04: D3 (sandbox OpenProvidera (api.sandbox.openprovider.nl), panel klienta prod, klient d3 czasowo na portfelu) — wyszukiwarka: 26 z 32 końcówek z cenami brutto. Po drodze: paczka 15 TLD „wszystko albo nic” gubiła .pl/.com, gdy jedna końcówka wisiała (.online/.shop &gt;40 s w sandboxie) → 36b8bca/9199355/99e38ec (limit 6 s, pojedynczo po błędzie paczki, budżet panelu 40 s); końcówki bez odpowiedzi „Nie sprawdzono” zamiast „Zajęta” → 9eb936d4.</t>
        </is>
      </c>
    </row>
    <row r="13">
      <c r="A13" s="11" t="inlineStr">
        <is>
          <t>A-12</t>
        </is>
      </c>
      <c r="B13" s="12" t="inlineStr">
        <is>
          <t>A</t>
        </is>
      </c>
      <c r="C13" s="11" t="inlineStr">
        <is>
          <t>Cennik rejestracji na 1–10 lat</t>
        </is>
      </c>
      <c r="D13" s="11" t="inlineStr">
        <is>
          <t>NIE</t>
        </is>
      </c>
      <c r="E13" s="11" t="inlineStr">
        <is>
          <t>NIE</t>
        </is>
      </c>
      <c r="F13" s="11" t="inlineStr">
        <is>
          <t>NIE</t>
        </is>
      </c>
      <c r="G13" s="11" t="inlineStr">
        <is>
          <t>TAK</t>
        </is>
      </c>
      <c r="H13" s="11" t="inlineStr">
        <is>
          <t>TAK</t>
        </is>
      </c>
      <c r="I13" s="11" t="inlineStr">
        <is>
          <t>DZIAŁA</t>
        </is>
      </c>
      <c r="J13" s="12" t="inlineStr">
        <is>
          <t>POST domains/registrar/quote-periods (domain-registrar.service.ts quotePeriods — ceny brutto dla 1, 2, 3, 5 i 10 lat + cena odnowienia/rok) → kreator zakupu: krok „Okres” z ceną każdego wariantu (domain-purchase-wizard.tsx YEAR_OPTIONS)</t>
        </is>
      </c>
      <c r="K13" s="11" t="inlineStr">
        <is>
          <t>PARYTET</t>
        </is>
      </c>
      <c r="L13" s="11" t="inlineStr">
        <is>
          <t>ŚREDNIA</t>
        </is>
      </c>
      <c r="M13" s="11" t="inlineStr">
        <is>
          <t>S</t>
        </is>
      </c>
      <c r="N13" s="12" t="inlineStr">
        <is>
          <t>2026-09-23 PORZĄDKI: funkcja była zrobiona, wpis „LUKA” był nieaktualny. Działa po włączeniu rejestratora (A-11 FLAGA — REGISTRAR_PROVIDER), tak jak A-10. | 2026-09-27 PRODUKCJA: okresy dla hvln-test-verris.pl — 1 rok 24,99 zł, 2 lata 91,99, 3 lata 192,99, 5 lat 360,99, 10 lat 781,99, odnowienie 83,99 zł/rok (ceny OpenProvider × marża, brutto). Zostaje do pełnego testu z węzłem. | 2026-10-04: D3 (sandbox OpenProvidera (api.sandbox.openprovider.nl), panel klienta prod, klient d3 czasowo na portfelu) — okres 1/2/3/5/10 lat: 70,99 / 140,99 / 211,99 / 352,99 / 705,99 zł brutto dla .com, odnowienie 70,99 zł/rok widoczne przed zakupem; podsumowanie netto 57,72 + VAT 13,27.</t>
        </is>
      </c>
    </row>
    <row r="14">
      <c r="A14" s="11" t="inlineStr">
        <is>
          <t>A-13</t>
        </is>
      </c>
      <c r="B14" s="12" t="inlineStr">
        <is>
          <t>A</t>
        </is>
      </c>
      <c r="C14" s="11" t="inlineStr">
        <is>
          <t>Zmiana danych abonenta domeny</t>
        </is>
      </c>
      <c r="D14" s="11" t="inlineStr">
        <is>
          <t>NIE</t>
        </is>
      </c>
      <c r="E14" s="11" t="inlineStr">
        <is>
          <t>NIE</t>
        </is>
      </c>
      <c r="F14" s="11" t="inlineStr">
        <is>
          <t>NIE</t>
        </is>
      </c>
      <c r="G14" s="11" t="inlineStr">
        <is>
          <t>TAK</t>
        </is>
      </c>
      <c r="H14" s="11" t="inlineStr">
        <is>
          <t>TAK</t>
        </is>
      </c>
      <c r="I14" s="11" t="inlineStr">
        <is>
          <t>DZIAŁA</t>
        </is>
      </c>
      <c r="J14" s="12" t="inlineStr">
        <is>
          <t>GET/PUT /domains/:id/registrar/registrant (tylko właściciel konta) → OpenProvider /v1/customers/{handle}; rejestracja i transfer zakładają uchwyt klienta (POST /v1/customers) przed obciążeniem portfela; panel: kreator zakupu, zamówienie hostingu z domeną, transfer, strona domeny; test domains/abonent-domeny.spec.ts</t>
        </is>
      </c>
      <c r="K14" s="11" t="inlineStr">
        <is>
          <t>PARYTET</t>
        </is>
      </c>
      <c r="L14" s="11" t="inlineStr">
        <is>
          <t>WYSOKA</t>
        </is>
      </c>
      <c r="M14" s="11" t="inlineStr">
        <is>
          <t>M</t>
        </is>
      </c>
      <c r="N14" s="12" t="inlineStr">
        <is>
          <t>wymóg operatorski przy własnej rejestracji | DECYZJA WŁAŚCICIELA 2026-09-23: abonentem jest KLIENT. ZNALEZISKO: kod rejestrował każdą domenę na uchwyt operatora (OPENPROVIDER_OWNER_HANDLE jako owner) — formalnie domeny należałyby do Verris, sprzecznie z projektem Regulaminu §12 ust. 4 („rejestrowana na dane Klienta”). Nic nie zostało zarejestrowane (rejestrator za flagą), więc zmiana bez migracji. Handle operatora zostaje jako admin/tech/billing. Imię, nazwisko i firmę zmienia tylko cesja (rejestrator nie modyfikuje nazwy uchwytu) — panel odmawia z wyjaśnieniem; adres, telefon, e-mail, NIP — z panelu. PRZY OKAZJI: /v1beta → /v1 (OpenProvider wyłącza v1beta 2027-06-30). D3 przy pierwszej domenie po konfiguracji OpenProvider. | 2026-10-04: D3 (sandbox OpenProvidera (api.sandbox.openprovider.nl), panel klienta prod, klient d3 czasowo na portfelu) — „Dane abonenta”: odczyt z rejestratora, zmiana miasta/kodu (Warszawa 00-001 → Kraków 30-001) „zapisane u rejestratora”, po przeładowaniu odczyt z OP pokazuje nowe dane; imię/nazwisko/firma tylko przez cesję (zgłoszenie).</t>
        </is>
      </c>
    </row>
    <row r="15">
      <c r="A15" s="11" t="inlineStr">
        <is>
          <t>A-14</t>
        </is>
      </c>
      <c r="B15" s="12" t="inlineStr">
        <is>
          <t>A</t>
        </is>
      </c>
      <c r="C15" s="11" t="inlineStr">
        <is>
          <t>Ukrycie danych WHOIS / domain privacy</t>
        </is>
      </c>
      <c r="D15" s="11" t="inlineStr">
        <is>
          <t>NIE</t>
        </is>
      </c>
      <c r="E15" s="11" t="inlineStr">
        <is>
          <t>NIE</t>
        </is>
      </c>
      <c r="F15" s="11" t="inlineStr">
        <is>
          <t>NIE</t>
        </is>
      </c>
      <c r="G15" s="11" t="inlineStr">
        <is>
          <t>b.d.</t>
        </is>
      </c>
      <c r="H15" s="11" t="inlineStr">
        <is>
          <t>TAK</t>
        </is>
      </c>
      <c r="I15" s="11" t="inlineStr">
        <is>
          <t>DZIAŁA</t>
        </is>
      </c>
      <c r="J15" s="12" t="inlineStr">
        <is>
          <t>domain-registrar.service.ts setWhoisPrivacy (OpenProvider PUT /v1/domains/{id} is_private_whois_enabled); Domain.whoisPrivacy; zamówienie WHOIS_PRIVACY; ustawienie domain.whoisPrivacyYearlyPrice (puste = ukryte); migracja 20261005160000_ukrycie_whois</t>
        </is>
      </c>
      <c r="K15" s="11" t="inlineStr">
        <is>
          <t>PARYTET</t>
        </is>
      </c>
      <c r="L15" s="11" t="inlineStr">
        <is>
          <t>NISKA</t>
        </is>
      </c>
      <c r="M15" s="11" t="inlineStr">
        <is>
          <t>S</t>
        </is>
      </c>
      <c r="N15" s="12" t="inlineStr">
        <is>
          <t>DECYZJA WŁAŚCICIELA 2026-09-24: po starcie — u OpenProvider ukrycie WHOIS to usługa płatna per domena, a dla osób fizycznych z .pl rejestr i tak nie publikuje danych; wracamy przy sprzedaży domen, gdy znane będą koszty. | 2026-10-05 KOD (decyzja właściciela: budujemy teraz; członkostwo OP Basic „S” — usługa płatna): dodatek płatny, cena brutto za rok w Ustawieniach platformy (puste = niedostępne), opłata za rozpoczęte lata do wygaśnięcia + dopłata przy odnowieniu, odmowa rejestru → zwrot (bc35db54). Zostaje: cena od właściciela, test w sandboxie OP (model opłat, kod błędu .pl). | 2026-10-05 KOREKTA STANU: kod jest (c2bd935), wpis zostawał „BRAK/LUKA” — teraz FLAGA (cena pusta = funkcja ukryta) · CZĘŚCIOWY do ceny i testu w sandboxie OP. | 2026-10-06 D3 SANDBOX: włączenie ukrycia dla verris-test-d3-2026.com (29,97 K = 3 lata do końca ważności) — OpenProvider „Wpp contract is not signed”; zwrot zadziałał; komunikat klienta poprawiony (0827480). Zostaje: akceptacja umowy WPP w panelu OpenProvidera (właściciel), ponowny test. | 2026-10-07 D3 SANDBOX po podpisaniu umowy WPP (sandbox + produkcja): włączenie dla verris-test-d3-2026.com — 29,97 K z portfela, „Dane w WHOIS ukryte”; wyłączenie bez opłaty działa. Zamknięte 2026-10-07. Do decyzji: ponowne włączenie w tym samym okresie pobiera opłatę jeszcze raz. | 2026-10-07 DECYZJA WŁAŚCICIELA: ukrycie danych bezpłatne (WPP w członkostwie OpenProvidera), cena dalej ustawiana w adminie: 0 = bezpłatnie, puste = niedostępne (3bc7107). D3: cena 0 w adminie, włączenie na verris-test-d3-2026.com — audyt priceAmount 0.00, bez zamówienia i bez obciążenia portfela. Kwestia ponownej opłaty w tym samym okresie nieaktualna.</t>
        </is>
      </c>
    </row>
    <row r="16">
      <c r="A16" s="11" t="inlineStr">
        <is>
          <t>A-15</t>
        </is>
      </c>
      <c r="B16" s="12" t="inlineStr">
        <is>
          <t>A</t>
        </is>
      </c>
      <c r="C16" s="11" t="inlineStr">
        <is>
          <t>Blokada transferu domeny (transfer lock)</t>
        </is>
      </c>
      <c r="D16" s="11" t="inlineStr">
        <is>
          <t>NIE</t>
        </is>
      </c>
      <c r="E16" s="11" t="inlineStr">
        <is>
          <t>NIE</t>
        </is>
      </c>
      <c r="F16" s="11" t="inlineStr">
        <is>
          <t>NIE</t>
        </is>
      </c>
      <c r="G16" s="11" t="inlineStr">
        <is>
          <t>b.d.</t>
        </is>
      </c>
      <c r="H16" s="11" t="inlineStr">
        <is>
          <t>TAK</t>
        </is>
      </c>
      <c r="I16" s="11" t="inlineStr">
        <is>
          <t>DZIAŁA</t>
        </is>
      </c>
      <c r="J16" s="12" t="inlineStr">
        <is>
          <t>POST /domains/:id/registrar/lock → OpenProvider PUT /v1/domains/{id} {is_locked}; stan w Domain.transferLock + audyt DOMAIN_TRANSFER_LOCKED/UNLOCKED; panel: strona domeny „Transfer i abonent”; test domains/abonent-domeny.spec.ts</t>
        </is>
      </c>
      <c r="K16" s="11" t="inlineStr">
        <is>
          <t>PARYTET</t>
        </is>
      </c>
      <c r="L16" s="11" t="inlineStr">
        <is>
          <t>ŚREDNIA</t>
        </is>
      </c>
      <c r="M16" s="11" t="inlineStr">
        <is>
          <t>S</t>
        </is>
      </c>
      <c r="N16" s="12" t="inlineStr">
        <is>
          <t>2026-09-23: przełącznik blokady w panelu. FLAGA do konfiguracji OpenProvider (A-11). | 2026-10-04: D3 (sandbox OpenProvidera (api.sandbox.openprovider.nl), panel klienta prod, klient d3 czasowo na portfelu) — blokada transferu: domyślnie włączona, „Odblokuj” → wyłączona (po przeładowaniu z rejestratora nadal wyłączona), „Zablokuj” → włączona.</t>
        </is>
      </c>
    </row>
    <row r="17">
      <c r="A17" s="11" t="inlineStr">
        <is>
          <t>A-16</t>
        </is>
      </c>
      <c r="B17" s="12" t="inlineStr">
        <is>
          <t>A</t>
        </is>
      </c>
      <c r="C17" s="11" t="inlineStr">
        <is>
          <t>Weryfikacja własności domeny</t>
        </is>
      </c>
      <c r="D17" s="11" t="inlineStr">
        <is>
          <t>NIE</t>
        </is>
      </c>
      <c r="E17" s="11" t="inlineStr">
        <is>
          <t>NIE</t>
        </is>
      </c>
      <c r="F17" s="11" t="inlineStr">
        <is>
          <t>NIE</t>
        </is>
      </c>
      <c r="G17" s="11" t="inlineStr">
        <is>
          <t>b.d.</t>
        </is>
      </c>
      <c r="H17" s="11" t="inlineStr">
        <is>
          <t>b.d.</t>
        </is>
      </c>
      <c r="I17" s="11" t="inlineStr">
        <is>
          <t>DZIAŁA</t>
        </is>
      </c>
      <c r="J17" s="12" t="inlineStr">
        <is>
          <t>domains.service.ts verifyDomain — ACTIVE tylko po rekordzie TXT _verris-challenge.&lt;domena&gt; = verris-verify=&lt;HMAC(id,właściciel)&gt;; create zwalnia cudzą niezweryfikowaną rezerwację po 7 dniach; klient: domains/[id] — instrukcja TXT z kopiowaniem; testy D2 domains.service.spec.ts</t>
        </is>
      </c>
      <c r="K17" s="11" t="inlineStr">
        <is>
          <t>PARYTET</t>
        </is>
      </c>
      <c r="L17" s="11" t="inlineStr">
        <is>
          <t>WYSOKA</t>
        </is>
      </c>
      <c r="M17" s="11" t="inlineStr">
        <is>
          <t>M</t>
        </is>
      </c>
      <c r="N17" s="12" t="inlineStr">
        <is>
          <t>OBALONE w passie adwersaryjnym: to checklist konfiguracji, nie dowód własności. Brak wyzwania TXT i tokenu — dowolny użytkownik może dodać cudzą domenę i doprowadzić ją do statusu ACTIVE. | 2026-09-23: domena przechodzi w ACTIVE dopiero po opublikowaniu rekordu TXT (wartość różna dla każdego właściciela, liczona HMAC — bez migracji). Checklist A/NS/TLS zostaje jako asystent konfiguracji, nie dowód. Anty-squatting: niezweryfikowana cudza rezerwacja po 7 dniach nie blokuje nazwy. Domeny kupione przez rejestratora są ACTIVE z zakupu. D3 na pierwszej domenie klienta.</t>
        </is>
      </c>
    </row>
    <row r="18">
      <c r="A18" s="11" t="inlineStr">
        <is>
          <t>A-17</t>
        </is>
      </c>
      <c r="B18" s="12" t="inlineStr">
        <is>
          <t>A</t>
        </is>
      </c>
      <c r="C18" s="11" t="inlineStr">
        <is>
          <t>Rejestracja konta klienta (self-service)</t>
        </is>
      </c>
      <c r="D18" s="11" t="inlineStr">
        <is>
          <t>NIE</t>
        </is>
      </c>
      <c r="E18" s="11" t="inlineStr">
        <is>
          <t>NIE</t>
        </is>
      </c>
      <c r="F18" s="11" t="inlineStr">
        <is>
          <t>NIE</t>
        </is>
      </c>
      <c r="G18" s="11" t="inlineStr">
        <is>
          <t>TAK</t>
        </is>
      </c>
      <c r="H18" s="11" t="inlineStr">
        <is>
          <t>TAK</t>
        </is>
      </c>
      <c r="I18" s="11" t="inlineStr">
        <is>
          <t>DZIAŁA</t>
        </is>
      </c>
      <c r="J18" s="12" t="inlineStr">
        <is>
          <t>auth.controller.ts:67</t>
        </is>
      </c>
      <c r="K18" s="11" t="inlineStr">
        <is>
          <t>PARYTET</t>
        </is>
      </c>
      <c r="L18" s="11" t="inlineStr">
        <is>
          <t>—</t>
        </is>
      </c>
      <c r="M18" s="11" t="inlineStr">
        <is>
          <t>—</t>
        </is>
      </c>
      <c r="N18" s="12" t="inlineStr">
        <is>
          <t>captcha + weryfikacja e-mail</t>
        </is>
      </c>
    </row>
    <row r="19">
      <c r="A19" s="11" t="inlineStr">
        <is>
          <t>A-18</t>
        </is>
      </c>
      <c r="B19" s="12" t="inlineStr">
        <is>
          <t>A</t>
        </is>
      </c>
      <c r="C19" s="11" t="inlineStr">
        <is>
          <t>Logowanie hasłem</t>
        </is>
      </c>
      <c r="D19" s="11" t="inlineStr">
        <is>
          <t>TAK</t>
        </is>
      </c>
      <c r="E19" s="11" t="inlineStr">
        <is>
          <t>TAK</t>
        </is>
      </c>
      <c r="F19" s="11" t="inlineStr">
        <is>
          <t>TAK</t>
        </is>
      </c>
      <c r="G19" s="11" t="inlineStr">
        <is>
          <t>TAK</t>
        </is>
      </c>
      <c r="H19" s="11" t="inlineStr">
        <is>
          <t>TAK</t>
        </is>
      </c>
      <c r="I19" s="11" t="inlineStr">
        <is>
          <t>DZIAŁA</t>
        </is>
      </c>
      <c r="J19" s="12" t="inlineStr">
        <is>
          <t>auth.controller.ts:77</t>
        </is>
      </c>
      <c r="K19" s="11" t="inlineStr">
        <is>
          <t>PARYTET</t>
        </is>
      </c>
      <c r="L19" s="11" t="inlineStr">
        <is>
          <t>—</t>
        </is>
      </c>
      <c r="M19" s="11" t="inlineStr">
        <is>
          <t>—</t>
        </is>
      </c>
      <c r="N19" s="12" t="inlineStr"/>
    </row>
    <row r="20">
      <c r="A20" s="11" t="inlineStr">
        <is>
          <t>A-19</t>
        </is>
      </c>
      <c r="B20" s="12" t="inlineStr">
        <is>
          <t>A</t>
        </is>
      </c>
      <c r="C20" s="11" t="inlineStr">
        <is>
          <t>Zamówienie usługi z panelu</t>
        </is>
      </c>
      <c r="D20" s="11" t="inlineStr">
        <is>
          <t>NIE</t>
        </is>
      </c>
      <c r="E20" s="11" t="inlineStr">
        <is>
          <t>NIE</t>
        </is>
      </c>
      <c r="F20" s="11" t="inlineStr">
        <is>
          <t>NIE</t>
        </is>
      </c>
      <c r="G20" s="11" t="inlineStr">
        <is>
          <t>TAK</t>
        </is>
      </c>
      <c r="H20" s="11" t="inlineStr">
        <is>
          <t>TAK</t>
        </is>
      </c>
      <c r="I20" s="11" t="inlineStr">
        <is>
          <t>DZIAŁA</t>
        </is>
      </c>
      <c r="J20" s="12" t="inlineStr">
        <is>
          <t>subscriptions.controller.ts:97</t>
        </is>
      </c>
      <c r="K20" s="11" t="inlineStr">
        <is>
          <t>PARYTET</t>
        </is>
      </c>
      <c r="L20" s="11" t="inlineStr">
        <is>
          <t>—</t>
        </is>
      </c>
      <c r="M20" s="11" t="inlineStr">
        <is>
          <t>—</t>
        </is>
      </c>
      <c r="N20" s="12" t="inlineStr"/>
    </row>
    <row r="21">
      <c r="A21" s="11" t="inlineStr">
        <is>
          <t>A-20</t>
        </is>
      </c>
      <c r="B21" s="12" t="inlineStr">
        <is>
          <t>A</t>
        </is>
      </c>
      <c r="C21" s="11" t="inlineStr">
        <is>
          <t>Okres próbny / trial</t>
        </is>
      </c>
      <c r="D21" s="11" t="inlineStr">
        <is>
          <t>NIE</t>
        </is>
      </c>
      <c r="E21" s="11" t="inlineStr">
        <is>
          <t>NIE</t>
        </is>
      </c>
      <c r="F21" s="11" t="inlineStr">
        <is>
          <t>NIE</t>
        </is>
      </c>
      <c r="G21" s="11" t="inlineStr">
        <is>
          <t>CZĘŚĆ</t>
        </is>
      </c>
      <c r="H21" s="11" t="inlineStr">
        <is>
          <t>TAK</t>
        </is>
      </c>
      <c r="I21" s="11" t="inlineStr">
        <is>
          <t>DZIAŁA</t>
        </is>
      </c>
      <c r="J21" s="12" t="inlineStr">
        <is>
          <t>subscriptions.controller.ts:53</t>
        </is>
      </c>
      <c r="K21" s="11" t="inlineStr">
        <is>
          <t>PARYTET</t>
        </is>
      </c>
      <c r="L21" s="11" t="inlineStr">
        <is>
          <t>—</t>
        </is>
      </c>
      <c r="M21" s="11" t="inlineStr">
        <is>
          <t>—</t>
        </is>
      </c>
      <c r="N21" s="12" t="inlineStr">
        <is>
          <t>3 z 5 hostingów PL ma trial lub money-back | 2026-10-06: trial omijał blokadę PB-28 (rozliczani poza Verris) — 645a250 (test trial.billing-outside.spec.ts).</t>
        </is>
      </c>
    </row>
    <row r="22">
      <c r="A22" s="11" t="inlineStr">
        <is>
          <t>A-21</t>
        </is>
      </c>
      <c r="B22" s="12" t="inlineStr">
        <is>
          <t>A</t>
        </is>
      </c>
      <c r="C22" s="11" t="inlineStr">
        <is>
          <t>Anulowanie usługi przez klienta</t>
        </is>
      </c>
      <c r="D22" s="11" t="inlineStr">
        <is>
          <t>NIE</t>
        </is>
      </c>
      <c r="E22" s="11" t="inlineStr">
        <is>
          <t>NIE</t>
        </is>
      </c>
      <c r="F22" s="11" t="inlineStr">
        <is>
          <t>NIE</t>
        </is>
      </c>
      <c r="G22" s="11" t="inlineStr">
        <is>
          <t>TAK</t>
        </is>
      </c>
      <c r="H22" s="11" t="inlineStr">
        <is>
          <t>TAK</t>
        </is>
      </c>
      <c r="I22" s="11" t="inlineStr">
        <is>
          <t>DZIAŁA</t>
        </is>
      </c>
      <c r="J22" s="12" t="inlineStr">
        <is>
          <t>subscriptions.controller.ts:103; D3 t1 (d3.hvln.pl) 29.09 00:38: rezygnacja „od razu” z mailtest-verris.pl w panelu klienta → status Anulowana, konto DA zawieszone</t>
        </is>
      </c>
      <c r="K22" s="11" t="inlineStr">
        <is>
          <t>PARYTET</t>
        </is>
      </c>
      <c r="L22" s="11" t="inlineStr">
        <is>
          <t>—</t>
        </is>
      </c>
      <c r="M22" s="11" t="inlineStr">
        <is>
          <t>—</t>
        </is>
      </c>
      <c r="N22" s="12" t="inlineStr"/>
    </row>
    <row r="23">
      <c r="A23" s="11" t="inlineStr">
        <is>
          <t>A-22</t>
        </is>
      </c>
      <c r="B23" s="12" t="inlineStr">
        <is>
          <t>A</t>
        </is>
      </c>
      <c r="C23" s="11" t="inlineStr">
        <is>
          <t>Zmiana planu (upgrade/downgrade) z proratą</t>
        </is>
      </c>
      <c r="D23" s="11" t="inlineStr">
        <is>
          <t>NIE</t>
        </is>
      </c>
      <c r="E23" s="11" t="inlineStr">
        <is>
          <t>NIE</t>
        </is>
      </c>
      <c r="F23" s="11" t="inlineStr">
        <is>
          <t>NIE</t>
        </is>
      </c>
      <c r="G23" s="11" t="inlineStr">
        <is>
          <t>CZĘŚĆ</t>
        </is>
      </c>
      <c r="H23" s="11" t="inlineStr">
        <is>
          <t>TAK</t>
        </is>
      </c>
      <c r="I23" s="11" t="inlineStr">
        <is>
          <t>DZIAŁA</t>
        </is>
      </c>
      <c r="J23" s="12" t="inlineStr">
        <is>
          <t>subscriptions.controller.ts:146,161</t>
        </is>
      </c>
      <c r="K23" s="11" t="inlineStr">
        <is>
          <t>PRZEWAGA</t>
        </is>
      </c>
      <c r="L23" s="11" t="inlineStr">
        <is>
          <t>—</t>
        </is>
      </c>
      <c r="M23" s="11" t="inlineStr">
        <is>
          <t>—</t>
        </is>
      </c>
      <c r="N23" s="12" t="inlineStr">
        <is>
          <t>prorata cross-interval MONTH↔YEAR; test D1 | 2026-09-27 ZNALEZISKO (naprawione c0991f1): zmiana okresu rozliczeniowego liczyła koszt jak resztę starego okresu, a zaczynała nowy pełny okres — miesiąc→rok w połowie miesiąca = rok gratis + ~6 zł zwrotu; rok→miesiąc = dopłata ~136 zł zamiast zwrotu. Teraz pełna cena nowego okresu minus niewykorzystana część starego (Regulamin: zmiana okresu rozpoczyna nowy okres). Równoległe zmiany planu zajmują usługę warunkowo (drugie żądanie 409). Test integracyjny zmiana-planu.int-spec.ts. DO SPRAWDZENIA NA PRODUKCJI: czy ktoś zmieniał okres z portfela (zdarzenia PLAN_CHANGED z intervalChange=true). | 2026-09-27 PRODUKCJA: sprawdzone w dzienniku — 0 zmian okresu rozliczeniowego (PLAN_CHANGED z intervalChange=true), błąd nie został wykorzystany; bez korekt wstecz.</t>
        </is>
      </c>
    </row>
    <row r="24">
      <c r="A24" s="11" t="inlineStr">
        <is>
          <t>A-23</t>
        </is>
      </c>
      <c r="B24" s="12" t="inlineStr">
        <is>
          <t>A</t>
        </is>
      </c>
      <c r="C24" s="11" t="inlineStr">
        <is>
          <t>Dane dostępowe usługi (IP/FTP/NS/limity)</t>
        </is>
      </c>
      <c r="D24" s="11" t="inlineStr">
        <is>
          <t>TAK</t>
        </is>
      </c>
      <c r="E24" s="11" t="inlineStr">
        <is>
          <t>TAK</t>
        </is>
      </c>
      <c r="F24" s="11" t="inlineStr">
        <is>
          <t>TAK</t>
        </is>
      </c>
      <c r="G24" s="11" t="inlineStr">
        <is>
          <t>TAK</t>
        </is>
      </c>
      <c r="H24" s="11" t="inlineStr">
        <is>
          <t>TAK</t>
        </is>
      </c>
      <c r="I24" s="11" t="inlineStr">
        <is>
          <t>DZIAŁA</t>
        </is>
      </c>
      <c r="J24" s="12" t="inlineStr">
        <is>
          <t>services.controller.ts:355</t>
        </is>
      </c>
      <c r="K24" s="11" t="inlineStr">
        <is>
          <t>PARYTET</t>
        </is>
      </c>
      <c r="L24" s="11" t="inlineStr">
        <is>
          <t>—</t>
        </is>
      </c>
      <c r="M24" s="11" t="inlineStr">
        <is>
          <t>—</t>
        </is>
      </c>
      <c r="N24" s="12" t="inlineStr"/>
    </row>
    <row r="25">
      <c r="A25" s="11" t="inlineStr">
        <is>
          <t>A-24</t>
        </is>
      </c>
      <c r="B25" s="12" t="inlineStr">
        <is>
          <t>A</t>
        </is>
      </c>
      <c r="C25" s="11" t="inlineStr">
        <is>
          <t>Zakładanie konta klienta przez operatora</t>
        </is>
      </c>
      <c r="D25" s="11" t="inlineStr">
        <is>
          <t>TAK</t>
        </is>
      </c>
      <c r="E25" s="11" t="inlineStr">
        <is>
          <t>TAK</t>
        </is>
      </c>
      <c r="F25" s="11" t="inlineStr">
        <is>
          <t>TAK</t>
        </is>
      </c>
      <c r="G25" s="11" t="inlineStr">
        <is>
          <t>TAK</t>
        </is>
      </c>
      <c r="H25" s="11" t="inlineStr">
        <is>
          <t>TAK</t>
        </is>
      </c>
      <c r="I25" s="11" t="inlineStr">
        <is>
          <t>DZIAŁA</t>
        </is>
      </c>
      <c r="J25" s="12" t="inlineStr">
        <is>
          <t>POST /admin/users (users.admin.controller.ts createCustomer, CUSTOMERS_MANAGE) → UsersAdminService.createCustomerByOperator; admin: Klienci → „Nowy klient” (create-customer-button.tsx); testy D2 users.admin.create-customer.spec.ts + users.admin.controller.spec.ts</t>
        </is>
      </c>
      <c r="K25" s="11" t="inlineStr">
        <is>
          <t>PARYTET</t>
        </is>
      </c>
      <c r="L25" s="11" t="inlineStr">
        <is>
          <t>WYSOKA</t>
        </is>
      </c>
      <c r="M25" s="11" t="inlineStr">
        <is>
          <t>M</t>
        </is>
      </c>
      <c r="N25" s="12" t="inlineStr">
        <is>
          <t>Skorygowane: konta powstają też przez rejestrację (auth.service.ts:132) — operator może zarejestrować za klienta i wejść przez impersonację (users.admin.controller.ts:248). Pierwsze konto da się sprzedać. | 2026-09-23: operator zakłada konto bez znajomości hasła — klient dostaje link „ustaw hasło” (72 h, token PASSWORD_RESET), ustawienie hasła potwierdza e-mail. Zgód nie składamy w imieniu klienta: regulamin akceptuje sam przy pierwszym logowaniu. Audyt ADMIN_CUSTOMER_CREATED_BY_OPERATOR. D3 przy pierwszym koncie z telefonu.</t>
        </is>
      </c>
    </row>
    <row r="26">
      <c r="A26" s="11" t="inlineStr">
        <is>
          <t>A-25</t>
        </is>
      </c>
      <c r="B26" s="12" t="inlineStr">
        <is>
          <t>A</t>
        </is>
      </c>
      <c r="C26" s="11" t="inlineStr">
        <is>
          <t>Ręczne zawieszenie usługi przez operatora</t>
        </is>
      </c>
      <c r="D26" s="11" t="inlineStr">
        <is>
          <t>TAK</t>
        </is>
      </c>
      <c r="E26" s="11" t="inlineStr">
        <is>
          <t>TAK</t>
        </is>
      </c>
      <c r="F26" s="11" t="inlineStr">
        <is>
          <t>TAK</t>
        </is>
      </c>
      <c r="G26" s="11" t="inlineStr">
        <is>
          <t>TAK</t>
        </is>
      </c>
      <c r="H26" s="11" t="inlineStr">
        <is>
          <t>TAK</t>
        </is>
      </c>
      <c r="I26" s="11" t="inlineStr">
        <is>
          <t>DZIAŁA</t>
        </is>
      </c>
      <c r="J26" s="12" t="inlineStr">
        <is>
          <t>2026-09-23 D1: admin-panel subscriptions/[id]/suspend-form.tsx + suspend-actions.ts → POST /admin/subscriptions/:id/suspend (powód, notatka, potwierdzenie); D3 t1 (d3.hvln.pl) 29.09 01:1x: zawieszenie z panelu admina (Decyzja operatora + notatka) → strona pokazuje stronę zawieszenia DA, sesja DA klienta wylogowana. Uwaga: strona zawieszenia to domyślna, angielska strona DA (bez marki Verris)</t>
        </is>
      </c>
      <c r="K26" s="11" t="inlineStr">
        <is>
          <t>PARYTET</t>
        </is>
      </c>
      <c r="L26" s="11" t="inlineStr">
        <is>
          <t>—</t>
        </is>
      </c>
      <c r="M26" s="11" t="inlineStr">
        <is>
          <t>S</t>
        </is>
      </c>
      <c r="N26" s="12" t="inlineStr">
        <is>
          <t>Skorygowane: endpoint działa i jest osiągalny (curl + DirectAdmin), auto-suspend za brak płatności działa. Brakuje UI, nie możliwości zatrzymania szkody. | UI zrobione. OTWARTE do D3 (PB-21, serwer testowy): zawieszenie konta w DirectAdminie na żywym węźle.</t>
        </is>
      </c>
    </row>
    <row r="27">
      <c r="A27" s="11" t="inlineStr">
        <is>
          <t>A-26</t>
        </is>
      </c>
      <c r="B27" s="12" t="inlineStr">
        <is>
          <t>A</t>
        </is>
      </c>
      <c r="C27" s="11" t="inlineStr">
        <is>
          <t>Ręczne odwieszenie usługi przez operatora</t>
        </is>
      </c>
      <c r="D27" s="11" t="inlineStr">
        <is>
          <t>TAK</t>
        </is>
      </c>
      <c r="E27" s="11" t="inlineStr">
        <is>
          <t>TAK</t>
        </is>
      </c>
      <c r="F27" s="11" t="inlineStr">
        <is>
          <t>TAK</t>
        </is>
      </c>
      <c r="G27" s="11" t="inlineStr">
        <is>
          <t>TAK</t>
        </is>
      </c>
      <c r="H27" s="11" t="inlineStr">
        <is>
          <t>TAK</t>
        </is>
      </c>
      <c r="I27" s="11" t="inlineStr">
        <is>
          <t>DZIAŁA</t>
        </is>
      </c>
      <c r="J27" s="12" t="inlineStr">
        <is>
          <t>2026-09-23 D1: ten sam formularz — odwieszenie z opcją obciążenia za odnowienie (chargeRenewal); D3 t1 (d3.hvln.pl) 29.09: odwieszenie bez obciążenia → WordPress wraca po kilku sekundach</t>
        </is>
      </c>
      <c r="K27" s="11" t="inlineStr">
        <is>
          <t>PARYTET</t>
        </is>
      </c>
      <c r="L27" s="11" t="inlineStr">
        <is>
          <t>—</t>
        </is>
      </c>
      <c r="M27" s="11" t="inlineStr">
        <is>
          <t>S</t>
        </is>
      </c>
      <c r="N27" s="12" t="inlineStr">
        <is>
          <t>Skorygowane: jak A-25, endpoint subscriptions.admin.controller.ts:210 działa z chargeRenewal. | UI zrobione. OTWARTE do D3 (PB-21): odwieszenie konta w DA na żywym węźle.</t>
        </is>
      </c>
    </row>
    <row r="28">
      <c r="A28" s="11" t="inlineStr">
        <is>
          <t>A-27</t>
        </is>
      </c>
      <c r="B28" s="12" t="inlineStr">
        <is>
          <t>A</t>
        </is>
      </c>
      <c r="C28" s="11" t="inlineStr">
        <is>
          <t>Pakiety / plany zasobów po stronie operatora</t>
        </is>
      </c>
      <c r="D28" s="11" t="inlineStr">
        <is>
          <t>TAK</t>
        </is>
      </c>
      <c r="E28" s="11" t="inlineStr">
        <is>
          <t>TAK</t>
        </is>
      </c>
      <c r="F28" s="11" t="inlineStr">
        <is>
          <t>TAK</t>
        </is>
      </c>
      <c r="G28" s="11" t="inlineStr">
        <is>
          <t>TAK</t>
        </is>
      </c>
      <c r="H28" s="11" t="inlineStr">
        <is>
          <t>TAK</t>
        </is>
      </c>
      <c r="I28" s="11" t="inlineStr">
        <is>
          <t>DZIAŁA</t>
        </is>
      </c>
      <c r="J28" s="12" t="inlineStr">
        <is>
          <t>plans.admin.controller.ts:45</t>
        </is>
      </c>
      <c r="K28" s="11" t="inlineStr">
        <is>
          <t>PARYTET</t>
        </is>
      </c>
      <c r="L28" s="11" t="inlineStr">
        <is>
          <t>—</t>
        </is>
      </c>
      <c r="M28" s="11" t="inlineStr">
        <is>
          <t>—</t>
        </is>
      </c>
      <c r="N28" s="12" t="inlineStr"/>
    </row>
    <row r="29">
      <c r="A29" s="11" t="inlineStr">
        <is>
          <t>A-28</t>
        </is>
      </c>
      <c r="B29" s="12" t="inlineStr">
        <is>
          <t>A</t>
        </is>
      </c>
      <c r="C29" s="11" t="inlineStr">
        <is>
          <t>Impersonacja klienta przez operatora</t>
        </is>
      </c>
      <c r="D29" s="11" t="inlineStr">
        <is>
          <t>TAK</t>
        </is>
      </c>
      <c r="E29" s="11" t="inlineStr">
        <is>
          <t>TAK</t>
        </is>
      </c>
      <c r="F29" s="11" t="inlineStr">
        <is>
          <t>TAK</t>
        </is>
      </c>
      <c r="G29" s="11" t="inlineStr">
        <is>
          <t>b.d.</t>
        </is>
      </c>
      <c r="H29" s="11" t="inlineStr">
        <is>
          <t>b.d.</t>
        </is>
      </c>
      <c r="I29" s="11" t="inlineStr">
        <is>
          <t>DZIAŁA</t>
        </is>
      </c>
      <c r="J29" s="12" t="inlineStr">
        <is>
          <t>users.admin.controller.ts:248; common/auth/przekazanie-sesji.ts</t>
        </is>
      </c>
      <c r="K29" s="11" t="inlineStr">
        <is>
          <t>PARYTET</t>
        </is>
      </c>
      <c r="L29" s="11" t="inlineStr">
        <is>
          <t>—</t>
        </is>
      </c>
      <c r="M29" s="11" t="inlineStr">
        <is>
          <t>—</t>
        </is>
      </c>
      <c r="N29" s="12" t="inlineStr">
        <is>
          <t>z banerem u klienta | 2026-09-25 (impersonacja „jako klient”): (1) /impersonate przyjmował dowolny token — link ze zwykłym tokenem napastnika logował ofiarę na jego konto (login CSRF); teraz tylko token z claimem impersonatedBy (podpis sprawdza API). (2) returnTo „//host” przechodziło jako ścieżka → przekierowanie na obcą domenę; teraz tylko ścieżki panelu. (3) token impersonacji nie niósł wersji sesji, więc u klientów po „wyloguj wszędzie”/resecie hasła impersonacja od razu kończyła się 401; teraz tv = tokenVersion klienta. (4) działania w impersonacji trafiają do dziennika z impersonatedBy (G-18). Test apps/client-panel/src/app/impersonate/route.spec.ts. | 2026-09-25 (przegląd adwersaryjny paneli): token impersonacji nie idzie już w URL — API zwraca jednorazowy kod (60 s, jednorazowy), panel klienta wymienia go serwer-serwer na POST /auth/handoff; zły kod nie wylogowuje klienta; returnTo tylko ta sama origin (zamknięty open redirect „/\t/evil”). Dowód: common/auth/przekazanie-sesji.ts + spec, client-panel impersonate/route.spec.ts. | 2026-10-10: przycisk „Zaloguj jako klient” w panelu obsługi tylko z CUSTOMERS_VIEW + CUSTOMERS_IMPERSONATE (staff-panel lib/staff-access.ts:31-35, test zaloguj-jako-klient.spec.tsx); passkey klienta zablokowany w sesji impersonacji (33d775dc, audyt bezpieczeństwa 09.10 A07).</t>
        </is>
      </c>
    </row>
    <row r="30">
      <c r="A30" s="11" t="inlineStr">
        <is>
          <t>B-01</t>
        </is>
      </c>
      <c r="B30" s="12" t="inlineStr">
        <is>
          <t>B</t>
        </is>
      </c>
      <c r="C30" s="11" t="inlineStr">
        <is>
          <t>Zmiana wersji PHP dla całego konta</t>
        </is>
      </c>
      <c r="D30" s="11" t="inlineStr">
        <is>
          <t>TAK</t>
        </is>
      </c>
      <c r="E30" s="11" t="inlineStr">
        <is>
          <t>TAK</t>
        </is>
      </c>
      <c r="F30" s="11" t="inlineStr">
        <is>
          <t>TAK</t>
        </is>
      </c>
      <c r="G30" s="11" t="inlineStr">
        <is>
          <t>TAK</t>
        </is>
      </c>
      <c r="H30" s="11" t="inlineStr">
        <is>
          <t>TAK</t>
        </is>
      </c>
      <c r="I30" s="11" t="inlineStr">
        <is>
          <t>DZIAŁA</t>
        </is>
      </c>
      <c r="J30" s="12" t="inlineStr">
        <is>
          <t>services.controller.ts:125; D3 t1 28.09: FAIL — selektor bez alt-php (profil nie instalował els-php-release/alt-phpXX na CL10), panel pokazywał wersję mimo błędu → profil + PHP_APPLY cofa wersję (int: php-odrzucona-zmiana.int-spec.ts); retest po profilu; D3 t1 (d3.hvln.pl) 28.09 23:31: PHP 8.2 dla konta z panelu → strona zwraca 8.2.33 na LiteSpeed (PHP_APPLY zakończone); odrzucona zmiana cofa wersję (int)</t>
        </is>
      </c>
      <c r="K30" s="11" t="inlineStr">
        <is>
          <t>PARYTET</t>
        </is>
      </c>
      <c r="L30" s="11" t="inlineStr">
        <is>
          <t>—</t>
        </is>
      </c>
      <c r="M30" s="11" t="inlineStr">
        <is>
          <t>S</t>
        </is>
      </c>
      <c r="N30" s="12" t="inlineStr">
        <is>
          <t>KOREKTA: pozycja miała stan DZIAŁA na podstawie kodu i kolejki PHP_APPLY. Odkryte 2026-08-21 przy przeglądzie Dockerfile.api: loadery skryptów w API czytają plik z dysku i rzucają wyjątkiem, gdy go nie ma, a obraz produkcyjny kopiował tylko 7 z 10 potrzebnych skryptów. Endpoint /agent/tasks/php-apply/script zwracał 500, więc agent nie miał czego uruchomić — zadanie PHP_APPLY nie mogło się wykonać na produkcji ani razu. Naprawione (COPY + test apps/api/src/test/dockerfile-scripts.spec.ts), ale do czasu potwierdzenia na produkcji stan to CZĘŚCIOWE: kod i testy były zielone przez cały czas, więc D1 i D2 nic tu nie dowodzą — potrzebny D3. | 2026-08-21 21:57: przyczyna wdrożeniowa USUNIĘTA — node-php-apply.sh jest już w obrazie (potwierdzone na serwerze, X-12 D3). Pozycja zostaje CZĘŚCIOWE, bo jej własny dowód wymaga wykonania zadania PHP_APPLY na żywym węźle, a węzła jeszcze nie ma. Do przejścia z części B checklisty D3. | WYCENA 2026-09-19: krytycznosc i naklad uzupelnione przy wznowieniu. Pozycje przepisane 2026-08-28 w ramach X-49 zostaly bez wyceny, przez co nie liczyly sie do budzetu godzin i nie stały w zadnym sprincie. Podstawa wyceny: Zmiana wersji PHP dla calego konta — per domena juz dziala (B-02, S), to ten sam mechanizm o poziom wyzej. | 2026-09-22: przeniesione do sprintu 18 — kod i obraz sa gotowe, zostal wylacznie dowod D3 (PHP_APPLY na zywym wezle).</t>
        </is>
      </c>
    </row>
    <row r="31">
      <c r="A31" s="11" t="inlineStr">
        <is>
          <t>B-02</t>
        </is>
      </c>
      <c r="B31" s="12" t="inlineStr">
        <is>
          <t>B</t>
        </is>
      </c>
      <c r="C31" s="11" t="inlineStr">
        <is>
          <t>Zmiana wersji PHP per domena</t>
        </is>
      </c>
      <c r="D31" s="11" t="inlineStr">
        <is>
          <t>TAK</t>
        </is>
      </c>
      <c r="E31" s="11" t="inlineStr">
        <is>
          <t>TAK</t>
        </is>
      </c>
      <c r="F31" s="11" t="inlineStr">
        <is>
          <t>TAK</t>
        </is>
      </c>
      <c r="G31" s="11" t="inlineStr">
        <is>
          <t>TAK</t>
        </is>
      </c>
      <c r="H31" s="11" t="inlineStr">
        <is>
          <t>TAK</t>
        </is>
      </c>
      <c r="I31" s="11" t="inlineStr">
        <is>
          <t>DZIAŁA</t>
        </is>
      </c>
      <c r="J31" s="12" t="inlineStr">
        <is>
          <t>services.controller.ts — GET/POST /services/:id/hosting-domain-php; directadmin.service.ts:2058; D3 t1 28.09: slot DA php1_select wskazywał nieistniejące php2_release i wyłączał selektor CL → teraz alt-php w bloku Verris .htaccess domeny: htaccess.service.ts phpDomeny/phpDomenyStatus, node-htaccess.sh „zachowaj”; retest po alt-php; 29.09 profil: [OK] handlery alt-php 83/82/81/80/74 w LiteSpeed — retest PHP domeny do zrobienia; D3 t1 29.09 rano: PHP 8.1 per domena z panelu cofany przez sondę node-htaccess (LiteSpeed potrzebuje chwili po zmianie .htaccess; ręcznie 7.4/8.1/8.2 działają) — poprawka 3273ffa (6 prób, https) czeka na push; D3 t1 (d3.hvln.pl) 29.09 po wdrożeniu (panel klienta): PHP 8.1 dla domeny z panelu → „używana teraz”, strona odpowiada PHP/8.1.34; powrót „Jak konto” działa (3273ffa)</t>
        </is>
      </c>
      <c r="K31" s="11" t="inlineStr">
        <is>
          <t>PARYTET</t>
        </is>
      </c>
      <c r="L31" s="11" t="inlineStr">
        <is>
          <t>—</t>
        </is>
      </c>
      <c r="M31" s="11" t="inlineStr">
        <is>
          <t>S</t>
        </is>
      </c>
      <c r="N31" s="12" t="inlineStr">
        <is>
          <t>Decyzja produktowa: ustawienie per domena wygrywa nad ustawieniem konta, a UI musi to pokazywać — php-client.tsx wypisuje domeny z własną wersją PHP przy karcie konta. Zamknięte 2026-08-21 (commit 6f2833d). Strażnik: apps/api/src/test/ui-routes-coverage.spec.ts porównuje wszystkie wywołania apiFetch z panelu ze wszystkimi trasami API — nawrót tej klasy błędu zapala test.</t>
        </is>
      </c>
    </row>
    <row r="32">
      <c r="A32" s="11" t="inlineStr">
        <is>
          <t>B-03</t>
        </is>
      </c>
      <c r="B32" s="12" t="inlineStr">
        <is>
          <t>B</t>
        </is>
      </c>
      <c r="C32" s="11" t="inlineStr">
        <is>
          <t>Zmiana wersji PHP per katalog</t>
        </is>
      </c>
      <c r="D32" s="11" t="inlineStr">
        <is>
          <t>TAK</t>
        </is>
      </c>
      <c r="E32" s="11" t="inlineStr">
        <is>
          <t>TAK</t>
        </is>
      </c>
      <c r="F32" s="11" t="inlineStr">
        <is>
          <t>TAK</t>
        </is>
      </c>
      <c r="G32" s="11" t="inlineStr">
        <is>
          <t>CZĘŚĆ</t>
        </is>
      </c>
      <c r="H32" s="11" t="inlineStr">
        <is>
          <t>NIE</t>
        </is>
      </c>
      <c r="I32" s="11" t="inlineStr">
        <is>
          <t>DZIAŁA</t>
        </is>
      </c>
      <c r="J32" s="12" t="inlineStr">
        <is>
          <t>ops/scripts/node-htaccess.sh (HT_DIR, HT_PHP); htaccess.service.ts phpKatalogu; services.controller.ts :id/hosting-htaccess/php-dir; client-panel PhpKatalogPanel (widok strony → PHP i serwer); test htaccess.service.spec.ts; D3 t1 29.09 (panel klienta, d3.hvln.pl): „PHP w podkatalogu” git-test → PHP 8.1: /git-test/v.php zwraca 8.1.34, reszta strony dalej 8.2.33</t>
        </is>
      </c>
      <c r="K32" s="11" t="inlineStr">
        <is>
          <t>PARYTET</t>
        </is>
      </c>
      <c r="L32" s="11" t="inlineStr">
        <is>
          <t>NISKA</t>
        </is>
      </c>
      <c r="M32" s="11" t="inlineStr">
        <is>
          <t>M</t>
        </is>
      </c>
      <c r="N32" s="12" t="inlineStr">
        <is>
          <t xml:space="preserve"> | ZROBIONE W KODZIE 2026-09-25: wersja PHP podkatalogu wg dokumentacji LiteSpeed (DirectAdmin → PHP): &lt;IfModule LiteSpeed&gt; AddHandler application/x-httpd-alt-phpXY .php w bloku Verris pliku .htaccess tego katalogu (CloudLinux alt-php). Katalog sprawdzany jako klient po rozwinięciu dowiązań (dowiązanie poza stronę → odmowa), wersja musi być zainstalowana (/opt/alt/phpXY), po zapisie kontrola katalogu i powrót poprzedniego pliku przy 5xx. Sprawdzone lokalnie (zapis, odczyt, wyczyszczenie, 5 odmów). D3 w wezel.csv.</t>
        </is>
      </c>
    </row>
    <row r="33">
      <c r="A33" s="11" t="inlineStr">
        <is>
          <t>B-04</t>
        </is>
      </c>
      <c r="B33" s="12" t="inlineStr">
        <is>
          <t>B</t>
        </is>
      </c>
      <c r="C33" s="11" t="inlineStr">
        <is>
          <t>Włączanie/wyłączanie rozszerzeń PHP</t>
        </is>
      </c>
      <c r="D33" s="11" t="inlineStr">
        <is>
          <t>TAK</t>
        </is>
      </c>
      <c r="E33" s="11" t="inlineStr">
        <is>
          <t>TAK</t>
        </is>
      </c>
      <c r="F33" s="11" t="inlineStr">
        <is>
          <t>TAK</t>
        </is>
      </c>
      <c r="G33" s="11" t="inlineStr">
        <is>
          <t>CZĘŚĆ</t>
        </is>
      </c>
      <c r="H33" s="11" t="inlineStr">
        <is>
          <t>TAK</t>
        </is>
      </c>
      <c r="I33" s="11" t="inlineStr">
        <is>
          <t>DZIAŁA</t>
        </is>
      </c>
      <c r="J33" s="12" t="inlineStr">
        <is>
          <t>ops/scripts/node-php-info.sh (selektor); ops/scripts/node-php-apply.sh (PHP_EXT_ENABLE/DISABLE); subscriptions/php.service.ts setExtensionsForSubscription; POST /services/:id/hosting-php/extensions; client PhpInfoPanel.tsx; testy php.service.spec.ts, php-info.service.spec.ts; D3 t1 29.09 (panel klienta, d3.hvln.pl): włączenie opcache i redis dla PHP 8.2 z panelu → ponowny odczyt: 59 rozszerzeń, opcache.enable = włączone, redis załadowany</t>
        </is>
      </c>
      <c r="K33" s="11" t="inlineStr">
        <is>
          <t>PARYTET</t>
        </is>
      </c>
      <c r="L33" s="11" t="inlineStr">
        <is>
          <t>ŚREDNIA</t>
        </is>
      </c>
      <c r="M33" s="11" t="inlineStr">
        <is>
          <t>M</t>
        </is>
      </c>
      <c r="N33" s="12" t="inlineStr">
        <is>
          <t>2026-09-24: podgląd włączonych rozszerzeń jest (B-06). Przełączanie z panelu wymaga selektora PHP na węźle (CloudLinux/alt-php) — do decyzji przy konfiguracji węzła w sprincie 21; do tego czasu włączamy na prośbę w zgłoszeniu (tekst w panelu). | 2026-09-25 ZROBIONE (D2) wg oficjalnej dokumentacji CloudLinux (selectorctl): odczyt PHP_INFO dokłada --user-current i --list-user-extensions --all (+ włączone, - wyłączone, ~ wbudowane); panel strony → PHP → „Aktualna konfiguracja PHP” ma przełączniki rozszerzeń (wbudowane zablokowane) i „Zastosuj zmiany” → zadanie PHP_APPLY z --enable/--disable-user-extensions dla bieżącej wersji. Przy okazji PHP_APPLY poprawione na oficjalne --set-user-current (było --set-current-version, którego nie ma w dokumentacji) i usunięty „zapasowy” wpis do task.queue DA, który zgłaszał sukces bez zmiany — bez selectorctl zadanie kończy się czytelnym błędem. D3 na węźle: selectorctl dostępny, konto na alt-php (nie native), przełączenie intl/imagick widoczne w ponownym odczycie.</t>
        </is>
      </c>
    </row>
    <row r="34">
      <c r="A34" s="11" t="inlineStr">
        <is>
          <t>B-05</t>
        </is>
      </c>
      <c r="B34" s="12" t="inlineStr">
        <is>
          <t>B</t>
        </is>
      </c>
      <c r="C34" s="11" t="inlineStr">
        <is>
          <t>Edycja dyrektyw php.ini z panelu</t>
        </is>
      </c>
      <c r="D34" s="11" t="inlineStr">
        <is>
          <t>TAK</t>
        </is>
      </c>
      <c r="E34" s="11" t="inlineStr">
        <is>
          <t>TAK</t>
        </is>
      </c>
      <c r="F34" s="11" t="inlineStr">
        <is>
          <t>TAK</t>
        </is>
      </c>
      <c r="G34" s="11" t="inlineStr">
        <is>
          <t>TAK</t>
        </is>
      </c>
      <c r="H34" s="11" t="inlineStr">
        <is>
          <t>TAK</t>
        </is>
      </c>
      <c r="I34" s="11" t="inlineStr">
        <is>
          <t>DZIAŁA</t>
        </is>
      </c>
      <c r="J34" s="12" t="inlineStr">
        <is>
          <t>servers/php-ini.ts (lista dozwolonych dyrektyw, zakresy), directadmin.service.ts getHostingPhpIni/setHostingPhpIni (blok panelu w .user.ini domeny), services.controller.ts :id/hosting-php-ini, client-panel components/hosting/PhpIniForm.tsx (widok strony → PHP); testy php-ini.spec.ts + directadmin.domeny.spec.ts; D3 t1 (d3.hvln.pl) 29.09 po wdrożeniu (panel klienta): memory_limit 256M z panelu → blok Verris w .user.ini domeny; D3 t1 29.09: memory_limit 256M z .user.ini nie działał na LiteSpeed (LSAPI bez LSPHP_ENABLE_USER_INI); php_value w .htaccess działa (test 300M) — 98e6f24 zapisuje oba</t>
        </is>
      </c>
      <c r="K34" s="11" t="inlineStr">
        <is>
          <t>PARYTET</t>
        </is>
      </c>
      <c r="L34" s="11" t="inlineStr">
        <is>
          <t>—</t>
        </is>
      </c>
      <c r="M34" s="11" t="inlineStr">
        <is>
          <t>M</t>
        </is>
      </c>
      <c r="N34" s="12" t="inlineStr">
        <is>
          <t>2026-09-24: KOD (D2) — ustawienia PHP per domena z panelu: memory_limit, upload_max_filesize, post_max_size, max_execution_time, max_input_time, max_input_vars, display_errors, date.timezone. Zapis w bloku zarządzanym .user.ini; wpisy klienta poza blokiem zostają. OTWARTE do D3 (sprint 18, węzeł): czy PHP (FPM/LSAPI) czyta .user.ini z docroot i po ilu minutach. | 4 z 5 hostingów PL to ma | 2026-09-24 SKALA DOWODU (decyzja PM): funkcja bez pieniędzy, danych klienta i dostępu — D2 (test w CI) wystarcza do „zrobione”, więc werdykt PARYTET. Stan zostaje CZĘŚCIOWE do testu na węźle (audyt/dane/wezel.csv). | 2026-09-29 D3 t1: memory_limit 512M ustawiony w panelu działa na LiteSpeed (odczyt przez serwer WWW) — blok php_value w .htaccess (98e6f24).</t>
        </is>
      </c>
    </row>
    <row r="35">
      <c r="A35" s="11" t="inlineStr">
        <is>
          <t>B-06</t>
        </is>
      </c>
      <c r="B35" s="12" t="inlineStr">
        <is>
          <t>B</t>
        </is>
      </c>
      <c r="C35" s="11" t="inlineStr">
        <is>
          <t>Podgląd aktualnej konfiguracji PHP (phpinfo)</t>
        </is>
      </c>
      <c r="D35" s="11" t="inlineStr">
        <is>
          <t>TAK</t>
        </is>
      </c>
      <c r="E35" s="11" t="inlineStr">
        <is>
          <t>TAK</t>
        </is>
      </c>
      <c r="F35" s="11" t="inlineStr">
        <is>
          <t>TAK</t>
        </is>
      </c>
      <c r="G35" s="11" t="inlineStr">
        <is>
          <t>CZĘŚĆ</t>
        </is>
      </c>
      <c r="H35" s="11" t="inlineStr">
        <is>
          <t>TAK</t>
        </is>
      </c>
      <c r="I35" s="11" t="inlineStr">
        <is>
          <t>DZIAŁA</t>
        </is>
      </c>
      <c r="J35" s="12" t="inlineStr">
        <is>
          <t>ops/scripts/node-php-info.sh; subscriptions/php-info.service.ts; PhpInfoPanel.tsx (strona → PHP i serwer); D3 t1 28.09: FAIL — odczyt przez 127.0.0.1 trafiał w stronę domyślną (vhosty DA na IP konta) → ip= z user.conf; retest; D3 t1 (d3.hvln.pl) 28.09 23:39: podgląd konfiguracji PHP zakończony po poprawce ip= z user.conf</t>
        </is>
      </c>
      <c r="K35" s="11" t="inlineStr">
        <is>
          <t>PARYTET</t>
        </is>
      </c>
      <c r="L35" s="11" t="inlineStr">
        <is>
          <t>—</t>
        </is>
      </c>
      <c r="M35" s="11" t="inlineStr">
        <is>
          <t>S</t>
        </is>
      </c>
      <c r="N35" s="12" t="inlineStr">
        <is>
          <t>2026-09-24: KOD (D2) + skrypt sprawdzony lokalnie na serwerze PHP — konfiguracja tak, jak widzi ją serwer WWW strony (nie PHP z konsoli): wersja, SAPI, 22 dyrektywy i lista rozszerzeń. Plik o losowej nazwie w katalogu strony, odczyt przez 127.0.0.1 z nagłówkiem Host (HTTP, potem HTTPS), usuwany zawsze — także przy błędzie. Bez pełnego phpinfo() (zmienne środowiska, ścieżki). OTWARTE do D3 (sprint 21). | 2026-09-24 SKALA DOWODU (decyzja PM): funkcja bez pieniędzy, danych klienta i dostępu — D2 (test w CI) wystarcza do „zrobione”, więc werdykt PARYTET. Stan zostaje CZĘŚCIOWE do testu na węźle (audyt/dane/wezel.csv).</t>
        </is>
      </c>
    </row>
    <row r="36">
      <c r="A36" s="11" t="inlineStr">
        <is>
          <t>B-07</t>
        </is>
      </c>
      <c r="B36" s="12" t="inlineStr">
        <is>
          <t>B</t>
        </is>
      </c>
      <c r="C36" s="11" t="inlineStr">
        <is>
          <t>Wybór handlera PHP (LSAPI/FPM/CGI)</t>
        </is>
      </c>
      <c r="D36" s="11" t="inlineStr">
        <is>
          <t>TAK</t>
        </is>
      </c>
      <c r="E36" s="11" t="inlineStr">
        <is>
          <t>TAK</t>
        </is>
      </c>
      <c r="F36" s="11" t="inlineStr">
        <is>
          <t>TAK</t>
        </is>
      </c>
      <c r="G36" s="11" t="inlineStr">
        <is>
          <t>NIE</t>
        </is>
      </c>
      <c r="H36" s="11" t="inlineStr">
        <is>
          <t>NIE</t>
        </is>
      </c>
      <c r="I36" s="11" t="inlineStr">
        <is>
          <t>BRAK</t>
        </is>
      </c>
      <c r="J36" s="12" t="inlineStr">
        <is>
          <t>—</t>
        </is>
      </c>
      <c r="K36" s="11" t="inlineStr">
        <is>
          <t>POZA ZAKRESEM</t>
        </is>
      </c>
      <c r="L36" s="11" t="inlineStr">
        <is>
          <t>NISKA</t>
        </is>
      </c>
      <c r="M36" s="11" t="inlineStr">
        <is>
          <t>—</t>
        </is>
      </c>
      <c r="N36" s="12" t="inlineStr">
        <is>
          <t>decyzja operatorska, nie klienta</t>
        </is>
      </c>
    </row>
    <row r="37">
      <c r="A37" s="11" t="inlineStr">
        <is>
          <t>B-08</t>
        </is>
      </c>
      <c r="B37" s="12" t="inlineStr">
        <is>
          <t>B</t>
        </is>
      </c>
      <c r="C37" s="11" t="inlineStr">
        <is>
          <t>Aplikacje Node.js</t>
        </is>
      </c>
      <c r="D37" s="11" t="inlineStr">
        <is>
          <t>TAK</t>
        </is>
      </c>
      <c r="E37" s="11" t="inlineStr">
        <is>
          <t>TAK</t>
        </is>
      </c>
      <c r="F37" s="11" t="inlineStr">
        <is>
          <t>CZĘŚĆ</t>
        </is>
      </c>
      <c r="G37" s="11" t="inlineStr">
        <is>
          <t>NIE</t>
        </is>
      </c>
      <c r="H37" s="11" t="inlineStr">
        <is>
          <t>TAK</t>
        </is>
      </c>
      <c r="I37" s="11" t="inlineStr">
        <is>
          <t>DZIAŁA</t>
        </is>
      </c>
      <c r="J37" s="12" t="inlineStr">
        <is>
          <t>ops/scripts/node-app-selector.sh (zadanie APP_SELECTOR); subscriptions/app-selector.service.ts; services.controller.ts :id/hosting-apps; client-panel components/hosting/AplikacjeSelektorPanel.tsx (zakładka Aplikacje); node-hosting-profile.sh (alt-nodejs/alt-python + selektory włączone); testy test/aplikacje-selektor.spec.ts, app-selector.service.spec.ts</t>
        </is>
      </c>
      <c r="K37" s="11" t="inlineStr">
        <is>
          <t>PARYTET</t>
        </is>
      </c>
      <c r="L37" s="11" t="inlineStr">
        <is>
          <t>NISKA</t>
        </is>
      </c>
      <c r="M37" s="11" t="inlineStr">
        <is>
          <t>L</t>
        </is>
      </c>
      <c r="N37" s="12" t="inlineStr">
        <is>
          <t>żaden z 5 hostingów PL tego nie ma | 2026-09-25 KOD (D2): CloudLinux Selector wg oficjalnej dokumentacji (docs.cloudlinux.com → Command-line tools → Node.js/Python Selector; instalacja DirectAdmin: alt-nodejs/alt-python, lvemanager lve-utils alt-python-virtualenv alt-mod-passenger, --selector-status enabled). Zakładka Aplikacje → „Aplikacje Node.js i Python”: utwórz (język, wersja z serwera, domena + ścieżka, katalog poza public_html, plik startowy, obiekt WSGI, zmienne środowiskowe), edytuj (wersja, plik startowy, zmienne), uruchom/zatrzymaj/restart, zależności (npm install / pip -r requirements.txt), usuń. Wartości klienta w osobnych argumentach selektora (bez powłoki), zmienne nie trafiają do dziennika zdarzeń. Subkonto: FILES_MANAGE. D3 w wezel.csv. | 2026-09-30 D3 t1: 30.09: „Utwórz aplikację” (Node.js, d3.hvln.pl/nodetest) → „zmienne środowiskowe są niepoprawne” dla każdej aplikacji: agent ucinał końcowe „=” base64 (IFS='=' read) — to samo psuło klucze SSH → 4569ee5. Retest po wdrożeniu. | 2026-10-01 D3 t1: 01.10 po 4569ee5: Node.js d3.hvln.pl/nodetest — tworzenie, „Zależności” (Express 5.2.1 z package.json), zmienne środowiskowe, zatrzymaj/uruchom, restart, usuń działają. „Edytuj” → surowy błąd selektora (pełna wersja zamiast głównej) → d284195, retest. | 01.10 na t1 z panelu: utwórz, zależności, zmienne, zatrzymaj/uruchom, restart, edytuj, usuń — Node (Express) i Python (Flask) działają.</t>
        </is>
      </c>
    </row>
    <row r="38">
      <c r="A38" s="11" t="inlineStr">
        <is>
          <t>B-09</t>
        </is>
      </c>
      <c r="B38" s="12" t="inlineStr">
        <is>
          <t>B</t>
        </is>
      </c>
      <c r="C38" s="11" t="inlineStr">
        <is>
          <t>Aplikacje Python</t>
        </is>
      </c>
      <c r="D38" s="11" t="inlineStr">
        <is>
          <t>TAK</t>
        </is>
      </c>
      <c r="E38" s="11" t="inlineStr">
        <is>
          <t>TAK</t>
        </is>
      </c>
      <c r="F38" s="11" t="inlineStr">
        <is>
          <t>CZĘŚĆ</t>
        </is>
      </c>
      <c r="G38" s="11" t="inlineStr">
        <is>
          <t>CZĘŚĆ</t>
        </is>
      </c>
      <c r="H38" s="11" t="inlineStr">
        <is>
          <t>CZĘŚĆ</t>
        </is>
      </c>
      <c r="I38" s="11" t="inlineStr">
        <is>
          <t>DZIAŁA</t>
        </is>
      </c>
      <c r="J38" s="12" t="inlineStr">
        <is>
          <t>ops/scripts/node-app-selector.sh (zadanie APP_SELECTOR); subscriptions/app-selector.service.ts; services.controller.ts :id/hosting-apps; client-panel components/hosting/AplikacjeSelektorPanel.tsx (zakładka Aplikacje); node-hosting-profile.sh (alt-nodejs/alt-python + selektory włączone); testy test/aplikacje-selektor.spec.ts, app-selector.service.spec.ts</t>
        </is>
      </c>
      <c r="K38" s="11" t="inlineStr">
        <is>
          <t>PARYTET</t>
        </is>
      </c>
      <c r="L38" s="11" t="inlineStr">
        <is>
          <t>NISKA</t>
        </is>
      </c>
      <c r="M38" s="11" t="inlineStr">
        <is>
          <t>L</t>
        </is>
      </c>
      <c r="N38" s="12" t="inlineStr">
        <is>
          <t>2026-09-25 KOD (D2): CloudLinux Selector wg oficjalnej dokumentacji (docs.cloudlinux.com → Command-line tools → Node.js/Python Selector; instalacja DirectAdmin: alt-nodejs/alt-python, lvemanager lve-utils alt-python-virtualenv alt-mod-passenger, --selector-status enabled). Zakładka Aplikacje → „Aplikacje Node.js i Python”: utwórz (język, wersja z serwera, domena + ścieżka, katalog poza public_html, plik startowy, obiekt WSGI, zmienne środowiskowe), edytuj (wersja, plik startowy, zmienne), uruchom/zatrzymaj/restart, zależności (npm install / pip -r requirements.txt), usuń. Wartości klienta w osobnych argumentach selektora (bez powłoki), zmienne nie trafiają do dziennika zdarzeń. Subkonto: FILES_MANAGE. D3 w wezel.csv. | 2026-09-30 D3 t1: 30.09: ten sam błąd co B-08 (base64 zmiennych bez końcowego „=”) → 4569ee5. Retest po wdrożeniu. | 2026-10-01 D3 t1: 01.10: Python dawał 503 (brak lswsgi: 3552440 profil, 972a40e bez wersji bez lswsgi — 3.14), potem 500 (passenger_wsgi.py jako plik startowy ładował sam siebie → 39df336). Z app.py: d3.hvln.pl/flask — Flask 3.1.3 z requirements.txt przez „Zależności”, restart działają. Retest „Edytuj” po d284195. | 01.10 na t1 z panelu: utwórz, zależności, zmienne, zatrzymaj/uruchom, restart, edytuj, usuń — Node (Express) i Python (Flask) działają. | 2026-10-03: profil instaluje brakujący alt-pythonXY-wsgi-lsapi (skrypt LSWS ma listę wersji do 3.13); t1: python314 dostał lswsgi, profil „[OK] Python przez LiteSpeed (lswsgi)”, WARN=0. Bez pakietu wersja jest wyłączana w selektorze (cloudlinux-selector disable-version).</t>
        </is>
      </c>
    </row>
    <row r="39">
      <c r="A39" s="11" t="inlineStr">
        <is>
          <t>B-10</t>
        </is>
      </c>
      <c r="B39" s="12" t="inlineStr">
        <is>
          <t>B</t>
        </is>
      </c>
      <c r="C39" s="11" t="inlineStr">
        <is>
          <t>Aplikacje Ruby</t>
        </is>
      </c>
      <c r="D39" s="11" t="inlineStr">
        <is>
          <t>TAK</t>
        </is>
      </c>
      <c r="E39" s="11" t="inlineStr">
        <is>
          <t>TAK</t>
        </is>
      </c>
      <c r="F39" s="11" t="inlineStr">
        <is>
          <t>NIE</t>
        </is>
      </c>
      <c r="G39" s="11" t="inlineStr">
        <is>
          <t>NIE</t>
        </is>
      </c>
      <c r="H39" s="11" t="inlineStr">
        <is>
          <t>NIE</t>
        </is>
      </c>
      <c r="I39" s="11" t="inlineStr">
        <is>
          <t>BRAK</t>
        </is>
      </c>
      <c r="J39" s="12" t="inlineStr">
        <is>
          <t>—</t>
        </is>
      </c>
      <c r="K39" s="11" t="inlineStr">
        <is>
          <t>POZA ZAKRESEM</t>
        </is>
      </c>
      <c r="L39" s="11" t="inlineStr">
        <is>
          <t>NISKA</t>
        </is>
      </c>
      <c r="M39" s="11" t="inlineStr">
        <is>
          <t>—</t>
        </is>
      </c>
      <c r="N39" s="12" t="inlineStr">
        <is>
          <t>rynek PL tego nie oczekuje</t>
        </is>
      </c>
    </row>
    <row r="40">
      <c r="A40" s="11" t="inlineStr">
        <is>
          <t>B-11</t>
        </is>
      </c>
      <c r="B40" s="12" t="inlineStr">
        <is>
          <t>B</t>
        </is>
      </c>
      <c r="C40" s="11" t="inlineStr">
        <is>
          <t>Wymuszenie HTTPS</t>
        </is>
      </c>
      <c r="D40" s="11" t="inlineStr">
        <is>
          <t>TAK</t>
        </is>
      </c>
      <c r="E40" s="11" t="inlineStr">
        <is>
          <t>TAK</t>
        </is>
      </c>
      <c r="F40" s="11" t="inlineStr">
        <is>
          <t>TAK</t>
        </is>
      </c>
      <c r="G40" s="11" t="inlineStr">
        <is>
          <t>TAK</t>
        </is>
      </c>
      <c r="H40" s="11" t="inlineStr">
        <is>
          <t>TAK</t>
        </is>
      </c>
      <c r="I40" s="11" t="inlineStr">
        <is>
          <t>DZIAŁA</t>
        </is>
      </c>
      <c r="J40" s="12" t="inlineStr">
        <is>
          <t>WebToolsTab.tsx:120</t>
        </is>
      </c>
      <c r="K40" s="11" t="inlineStr">
        <is>
          <t>PARYTET</t>
        </is>
      </c>
      <c r="L40" s="11" t="inlineStr">
        <is>
          <t>—</t>
        </is>
      </c>
      <c r="M40" s="11" t="inlineStr">
        <is>
          <t>—</t>
        </is>
      </c>
      <c r="N40" s="12" t="inlineStr"/>
    </row>
    <row r="41">
      <c r="A41" s="11" t="inlineStr">
        <is>
          <t>B-12</t>
        </is>
      </c>
      <c r="B41" s="12" t="inlineStr">
        <is>
          <t>B</t>
        </is>
      </c>
      <c r="C41" s="11" t="inlineStr">
        <is>
          <t>Kanonizacja www / non-www</t>
        </is>
      </c>
      <c r="D41" s="11" t="inlineStr">
        <is>
          <t>TAK</t>
        </is>
      </c>
      <c r="E41" s="11" t="inlineStr">
        <is>
          <t>TAK</t>
        </is>
      </c>
      <c r="F41" s="11" t="inlineStr">
        <is>
          <t>TAK</t>
        </is>
      </c>
      <c r="G41" s="11" t="inlineStr">
        <is>
          <t>TAK</t>
        </is>
      </c>
      <c r="H41" s="11" t="inlineStr">
        <is>
          <t>TAK</t>
        </is>
      </c>
      <c r="I41" s="11" t="inlineStr">
        <is>
          <t>DZIAŁA</t>
        </is>
      </c>
      <c r="J41" s="12" t="inlineStr">
        <is>
          <t>WebToolsTab.tsx:124</t>
        </is>
      </c>
      <c r="K41" s="11" t="inlineStr">
        <is>
          <t>PARYTET</t>
        </is>
      </c>
      <c r="L41" s="11" t="inlineStr">
        <is>
          <t>—</t>
        </is>
      </c>
      <c r="M41" s="11" t="inlineStr">
        <is>
          <t>—</t>
        </is>
      </c>
      <c r="N41" s="12" t="inlineStr"/>
    </row>
    <row r="42">
      <c r="A42" s="11" t="inlineStr">
        <is>
          <t>B-13</t>
        </is>
      </c>
      <c r="B42" s="12" t="inlineStr">
        <is>
          <t>B</t>
        </is>
      </c>
      <c r="C42" s="11" t="inlineStr">
        <is>
          <t>Przekierowania 301/302 z panelu</t>
        </is>
      </c>
      <c r="D42" s="11" t="inlineStr">
        <is>
          <t>TAK</t>
        </is>
      </c>
      <c r="E42" s="11" t="inlineStr">
        <is>
          <t>TAK</t>
        </is>
      </c>
      <c r="F42" s="11" t="inlineStr">
        <is>
          <t>TAK</t>
        </is>
      </c>
      <c r="G42" s="11" t="inlineStr">
        <is>
          <t>TAK</t>
        </is>
      </c>
      <c r="H42" s="11" t="inlineStr">
        <is>
          <t>TAK</t>
        </is>
      </c>
      <c r="I42" s="11" t="inlineStr">
        <is>
          <t>DZIAŁA</t>
        </is>
      </c>
      <c r="J42" s="12" t="inlineStr">
        <is>
          <t>WebToolsTab.tsx:143; D3 t1 (d3.hvln.pl) 29.09: 301 /verris-test-301 dodane z panelu → przekierowanie działa, usunięte z panelu → 404</t>
        </is>
      </c>
      <c r="K42" s="11" t="inlineStr">
        <is>
          <t>PARYTET</t>
        </is>
      </c>
      <c r="L42" s="11" t="inlineStr">
        <is>
          <t>—</t>
        </is>
      </c>
      <c r="M42" s="11" t="inlineStr">
        <is>
          <t>—</t>
        </is>
      </c>
      <c r="N42" s="12" t="inlineStr"/>
    </row>
    <row r="43">
      <c r="A43" s="11" t="inlineStr">
        <is>
          <t>B-14</t>
        </is>
      </c>
      <c r="B43" s="12" t="inlineStr">
        <is>
          <t>B</t>
        </is>
      </c>
      <c r="C43" s="11" t="inlineStr">
        <is>
          <t>Ochrona przed hotlinkingiem</t>
        </is>
      </c>
      <c r="D43" s="11" t="inlineStr">
        <is>
          <t>TAK</t>
        </is>
      </c>
      <c r="E43" s="11" t="inlineStr">
        <is>
          <t>TAK</t>
        </is>
      </c>
      <c r="F43" s="11" t="inlineStr">
        <is>
          <t>CZĘŚĆ</t>
        </is>
      </c>
      <c r="G43" s="11" t="inlineStr">
        <is>
          <t>CZĘŚĆ</t>
        </is>
      </c>
      <c r="H43" s="11" t="inlineStr">
        <is>
          <t>NIE</t>
        </is>
      </c>
      <c r="I43" s="11" t="inlineStr">
        <is>
          <t>DZIAŁA</t>
        </is>
      </c>
      <c r="J43" s="12" t="inlineStr">
        <is>
          <t>WebToolsTab.tsx:185</t>
        </is>
      </c>
      <c r="K43" s="11" t="inlineStr">
        <is>
          <t>PRZEWAGA</t>
        </is>
      </c>
      <c r="L43" s="11" t="inlineStr">
        <is>
          <t>—</t>
        </is>
      </c>
      <c r="M43" s="11" t="inlineStr">
        <is>
          <t>—</t>
        </is>
      </c>
      <c r="N43" s="12" t="inlineStr"/>
    </row>
    <row r="44">
      <c r="A44" s="11" t="inlineStr">
        <is>
          <t>B-15</t>
        </is>
      </c>
      <c r="B44" s="12" t="inlineStr">
        <is>
          <t>B</t>
        </is>
      </c>
      <c r="C44" s="11" t="inlineStr">
        <is>
          <t>Blokowanie adresów IP</t>
        </is>
      </c>
      <c r="D44" s="11" t="inlineStr">
        <is>
          <t>TAK</t>
        </is>
      </c>
      <c r="E44" s="11" t="inlineStr">
        <is>
          <t>TAK</t>
        </is>
      </c>
      <c r="F44" s="11" t="inlineStr">
        <is>
          <t>TAK</t>
        </is>
      </c>
      <c r="G44" s="11" t="inlineStr">
        <is>
          <t>CZĘŚĆ</t>
        </is>
      </c>
      <c r="H44" s="11" t="inlineStr">
        <is>
          <t>TAK</t>
        </is>
      </c>
      <c r="I44" s="11" t="inlineStr">
        <is>
          <t>DZIAŁA</t>
        </is>
      </c>
      <c r="J44" s="12" t="inlineStr">
        <is>
          <t>WebToolsTab.tsx:198</t>
        </is>
      </c>
      <c r="K44" s="11" t="inlineStr">
        <is>
          <t>PARYTET</t>
        </is>
      </c>
      <c r="L44" s="11" t="inlineStr">
        <is>
          <t>—</t>
        </is>
      </c>
      <c r="M44" s="11" t="inlineStr">
        <is>
          <t>—</t>
        </is>
      </c>
      <c r="N44" s="12" t="inlineStr"/>
    </row>
    <row r="45">
      <c r="A45" s="11" t="inlineStr">
        <is>
          <t>B-16</t>
        </is>
      </c>
      <c r="B45" s="12" t="inlineStr">
        <is>
          <t>B</t>
        </is>
      </c>
      <c r="C45" s="11" t="inlineStr">
        <is>
          <t>Ochrona katalogu hasłem (.htpasswd)</t>
        </is>
      </c>
      <c r="D45" s="11" t="inlineStr">
        <is>
          <t>TAK</t>
        </is>
      </c>
      <c r="E45" s="11" t="inlineStr">
        <is>
          <t>TAK</t>
        </is>
      </c>
      <c r="F45" s="11" t="inlineStr">
        <is>
          <t>TAK</t>
        </is>
      </c>
      <c r="G45" s="11" t="inlineStr">
        <is>
          <t>CZĘŚĆ</t>
        </is>
      </c>
      <c r="H45" s="11" t="inlineStr">
        <is>
          <t>TAK</t>
        </is>
      </c>
      <c r="I45" s="11" t="inlineStr">
        <is>
          <t>DZIAŁA</t>
        </is>
      </c>
      <c r="J45" s="12" t="inlineStr">
        <is>
          <t>WebToolsTab.tsx:91</t>
        </is>
      </c>
      <c r="K45" s="11" t="inlineStr">
        <is>
          <t>PARYTET</t>
        </is>
      </c>
      <c r="L45" s="11" t="inlineStr">
        <is>
          <t>—</t>
        </is>
      </c>
      <c r="M45" s="11" t="inlineStr">
        <is>
          <t>—</t>
        </is>
      </c>
      <c r="N45" s="12" t="inlineStr"/>
    </row>
    <row r="46">
      <c r="A46" s="11" t="inlineStr">
        <is>
          <t>B-17</t>
        </is>
      </c>
      <c r="B46" s="12" t="inlineStr">
        <is>
          <t>B</t>
        </is>
      </c>
      <c r="C46" s="11" t="inlineStr">
        <is>
          <t>Własne strony błędów</t>
        </is>
      </c>
      <c r="D46" s="11" t="inlineStr">
        <is>
          <t>TAK</t>
        </is>
      </c>
      <c r="E46" s="11" t="inlineStr">
        <is>
          <t>TAK</t>
        </is>
      </c>
      <c r="F46" s="11" t="inlineStr">
        <is>
          <t>TAK</t>
        </is>
      </c>
      <c r="G46" s="11" t="inlineStr">
        <is>
          <t>CZĘŚĆ</t>
        </is>
      </c>
      <c r="H46" s="11" t="inlineStr">
        <is>
          <t>TAK</t>
        </is>
      </c>
      <c r="I46" s="11" t="inlineStr">
        <is>
          <t>DZIAŁA</t>
        </is>
      </c>
      <c r="J46" s="12" t="inlineStr">
        <is>
          <t>ops/scripts/node-htaccess.sh; subscriptions/htaccess.service.ts; HtaccessPanel.tsx (strona → PHP i serwer)</t>
        </is>
      </c>
      <c r="K46" s="11" t="inlineStr">
        <is>
          <t>PARYTET</t>
        </is>
      </c>
      <c r="L46" s="11" t="inlineStr">
        <is>
          <t>NISKA</t>
        </is>
      </c>
      <c r="M46" s="11" t="inlineStr">
        <is>
          <t>S</t>
        </is>
      </c>
      <c r="N46" s="12" t="inlineStr">
        <is>
          <t>2026-09-24: KOD (D2) + skrypt sprawdzony lokalnie — własne strony błędów 403/404/500 (ErrorDocument, ścieżka w witrynie walidowana w API i w skrypcie). Panel zarządza tylko blokiem „# BEGIN Verris” na początku public_html/.htaccess (reguły WordPressa i klienta zostają), plik czyta i zapisuje klient (dowiązanie → odmowa), po zapisie kontrola strony i przy 5xx powrót poprzedniego pliku. OTWARTE do D3 (sprint 21): Apache/LiteSpeed na węźle. | 2026-09-24 SKALA DOWODU (decyzja PM): funkcja bez pieniędzy, danych klienta i dostępu — D2 (test w CI) wystarcza do „zrobione”, więc werdykt PARYTET. Stan zostaje CZĘŚCIOWE do testu na węźle (audyt/dane/wezel.csv). | 2026-09-30 D3 t1: 30.09 test2.d3.hvln.pl: w panelu „Własne strony błędów” 404 → /404.html; zadanie .htaccess zakończone, nieistniejąca ścieżka zwraca status 404 z własną treścią. | 2026-10-06 D3 t1: przy braku własnej strony odwiedzający widział domyślną stronę serwera „Proudly powered by LiteSpeed”; f5c79c5 — profil węzła ustawia strony 403/404/500/503 Verris (httpd-includes.conf + ErrorDocument, .htaccess klienta ma pierwszeństwo). Do potwierdzenia na t1 po profilu. | 2026-10-06 D3 NA ŻYWO: serwerowe strony błędów Verris (ErrorDocument w CUSTOM.4.pre, 170028e) — d3.hvln.pl/&lt;brak&gt; zwraca 404 ze stroną Verris; profil meldował fałszywy FAIL (sprawdzał na 127.0.0.1) → cf87d80; wygląd w marce Verris → adb7778. | 2026-10-06 wieczór: profil t1 OK=65 FAIL=0 ([OK] strony błędów — sprawdzenie na IP konta), d3.hvln.pl/&lt;brak&gt; pokazuje stronę 404 w marce Verris. | 2026-10-08 profil t1 OK=65: strony błędów 403/404/500/502/503/504 w marce Verris (cd2143b9); o05.d3.hvln.pl/&lt;brak&gt; → 404 Verris bez śladów serwera.</t>
        </is>
      </c>
    </row>
    <row r="47">
      <c r="A47" s="11" t="inlineStr">
        <is>
          <t>B-18</t>
        </is>
      </c>
      <c r="B47" s="12" t="inlineStr">
        <is>
          <t>B</t>
        </is>
      </c>
      <c r="C47" s="11" t="inlineStr">
        <is>
          <t>Menedżer indeksowania katalogu</t>
        </is>
      </c>
      <c r="D47" s="11" t="inlineStr">
        <is>
          <t>TAK</t>
        </is>
      </c>
      <c r="E47" s="11" t="inlineStr">
        <is>
          <t>TAK</t>
        </is>
      </c>
      <c r="F47" s="11" t="inlineStr">
        <is>
          <t>TAK</t>
        </is>
      </c>
      <c r="G47" s="11" t="inlineStr">
        <is>
          <t>b.d.</t>
        </is>
      </c>
      <c r="H47" s="11" t="inlineStr">
        <is>
          <t>NIE</t>
        </is>
      </c>
      <c r="I47" s="11" t="inlineStr">
        <is>
          <t>DZIAŁA</t>
        </is>
      </c>
      <c r="J47" s="12" t="inlineStr">
        <is>
          <t>ops/scripts/node-htaccess.sh; subscriptions/htaccess.service.ts; HtaccessPanel.tsx (strona → PHP i serwer); D3 t1 29.09 (panel klienta, d3.hvln.pl): lista plików „Ukryta” → /wp-includes/ zwraca 403</t>
        </is>
      </c>
      <c r="K47" s="11" t="inlineStr">
        <is>
          <t>PARYTET</t>
        </is>
      </c>
      <c r="L47" s="11" t="inlineStr">
        <is>
          <t>NISKA</t>
        </is>
      </c>
      <c r="M47" s="11" t="inlineStr">
        <is>
          <t>S</t>
        </is>
      </c>
      <c r="N47" s="12" t="inlineStr">
        <is>
          <t>2026-09-24: KOD (D2) + skrypt sprawdzony lokalnie — lista plików w katalogu bez strony głównej: domyślnie / ukryta (Options -Indexes) / widoczna. Panel zarządza tylko blokiem „# BEGIN Verris” na początku public_html/.htaccess (reguły WordPressa i klienta zostają), plik czyta i zapisuje klient (dowiązanie → odmowa), po zapisie kontrola strony i przy 5xx powrót poprzedniego pliku. OTWARTE do D3 (sprint 21): Apache/LiteSpeed na węźle. | 2026-09-24 SKALA DOWODU (decyzja PM): funkcja bez pieniędzy, danych klienta i dostępu — D2 (test w CI) wystarcza do „zrobione”, więc werdykt PARYTET. Stan zostaje CZĘŚCIOWE do testu na węźle (audyt/dane/wezel.csv).</t>
        </is>
      </c>
    </row>
    <row r="48">
      <c r="A48" s="11" t="inlineStr">
        <is>
          <t>B-19</t>
        </is>
      </c>
      <c r="B48" s="12" t="inlineStr">
        <is>
          <t>B</t>
        </is>
      </c>
      <c r="C48" s="11" t="inlineStr">
        <is>
          <t>Kreator stron WWW</t>
        </is>
      </c>
      <c r="D48" s="11" t="inlineStr">
        <is>
          <t>TAK</t>
        </is>
      </c>
      <c r="E48" s="11" t="inlineStr">
        <is>
          <t>TAK</t>
        </is>
      </c>
      <c r="F48" s="11" t="inlineStr">
        <is>
          <t>CZĘŚĆ</t>
        </is>
      </c>
      <c r="G48" s="11" t="inlineStr">
        <is>
          <t>CZĘŚĆ</t>
        </is>
      </c>
      <c r="H48" s="11" t="inlineStr">
        <is>
          <t>TAK</t>
        </is>
      </c>
      <c r="I48" s="11" t="inlineStr">
        <is>
          <t>BRAK</t>
        </is>
      </c>
      <c r="J48" s="12" t="inlineStr">
        <is>
          <t>SiteBuilderTab.tsx usunięty 2026-09-25</t>
        </is>
      </c>
      <c r="K48" s="11" t="inlineStr">
        <is>
          <t>LUKA</t>
        </is>
      </c>
      <c r="L48" s="11" t="inlineStr">
        <is>
          <t>NISKA</t>
        </is>
      </c>
      <c r="M48" s="11" t="inlineStr">
        <is>
          <t>M</t>
        </is>
      </c>
      <c r="N48" s="12" t="inlineStr">
        <is>
          <t>DECYZJA 2026-09-24: kreator usunięty z cennika verris.pl („Menedżer plików w panelu” zamiast „Kreator stron i menedżer plików”) — obietnica zgodna z produktem; kod zostaje wyłączony, powrót jako osobna funkcja po starcie. | kod napisany i zakomentowany — decyzja: dokończyć albo usunąć | DECYZJA WŁAŚCICIELA 2026-09-25: wyłączony kod usunięty (1612 linii bez importów i bez API); kreator wraca po starcie jako nowa funkcja.</t>
        </is>
      </c>
    </row>
    <row r="49">
      <c r="A49" s="11" t="inlineStr">
        <is>
          <t>C-01</t>
        </is>
      </c>
      <c r="B49" s="12" t="inlineStr">
        <is>
          <t>C</t>
        </is>
      </c>
      <c r="C49" s="11" t="inlineStr">
        <is>
          <t>Menedżer plików — lista katalogu</t>
        </is>
      </c>
      <c r="D49" s="11" t="inlineStr">
        <is>
          <t>TAK</t>
        </is>
      </c>
      <c r="E49" s="11" t="inlineStr">
        <is>
          <t>TAK</t>
        </is>
      </c>
      <c r="F49" s="11" t="inlineStr">
        <is>
          <t>TAK</t>
        </is>
      </c>
      <c r="G49" s="11" t="inlineStr">
        <is>
          <t>TAK</t>
        </is>
      </c>
      <c r="H49" s="11" t="inlineStr">
        <is>
          <t>TAK</t>
        </is>
      </c>
      <c r="I49" s="11" t="inlineStr">
        <is>
          <t>DZIAŁA</t>
        </is>
      </c>
      <c r="J49" s="12" t="inlineStr">
        <is>
          <t>files.controller.ts:27; D3 t1 (d3.hvln.pl) 29.09: lista katalogu domowego z datami i rozmiarami</t>
        </is>
      </c>
      <c r="K49" s="11" t="inlineStr">
        <is>
          <t>PARYTET</t>
        </is>
      </c>
      <c r="L49" s="11" t="inlineStr">
        <is>
          <t>—</t>
        </is>
      </c>
      <c r="M49" s="11" t="inlineStr">
        <is>
          <t>—</t>
        </is>
      </c>
      <c r="N49" s="12" t="inlineStr"/>
    </row>
    <row r="50">
      <c r="A50" s="11" t="inlineStr">
        <is>
          <t>C-02</t>
        </is>
      </c>
      <c r="B50" s="12" t="inlineStr">
        <is>
          <t>C</t>
        </is>
      </c>
      <c r="C50" s="11" t="inlineStr">
        <is>
          <t>Podgląd i edycja pliku tekstowego</t>
        </is>
      </c>
      <c r="D50" s="11" t="inlineStr">
        <is>
          <t>TAK</t>
        </is>
      </c>
      <c r="E50" s="11" t="inlineStr">
        <is>
          <t>TAK</t>
        </is>
      </c>
      <c r="F50" s="11" t="inlineStr">
        <is>
          <t>TAK</t>
        </is>
      </c>
      <c r="G50" s="11" t="inlineStr">
        <is>
          <t>TAK</t>
        </is>
      </c>
      <c r="H50" s="11" t="inlineStr">
        <is>
          <t>TAK</t>
        </is>
      </c>
      <c r="I50" s="11" t="inlineStr">
        <is>
          <t>DZIAŁA</t>
        </is>
      </c>
      <c r="J50" s="12" t="inlineStr">
        <is>
          <t>files.controller.ts:36,61; D3 t1 (d3.hvln.pl) 29.09: edycja pliku .php w edytorze panelu, zapis działa</t>
        </is>
      </c>
      <c r="K50" s="11" t="inlineStr">
        <is>
          <t>PARYTET</t>
        </is>
      </c>
      <c r="L50" s="11" t="inlineStr">
        <is>
          <t>—</t>
        </is>
      </c>
      <c r="M50" s="11" t="inlineStr">
        <is>
          <t>—</t>
        </is>
      </c>
      <c r="N50" s="12" t="inlineStr"/>
    </row>
    <row r="51">
      <c r="A51" s="11" t="inlineStr">
        <is>
          <t>C-03</t>
        </is>
      </c>
      <c r="B51" s="12" t="inlineStr">
        <is>
          <t>C</t>
        </is>
      </c>
      <c r="C51" s="11" t="inlineStr">
        <is>
          <t>Tworzenie katalogu</t>
        </is>
      </c>
      <c r="D51" s="11" t="inlineStr">
        <is>
          <t>TAK</t>
        </is>
      </c>
      <c r="E51" s="11" t="inlineStr">
        <is>
          <t>TAK</t>
        </is>
      </c>
      <c r="F51" s="11" t="inlineStr">
        <is>
          <t>TAK</t>
        </is>
      </c>
      <c r="G51" s="11" t="inlineStr">
        <is>
          <t>TAK</t>
        </is>
      </c>
      <c r="H51" s="11" t="inlineStr">
        <is>
          <t>TAK</t>
        </is>
      </c>
      <c r="I51" s="11" t="inlineStr">
        <is>
          <t>DZIAŁA</t>
        </is>
      </c>
      <c r="J51" s="12" t="inlineStr">
        <is>
          <t>files.controller.ts:71; D3 t1 (d3.hvln.pl) 29.09: nowy folder z panelu</t>
        </is>
      </c>
      <c r="K51" s="11" t="inlineStr">
        <is>
          <t>PARYTET</t>
        </is>
      </c>
      <c r="L51" s="11" t="inlineStr">
        <is>
          <t>—</t>
        </is>
      </c>
      <c r="M51" s="11" t="inlineStr">
        <is>
          <t>—</t>
        </is>
      </c>
      <c r="N51" s="12" t="inlineStr"/>
    </row>
    <row r="52">
      <c r="A52" s="11" t="inlineStr">
        <is>
          <t>C-04</t>
        </is>
      </c>
      <c r="B52" s="12" t="inlineStr">
        <is>
          <t>C</t>
        </is>
      </c>
      <c r="C52" s="11" t="inlineStr">
        <is>
          <t>Tworzenie pliku</t>
        </is>
      </c>
      <c r="D52" s="11" t="inlineStr">
        <is>
          <t>TAK</t>
        </is>
      </c>
      <c r="E52" s="11" t="inlineStr">
        <is>
          <t>TAK</t>
        </is>
      </c>
      <c r="F52" s="11" t="inlineStr">
        <is>
          <t>TAK</t>
        </is>
      </c>
      <c r="G52" s="11" t="inlineStr">
        <is>
          <t>TAK</t>
        </is>
      </c>
      <c r="H52" s="11" t="inlineStr">
        <is>
          <t>TAK</t>
        </is>
      </c>
      <c r="I52" s="11" t="inlineStr">
        <is>
          <t>DZIAŁA</t>
        </is>
      </c>
      <c r="J52" s="12" t="inlineStr">
        <is>
          <t>files.controller.ts:61; D3 t1 (d3.hvln.pl) 29.09: nowy plik verris-cron-test.php z panelu + edycja i zapis treści</t>
        </is>
      </c>
      <c r="K52" s="11" t="inlineStr">
        <is>
          <t>PARYTET</t>
        </is>
      </c>
      <c r="L52" s="11" t="inlineStr">
        <is>
          <t>—</t>
        </is>
      </c>
      <c r="M52" s="11" t="inlineStr">
        <is>
          <t>—</t>
        </is>
      </c>
      <c r="N52" s="12" t="inlineStr"/>
    </row>
    <row r="53">
      <c r="A53" s="11" t="inlineStr">
        <is>
          <t>C-05</t>
        </is>
      </c>
      <c r="B53" s="12" t="inlineStr">
        <is>
          <t>C</t>
        </is>
      </c>
      <c r="C53" s="11" t="inlineStr">
        <is>
          <t>Zmiana nazwy pliku/katalogu</t>
        </is>
      </c>
      <c r="D53" s="11" t="inlineStr">
        <is>
          <t>TAK</t>
        </is>
      </c>
      <c r="E53" s="11" t="inlineStr">
        <is>
          <t>TAK</t>
        </is>
      </c>
      <c r="F53" s="11" t="inlineStr">
        <is>
          <t>TAK</t>
        </is>
      </c>
      <c r="G53" s="11" t="inlineStr">
        <is>
          <t>TAK</t>
        </is>
      </c>
      <c r="H53" s="11" t="inlineStr">
        <is>
          <t>TAK</t>
        </is>
      </c>
      <c r="I53" s="11" t="inlineStr">
        <is>
          <t>DZIAŁA</t>
        </is>
      </c>
      <c r="J53" s="12" t="inlineStr">
        <is>
          <t>files.controller.ts:81; D3 t1 (d3.hvln.pl) 29.09 FAIL: zmiana nazwy → „Wewnętrzny błąd serwera” (DA 1.710: old = sama nazwa, nie pełna ścieżka; sprawdzone na t1); poprawka 3434c1a czeka na wdrożenie; D3 t1 (d3.hvln.pl) 29.09 po wdrożeniu: zmiana nazwy verris-r1.txt → verris-r2.txt z panelu — „Zmieniono nazwę”, plik pod nową nazwą (3434c1a: old = sama nazwa)</t>
        </is>
      </c>
      <c r="K53" s="11" t="inlineStr">
        <is>
          <t>PARYTET</t>
        </is>
      </c>
      <c r="L53" s="11" t="inlineStr">
        <is>
          <t>—</t>
        </is>
      </c>
      <c r="M53" s="11" t="inlineStr">
        <is>
          <t>—</t>
        </is>
      </c>
      <c r="N53" s="12" t="inlineStr"/>
    </row>
    <row r="54">
      <c r="A54" s="11" t="inlineStr">
        <is>
          <t>C-06</t>
        </is>
      </c>
      <c r="B54" s="12" t="inlineStr">
        <is>
          <t>C</t>
        </is>
      </c>
      <c r="C54" s="11" t="inlineStr">
        <is>
          <t>Usuwanie plików (także zaznaczonych)</t>
        </is>
      </c>
      <c r="D54" s="11" t="inlineStr">
        <is>
          <t>TAK</t>
        </is>
      </c>
      <c r="E54" s="11" t="inlineStr">
        <is>
          <t>TAK</t>
        </is>
      </c>
      <c r="F54" s="11" t="inlineStr">
        <is>
          <t>TAK</t>
        </is>
      </c>
      <c r="G54" s="11" t="inlineStr">
        <is>
          <t>TAK</t>
        </is>
      </c>
      <c r="H54" s="11" t="inlineStr">
        <is>
          <t>TAK</t>
        </is>
      </c>
      <c r="I54" s="11" t="inlineStr">
        <is>
          <t>DZIAŁA</t>
        </is>
      </c>
      <c r="J54" s="12" t="inlineStr">
        <is>
          <t>files.controller.ts:91; D3 t1 (d3.hvln.pl) 29.09 FAIL: „Usuń zaznaczone” → komunikat sukcesu, pliki zostają (DA 1.710 wymaga selectN = pełna ścieżka; sprawdzone na t1: nazwa → bez zmian, pełna ścieżka → usunięty); poprawka 464dd72 (SDK) czeka na wdrożenie; retest; 29.09: usuwanie pełnymi ścieżkami sprawdzone na t1 bezpośrednio w DA (6 elementów naraz); retest z panelu po wdrożeniu 347e8ae; D3 t1 (d3.hvln.pl) 29.09 po wdrożeniu: zaznaczenie 2 plików (verris-r2.tar.gz, verris-r2.txt) → Usuń → potwierdzenie; API DA: pliki usunięte (347e8ae: CMD_API_FILE_MANAGER + pełne ścieżki)</t>
        </is>
      </c>
      <c r="K54" s="11" t="inlineStr">
        <is>
          <t>PARYTET</t>
        </is>
      </c>
      <c r="L54" s="11" t="inlineStr">
        <is>
          <t>—</t>
        </is>
      </c>
      <c r="M54" s="11" t="inlineStr">
        <is>
          <t>—</t>
        </is>
      </c>
      <c r="N54" s="12" t="inlineStr"/>
    </row>
    <row r="55">
      <c r="A55" s="11" t="inlineStr">
        <is>
          <t>C-07</t>
        </is>
      </c>
      <c r="B55" s="12" t="inlineStr">
        <is>
          <t>C</t>
        </is>
      </c>
      <c r="C55" s="11" t="inlineStr">
        <is>
          <t>Kopiowanie plików</t>
        </is>
      </c>
      <c r="D55" s="11" t="inlineStr">
        <is>
          <t>TAK</t>
        </is>
      </c>
      <c r="E55" s="11" t="inlineStr">
        <is>
          <t>TAK</t>
        </is>
      </c>
      <c r="F55" s="11" t="inlineStr">
        <is>
          <t>TAK</t>
        </is>
      </c>
      <c r="G55" s="11" t="inlineStr">
        <is>
          <t>TAK</t>
        </is>
      </c>
      <c r="H55" s="11" t="inlineStr">
        <is>
          <t>TAK</t>
        </is>
      </c>
      <c r="I55" s="11" t="inlineStr">
        <is>
          <t>DZIAŁA</t>
        </is>
      </c>
      <c r="J55" s="12" t="inlineStr">
        <is>
          <t>files.controller.ts:101; D3 t1 (d3.hvln.pl) 29.09: ten sam format zaznaczenia co C-06 (schowek DA) — poprawka razem z C-06; D3 do potwierdzenia; D3 t1 (d3.hvln.pl) 29.09 po wdrożeniu: kopiowanie verris-a.txt do folderu z panelu — plik w obu miejscach</t>
        </is>
      </c>
      <c r="K55" s="11" t="inlineStr">
        <is>
          <t>PARYTET</t>
        </is>
      </c>
      <c r="L55" s="11" t="inlineStr">
        <is>
          <t>—</t>
        </is>
      </c>
      <c r="M55" s="11" t="inlineStr">
        <is>
          <t>—</t>
        </is>
      </c>
      <c r="N55" s="12" t="inlineStr"/>
    </row>
    <row r="56">
      <c r="A56" s="11" t="inlineStr">
        <is>
          <t>C-08</t>
        </is>
      </c>
      <c r="B56" s="12" t="inlineStr">
        <is>
          <t>C</t>
        </is>
      </c>
      <c r="C56" s="11" t="inlineStr">
        <is>
          <t>Przenoszenie plików</t>
        </is>
      </c>
      <c r="D56" s="11" t="inlineStr">
        <is>
          <t>TAK</t>
        </is>
      </c>
      <c r="E56" s="11" t="inlineStr">
        <is>
          <t>TAK</t>
        </is>
      </c>
      <c r="F56" s="11" t="inlineStr">
        <is>
          <t>TAK</t>
        </is>
      </c>
      <c r="G56" s="11" t="inlineStr">
        <is>
          <t>TAK</t>
        </is>
      </c>
      <c r="H56" s="11" t="inlineStr">
        <is>
          <t>TAK</t>
        </is>
      </c>
      <c r="I56" s="11" t="inlineStr">
        <is>
          <t>DZIAŁA</t>
        </is>
      </c>
      <c r="J56" s="12" t="inlineStr">
        <is>
          <t>files.controller.ts:111; D3 t1 (d3.hvln.pl) 29.09: jak C-07; D3 t1 (d3.hvln.pl) 29.09 po wdrożeniu: przeniesienie verris-b.txt do folderu — zniknął z katalogu źródłowego</t>
        </is>
      </c>
      <c r="K56" s="11" t="inlineStr">
        <is>
          <t>PARYTET</t>
        </is>
      </c>
      <c r="L56" s="11" t="inlineStr">
        <is>
          <t>—</t>
        </is>
      </c>
      <c r="M56" s="11" t="inlineStr">
        <is>
          <t>—</t>
        </is>
      </c>
      <c r="N56" s="12" t="inlineStr"/>
    </row>
    <row r="57">
      <c r="A57" s="11" t="inlineStr">
        <is>
          <t>C-09</t>
        </is>
      </c>
      <c r="B57" s="12" t="inlineStr">
        <is>
          <t>C</t>
        </is>
      </c>
      <c r="C57" s="11" t="inlineStr">
        <is>
          <t>Zmiana uprawnień (chmod)</t>
        </is>
      </c>
      <c r="D57" s="11" t="inlineStr">
        <is>
          <t>TAK</t>
        </is>
      </c>
      <c r="E57" s="11" t="inlineStr">
        <is>
          <t>TAK</t>
        </is>
      </c>
      <c r="F57" s="11" t="inlineStr">
        <is>
          <t>TAK</t>
        </is>
      </c>
      <c r="G57" s="11" t="inlineStr">
        <is>
          <t>TAK</t>
        </is>
      </c>
      <c r="H57" s="11" t="inlineStr">
        <is>
          <t>TAK</t>
        </is>
      </c>
      <c r="I57" s="11" t="inlineStr">
        <is>
          <t>DZIAŁA</t>
        </is>
      </c>
      <c r="J57" s="12" t="inlineStr">
        <is>
          <t>files.controller.ts:131; D3 t1 (d3.hvln.pl) 29.09: chmod zaznaczonych — ten sam format co C-06; D3 do potwierdzenia po wdrożeniu; D3 t1 (d3.hvln.pl) 29.09 po wdrożeniu: chmod 600 z panelu, DA pokazuje permission=600</t>
        </is>
      </c>
      <c r="K57" s="11" t="inlineStr">
        <is>
          <t>PARYTET</t>
        </is>
      </c>
      <c r="L57" s="11" t="inlineStr">
        <is>
          <t>—</t>
        </is>
      </c>
      <c r="M57" s="11" t="inlineStr">
        <is>
          <t>—</t>
        </is>
      </c>
      <c r="N57" s="12" t="inlineStr"/>
    </row>
    <row r="58">
      <c r="A58" s="11" t="inlineStr">
        <is>
          <t>C-10</t>
        </is>
      </c>
      <c r="B58" s="12" t="inlineStr">
        <is>
          <t>C</t>
        </is>
      </c>
      <c r="C58" s="11" t="inlineStr">
        <is>
          <t>Rozpakowanie archiwum</t>
        </is>
      </c>
      <c r="D58" s="11" t="inlineStr">
        <is>
          <t>TAK</t>
        </is>
      </c>
      <c r="E58" s="11" t="inlineStr">
        <is>
          <t>TAK</t>
        </is>
      </c>
      <c r="F58" s="11" t="inlineStr">
        <is>
          <t>TAK</t>
        </is>
      </c>
      <c r="G58" s="11" t="inlineStr">
        <is>
          <t>TAK</t>
        </is>
      </c>
      <c r="H58" s="11" t="inlineStr">
        <is>
          <t>TAK</t>
        </is>
      </c>
      <c r="I58" s="11" t="inlineStr">
        <is>
          <t>DZIAŁA</t>
        </is>
      </c>
      <c r="J58" s="12" t="inlineStr">
        <is>
          <t>files.controller.ts:121</t>
        </is>
      </c>
      <c r="K58" s="11" t="inlineStr">
        <is>
          <t>PARYTET</t>
        </is>
      </c>
      <c r="L58" s="11" t="inlineStr">
        <is>
          <t>—</t>
        </is>
      </c>
      <c r="M58" s="11" t="inlineStr">
        <is>
          <t>—</t>
        </is>
      </c>
      <c r="N58" s="12" t="inlineStr"/>
    </row>
    <row r="59">
      <c r="A59" s="11" t="inlineStr">
        <is>
          <t>C-11</t>
        </is>
      </c>
      <c r="B59" s="12" t="inlineStr">
        <is>
          <t>C</t>
        </is>
      </c>
      <c r="C59" s="11" t="inlineStr">
        <is>
          <t>Spakowanie do archiwum</t>
        </is>
      </c>
      <c r="D59" s="11" t="inlineStr">
        <is>
          <t>TAK</t>
        </is>
      </c>
      <c r="E59" s="11" t="inlineStr">
        <is>
          <t>TAK</t>
        </is>
      </c>
      <c r="F59" s="11" t="inlineStr">
        <is>
          <t>TAK</t>
        </is>
      </c>
      <c r="G59" s="11" t="inlineStr">
        <is>
          <t>TAK</t>
        </is>
      </c>
      <c r="H59" s="11" t="inlineStr">
        <is>
          <t>TAK</t>
        </is>
      </c>
      <c r="I59" s="11" t="inlineStr">
        <is>
          <t>DZIAŁA</t>
        </is>
      </c>
      <c r="J59" s="12" t="inlineStr">
        <is>
          <t>2026-09-23 D1: POST /services/:id/files/compress → files.service compress (nazwa archiwum walidowana) → SDK compressEntries (schowek DA + action=compress) + audyt HOSTING_FILE_COMPRESSED; UI menedżera plików „Spakuj…” dla zaznaczonych; D3 t1 (d3.hvln.pl) 29.09: archiwum powstaje, ale panel mówi „nie udało się” (stara CMD_FILE_MANAGER zwraca 500 po wykonaniu) — poprawka 347e8ae (CMD_API_FILE_MANAGER); D3 t1 (d3.hvln.pl) 29.09 po wdrożeniu: Spakuj z panelu → „Spakowano do archiwum”, verris-r2.tar.gz w katalogu (347e8ae: bez fałszywego błędu 500 starego endpointu)</t>
        </is>
      </c>
      <c r="K59" s="11" t="inlineStr">
        <is>
          <t>PARYTET</t>
        </is>
      </c>
      <c r="L59" s="11" t="inlineStr">
        <is>
          <t>—</t>
        </is>
      </c>
      <c r="M59" s="11" t="inlineStr">
        <is>
          <t>S</t>
        </is>
      </c>
      <c r="N59" s="12" t="inlineStr">
        <is>
          <t>standard we wszystkich panelach | OTWARTE do D3 (PB-21): format action=compress na żywym DA.</t>
        </is>
      </c>
    </row>
    <row r="60">
      <c r="A60" s="11" t="inlineStr">
        <is>
          <t>C-12</t>
        </is>
      </c>
      <c r="B60" s="12" t="inlineStr">
        <is>
          <t>C</t>
        </is>
      </c>
      <c r="C60" s="11" t="inlineStr">
        <is>
          <t>Upload pliku</t>
        </is>
      </c>
      <c r="D60" s="11" t="inlineStr">
        <is>
          <t>TAK</t>
        </is>
      </c>
      <c r="E60" s="11" t="inlineStr">
        <is>
          <t>TAK</t>
        </is>
      </c>
      <c r="F60" s="11" t="inlineStr">
        <is>
          <t>TAK</t>
        </is>
      </c>
      <c r="G60" s="11" t="inlineStr">
        <is>
          <t>TAK</t>
        </is>
      </c>
      <c r="H60" s="11" t="inlineStr">
        <is>
          <t>TAK</t>
        </is>
      </c>
      <c r="I60" s="11" t="inlineStr">
        <is>
          <t>DZIAŁA</t>
        </is>
      </c>
      <c r="J60" s="12" t="inlineStr">
        <is>
          <t>files.controller.ts:141</t>
        </is>
      </c>
      <c r="K60" s="11" t="inlineStr">
        <is>
          <t>PARYTET</t>
        </is>
      </c>
      <c r="L60" s="11" t="inlineStr">
        <is>
          <t>—</t>
        </is>
      </c>
      <c r="M60" s="11" t="inlineStr">
        <is>
          <t>—</t>
        </is>
      </c>
      <c r="N60" s="12" t="inlineStr"/>
    </row>
    <row r="61">
      <c r="A61" s="11" t="inlineStr">
        <is>
          <t>C-13</t>
        </is>
      </c>
      <c r="B61" s="12" t="inlineStr">
        <is>
          <t>C</t>
        </is>
      </c>
      <c r="C61" s="11" t="inlineStr">
        <is>
          <t>Pobranie pliku</t>
        </is>
      </c>
      <c r="D61" s="11" t="inlineStr">
        <is>
          <t>TAK</t>
        </is>
      </c>
      <c r="E61" s="11" t="inlineStr">
        <is>
          <t>TAK</t>
        </is>
      </c>
      <c r="F61" s="11" t="inlineStr">
        <is>
          <t>TAK</t>
        </is>
      </c>
      <c r="G61" s="11" t="inlineStr">
        <is>
          <t>TAK</t>
        </is>
      </c>
      <c r="H61" s="11" t="inlineStr">
        <is>
          <t>TAK</t>
        </is>
      </c>
      <c r="I61" s="11" t="inlineStr">
        <is>
          <t>DZIAŁA</t>
        </is>
      </c>
      <c r="J61" s="12" t="inlineStr">
        <is>
          <t>files.controller.ts:45</t>
        </is>
      </c>
      <c r="K61" s="11" t="inlineStr">
        <is>
          <t>PARYTET</t>
        </is>
      </c>
      <c r="L61" s="11" t="inlineStr">
        <is>
          <t>—</t>
        </is>
      </c>
      <c r="M61" s="11" t="inlineStr">
        <is>
          <t>—</t>
        </is>
      </c>
      <c r="N61" s="12" t="inlineStr"/>
    </row>
    <row r="62">
      <c r="A62" s="11" t="inlineStr">
        <is>
          <t>C-14</t>
        </is>
      </c>
      <c r="B62" s="12" t="inlineStr">
        <is>
          <t>C</t>
        </is>
      </c>
      <c r="C62" s="11" t="inlineStr">
        <is>
          <t>Wyszukiwanie plików</t>
        </is>
      </c>
      <c r="D62" s="11" t="inlineStr">
        <is>
          <t>TAK</t>
        </is>
      </c>
      <c r="E62" s="11" t="inlineStr">
        <is>
          <t>TAK</t>
        </is>
      </c>
      <c r="F62" s="11" t="inlineStr">
        <is>
          <t>CZĘŚĆ</t>
        </is>
      </c>
      <c r="G62" s="11" t="inlineStr">
        <is>
          <t>CZĘŚĆ</t>
        </is>
      </c>
      <c r="H62" s="11" t="inlineStr">
        <is>
          <t>TAK</t>
        </is>
      </c>
      <c r="I62" s="11" t="inlineStr">
        <is>
          <t>DZIAŁA</t>
        </is>
      </c>
      <c r="J62" s="12" t="inlineStr">
        <is>
          <t>ops/scripts/node-file-search.sh; subscriptions/file-search.service.ts; FileSearchPanel.tsx (strona → Pliki); D3 t1 29.09 (panel klienta, d3.hvln.pl): szukanie nazwa „config” + tekst „DB_NAME” → 3 pliki (wp-config.php, wp-config-sample.php, wp-admin/setup-config.php)</t>
        </is>
      </c>
      <c r="K62" s="11" t="inlineStr">
        <is>
          <t>PARYTET</t>
        </is>
      </c>
      <c r="L62" s="11" t="inlineStr">
        <is>
          <t>NISKA</t>
        </is>
      </c>
      <c r="M62" s="11" t="inlineStr">
        <is>
          <t>S</t>
        </is>
      </c>
      <c r="N62" s="12" t="inlineStr">
        <is>
          <t>2026-09-24: KOD (D2) + skrypt sprawdzony lokalnie — szukanie w public_html domeny po fragmencie nazwy i/lub tekście w treści (grep -F, tylko pliki tekstowe do 5 MB), szuka klient (runuser, bez podążania za dowiązaniami), do 500 wyników, limit 90 s z komunikatem. Przydatne też przy infekcji (np. „eval(base64_decode”). OTWARTE do D3 (sprint 21): czas na dużych stronach w CageFS. | 2026-09-24 SKALA DOWODU (decyzja PM): funkcja bez pieniędzy, danych klienta i dostępu — D2 (test w CI) wystarcza do „zrobione”, więc werdykt PARYTET. Stan zostaje CZĘŚCIOWE do testu na węźle (audyt/dane/wezel.csv).</t>
        </is>
      </c>
    </row>
    <row r="63">
      <c r="A63" s="11" t="inlineStr">
        <is>
          <t>C-15</t>
        </is>
      </c>
      <c r="B63" s="12" t="inlineStr">
        <is>
          <t>C</t>
        </is>
      </c>
      <c r="C63" s="11" t="inlineStr">
        <is>
          <t>Podgląd zajętości katalogów (disk usage)</t>
        </is>
      </c>
      <c r="D63" s="11" t="inlineStr">
        <is>
          <t>TAK</t>
        </is>
      </c>
      <c r="E63" s="11" t="inlineStr">
        <is>
          <t>TAK</t>
        </is>
      </c>
      <c r="F63" s="11" t="inlineStr">
        <is>
          <t>TAK</t>
        </is>
      </c>
      <c r="G63" s="11" t="inlineStr">
        <is>
          <t>CZĘŚĆ</t>
        </is>
      </c>
      <c r="H63" s="11" t="inlineStr">
        <is>
          <t>TAK</t>
        </is>
      </c>
      <c r="I63" s="11" t="inlineStr">
        <is>
          <t>DZIAŁA</t>
        </is>
      </c>
      <c r="J63" s="12" t="inlineStr">
        <is>
          <t>ops/scripts/node-disk-usage.sh (zadanie DISK_USAGE, du jako klient, 2 poziomy), subscriptions/disk-usage.service.ts, services.controller.ts :id/hosting-disk-usage, client-panel components/hosting/DiskUsagePanel.tsx (Zużycie zasobów → Co zajmuje miejsce); test disk-usage.service.spec.ts; D3 t1 29.09 (panel klienta, d3.hvln.pl): „Co zajmuje miejsce” → razem 271,5 MB / 5821 plików, podział na domains, backups, poczta, eksporty baz itd. (2 poziomy)</t>
        </is>
      </c>
      <c r="K63" s="11" t="inlineStr">
        <is>
          <t>PARYTET</t>
        </is>
      </c>
      <c r="L63" s="11" t="inlineStr">
        <is>
          <t>ŚREDNIA</t>
        </is>
      </c>
      <c r="M63" s="11" t="inlineStr">
        <is>
          <t>S</t>
        </is>
      </c>
      <c r="N63" s="12" t="inlineStr">
        <is>
          <t>2026-09-24: KOD (D2) + skrypt sprawdzony lokalnie — rozmiar i liczba plików w katalogach konta (drzewo 2 poziomów, opisy: poczta, kopie, pliki stron), liczone na żądanie. OTWARTE do D3 (sprint 21): czas du na dużych kontach, CageFS. | częste źródło ticketów „skończyło się miejsce” | 2026-09-24 SKALA DOWODU (decyzja PM): funkcja bez pieniędzy, danych klienta i dostępu — D2 (test w CI) wystarcza do „zrobione”, więc werdykt PARYTET. Stan zostaje CZĘŚCIOWE do testu na węźle (audyt/dane/wezel.csv).</t>
        </is>
      </c>
    </row>
    <row r="64">
      <c r="A64" s="11" t="inlineStr">
        <is>
          <t>C-16</t>
        </is>
      </c>
      <c r="B64" s="12" t="inlineStr">
        <is>
          <t>C</t>
        </is>
      </c>
      <c r="C64" s="11" t="inlineStr">
        <is>
          <t>Konto FTP — utworzenie</t>
        </is>
      </c>
      <c r="D64" s="11" t="inlineStr">
        <is>
          <t>TAK</t>
        </is>
      </c>
      <c r="E64" s="11" t="inlineStr">
        <is>
          <t>TAK</t>
        </is>
      </c>
      <c r="F64" s="11" t="inlineStr">
        <is>
          <t>TAK</t>
        </is>
      </c>
      <c r="G64" s="11" t="inlineStr">
        <is>
          <t>TAK</t>
        </is>
      </c>
      <c r="H64" s="11" t="inlineStr">
        <is>
          <t>TAK</t>
        </is>
      </c>
      <c r="I64" s="11" t="inlineStr">
        <is>
          <t>DZIAŁA</t>
        </is>
      </c>
      <c r="J64" s="12" t="inlineStr">
        <is>
          <t>services.controller.ts:406</t>
        </is>
      </c>
      <c r="K64" s="11" t="inlineStr">
        <is>
          <t>PARYTET</t>
        </is>
      </c>
      <c r="L64" s="11" t="inlineStr">
        <is>
          <t>—</t>
        </is>
      </c>
      <c r="M64" s="11" t="inlineStr">
        <is>
          <t>—</t>
        </is>
      </c>
      <c r="N64" s="12" t="inlineStr"/>
    </row>
    <row r="65">
      <c r="A65" s="11" t="inlineStr">
        <is>
          <t>C-17</t>
        </is>
      </c>
      <c r="B65" s="12" t="inlineStr">
        <is>
          <t>C</t>
        </is>
      </c>
      <c r="C65" s="11" t="inlineStr">
        <is>
          <t>Konto FTP — usunięcie</t>
        </is>
      </c>
      <c r="D65" s="11" t="inlineStr">
        <is>
          <t>TAK</t>
        </is>
      </c>
      <c r="E65" s="11" t="inlineStr">
        <is>
          <t>TAK</t>
        </is>
      </c>
      <c r="F65" s="11" t="inlineStr">
        <is>
          <t>TAK</t>
        </is>
      </c>
      <c r="G65" s="11" t="inlineStr">
        <is>
          <t>TAK</t>
        </is>
      </c>
      <c r="H65" s="11" t="inlineStr">
        <is>
          <t>TAK</t>
        </is>
      </c>
      <c r="I65" s="11" t="inlineStr">
        <is>
          <t>DZIAŁA</t>
        </is>
      </c>
      <c r="J65" s="12" t="inlineStr">
        <is>
          <t>services.controller.ts:415; D3 t1 (d3.hvln.pl) 29.09: DA 1.710 zwraca listę FTP jako login@domena=ścieżka (nie user0/path0) — dodatkowe konta niewidoczne w panelu, więc bez usuwania i zmiany hasła; poprawka bcce42d czeka na wdrożenie; D3 na koncie dodatkowym</t>
        </is>
      </c>
      <c r="K65" s="11" t="inlineStr">
        <is>
          <t>PARYTET</t>
        </is>
      </c>
      <c r="L65" s="11" t="inlineStr">
        <is>
          <t>ŚREDNIA</t>
        </is>
      </c>
      <c r="M65" s="11" t="inlineStr">
        <is>
          <t>—</t>
        </is>
      </c>
      <c r="N65" s="12" t="inlineStr">
        <is>
          <t xml:space="preserve"> | 2026-10-02 D3: tworzenie działa (po 9e362ed), usunięcie z panelu dawało fałszywy sukces (select0=login@domena) → poprawka 2f0d9a2 (select0=login + kontrola listy); retest po wdrożeniu. | 2026-10-02 D3: 02.10 t1 (po 2f0d9a2): „Usuń konto FTP” przy d3test@d3.hvln.pl → „Konto FTP usunięte”, po odświeżeniu „Brak dodatkowych kont FTP” (wcześniej fałszywy sukces: select0=login@domena, DA OK bez efektu). Tworzenie (po 9e362ed) i zmiana hasła sprawdzone tego samego dnia (C-18).</t>
        </is>
      </c>
    </row>
    <row r="66">
      <c r="A66" s="11" t="inlineStr">
        <is>
          <t>C-18</t>
        </is>
      </c>
      <c r="B66" s="12" t="inlineStr">
        <is>
          <t>C</t>
        </is>
      </c>
      <c r="C66" s="11" t="inlineStr">
        <is>
          <t>Konto FTP — zmiana hasła</t>
        </is>
      </c>
      <c r="D66" s="11" t="inlineStr">
        <is>
          <t>TAK</t>
        </is>
      </c>
      <c r="E66" s="11" t="inlineStr">
        <is>
          <t>TAK</t>
        </is>
      </c>
      <c r="F66" s="11" t="inlineStr">
        <is>
          <t>TAK</t>
        </is>
      </c>
      <c r="G66" s="11" t="inlineStr">
        <is>
          <t>TAK</t>
        </is>
      </c>
      <c r="H66" s="11" t="inlineStr">
        <is>
          <t>TAK</t>
        </is>
      </c>
      <c r="I66" s="11" t="inlineStr">
        <is>
          <t>DZIAŁA</t>
        </is>
      </c>
      <c r="J66" s="12" t="inlineStr">
        <is>
          <t>2026-09-23 D1: POST /services/:id/hosting-ftp/:username/password (ZmienHasloFtpDto) → directadmin.service changeHostingFtpPassword (action=modify, katalog zachowany) + audyt HOSTING_FTP_PASSWORD_CHANGED; UI FtpTab — kluczyk przy koncie; test servers/zmiana-hasla-ftp.spec.ts</t>
        </is>
      </c>
      <c r="K66" s="11" t="inlineStr">
        <is>
          <t>PARYTET</t>
        </is>
      </c>
      <c r="L66" s="11" t="inlineStr">
        <is>
          <t>WYSOKA</t>
        </is>
      </c>
      <c r="M66" s="11" t="inlineStr">
        <is>
          <t>S</t>
        </is>
      </c>
      <c r="N66" s="12" t="inlineStr">
        <is>
          <t>brak jakiejkolwiek ścieżki edycji istniejącego konta | Przy okazji body tworzenia konta FTP dostało klasę DTO (login, hasło, katalog bez „..”). OTWARTE do D3 (PB-21): format action=modify na żywym DA. | 2026-10-02 D3: 02.10 t1 (po 9e362ed — tworzenie konta FTP wysyłało pole path zamiast wymaganego type, panel mówił „słabe hasło”): panel → FTP i SSH → konto d3test@d3.hvln.pl z hasłem z generatora → „Konto FTP utworzone”, katalog /home/ovsekucx/domains/d3.hvln.pl/; „Nowe hasło” → „Hasło FTP zmienione”, katalog bez zmian; logowanie nowym hasłem z Maca: curl --ssl-reqd ftp://t1.verris.pl/ → lista katalogu domeny (public_html, public_ftp, logs, stats, private_html).</t>
        </is>
      </c>
    </row>
    <row r="67">
      <c r="A67" s="11" t="inlineStr">
        <is>
          <t>C-19</t>
        </is>
      </c>
      <c r="B67" s="12" t="inlineStr">
        <is>
          <t>C</t>
        </is>
      </c>
      <c r="C67" s="11" t="inlineStr">
        <is>
          <t>Konto FTP — limit powierzchni (quota)</t>
        </is>
      </c>
      <c r="D67" s="11" t="inlineStr">
        <is>
          <t>TAK</t>
        </is>
      </c>
      <c r="E67" s="11" t="inlineStr">
        <is>
          <t>TAK</t>
        </is>
      </c>
      <c r="F67" s="11" t="inlineStr">
        <is>
          <t>TAK</t>
        </is>
      </c>
      <c r="G67" s="11" t="inlineStr">
        <is>
          <t>CZĘŚĆ</t>
        </is>
      </c>
      <c r="H67" s="11" t="inlineStr">
        <is>
          <t>NIE</t>
        </is>
      </c>
      <c r="I67" s="11" t="inlineStr">
        <is>
          <t>BRAK</t>
        </is>
      </c>
      <c r="J67" s="12" t="inlineStr">
        <is>
          <t>—</t>
        </is>
      </c>
      <c r="K67" s="11" t="inlineStr">
        <is>
          <t>POZA ZAKRESEM</t>
        </is>
      </c>
      <c r="L67" s="11" t="inlineStr">
        <is>
          <t>NISKA</t>
        </is>
      </c>
      <c r="M67" s="11" t="inlineStr">
        <is>
          <t>S</t>
        </is>
      </c>
      <c r="N67" s="12" t="inlineStr">
        <is>
          <t xml:space="preserve"> | 2026-09-25 SPRAWDZONE W DOKUMENTACJI: DirectAdmin nie ma limitu powierzchni per konto FTP (docs.directadmin.com → FTP; konta FTP dzielą limit konta hostingowego, który panel pokazuje). Do decyzji właściciela: POZA ZAKRESEM (limit konta wystarcza) albo własne rozwiązanie poza DA. | DECYZJA WŁAŚCICIELA 2026-09-25: poza zakresem — DirectAdmin nie ma limitu per konto FTP; obowiązuje limit konta hostingowego (widoczny w panelu).</t>
        </is>
      </c>
    </row>
    <row r="68">
      <c r="A68" s="11" t="inlineStr">
        <is>
          <t>C-20</t>
        </is>
      </c>
      <c r="B68" s="12" t="inlineStr">
        <is>
          <t>C</t>
        </is>
      </c>
      <c r="C68" s="11" t="inlineStr">
        <is>
          <t>FTP anonimowy</t>
        </is>
      </c>
      <c r="D68" s="11" t="inlineStr">
        <is>
          <t>TAK</t>
        </is>
      </c>
      <c r="E68" s="11" t="inlineStr">
        <is>
          <t>TAK</t>
        </is>
      </c>
      <c r="F68" s="11" t="inlineStr">
        <is>
          <t>TAK</t>
        </is>
      </c>
      <c r="G68" s="11" t="inlineStr">
        <is>
          <t>NIE</t>
        </is>
      </c>
      <c r="H68" s="11" t="inlineStr">
        <is>
          <t>NIE</t>
        </is>
      </c>
      <c r="I68" s="11" t="inlineStr">
        <is>
          <t>BRAK</t>
        </is>
      </c>
      <c r="J68" s="12" t="inlineStr">
        <is>
          <t>—</t>
        </is>
      </c>
      <c r="K68" s="11" t="inlineStr">
        <is>
          <t>POZA ZAKRESEM</t>
        </is>
      </c>
      <c r="L68" s="11" t="inlineStr">
        <is>
          <t>NISKA</t>
        </is>
      </c>
      <c r="M68" s="11" t="inlineStr">
        <is>
          <t>—</t>
        </is>
      </c>
      <c r="N68" s="12" t="inlineStr">
        <is>
          <t>funkcja schyłkowa, ryzyko nadużyć</t>
        </is>
      </c>
    </row>
    <row r="69">
      <c r="A69" s="11" t="inlineStr">
        <is>
          <t>C-21</t>
        </is>
      </c>
      <c r="B69" s="12" t="inlineStr">
        <is>
          <t>C</t>
        </is>
      </c>
      <c r="C69" s="11" t="inlineStr">
        <is>
          <t>Dostęp SSH</t>
        </is>
      </c>
      <c r="D69" s="11" t="inlineStr">
        <is>
          <t>TAK</t>
        </is>
      </c>
      <c r="E69" s="11" t="inlineStr">
        <is>
          <t>TAK</t>
        </is>
      </c>
      <c r="F69" s="11" t="inlineStr">
        <is>
          <t>TAK</t>
        </is>
      </c>
      <c r="G69" s="11" t="inlineStr">
        <is>
          <t>TAK</t>
        </is>
      </c>
      <c r="H69" s="11" t="inlineStr">
        <is>
          <t>TAK</t>
        </is>
      </c>
      <c r="I69" s="11" t="inlineStr">
        <is>
          <t>DZIAŁA</t>
        </is>
      </c>
      <c r="J69" s="12" t="inlineStr">
        <is>
          <t>ops/scripts/node-ssh-access.sh (zadanie SSH_ACCESS), subscriptions/ssh-access.service.ts, services.controller.ts :id/hosting-ssh(/keys), client-panel components/hosting/SshPanel.tsx (FTP → Dostęp SSH); test ssh-access.service.spec.ts; D3 t1 (d3.hvln.pl) 29.09 po wdrożeniu (panel klienta): włączenie SSH z panelu → DA ssh=ON; logowania z zewnątrz nie sprawdziłem (brak ruchu TCP/22 ze środowiska testowego) — do potwierdzenia przez właściciela; D3 t1 29.09 13:58: logowanie kluczem ed25519 wgranym w panelu (zakładka FTP i SSH) jako ovsekucx@t1.verris.pl:22 działa; konto w klatce CageFS (ls /home → tylko ovsekucx, /etc/passwd 23 linie zamiast systemowego)</t>
        </is>
      </c>
      <c r="K69" s="11" t="inlineStr">
        <is>
          <t>PARYTET</t>
        </is>
      </c>
      <c r="L69" s="11" t="inlineStr">
        <is>
          <t>WYSOKA</t>
        </is>
      </c>
      <c r="M69" s="11" t="inlineStr">
        <is>
          <t>M</t>
        </is>
      </c>
      <c r="N69" s="12" t="inlineStr">
        <is>
          <t>2026-09-24: KOD (D2) + skrypt sprawdzony lokalnie — włączanie/wyłączanie SSH z panelu tylko w klatce CageFS (bez niej odmowa), user.conf + powłoka + AllowUsers spójnie. DECYZJA WŁAŚCICIELA 2026-09-24: SSH w klatce na start. OTWARTE do D3 (sprint 21): CageFS na węźle, reload sshd, logowanie kluczem i hasłem, ochrona przed zgadywaniem haseł (fail2ban/CSF w profilu węzła). | klient widzi status, nie może włączyć | 2026-10-01 D3 t1: 01.10: fail2ban z utwardzania usunął CustomBuild 29.09 (options.conf fail2ban=no), BFM bez block_ip.sh nie blokuje — węzeł bez blokowania zgadywania haseł → 073123f (fail2ban przez CustomBuild). Retest po da build fail2ban.</t>
        </is>
      </c>
    </row>
    <row r="70">
      <c r="A70" s="11" t="inlineStr">
        <is>
          <t>C-22</t>
        </is>
      </c>
      <c r="B70" s="12" t="inlineStr">
        <is>
          <t>C</t>
        </is>
      </c>
      <c r="C70" s="11" t="inlineStr">
        <is>
          <t>Zarządzanie kluczami SSH konta hostingowego</t>
        </is>
      </c>
      <c r="D70" s="11" t="inlineStr">
        <is>
          <t>TAK</t>
        </is>
      </c>
      <c r="E70" s="11" t="inlineStr">
        <is>
          <t>TAK</t>
        </is>
      </c>
      <c r="F70" s="11" t="inlineStr">
        <is>
          <t>TAK</t>
        </is>
      </c>
      <c r="G70" s="11" t="inlineStr">
        <is>
          <t>CZĘŚĆ</t>
        </is>
      </c>
      <c r="H70" s="11" t="inlineStr">
        <is>
          <t>TAK</t>
        </is>
      </c>
      <c r="I70" s="11" t="inlineStr">
        <is>
          <t>DZIAŁA</t>
        </is>
      </c>
      <c r="J70" s="12" t="inlineStr">
        <is>
          <t>ops/scripts/node-ssh-access.sh (zadanie SSH_ACCESS), subscriptions/ssh-access.service.ts, services.controller.ts :id/hosting-ssh(/keys), client-panel components/hosting/SshPanel.tsx (FTP → Dostęp SSH); test ssh-access.service.spec.ts; D3 t1 (d3.hvln.pl) 29.09 po wdrożeniu (panel klienta): klucz publiczny z panelu → blok Verris w ~/.ssh/authorized_keys; logowanie kluczem do potwierdzenia (jak C-21); D3 t1 (d3.hvln.pl) 29.09 po wdrożeniu 13:00 (panel klienta): klucz testowy usunięty z panelu (blok Verris w authorized_keys aktualizowany); D3 t1 29.09 13:58: logowanie kluczem ed25519 wgranym w panelu (zakładka FTP i SSH) jako ovsekucx@t1.verris.pl:22 działa; konto w klatce CageFS (ls /home → tylko ovsekucx, /etc/passwd 23 linie zamiast systemowego)</t>
        </is>
      </c>
      <c r="K70" s="11" t="inlineStr">
        <is>
          <t>PARYTET</t>
        </is>
      </c>
      <c r="L70" s="11" t="inlineStr">
        <is>
          <t>WYSOKA</t>
        </is>
      </c>
      <c r="M70" s="11" t="inlineStr">
        <is>
          <t>M</t>
        </is>
      </c>
      <c r="N70" s="12" t="inlineStr">
        <is>
          <t>2026-09-24: KOD (D2) + skrypt sprawdzony lokalnie — klucze w bloku Verris ~/.ssh/authorized_keys (zapis jako klient, walidacja ssh-keygen, bez opcji), klucze klienta poza blokiem zostają. DECYZJA WŁAŚCICIELA 2026-09-24: SSH w klatce na start. OTWARTE do D3 (sprint 21): CageFS na węźle, reload sshd, logowanie kluczem i hasłem, ochrona przed zgadywaniem haseł (fail2ban/CSF w profilu węzła). | klucze są tylko dla VPS, nie dla hostingu</t>
        </is>
      </c>
    </row>
    <row r="71">
      <c r="A71" s="11" t="inlineStr">
        <is>
          <t>C-23</t>
        </is>
      </c>
      <c r="B71" s="12" t="inlineStr">
        <is>
          <t>C</t>
        </is>
      </c>
      <c r="C71" s="11" t="inlineStr">
        <is>
          <t>Terminal SSH w przeglądarce</t>
        </is>
      </c>
      <c r="D71" s="11" t="inlineStr">
        <is>
          <t>TAK</t>
        </is>
      </c>
      <c r="E71" s="11" t="inlineStr">
        <is>
          <t>NIE</t>
        </is>
      </c>
      <c r="F71" s="11" t="inlineStr">
        <is>
          <t>NIE</t>
        </is>
      </c>
      <c r="G71" s="11" t="inlineStr">
        <is>
          <t>NIE</t>
        </is>
      </c>
      <c r="H71" s="11" t="inlineStr">
        <is>
          <t>CZĘŚĆ</t>
        </is>
      </c>
      <c r="I71" s="11" t="inlineStr">
        <is>
          <t>BRAK</t>
        </is>
      </c>
      <c r="J71" s="12" t="inlineStr">
        <is>
          <t>—</t>
        </is>
      </c>
      <c r="K71" s="11" t="inlineStr">
        <is>
          <t>POZA ZAKRESEM</t>
        </is>
      </c>
      <c r="L71" s="11" t="inlineStr">
        <is>
          <t>NISKA</t>
        </is>
      </c>
      <c r="M71" s="11" t="inlineStr">
        <is>
          <t>L</t>
        </is>
      </c>
      <c r="N71" s="12" t="inlineStr">
        <is>
          <t>żaden hosting PL tego nie daje</t>
        </is>
      </c>
    </row>
    <row r="72">
      <c r="A72" s="11" t="inlineStr">
        <is>
          <t>C-24</t>
        </is>
      </c>
      <c r="B72" s="12" t="inlineStr">
        <is>
          <t>C</t>
        </is>
      </c>
      <c r="C72" s="11" t="inlineStr">
        <is>
          <t>WebDAV / Web Disk</t>
        </is>
      </c>
      <c r="D72" s="11" t="inlineStr">
        <is>
          <t>TAK</t>
        </is>
      </c>
      <c r="E72" s="11" t="inlineStr">
        <is>
          <t>TAK</t>
        </is>
      </c>
      <c r="F72" s="11" t="inlineStr">
        <is>
          <t>NIE</t>
        </is>
      </c>
      <c r="G72" s="11" t="inlineStr">
        <is>
          <t>NIE</t>
        </is>
      </c>
      <c r="H72" s="11" t="inlineStr">
        <is>
          <t>NIE</t>
        </is>
      </c>
      <c r="I72" s="11" t="inlineStr">
        <is>
          <t>BRAK</t>
        </is>
      </c>
      <c r="J72" s="12" t="inlineStr">
        <is>
          <t>—</t>
        </is>
      </c>
      <c r="K72" s="11" t="inlineStr">
        <is>
          <t>POZA ZAKRESEM</t>
        </is>
      </c>
      <c r="L72" s="11" t="inlineStr">
        <is>
          <t>NISKA</t>
        </is>
      </c>
      <c r="M72" s="11" t="inlineStr">
        <is>
          <t>—</t>
        </is>
      </c>
      <c r="N72" s="12" t="inlineStr">
        <is>
          <t>Protokół schyłkowy — żaden z pięciu badanych hostingów PL go nie wystawia, a menedżer plików i SFTP pokrywają ten sam scenariusz.</t>
        </is>
      </c>
    </row>
    <row r="73">
      <c r="A73" s="11" t="inlineStr">
        <is>
          <t>C-25</t>
        </is>
      </c>
      <c r="B73" s="12" t="inlineStr">
        <is>
          <t>C</t>
        </is>
      </c>
      <c r="C73" s="11" t="inlineStr">
        <is>
          <t>Klonowanie repozytorium Git z panelu</t>
        </is>
      </c>
      <c r="D73" s="11" t="inlineStr">
        <is>
          <t>TAK</t>
        </is>
      </c>
      <c r="E73" s="11" t="inlineStr">
        <is>
          <t>TAK</t>
        </is>
      </c>
      <c r="F73" s="11" t="inlineStr">
        <is>
          <t>CZĘŚĆ</t>
        </is>
      </c>
      <c r="G73" s="11" t="inlineStr">
        <is>
          <t>NIE</t>
        </is>
      </c>
      <c r="H73" s="11" t="inlineStr">
        <is>
          <t>TAK</t>
        </is>
      </c>
      <c r="I73" s="11" t="inlineStr">
        <is>
          <t>DZIAŁA</t>
        </is>
      </c>
      <c r="J73" s="12" t="inlineStr">
        <is>
          <t>ops/scripts/node-git-deploy.sh (zadanie GIT_DEPLOY: klucz ed25519 ~/.ssh/verris_deploy, git clone --depth 50 z odłożeniem dotychczasowych plików, pull --ff-only, HEAD w wyniku; jako klient), subscriptions/git-deploy.service.ts, :id/hosting-git(/key|/clone|/pull), panel GitRepoPanel.tsx (Deploy (Git) → Repozytorium strony); test git-deploy.service.spec.ts; D3 t1 29.09 (panel klienta, d3.hvln.pl): „Sklonuj” https://github.com/WordPress/hello-dolly.git do public_html/git-test → gotowe, HEAD 5a6f8b3; pliki serwowane, katalog .git zwraca 403</t>
        </is>
      </c>
      <c r="K73" s="11" t="inlineStr">
        <is>
          <t>PARYTET</t>
        </is>
      </c>
      <c r="L73" s="11" t="inlineStr">
        <is>
          <t>ŚREDNIA</t>
        </is>
      </c>
      <c r="M73" s="11" t="inlineStr">
        <is>
          <t>M</t>
        </is>
      </c>
      <c r="N73" s="12" t="inlineStr">
        <is>
          <t>2026-09-24: KOD (D2) + skrypt sprawdzony lokalnie (klucz 0600 jako klient, pull z HEAD, odmowy: file://, gałąź „--…”, katalog z „..”). OTWARTE do D3 (sprint 21): git i ssh w klatce CageFS, klon z GitHuba kluczem wdrożeniowym. | „Deploy” to wyłącznie cron z git pull</t>
        </is>
      </c>
    </row>
    <row r="74">
      <c r="A74" s="11" t="inlineStr">
        <is>
          <t>C-26</t>
        </is>
      </c>
      <c r="B74" s="12" t="inlineStr">
        <is>
          <t>C</t>
        </is>
      </c>
      <c r="C74" s="11" t="inlineStr">
        <is>
          <t>Deploy z repozytorium (pull na żądanie)</t>
        </is>
      </c>
      <c r="D74" s="11" t="inlineStr">
        <is>
          <t>TAK</t>
        </is>
      </c>
      <c r="E74" s="11" t="inlineStr">
        <is>
          <t>TAK</t>
        </is>
      </c>
      <c r="F74" s="11" t="inlineStr">
        <is>
          <t>CZĘŚĆ</t>
        </is>
      </c>
      <c r="G74" s="11" t="inlineStr">
        <is>
          <t>NIE</t>
        </is>
      </c>
      <c r="H74" s="11" t="inlineStr">
        <is>
          <t>TAK</t>
        </is>
      </c>
      <c r="I74" s="11" t="inlineStr">
        <is>
          <t>DZIAŁA</t>
        </is>
      </c>
      <c r="J74" s="12" t="inlineStr">
        <is>
          <t>ops/scripts/node-git-deploy.sh (zadanie GIT_DEPLOY: klucz ed25519 ~/.ssh/verris_deploy, git clone --depth 50 z odłożeniem dotychczasowych plików, pull --ff-only, HEAD w wyniku; jako klient), subscriptions/git-deploy.service.ts, :id/hosting-git(/key|/clone|/pull), panel GitRepoPanel.tsx (Deploy (Git) → Repozytorium strony); test git-deploy.service.spec.ts; harmonogram: services.controller.ts:717, directadmin.service.ts createDeployJob; D3 t1 29.09 (panel klienta, d3.hvln.pl): „Pobierz zmiany teraz” dla git-test → pobranie zmian gotowe, HEAD w wyniku</t>
        </is>
      </c>
      <c r="K74" s="11" t="inlineStr">
        <is>
          <t>PARYTET</t>
        </is>
      </c>
      <c r="L74" s="11" t="inlineStr">
        <is>
          <t>ŚREDNIA</t>
        </is>
      </c>
      <c r="M74" s="11" t="inlineStr">
        <is>
          <t>M</t>
        </is>
      </c>
      <c r="N74" s="12" t="inlineStr">
        <is>
          <t>2026-09-24: dołożone „Pobierz zmiany teraz”, klucz wdrożeniowy i wynik (HEAD / błąd) w panelu — zostają webhook (C-27) i logi builda. | tylko harmonogram cron; brak „uruchom teraz”, kluczy deploy, webhooka, logów</t>
        </is>
      </c>
    </row>
    <row r="75">
      <c r="A75" s="11" t="inlineStr">
        <is>
          <t>C-27</t>
        </is>
      </c>
      <c r="B75" s="12" t="inlineStr">
        <is>
          <t>C</t>
        </is>
      </c>
      <c r="C75" s="11" t="inlineStr">
        <is>
          <t>Webhook deploy z GitHuba</t>
        </is>
      </c>
      <c r="D75" s="11" t="inlineStr">
        <is>
          <t>CZĘŚĆ</t>
        </is>
      </c>
      <c r="E75" s="11" t="inlineStr">
        <is>
          <t>TAK</t>
        </is>
      </c>
      <c r="F75" s="11" t="inlineStr">
        <is>
          <t>NIE</t>
        </is>
      </c>
      <c r="G75" s="11" t="inlineStr">
        <is>
          <t>NIE</t>
        </is>
      </c>
      <c r="H75" s="11" t="inlineStr">
        <is>
          <t>TAK</t>
        </is>
      </c>
      <c r="I75" s="11" t="inlineStr">
        <is>
          <t>DZIAŁA</t>
        </is>
      </c>
      <c r="J75" s="12" t="inlineStr">
        <is>
          <t>subscriptions/git-webhook.controller.ts (POST /hooks/git/:token, bez logowania, limit), GitDeployService.utworzWebhook/usunWebhook/wyzwolWebhook (model GitWebhook: tylko skrót tokenu), :id/hosting-git-webhook(/delete), GitRepoPanel.tsx (adres pokazany raz, lista z datą ostatniego wywołania); test git-deploy.service.spec.ts</t>
        </is>
      </c>
      <c r="K75" s="11" t="inlineStr">
        <is>
          <t>PARYTET</t>
        </is>
      </c>
      <c r="L75" s="11" t="inlineStr">
        <is>
          <t>NISKA</t>
        </is>
      </c>
      <c r="M75" s="11" t="inlineStr">
        <is>
          <t>M</t>
        </is>
      </c>
      <c r="N75" s="12" t="inlineStr">
        <is>
          <t>2026-09-24: KOD (D2) — webhook GitHub/GitLab/Bitbucket kolejkuje git pull w katalogu strony; treść żądania nie jest czytana (każde wywołanie = pobierz zmiany), więc podrobiony payload nic nie zmieni. OTWARTE do D3 (sprint 21) razem z C-25. | 2026-10-04: D3 na t1 (d3.hvln.pl) — prywatne repo GitHub: klucz wdrożeniowy z panelu → dodany jako deploy key (tylko odczyt) → klon do public_html/payload (c681f57); webhook z panelu dodany w GitHubie, push → „pobranie zmian (webhook) · gotowe”, HEAD 615cdbe. Po drodze: egress węzła wpuszcza TCP/22 tylko dla roota — klon git@github.com wisiał i kończył się „sprawdź klucz”; poprawka 33e4722 (SSH na 443: ssh.github.com/altssh.gitlab.com/altssh.bitbucket.org, klucz i adres zapisane w repo dla crona, ConnectTimeout, komunikat o porcie 22). .git i pliki z kropką → 403 z WWW. Panel: „Odśwież” nie wczytywał sekcji repo — poprawione.</t>
        </is>
      </c>
    </row>
    <row r="76">
      <c r="A76" s="11" t="inlineStr">
        <is>
          <t>C-28</t>
        </is>
      </c>
      <c r="B76" s="12" t="inlineStr">
        <is>
          <t>C</t>
        </is>
      </c>
      <c r="C76" s="11" t="inlineStr">
        <is>
          <t>Composer / narzędzia CLI przez SSH</t>
        </is>
      </c>
      <c r="D76" s="11" t="inlineStr">
        <is>
          <t>TAK</t>
        </is>
      </c>
      <c r="E76" s="11" t="inlineStr">
        <is>
          <t>TAK</t>
        </is>
      </c>
      <c r="F76" s="11" t="inlineStr">
        <is>
          <t>TAK</t>
        </is>
      </c>
      <c r="G76" s="11" t="inlineStr">
        <is>
          <t>TAK</t>
        </is>
      </c>
      <c r="H76" s="11" t="inlineStr">
        <is>
          <t>TAK</t>
        </is>
      </c>
      <c r="I76" s="11" t="inlineStr">
        <is>
          <t>DZIAŁA</t>
        </is>
      </c>
      <c r="J76" s="12" t="inlineStr">
        <is>
          <t>zależne od C-21</t>
        </is>
      </c>
      <c r="K76" s="11" t="inlineStr">
        <is>
          <t>PARYTET</t>
        </is>
      </c>
      <c r="L76" s="11" t="inlineStr">
        <is>
          <t>ŚREDNIA</t>
        </is>
      </c>
      <c r="M76" s="11" t="inlineStr">
        <is>
          <t>M</t>
        </is>
      </c>
      <c r="N76" s="12" t="inlineStr">
        <is>
          <t>2026-09-24: odblokowane przez C-21 (SSH w klatce z panelu) — do potwierdzenia na węźle. | dziedziczy ograniczenie SSH | WYCENA 2026-09-19: krytycznosc i naklad uzupelnione przy wznowieniu. Pozycje przepisane 2026-08-28 w ramach X-49 zostaly bez wyceny, przez co nie liczyly sie do budzetu godzin i nie stały w zadnym sprincie. Podstawa wyceny: Composer i narzedzia CLI przez SSH — wymaga uzgodnienia z limitami LVE i obrazem kontenera klienta. | 2026-10-02 D3: SSH w CageFS działa (wp), ale „composer: command not found” → profil instaluje oficjalny composer.phar z sumą SHA-256 (b9370db); retest po przebiegu profilu. | 2026-10-03: D3 na t1 — composer --version przez SSH (2.10.3, PHP 8.3) i wp --version działają w CageFS; SSH przetrwało przebieg profilu (synchronizacja pakietów nie nadpisuje istniejących — a25b3cc).</t>
        </is>
      </c>
    </row>
    <row r="77">
      <c r="A77" s="11" t="inlineStr">
        <is>
          <t>D-01</t>
        </is>
      </c>
      <c r="B77" s="12" t="inlineStr">
        <is>
          <t>D</t>
        </is>
      </c>
      <c r="C77" s="11" t="inlineStr">
        <is>
          <t>Lista baz MySQL/MariaDB</t>
        </is>
      </c>
      <c r="D77" s="11" t="inlineStr">
        <is>
          <t>TAK</t>
        </is>
      </c>
      <c r="E77" s="11" t="inlineStr">
        <is>
          <t>TAK</t>
        </is>
      </c>
      <c r="F77" s="11" t="inlineStr">
        <is>
          <t>TAK</t>
        </is>
      </c>
      <c r="G77" s="11" t="inlineStr">
        <is>
          <t>TAK</t>
        </is>
      </c>
      <c r="H77" s="11" t="inlineStr">
        <is>
          <t>TAK</t>
        </is>
      </c>
      <c r="I77" s="11" t="inlineStr">
        <is>
          <t>DZIAŁA</t>
        </is>
      </c>
      <c r="J77" s="12" t="inlineStr">
        <is>
          <t>services.controller.ts:323; D3 t1 (d3.hvln.pl) 29.09 FAIL: baza WordPressa istnieje, panel „Brak baz” — DA 1.710 zwraca list[]=nazwa; poprawka bcce42d (SDK daPayloadToParams) czeka na wdrożenie; retest; D3 t1 (d3.hvln.pl) 29.09 08:3x po wdrożeniu: lista pokazuje bazę WordPressa (ovsekucx_wp8664)</t>
        </is>
      </c>
      <c r="K77" s="11" t="inlineStr">
        <is>
          <t>PARYTET</t>
        </is>
      </c>
      <c r="L77" s="11" t="inlineStr">
        <is>
          <t>—</t>
        </is>
      </c>
      <c r="M77" s="11" t="inlineStr">
        <is>
          <t>—</t>
        </is>
      </c>
      <c r="N77" s="12" t="inlineStr">
        <is>
          <t>+ realny silnik i wersja z węzła</t>
        </is>
      </c>
    </row>
    <row r="78">
      <c r="A78" s="11" t="inlineStr">
        <is>
          <t>D-02</t>
        </is>
      </c>
      <c r="B78" s="12" t="inlineStr">
        <is>
          <t>D</t>
        </is>
      </c>
      <c r="C78" s="11" t="inlineStr">
        <is>
          <t>Utworzenie bazy z użytkownikiem</t>
        </is>
      </c>
      <c r="D78" s="11" t="inlineStr">
        <is>
          <t>TAK</t>
        </is>
      </c>
      <c r="E78" s="11" t="inlineStr">
        <is>
          <t>TAK</t>
        </is>
      </c>
      <c r="F78" s="11" t="inlineStr">
        <is>
          <t>TAK</t>
        </is>
      </c>
      <c r="G78" s="11" t="inlineStr">
        <is>
          <t>TAK</t>
        </is>
      </c>
      <c r="H78" s="11" t="inlineStr">
        <is>
          <t>TAK</t>
        </is>
      </c>
      <c r="I78" s="11" t="inlineStr">
        <is>
          <t>DZIAŁA</t>
        </is>
      </c>
      <c r="J78" s="12" t="inlineStr">
        <is>
          <t>services.controller.ts:328</t>
        </is>
      </c>
      <c r="K78" s="11" t="inlineStr">
        <is>
          <t>PARYTET</t>
        </is>
      </c>
      <c r="L78" s="11" t="inlineStr">
        <is>
          <t>—</t>
        </is>
      </c>
      <c r="M78" s="11" t="inlineStr">
        <is>
          <t>—</t>
        </is>
      </c>
      <c r="N78" s="12" t="inlineStr"/>
    </row>
    <row r="79">
      <c r="A79" s="11" t="inlineStr">
        <is>
          <t>D-03</t>
        </is>
      </c>
      <c r="B79" s="12" t="inlineStr">
        <is>
          <t>D</t>
        </is>
      </c>
      <c r="C79" s="11" t="inlineStr">
        <is>
          <t>Usunięcie bazy</t>
        </is>
      </c>
      <c r="D79" s="11" t="inlineStr">
        <is>
          <t>TAK</t>
        </is>
      </c>
      <c r="E79" s="11" t="inlineStr">
        <is>
          <t>TAK</t>
        </is>
      </c>
      <c r="F79" s="11" t="inlineStr">
        <is>
          <t>TAK</t>
        </is>
      </c>
      <c r="G79" s="11" t="inlineStr">
        <is>
          <t>TAK</t>
        </is>
      </c>
      <c r="H79" s="11" t="inlineStr">
        <is>
          <t>TAK</t>
        </is>
      </c>
      <c r="I79" s="11" t="inlineStr">
        <is>
          <t>DZIAŁA</t>
        </is>
      </c>
      <c r="J79" s="12" t="inlineStr">
        <is>
          <t>services.controller.ts:341</t>
        </is>
      </c>
      <c r="K79" s="11" t="inlineStr">
        <is>
          <t>PARYTET</t>
        </is>
      </c>
      <c r="L79" s="11" t="inlineStr">
        <is>
          <t>—</t>
        </is>
      </c>
      <c r="M79" s="11" t="inlineStr">
        <is>
          <t>—</t>
        </is>
      </c>
      <c r="N79" s="12" t="inlineStr"/>
    </row>
    <row r="80">
      <c r="A80" s="11" t="inlineStr">
        <is>
          <t>D-04</t>
        </is>
      </c>
      <c r="B80" s="12" t="inlineStr">
        <is>
          <t>D</t>
        </is>
      </c>
      <c r="C80" s="11" t="inlineStr">
        <is>
          <t>Dodatkowy użytkownik bazy — utworzenie</t>
        </is>
      </c>
      <c r="D80" s="11" t="inlineStr">
        <is>
          <t>TAK</t>
        </is>
      </c>
      <c r="E80" s="11" t="inlineStr">
        <is>
          <t>TAK</t>
        </is>
      </c>
      <c r="F80" s="11" t="inlineStr">
        <is>
          <t>TAK</t>
        </is>
      </c>
      <c r="G80" s="11" t="inlineStr">
        <is>
          <t>TAK</t>
        </is>
      </c>
      <c r="H80" s="11" t="inlineStr">
        <is>
          <t>TAK</t>
        </is>
      </c>
      <c r="I80" s="11" t="inlineStr">
        <is>
          <t>DZIAŁA</t>
        </is>
      </c>
      <c r="J80" s="12" t="inlineStr">
        <is>
          <t>services.controller.ts — POST /services/:id/hosting-db-users; serwis directadmin.service.ts:1900</t>
        </is>
      </c>
      <c r="K80" s="11" t="inlineStr">
        <is>
          <t>PARYTET</t>
        </is>
      </c>
      <c r="L80" s="11" t="inlineStr">
        <is>
          <t>—</t>
        </is>
      </c>
      <c r="M80" s="11" t="inlineStr">
        <is>
          <t>S</t>
        </is>
      </c>
      <c r="N80" s="12" t="inlineStr">
        <is>
          <t>Nie było to martwe UI, tylko niedokończona praca z 25–26.07 — brakowało samego kontrolera. Zamknięte 2026-08-21 (commit 6f2833d). Strażnik: apps/api/src/test/ui-routes-coverage.spec.ts porównuje wszystkie wywołania apiFetch z panelu ze wszystkimi trasami API — nawrót tej klasy błędu zapala test.</t>
        </is>
      </c>
    </row>
    <row r="81">
      <c r="A81" s="11" t="inlineStr">
        <is>
          <t>D-05</t>
        </is>
      </c>
      <c r="B81" s="12" t="inlineStr">
        <is>
          <t>D</t>
        </is>
      </c>
      <c r="C81" s="11" t="inlineStr">
        <is>
          <t>Użytkownik bazy — usunięcie</t>
        </is>
      </c>
      <c r="D81" s="11" t="inlineStr">
        <is>
          <t>TAK</t>
        </is>
      </c>
      <c r="E81" s="11" t="inlineStr">
        <is>
          <t>TAK</t>
        </is>
      </c>
      <c r="F81" s="11" t="inlineStr">
        <is>
          <t>TAK</t>
        </is>
      </c>
      <c r="G81" s="11" t="inlineStr">
        <is>
          <t>TAK</t>
        </is>
      </c>
      <c r="H81" s="11" t="inlineStr">
        <is>
          <t>TAK</t>
        </is>
      </c>
      <c r="I81" s="11" t="inlineStr">
        <is>
          <t>DZIAŁA</t>
        </is>
      </c>
      <c r="J81" s="12" t="inlineStr">
        <is>
          <t>services.controller.ts — POST /services/:id/hosting-db-users/remove; serwis directadmin.service.ts:1925</t>
        </is>
      </c>
      <c r="K81" s="11" t="inlineStr">
        <is>
          <t>PARYTET</t>
        </is>
      </c>
      <c r="L81" s="11" t="inlineStr">
        <is>
          <t>—</t>
        </is>
      </c>
      <c r="M81" s="11" t="inlineStr">
        <is>
          <t>S</t>
        </is>
      </c>
      <c r="N81" s="12" t="inlineStr">
        <is>
          <t>Zamknięte 2026-08-21 (commit 6f2833d). Strażnik: apps/api/src/test/ui-routes-coverage.spec.ts porównuje wszystkie wywołania apiFetch z panelu ze wszystkimi trasami API — nawrót tej klasy błędu zapala test.</t>
        </is>
      </c>
    </row>
    <row r="82">
      <c r="A82" s="11" t="inlineStr">
        <is>
          <t>D-06</t>
        </is>
      </c>
      <c r="B82" s="12" t="inlineStr">
        <is>
          <t>D</t>
        </is>
      </c>
      <c r="C82" s="11" t="inlineStr">
        <is>
          <t>Użytkownik bazy — zmiana hasła</t>
        </is>
      </c>
      <c r="D82" s="11" t="inlineStr">
        <is>
          <t>TAK</t>
        </is>
      </c>
      <c r="E82" s="11" t="inlineStr">
        <is>
          <t>TAK</t>
        </is>
      </c>
      <c r="F82" s="11" t="inlineStr">
        <is>
          <t>TAK</t>
        </is>
      </c>
      <c r="G82" s="11" t="inlineStr">
        <is>
          <t>TAK</t>
        </is>
      </c>
      <c r="H82" s="11" t="inlineStr">
        <is>
          <t>TAK</t>
        </is>
      </c>
      <c r="I82" s="11" t="inlineStr">
        <is>
          <t>DZIAŁA</t>
        </is>
      </c>
      <c r="J82" s="12" t="inlineStr">
        <is>
          <t>services.controller.ts — POST /services/:id/hosting-db-users/password; serwis directadmin.service.ts:1945</t>
        </is>
      </c>
      <c r="K82" s="11" t="inlineStr">
        <is>
          <t>PARYTET</t>
        </is>
      </c>
      <c r="L82" s="11" t="inlineStr">
        <is>
          <t>—</t>
        </is>
      </c>
      <c r="M82" s="11" t="inlineStr">
        <is>
          <t>S</t>
        </is>
      </c>
      <c r="N82" s="12" t="inlineStr">
        <is>
          <t>Zamknięte 2026-08-21 (commit 6f2833d). Strażnik: apps/api/src/test/ui-routes-coverage.spec.ts porównuje wszystkie wywołania apiFetch z panelu ze wszystkimi trasami API — nawrót tej klasy błędu zapala test.</t>
        </is>
      </c>
    </row>
    <row r="83">
      <c r="A83" s="11" t="inlineStr">
        <is>
          <t>D-07</t>
        </is>
      </c>
      <c r="B83" s="12" t="inlineStr">
        <is>
          <t>D</t>
        </is>
      </c>
      <c r="C83" s="11" t="inlineStr">
        <is>
          <t>Użytkownik bazy — lista</t>
        </is>
      </c>
      <c r="D83" s="11" t="inlineStr">
        <is>
          <t>TAK</t>
        </is>
      </c>
      <c r="E83" s="11" t="inlineStr">
        <is>
          <t>TAK</t>
        </is>
      </c>
      <c r="F83" s="11" t="inlineStr">
        <is>
          <t>TAK</t>
        </is>
      </c>
      <c r="G83" s="11" t="inlineStr">
        <is>
          <t>TAK</t>
        </is>
      </c>
      <c r="H83" s="11" t="inlineStr">
        <is>
          <t>TAK</t>
        </is>
      </c>
      <c r="I83" s="11" t="inlineStr">
        <is>
          <t>DZIAŁA</t>
        </is>
      </c>
      <c r="J83" s="12" t="inlineStr">
        <is>
          <t>services.controller.ts — GET /services/:id/hosting-db-users; D3 t1 (d3.hvln.pl) 29.09: lista użytkowników bazy (ovsekucx_wp8664, pełne uprawnienia)</t>
        </is>
      </c>
      <c r="K83" s="11" t="inlineStr">
        <is>
          <t>PARYTET</t>
        </is>
      </c>
      <c r="L83" s="11" t="inlineStr">
        <is>
          <t>—</t>
        </is>
      </c>
      <c r="M83" s="11" t="inlineStr">
        <is>
          <t>S</t>
        </is>
      </c>
      <c r="N83" s="12" t="inlineStr">
        <is>
          <t>Zamknięte 2026-08-21 (commit 6f2833d). Strażnik: apps/api/src/test/ui-routes-coverage.spec.ts porównuje wszystkie wywołania apiFetch z panelu ze wszystkimi trasami API — nawrót tej klasy błędu zapala test.</t>
        </is>
      </c>
    </row>
    <row r="84">
      <c r="A84" s="11" t="inlineStr">
        <is>
          <t>D-08</t>
        </is>
      </c>
      <c r="B84" s="12" t="inlineStr">
        <is>
          <t>D</t>
        </is>
      </c>
      <c r="C84" s="11" t="inlineStr">
        <is>
          <t>Nadawanie uprawnień użytkownikowi bazy</t>
        </is>
      </c>
      <c r="D84" s="11" t="inlineStr">
        <is>
          <t>TAK</t>
        </is>
      </c>
      <c r="E84" s="11" t="inlineStr">
        <is>
          <t>TAK</t>
        </is>
      </c>
      <c r="F84" s="11" t="inlineStr">
        <is>
          <t>TAK</t>
        </is>
      </c>
      <c r="G84" s="11" t="inlineStr">
        <is>
          <t>CZĘŚĆ</t>
        </is>
      </c>
      <c r="H84" s="11" t="inlineStr">
        <is>
          <t>TAK</t>
        </is>
      </c>
      <c r="I84" s="11" t="inlineStr">
        <is>
          <t>DZIAŁA</t>
        </is>
      </c>
      <c r="J84" s="12" t="inlineStr">
        <is>
          <t>ops/scripts/node-db-transfer.sh (privileges); db-transfer.service.ts zlecUprawnienia; DbUsers.tsx</t>
        </is>
      </c>
      <c r="K84" s="11" t="inlineStr">
        <is>
          <t>PARYTET</t>
        </is>
      </c>
      <c r="L84" s="11" t="inlineStr">
        <is>
          <t>ŚREDNIA</t>
        </is>
      </c>
      <c r="M84" s="11" t="inlineStr">
        <is>
          <t>S</t>
        </is>
      </c>
      <c r="N84" s="12" t="inlineStr">
        <is>
          <t>2026-09-24: KOD (D2) + skrypt sprawdzony lokalnie na MariaDB 10.11 — przy każdym użytkowniku bazy wybór: pełne / odczyt i zapis danych / tylko odczyt. GRANT na węźle dla wszystkich hostów użytkownika (localhost i zdalne z D-09), obie formy nazwy bazy zdejmowane (DA nadaje bez ucieczki „_”), nadawane z ucieczką; baza i użytkownik tylko z prefiksem konta, zestaw z białej listy. Sprawdzone: „tylko odczyt” → INSERT odrzucony, SELECT działa. Panel pamięta ostatni zestaw ustawiony w panelu (zmiana w phpMyAdmin nie jest odczytywana). | 2026-09-29 D3 t1: po 66a685a i przeinstalowaniu agenta „Tylko odczyt” dla ovsekucx_test → SHOW GRANTS: SELECT, SHOW VIEW na ovsekucx_wp8664 (wcześniej ALL PRIVILEGES).</t>
        </is>
      </c>
    </row>
    <row r="85">
      <c r="A85" s="11" t="inlineStr">
        <is>
          <t>D-09</t>
        </is>
      </c>
      <c r="B85" s="12" t="inlineStr">
        <is>
          <t>D</t>
        </is>
      </c>
      <c r="C85" s="11" t="inlineStr">
        <is>
          <t>Zdalny dostęp do bazy (whitelist hostów)</t>
        </is>
      </c>
      <c r="D85" s="11" t="inlineStr">
        <is>
          <t>TAK</t>
        </is>
      </c>
      <c r="E85" s="11" t="inlineStr">
        <is>
          <t>TAK</t>
        </is>
      </c>
      <c r="F85" s="11" t="inlineStr">
        <is>
          <t>TAK</t>
        </is>
      </c>
      <c r="G85" s="11" t="inlineStr">
        <is>
          <t>CZĘŚĆ</t>
        </is>
      </c>
      <c r="H85" s="11" t="inlineStr">
        <is>
          <t>TAK</t>
        </is>
      </c>
      <c r="I85" s="11" t="inlineStr">
        <is>
          <t>DZIAŁA</t>
        </is>
      </c>
      <c r="J85" s="12" t="inlineStr">
        <is>
          <t>services.controller.ts:617,626; D3 t1 (d3.hvln.pl) 29.09: lista hostów (localhost), dodanie 192.0.2.10 i usunięcie z panelu</t>
        </is>
      </c>
      <c r="K85" s="11" t="inlineStr">
        <is>
          <t>PARYTET</t>
        </is>
      </c>
      <c r="L85" s="11" t="inlineStr">
        <is>
          <t>—</t>
        </is>
      </c>
      <c r="M85" s="11" t="inlineStr">
        <is>
          <t>—</t>
        </is>
      </c>
      <c r="N85" s="12" t="inlineStr"/>
    </row>
    <row r="86">
      <c r="A86" s="11" t="inlineStr">
        <is>
          <t>D-10</t>
        </is>
      </c>
      <c r="B86" s="12" t="inlineStr">
        <is>
          <t>D</t>
        </is>
      </c>
      <c r="C86" s="11" t="inlineStr">
        <is>
          <t>phpMyAdmin — dostęp</t>
        </is>
      </c>
      <c r="D86" s="11" t="inlineStr">
        <is>
          <t>TAK</t>
        </is>
      </c>
      <c r="E86" s="11" t="inlineStr">
        <is>
          <t>TAK</t>
        </is>
      </c>
      <c r="F86" s="11" t="inlineStr">
        <is>
          <t>TAK</t>
        </is>
      </c>
      <c r="G86" s="11" t="inlineStr">
        <is>
          <t>TAK</t>
        </is>
      </c>
      <c r="H86" s="11" t="inlineStr">
        <is>
          <t>TAK</t>
        </is>
      </c>
      <c r="I86" s="11" t="inlineStr">
        <is>
          <t>DZIAŁA</t>
        </is>
      </c>
      <c r="J86" s="12" t="inlineStr">
        <is>
          <t>dostęp przez auto-logowanie z panelu (D-11: POST /services/:id/hosting-sso-url) — DatabasesTab</t>
        </is>
      </c>
      <c r="K86" s="11" t="inlineStr">
        <is>
          <t>PARYTET</t>
        </is>
      </c>
      <c r="L86" s="11" t="inlineStr">
        <is>
          <t>ŚREDNIA</t>
        </is>
      </c>
      <c r="M86" s="11" t="inlineStr">
        <is>
          <t>S</t>
        </is>
      </c>
      <c r="N86" s="12" t="inlineStr">
        <is>
          <t>dostępny, ale przez wyjście do DirectAdmina | 2026-09-23 PORZĄDKI: wpis „link do DA” sprzed D-11 (SSO, DZIAŁA od 2026-08-21) — dostęp jest z panelu bez wychodzenia do DirectAdmina.</t>
        </is>
      </c>
    </row>
    <row r="87">
      <c r="A87" s="11" t="inlineStr">
        <is>
          <t>D-11</t>
        </is>
      </c>
      <c r="B87" s="12" t="inlineStr">
        <is>
          <t>D</t>
        </is>
      </c>
      <c r="C87" s="11" t="inlineStr">
        <is>
          <t>phpMyAdmin — auto-logowanie (SSO)</t>
        </is>
      </c>
      <c r="D87" s="11" t="inlineStr">
        <is>
          <t>TAK</t>
        </is>
      </c>
      <c r="E87" s="11" t="inlineStr">
        <is>
          <t>TAK</t>
        </is>
      </c>
      <c r="F87" s="11" t="inlineStr">
        <is>
          <t>TAK</t>
        </is>
      </c>
      <c r="G87" s="11" t="inlineStr">
        <is>
          <t>TAK</t>
        </is>
      </c>
      <c r="H87" s="11" t="inlineStr">
        <is>
          <t>TAK</t>
        </is>
      </c>
      <c r="I87" s="11" t="inlineStr">
        <is>
          <t>DZIAŁA</t>
        </is>
      </c>
      <c r="J87" s="12" t="inlineStr">
        <is>
          <t>services.controller.ts — POST /services/:id/hosting-sso-url; directadmin.service.ts:1977; D3 t1 (d3.hvln.pl) 29.09 po wdrożeniu 13:00 (panel klienta): phpMyAdmin z panelu otwiera się jednorazowym skryptem /phpMyAdmin/sso/ na 443, bez sesji DirectAdmina (white label, ab64241)</t>
        </is>
      </c>
      <c r="K87" s="11" t="inlineStr">
        <is>
          <t>PARYTET</t>
        </is>
      </c>
      <c r="L87" s="11" t="inlineStr">
        <is>
          <t>—</t>
        </is>
      </c>
      <c r="M87" s="11" t="inlineStr">
        <is>
          <t>S</t>
        </is>
      </c>
      <c r="N87" s="12" t="inlineStr">
        <is>
          <t>Cichy fallback „Auto-logowanie niedostępne" (DatabasesTab.tsx:65) sprawiał, że nikt tego nie zgłaszał — dlatego strażnik tras jest ważniejszy niż pojedynczy test. Zamknięte 2026-08-21 (commit 6f2833d). Strażnik: apps/api/src/test/ui-routes-coverage.spec.ts porównuje wszystkie wywołania apiFetch z panelu ze wszystkimi trasami API — nawrót tej klasy błędu zapala test.</t>
        </is>
      </c>
    </row>
    <row r="88">
      <c r="A88" s="11" t="inlineStr">
        <is>
          <t>D-12</t>
        </is>
      </c>
      <c r="B88" s="12" t="inlineStr">
        <is>
          <t>D</t>
        </is>
      </c>
      <c r="C88" s="11" t="inlineStr">
        <is>
          <t>Import / eksport bazy z panelu</t>
        </is>
      </c>
      <c r="D88" s="11" t="inlineStr">
        <is>
          <t>TAK</t>
        </is>
      </c>
      <c r="E88" s="11" t="inlineStr">
        <is>
          <t>TAK</t>
        </is>
      </c>
      <c r="F88" s="11" t="inlineStr">
        <is>
          <t>TAK</t>
        </is>
      </c>
      <c r="G88" s="11" t="inlineStr">
        <is>
          <t>TAK</t>
        </is>
      </c>
      <c r="H88" s="11" t="inlineStr">
        <is>
          <t>TAK</t>
        </is>
      </c>
      <c r="I88" s="11" t="inlineStr">
        <is>
          <t>DZIAŁA</t>
        </is>
      </c>
      <c r="J88" s="12" t="inlineStr">
        <is>
          <t>ops/scripts/node-db-transfer.sh (zadanie DB_TRANSFER), subscriptions/db-transfer.service.ts, services.controller.ts :id/hosting-db-transfer|hosting-db-export|hosting-db-import, client-panel components/hosting/DbTransferPanel.tsx; testy db-transfer.service.spec.ts, agent-wezla-jedno-zrodlo.spec.ts; D3 t1 (d3.hvln.pl) 29.09 po wdrożeniu (panel klienta): eksport bazy WordPressa → plik .sql.gz 34 KB w verris-bazy; import tego pliku z potwierdzeniem → kopia przed importem + import, strona działa</t>
        </is>
      </c>
      <c r="K88" s="11" t="inlineStr">
        <is>
          <t>PARYTET</t>
        </is>
      </c>
      <c r="L88" s="11" t="inlineStr">
        <is>
          <t>—</t>
        </is>
      </c>
      <c r="M88" s="11" t="inlineStr">
        <is>
          <t>M</t>
        </is>
      </c>
      <c r="N88" s="12" t="inlineStr">
        <is>
          <t>2026-09-24: KOD (D2) + skrypt sprawdzony lokalnie na MariaDB 10.11 — eksport .sql.gz do ~/verris-bazy, import z automatyczną kopią i tymczasowym użytkownikiem MySQL tylko do tej bazy (USE obcej bazy, baza „loginXnazwa” przez „_” w GRANT → odmowa; dowiązanie do pliku roota → „brak pliku”). ZNALEZISKO NAPRAWIONE przy okazji: kopie agenta w ops/scripts (onboarding węzła) nie przekazywały PHP_APPLY/APP_INSTALL/OFFSITE_RESTORE/FLEET_UPDATE, a runner dla nieznanego rodzaju uruchamiał profil hostingu; teraz jedno źródło + strażnik. OTWARTE do D3 (sprint 21, węzeł #1): przebieg na DirectAdmin/CloudLinux (runuser w CageFS, my.cnf DA). | standard u wszystkich 5 hostingów PL | 2026-10-06 D3 t1: eksport ovsekucx_wp0922 → import tego pliku (kopia sprzed importu w verris-bazy) → beta.d3.hvln.pl działa.</t>
        </is>
      </c>
    </row>
    <row r="89">
      <c r="A89" s="11" t="inlineStr">
        <is>
          <t>D-13</t>
        </is>
      </c>
      <c r="B89" s="12" t="inlineStr">
        <is>
          <t>D</t>
        </is>
      </c>
      <c r="C89" s="11" t="inlineStr">
        <is>
          <t>Kopia bazy na żądanie</t>
        </is>
      </c>
      <c r="D89" s="11" t="inlineStr">
        <is>
          <t>TAK</t>
        </is>
      </c>
      <c r="E89" s="11" t="inlineStr">
        <is>
          <t>TAK</t>
        </is>
      </c>
      <c r="F89" s="11" t="inlineStr">
        <is>
          <t>TAK</t>
        </is>
      </c>
      <c r="G89" s="11" t="inlineStr">
        <is>
          <t>TAK</t>
        </is>
      </c>
      <c r="H89" s="11" t="inlineStr">
        <is>
          <t>TAK</t>
        </is>
      </c>
      <c r="I89" s="11" t="inlineStr">
        <is>
          <t>DZIAŁA</t>
        </is>
      </c>
      <c r="J89" s="12" t="inlineStr">
        <is>
          <t>D-12: DbTransferPanel „Eksportuj bazę” (zadanie DB_TRANSFER export → ~/verris-bazy/&lt;baza&gt;-&lt;czas&gt;.sql.gz, pobranie z panelu); D3 t1 29.09 (panel klienta, d3.hvln.pl): eksport bazy w verris-bazy + pobranie przez /api/services/:id/files/download: 34 696 B, nagłówek gzip</t>
        </is>
      </c>
      <c r="K89" s="11" t="inlineStr">
        <is>
          <t>PARYTET</t>
        </is>
      </c>
      <c r="L89" s="11" t="inlineStr">
        <is>
          <t>ŚREDNIA</t>
        </is>
      </c>
      <c r="M89" s="11" t="inlineStr">
        <is>
          <t>S</t>
        </is>
      </c>
      <c r="N89" s="12" t="inlineStr">
        <is>
          <t>brak osobnej akcji „zrzuć bazę” | 2026-09-24: osobna akcja „zrzuć bazę” jest — to eksport z D-12 (plik .sql.gz na koncie, do pobrania z panelu), a import robi kopię przed nadpisaniem. Dane klienta → D3: OTWARTE do D3 (sprint 21) razem z D-12.</t>
        </is>
      </c>
    </row>
    <row r="90">
      <c r="A90" s="11" t="inlineStr">
        <is>
          <t>D-14</t>
        </is>
      </c>
      <c r="B90" s="12" t="inlineStr">
        <is>
          <t>D</t>
        </is>
      </c>
      <c r="C90" s="11" t="inlineStr">
        <is>
          <t>PostgreSQL</t>
        </is>
      </c>
      <c r="D90" s="11" t="inlineStr">
        <is>
          <t>TAK</t>
        </is>
      </c>
      <c r="E90" s="11" t="inlineStr">
        <is>
          <t>TAK</t>
        </is>
      </c>
      <c r="F90" s="11" t="inlineStr">
        <is>
          <t>CZĘŚĆ</t>
        </is>
      </c>
      <c r="G90" s="11" t="inlineStr">
        <is>
          <t>CZĘŚĆ</t>
        </is>
      </c>
      <c r="H90" s="11" t="inlineStr">
        <is>
          <t>CZĘŚĆ</t>
        </is>
      </c>
      <c r="I90" s="11" t="inlineStr">
        <is>
          <t>DZIAŁA</t>
        </is>
      </c>
      <c r="J90" s="12" t="inlineStr">
        <is>
          <t>ops/scripts/node-pgsql.sh (zadanie PGSQL, migracja 20260925210000); subscriptions/pgsql.service.ts; services.controller.ts :id/hosting-pgsql; client-panel PgsqlPanel (zakładka Bazy danych); node-hosting-profile.sh (PostgreSQL 16 z AppStream, localhost, scram-sha-256); test pgsql.service.spec.ts</t>
        </is>
      </c>
      <c r="K90" s="11" t="inlineStr">
        <is>
          <t>PARYTET</t>
        </is>
      </c>
      <c r="L90" s="11" t="inlineStr">
        <is>
          <t>NISKA</t>
        </is>
      </c>
      <c r="M90" s="11" t="inlineStr">
        <is>
          <t>L</t>
        </is>
      </c>
      <c r="N90" s="12" t="inlineStr">
        <is>
          <t>2 z 5 hostingów PL | DECYZJA WŁAŚCICIELA 2026-09-25: PostgreSQL robimy teraz (kod + instalacja wg dokumentacji, D3 na węźle testowym). | ZROBIONE W KODZIE 2026-09-25: DirectAdmin nie ma natywnej obsługi serwera PostgreSQL (w CustomBuild tylko rozszerzenia PHP: php_pgsql, od 1.707 pdo_pgsql), więc serwer to PostgreSQL 16 z AppStream systemu (bez obcych repozytoriów, wg postgresql.org → Red Hat family), tylko localhost, hasła scram-sha-256, superużytkownik tylko przez peer. Panel → Bazy danych → „PostgreSQL”: do 5 baz na konto, baza i użytkownik &lt;login&gt;_&lt;nazwa&gt;, hasło generowane i pokazane raz, zmiana hasła, usuwanie z potwierdzeniem, rozmiar każdej bazy. Izolacja sprawdzona na prawdziwym PostgreSQL 16: brak CONNECT do cudzej bazy i do postgres, brak CREATE DATABASE, złe hasło odrzucone; hasło idzie do psql przez stdin. Kopia: codzienny pg_dump do ~/.verris-pgsql/ konta (zapis jako właściciel konta) — wchodzi do kopii DirectAdmina; usunięcie konta w DA usuwa bazy (hook user_destroy_post). Przy okazji: hasła z payloadu zadań węzła (też instalatory aplikacji i WordPressa) są usuwane po wykonaniu i maskowane w panelu administratora. D3 w wezel.csv. | 2026-10-02 D3: 02.10 t1: postgresql active, 5432 tylko 127.0.0.1 i [::1]; panel klienta → Bazy danych → PostgreSQL: utworzone ovsekucx_test1 i ovsekucx_test2 (hasło pokazane raz, rozmiar w panelu); pdo_pgsql włączone z panelu (d3 → PHP i serwer → rozszerzenia) → `php -m` konta: pdo_pgsql, pgsql; PDO na 127.0.0.1 → „OK: ovsekucx_test1”; izolacja: ovsekucx_test2 → własna baza weszło, ovsekucx_test1 i postgres „permission denied for database”; „Nowe hasło” → stare hasło odrzucone; verris-pgsql-dump → ~/.verris-pgsql/&lt;baza&gt;.dump (600, właściciel konta); hook DA user_destroy_post/verris-pgsql.sh na miejscu (samego usunięcia konta nie wykonywano); opcja CustomBuild natywnego PHP: php_pdo_pgsql (na t1 =no; strony działają na alt-php z selektora); usunięcie obu baz z panelu (potwierdzenie) → „Bazy: 0 z 5”. Poprawione po drodze: lista baz wychodziła poza kartę w wąskiej kolumnie (a38baf8).</t>
        </is>
      </c>
    </row>
    <row r="91">
      <c r="A91" s="11" t="inlineStr">
        <is>
          <t>D-15</t>
        </is>
      </c>
      <c r="B91" s="12" t="inlineStr">
        <is>
          <t>D</t>
        </is>
      </c>
      <c r="C91" s="11" t="inlineStr">
        <is>
          <t>Redis / cache obiektowy dla klienta</t>
        </is>
      </c>
      <c r="D91" s="11" t="inlineStr">
        <is>
          <t>CZĘŚĆ</t>
        </is>
      </c>
      <c r="E91" s="11" t="inlineStr">
        <is>
          <t>TAK</t>
        </is>
      </c>
      <c r="F91" s="11" t="inlineStr">
        <is>
          <t>CZĘŚĆ</t>
        </is>
      </c>
      <c r="G91" s="11" t="inlineStr">
        <is>
          <t>TAK</t>
        </is>
      </c>
      <c r="H91" s="11" t="inlineStr">
        <is>
          <t>TAK</t>
        </is>
      </c>
      <c r="I91" s="11" t="inlineStr">
        <is>
          <t>DZIAŁA</t>
        </is>
      </c>
      <c r="J91" s="12" t="inlineStr">
        <is>
          <t>ops/scripts/node-redis.sh (zadanie REDIS_ACCESS: instancja na konto, tylko gniazdo ~/.verris-redis/redis.sock 0700, konfiguracja roota, CONFIG wyłączone, 64 MB, MemoryMax w systemd), subscriptions/redis-access.service.ts, :id/hosting-redis, panel RedisPanel.tsx (PHP i serwer); WordPress: node-wp-update.sh WPU_CACHE=redis-on/off (wtyczka Redis Object Cache, WP_REDIS_PATH, kontrola strony), WpUpdatesPanel.tsx; testy redis-access.service.spec.ts, wp-update.service.spec.ts; D3 t1 (d3.hvln.pl) 29.09 po wdrożeniu 13:00 (panel klienta): Redis konta włączony z panelu → gniazdo ~/.verris-redis/redis.sock</t>
        </is>
      </c>
      <c r="K91" s="11" t="inlineStr">
        <is>
          <t>PARYTET</t>
        </is>
      </c>
      <c r="L91" s="11" t="inlineStr">
        <is>
          <t>—</t>
        </is>
      </c>
      <c r="M91" s="11" t="inlineStr">
        <is>
          <t>M</t>
        </is>
      </c>
      <c r="N91" s="12" t="inlineStr">
        <is>
          <t>2026-09-24: KOD (D2) + skrypt sprawdzony lokalnie z prawdziwym redis-server (inny użytkownik → Permission denied, CONFIG SET → odrzucone). Wybór: własna instancja na konto (systemd verris-redis@) zamiast per-user Redis DA — testowalne bez węzła i limit pamięci pod naszą kontrolą. OTWARTE do D3 (sprint 21): redis-server z CustomBuild na węźle, gniazdo widoczne w klatce CageFS, PHP redis extension. | 3 z 5 hostingów PL ma w cenie — realny wyróżnik dla WordPressa</t>
        </is>
      </c>
    </row>
    <row r="92">
      <c r="A92" s="11" t="inlineStr">
        <is>
          <t>D-16</t>
        </is>
      </c>
      <c r="B92" s="12" t="inlineStr">
        <is>
          <t>D</t>
        </is>
      </c>
      <c r="C92" s="11" t="inlineStr">
        <is>
          <t>Memcached</t>
        </is>
      </c>
      <c r="D92" s="11" t="inlineStr">
        <is>
          <t>TAK</t>
        </is>
      </c>
      <c r="E92" s="11" t="inlineStr">
        <is>
          <t>TAK</t>
        </is>
      </c>
      <c r="F92" s="11" t="inlineStr">
        <is>
          <t>CZĘŚĆ</t>
        </is>
      </c>
      <c r="G92" s="11" t="inlineStr">
        <is>
          <t>CZĘŚĆ</t>
        </is>
      </c>
      <c r="H92" s="11" t="inlineStr">
        <is>
          <t>CZĘŚĆ</t>
        </is>
      </c>
      <c r="I92" s="11" t="inlineStr">
        <is>
          <t>DZIAŁA</t>
        </is>
      </c>
      <c r="J92" s="12" t="inlineStr">
        <is>
          <t>ops/scripts/node-memcached.sh (zadanie MEMCACHED_ACCESS, migracja 20260925201000); redis-access.service.ts (silnik memcached); services.controller.ts :id/hosting-memcached; client-panel RedisPanel silnik="memcached" (zakładka PHP i serwer); node-hosting-profile.sh (pakiet memcached, usługa TCP wyłączona)</t>
        </is>
      </c>
      <c r="K92" s="11" t="inlineStr">
        <is>
          <t>PARYTET</t>
        </is>
      </c>
      <c r="L92" s="11" t="inlineStr">
        <is>
          <t>NISKA</t>
        </is>
      </c>
      <c r="M92" s="11" t="inlineStr">
        <is>
          <t>M</t>
        </is>
      </c>
      <c r="N92" s="12" t="inlineStr">
        <is>
          <t>2026-09-25 KOD (D2): tym samym torem co Redis (D-15) — instancja na konto jako klient (systemd verris-memcached@, MemoryMax), wyłącznie gniazdo UNIX ~/.verris-memcached/memcached.sock z maską 0700 (dokumentacja memcached, wiki ConfiguringServer: „-s &lt;file&gt; … TCP/UDP will be disabled”), 64 MB. Domyślna usługa memcached (port 11211) na węźle wyłączona. Test redis-access.service.spec.ts. D3 w wezel.csv. | 2026-09-30 D3 t1: 30.09 d3.hvln.pl: Memcached włączony z panelu → gniazdo w katalogu konta, set/get z PHP działa. Rozszerzenie memcached PHP nie było włączane (tak samo OPcache po zmianie wersji) → 8958de1; na d3 włączone z panelu. | 2026-10-01: werdykt PARYTET — działa na węźle (D3).</t>
        </is>
      </c>
    </row>
    <row r="93">
      <c r="A93" s="11" t="inlineStr">
        <is>
          <t>D-17</t>
        </is>
      </c>
      <c r="B93" s="12" t="inlineStr">
        <is>
          <t>D</t>
        </is>
      </c>
      <c r="C93" s="11" t="inlineStr">
        <is>
          <t>Podgląd rozmiaru bazy</t>
        </is>
      </c>
      <c r="D93" s="11" t="inlineStr">
        <is>
          <t>TAK</t>
        </is>
      </c>
      <c r="E93" s="11" t="inlineStr">
        <is>
          <t>TAK</t>
        </is>
      </c>
      <c r="F93" s="11" t="inlineStr">
        <is>
          <t>TAK</t>
        </is>
      </c>
      <c r="G93" s="11" t="inlineStr">
        <is>
          <t>TAK</t>
        </is>
      </c>
      <c r="H93" s="11" t="inlineStr">
        <is>
          <t>TAK</t>
        </is>
      </c>
      <c r="I93" s="11" t="inlineStr">
        <is>
          <t>DZIAŁA</t>
        </is>
      </c>
      <c r="J93" s="12" t="inlineStr">
        <is>
          <t>ops/scripts/node-db-transfer.sh (sizes); db-transfer.service.ts zlecRozmiary/rozmiaryZLogu; DbTransferPanel.tsx „Rozmiar baz”; D3 t1 (d3.hvln.pl) 29.09 po wdrożeniu (panel klienta): Przelicz rozmiary → 1008 KB · 14 tabel</t>
        </is>
      </c>
      <c r="K93" s="11" t="inlineStr">
        <is>
          <t>PARYTET</t>
        </is>
      </c>
      <c r="L93" s="11" t="inlineStr">
        <is>
          <t>—</t>
        </is>
      </c>
      <c r="M93" s="11" t="inlineStr">
        <is>
          <t>S</t>
        </is>
      </c>
      <c r="N93" s="12" t="inlineStr">
        <is>
          <t>2026-09-24: KOD (D2) + skrypt sprawdzony lokalnie na MariaDB 10.11 — rozmiar (dane + indeksy) i liczba tabel każdej bazy konta z information_schema, przeliczane na żądanie; LIKE z ucieczką „_” (baza loginXnazwa nie wchodzi). Tylko odczyt — wg skali D2 wystarcza (PARYTET). Stan CZĘŚCIOWE do testu na węźle (wezel.csv).</t>
        </is>
      </c>
    </row>
    <row r="94">
      <c r="A94" s="11" t="inlineStr">
        <is>
          <t>D-18</t>
        </is>
      </c>
      <c r="B94" s="12" t="inlineStr">
        <is>
          <t>D</t>
        </is>
      </c>
      <c r="C94" s="11" t="inlineStr">
        <is>
          <t>Naprawa / optymalizacja tabel</t>
        </is>
      </c>
      <c r="D94" s="11" t="inlineStr">
        <is>
          <t>TAK</t>
        </is>
      </c>
      <c r="E94" s="11" t="inlineStr">
        <is>
          <t>TAK</t>
        </is>
      </c>
      <c r="F94" s="11" t="inlineStr">
        <is>
          <t>TAK</t>
        </is>
      </c>
      <c r="G94" s="11" t="inlineStr">
        <is>
          <t>CZĘŚĆ</t>
        </is>
      </c>
      <c r="H94" s="11" t="inlineStr">
        <is>
          <t>NIE</t>
        </is>
      </c>
      <c r="I94" s="11" t="inlineStr">
        <is>
          <t>DZIAŁA</t>
        </is>
      </c>
      <c r="J94" s="12" t="inlineStr">
        <is>
          <t>ops/scripts/node-db-transfer.sh (repair/optimize); db-transfer.service.ts zlecKonserwacje; DbTransferPanel.tsx; D3 t1 (d3.hvln.pl) 29.09 po wdrożeniu (panel klienta): Sprawdź i napraw oraz Optymalizuj → „Tabel: 14. Wszystkie w porządku”</t>
        </is>
      </c>
      <c r="K94" s="11" t="inlineStr">
        <is>
          <t>PARYTET</t>
        </is>
      </c>
      <c r="L94" s="11" t="inlineStr">
        <is>
          <t>—</t>
        </is>
      </c>
      <c r="M94" s="11" t="inlineStr">
        <is>
          <t>S</t>
        </is>
      </c>
      <c r="N94" s="12" t="inlineStr">
        <is>
          <t>2026-09-24: KOD (D2) + skrypt sprawdzony lokalnie na MariaDB 10.11 — „Sprawdź i napraw” (mysqlcheck --check --auto-repair) i „Optymalizuj” (--optimize; InnoDB: recreate + analyze) na jednej bazie konta (prefiks loginu sprawdzany w API i w skrypcie, obca baza → odmowa). Wynik: liczba tabel i uwagi (naprawione/uszkodzone), bez szumu „already up to date”. OTWARTE do D3 (sprint 21).</t>
        </is>
      </c>
    </row>
    <row r="95">
      <c r="A95" s="11" t="inlineStr">
        <is>
          <t>E-01</t>
        </is>
      </c>
      <c r="B95" s="12" t="inlineStr">
        <is>
          <t>E</t>
        </is>
      </c>
      <c r="C95" s="11" t="inlineStr">
        <is>
          <t>Utworzenie skrzynki e-mail</t>
        </is>
      </c>
      <c r="D95" s="11" t="inlineStr">
        <is>
          <t>TAK</t>
        </is>
      </c>
      <c r="E95" s="11" t="inlineStr">
        <is>
          <t>TAK</t>
        </is>
      </c>
      <c r="F95" s="11" t="inlineStr">
        <is>
          <t>TAK</t>
        </is>
      </c>
      <c r="G95" s="11" t="inlineStr">
        <is>
          <t>TAK</t>
        </is>
      </c>
      <c r="H95" s="11" t="inlineStr">
        <is>
          <t>TAK</t>
        </is>
      </c>
      <c r="I95" s="11" t="inlineStr">
        <is>
          <t>DZIAŁA</t>
        </is>
      </c>
      <c r="J95" s="12" t="inlineStr">
        <is>
          <t>services.controller.ts:429</t>
        </is>
      </c>
      <c r="K95" s="11" t="inlineStr">
        <is>
          <t>PARYTET</t>
        </is>
      </c>
      <c r="L95" s="11" t="inlineStr">
        <is>
          <t>—</t>
        </is>
      </c>
      <c r="M95" s="11" t="inlineStr">
        <is>
          <t>—</t>
        </is>
      </c>
      <c r="N95" s="12" t="inlineStr"/>
    </row>
    <row r="96">
      <c r="A96" s="11" t="inlineStr">
        <is>
          <t>E-02</t>
        </is>
      </c>
      <c r="B96" s="12" t="inlineStr">
        <is>
          <t>E</t>
        </is>
      </c>
      <c r="C96" s="11" t="inlineStr">
        <is>
          <t>Zmiana hasła skrzynki</t>
        </is>
      </c>
      <c r="D96" s="11" t="inlineStr">
        <is>
          <t>TAK</t>
        </is>
      </c>
      <c r="E96" s="11" t="inlineStr">
        <is>
          <t>TAK</t>
        </is>
      </c>
      <c r="F96" s="11" t="inlineStr">
        <is>
          <t>TAK</t>
        </is>
      </c>
      <c r="G96" s="11" t="inlineStr">
        <is>
          <t>TAK</t>
        </is>
      </c>
      <c r="H96" s="11" t="inlineStr">
        <is>
          <t>TAK</t>
        </is>
      </c>
      <c r="I96" s="11" t="inlineStr">
        <is>
          <t>DZIAŁA</t>
        </is>
      </c>
      <c r="J96" s="12" t="inlineStr">
        <is>
          <t>services.controller.ts:438</t>
        </is>
      </c>
      <c r="K96" s="11" t="inlineStr">
        <is>
          <t>PARYTET</t>
        </is>
      </c>
      <c r="L96" s="11" t="inlineStr">
        <is>
          <t>—</t>
        </is>
      </c>
      <c r="M96" s="11" t="inlineStr">
        <is>
          <t>—</t>
        </is>
      </c>
      <c r="N96" s="12" t="inlineStr"/>
    </row>
    <row r="97">
      <c r="A97" s="11" t="inlineStr">
        <is>
          <t>E-03</t>
        </is>
      </c>
      <c r="B97" s="12" t="inlineStr">
        <is>
          <t>E</t>
        </is>
      </c>
      <c r="C97" s="11" t="inlineStr">
        <is>
          <t>Usunięcie skrzynki</t>
        </is>
      </c>
      <c r="D97" s="11" t="inlineStr">
        <is>
          <t>TAK</t>
        </is>
      </c>
      <c r="E97" s="11" t="inlineStr">
        <is>
          <t>TAK</t>
        </is>
      </c>
      <c r="F97" s="11" t="inlineStr">
        <is>
          <t>TAK</t>
        </is>
      </c>
      <c r="G97" s="11" t="inlineStr">
        <is>
          <t>TAK</t>
        </is>
      </c>
      <c r="H97" s="11" t="inlineStr">
        <is>
          <t>TAK</t>
        </is>
      </c>
      <c r="I97" s="11" t="inlineStr">
        <is>
          <t>DZIAŁA</t>
        </is>
      </c>
      <c r="J97" s="12" t="inlineStr">
        <is>
          <t>services.controller.ts:447</t>
        </is>
      </c>
      <c r="K97" s="11" t="inlineStr">
        <is>
          <t>PARYTET</t>
        </is>
      </c>
      <c r="L97" s="11" t="inlineStr">
        <is>
          <t>—</t>
        </is>
      </c>
      <c r="M97" s="11" t="inlineStr">
        <is>
          <t>—</t>
        </is>
      </c>
      <c r="N97" s="12" t="inlineStr"/>
    </row>
    <row r="98">
      <c r="A98" s="11" t="inlineStr">
        <is>
          <t>E-04</t>
        </is>
      </c>
      <c r="B98" s="12" t="inlineStr">
        <is>
          <t>E</t>
        </is>
      </c>
      <c r="C98" s="11" t="inlineStr">
        <is>
          <t>Ustawienie quoty przy tworzeniu skrzynki</t>
        </is>
      </c>
      <c r="D98" s="11" t="inlineStr">
        <is>
          <t>TAK</t>
        </is>
      </c>
      <c r="E98" s="11" t="inlineStr">
        <is>
          <t>TAK</t>
        </is>
      </c>
      <c r="F98" s="11" t="inlineStr">
        <is>
          <t>TAK</t>
        </is>
      </c>
      <c r="G98" s="11" t="inlineStr">
        <is>
          <t>TAK</t>
        </is>
      </c>
      <c r="H98" s="11" t="inlineStr">
        <is>
          <t>TAK</t>
        </is>
      </c>
      <c r="I98" s="11" t="inlineStr">
        <is>
          <t>DZIAŁA</t>
        </is>
      </c>
      <c r="J98" s="12" t="inlineStr">
        <is>
          <t>MailTab.tsx:139</t>
        </is>
      </c>
      <c r="K98" s="11" t="inlineStr">
        <is>
          <t>PARYTET</t>
        </is>
      </c>
      <c r="L98" s="11" t="inlineStr">
        <is>
          <t>—</t>
        </is>
      </c>
      <c r="M98" s="11" t="inlineStr">
        <is>
          <t>—</t>
        </is>
      </c>
      <c r="N98" s="12" t="inlineStr"/>
    </row>
    <row r="99">
      <c r="A99" s="11" t="inlineStr">
        <is>
          <t>E-05</t>
        </is>
      </c>
      <c r="B99" s="12" t="inlineStr">
        <is>
          <t>E</t>
        </is>
      </c>
      <c r="C99" s="11" t="inlineStr">
        <is>
          <t>Zmiana quoty ISTNIEJĄCEJ skrzynki</t>
        </is>
      </c>
      <c r="D99" s="11" t="inlineStr">
        <is>
          <t>TAK</t>
        </is>
      </c>
      <c r="E99" s="11" t="inlineStr">
        <is>
          <t>TAK</t>
        </is>
      </c>
      <c r="F99" s="11" t="inlineStr">
        <is>
          <t>TAK</t>
        </is>
      </c>
      <c r="G99" s="11" t="inlineStr">
        <is>
          <t>TAK</t>
        </is>
      </c>
      <c r="H99" s="11" t="inlineStr">
        <is>
          <t>TAK</t>
        </is>
      </c>
      <c r="I99" s="11" t="inlineStr">
        <is>
          <t>DZIAŁA</t>
        </is>
      </c>
      <c r="J99" s="12" t="inlineStr">
        <is>
          <t>2026-09-23 D1: POST /services/:id/hosting-email/quota (ZmienRozmiarSkrzynkiDto 10–102400 MB) → directadmin.service changeHostingEmailQuota (CMD_API_POP action=modify bez passwd) + audyt HOSTING_EMAIL_QUOTA_CHANGED; UI MailTab — klik w rozmiar skrzynki; 29.09: lista pokazuje 1024 MB (type=quota) — zmiana rozmiaru do sprawdzenia; D3 t1 (d3.hvln.pl) 29.09 po wdrożeniu (panel klienta): FAIL: zmiana rozmiaru → „wymagane jest podanie nazwy użytkownika i domeny” (DA 1.710 wymaga pustych passwd/passwd2); poprawka 4b69d3b czeka na push; D3 t1 (d3.hvln.pl) 29.09 po wdrożeniu 13:00 (panel klienta): rozmiar skrzynki 1024 → 1500 → 1024 MB z panelu, DA potwierdza (4b69d3b)</t>
        </is>
      </c>
      <c r="K99" s="11" t="inlineStr">
        <is>
          <t>PARYTET</t>
        </is>
      </c>
      <c r="L99" s="11" t="inlineStr">
        <is>
          <t>—</t>
        </is>
      </c>
      <c r="M99" s="11" t="inlineStr">
        <is>
          <t>S</t>
        </is>
      </c>
      <c r="N99" s="12" t="inlineStr">
        <is>
          <t>brak jakiejkolwiek ścieżki edycji — klient musi usunąć i odtworzyć skrzynkę | KOD: zmiana rozmiaru bez usuwania skrzynki. Przy okazji body tworzenia skrzynki i zmiany hasła dostały klasy DTO (wcześniej interfejs = zero walidacji na granicy zaufania). OTWARTE do D3: czy DA przy modify bez passwd zostawia hasło (komentarz ponytail).</t>
        </is>
      </c>
    </row>
    <row r="100">
      <c r="A100" s="11" t="inlineStr">
        <is>
          <t>E-06</t>
        </is>
      </c>
      <c r="B100" s="12" t="inlineStr">
        <is>
          <t>E</t>
        </is>
      </c>
      <c r="C100" s="11" t="inlineStr">
        <is>
          <t>Podgląd zużycia skrzynki</t>
        </is>
      </c>
      <c r="D100" s="11" t="inlineStr">
        <is>
          <t>TAK</t>
        </is>
      </c>
      <c r="E100" s="11" t="inlineStr">
        <is>
          <t>TAK</t>
        </is>
      </c>
      <c r="F100" s="11" t="inlineStr">
        <is>
          <t>TAK</t>
        </is>
      </c>
      <c r="G100" s="11" t="inlineStr">
        <is>
          <t>TAK</t>
        </is>
      </c>
      <c r="H100" s="11" t="inlineStr">
        <is>
          <t>TAK</t>
        </is>
      </c>
      <c r="I100" s="11" t="inlineStr">
        <is>
          <t>DZIAŁA</t>
        </is>
      </c>
      <c r="J100" s="12" t="inlineStr">
        <is>
          <t>ops/scripts/node-disk-usage.sh (VERRIS_DU_SKRZYNKA: du ~/imap/&lt;domena&gt;/&lt;login&gt; jako klient), DiskUsageService.skrzynki, MailTab.tsx („X MB z Y MB” przy skrzynce + „Przelicz zajętość”); test disk-usage.service.spec.ts; D3 t1 29.09 (panel klienta, d3.hvln.pl): przy skrzynce „0,2 MB z 1024 MB” po „Przelicz zajętość” (zgodne z du imap)</t>
        </is>
      </c>
      <c r="K100" s="11" t="inlineStr">
        <is>
          <t>PARYTET</t>
        </is>
      </c>
      <c r="L100" s="11" t="inlineStr">
        <is>
          <t>ŚREDNIA</t>
        </is>
      </c>
      <c r="M100" s="11" t="inlineStr">
        <is>
          <t>S</t>
        </is>
      </c>
      <c r="N100" s="12" t="inlineStr">
        <is>
          <t>2026-09-24: KOD (D2) + skrypt sprawdzony lokalnie — zajętość każdej skrzynki liczona z katalogu poczty konta (bez zgadywania formatu CMD_API_POP), z datą pomiaru i przeliczeniem na żądanie. OTWARTE do D3 (sprint 21): układ katalogów poczty DA (imap/&lt;domena&gt;/&lt;login&gt;/Maildir) na węźle. |  | 2026-09-24 SKALA DOWODU (decyzja PM): funkcja bez pieniędzy, danych klienta i dostępu — D2 (test w CI) wystarcza do „zrobione”, więc werdykt PARYTET. Stan zostaje CZĘŚCIOWE do testu na węźle (audyt/dane/wezel.csv).</t>
        </is>
      </c>
    </row>
    <row r="101">
      <c r="A101" s="11" t="inlineStr">
        <is>
          <t>E-07</t>
        </is>
      </c>
      <c r="B101" s="12" t="inlineStr">
        <is>
          <t>E</t>
        </is>
      </c>
      <c r="C101" s="11" t="inlineStr">
        <is>
          <t>Alias / forwarder — dodanie</t>
        </is>
      </c>
      <c r="D101" s="11" t="inlineStr">
        <is>
          <t>TAK</t>
        </is>
      </c>
      <c r="E101" s="11" t="inlineStr">
        <is>
          <t>TAK</t>
        </is>
      </c>
      <c r="F101" s="11" t="inlineStr">
        <is>
          <t>TAK</t>
        </is>
      </c>
      <c r="G101" s="11" t="inlineStr">
        <is>
          <t>TAK</t>
        </is>
      </c>
      <c r="H101" s="11" t="inlineStr">
        <is>
          <t>TAK</t>
        </is>
      </c>
      <c r="I101" s="11" t="inlineStr">
        <is>
          <t>DZIAŁA</t>
        </is>
      </c>
      <c r="J101" s="12" t="inlineStr">
        <is>
          <t>services.controller.ts:461</t>
        </is>
      </c>
      <c r="K101" s="11" t="inlineStr">
        <is>
          <t>PARYTET</t>
        </is>
      </c>
      <c r="L101" s="11" t="inlineStr">
        <is>
          <t>—</t>
        </is>
      </c>
      <c r="M101" s="11" t="inlineStr">
        <is>
          <t>—</t>
        </is>
      </c>
      <c r="N101" s="12" t="inlineStr"/>
    </row>
    <row r="102">
      <c r="A102" s="11" t="inlineStr">
        <is>
          <t>E-08</t>
        </is>
      </c>
      <c r="B102" s="12" t="inlineStr">
        <is>
          <t>E</t>
        </is>
      </c>
      <c r="C102" s="11" t="inlineStr">
        <is>
          <t>Alias / forwarder — usunięcie</t>
        </is>
      </c>
      <c r="D102" s="11" t="inlineStr">
        <is>
          <t>TAK</t>
        </is>
      </c>
      <c r="E102" s="11" t="inlineStr">
        <is>
          <t>TAK</t>
        </is>
      </c>
      <c r="F102" s="11" t="inlineStr">
        <is>
          <t>TAK</t>
        </is>
      </c>
      <c r="G102" s="11" t="inlineStr">
        <is>
          <t>TAK</t>
        </is>
      </c>
      <c r="H102" s="11" t="inlineStr">
        <is>
          <t>TAK</t>
        </is>
      </c>
      <c r="I102" s="11" t="inlineStr">
        <is>
          <t>DZIAŁA</t>
        </is>
      </c>
      <c r="J102" s="12" t="inlineStr">
        <is>
          <t>services.controller.ts:470</t>
        </is>
      </c>
      <c r="K102" s="11" t="inlineStr">
        <is>
          <t>PARYTET</t>
        </is>
      </c>
      <c r="L102" s="11" t="inlineStr">
        <is>
          <t>—</t>
        </is>
      </c>
      <c r="M102" s="11" t="inlineStr">
        <is>
          <t>—</t>
        </is>
      </c>
      <c r="N102" s="12" t="inlineStr"/>
    </row>
    <row r="103">
      <c r="A103" s="11" t="inlineStr">
        <is>
          <t>E-09</t>
        </is>
      </c>
      <c r="B103" s="12" t="inlineStr">
        <is>
          <t>E</t>
        </is>
      </c>
      <c r="C103" s="11" t="inlineStr">
        <is>
          <t>Autoresponder</t>
        </is>
      </c>
      <c r="D103" s="11" t="inlineStr">
        <is>
          <t>TAK</t>
        </is>
      </c>
      <c r="E103" s="11" t="inlineStr">
        <is>
          <t>TAK</t>
        </is>
      </c>
      <c r="F103" s="11" t="inlineStr">
        <is>
          <t>TAK</t>
        </is>
      </c>
      <c r="G103" s="11" t="inlineStr">
        <is>
          <t>TAK</t>
        </is>
      </c>
      <c r="H103" s="11" t="inlineStr">
        <is>
          <t>TAK</t>
        </is>
      </c>
      <c r="I103" s="11" t="inlineStr">
        <is>
          <t>DZIAŁA</t>
        </is>
      </c>
      <c r="J103" s="12" t="inlineStr">
        <is>
          <t>services.controller.ts:484,493</t>
        </is>
      </c>
      <c r="K103" s="11" t="inlineStr">
        <is>
          <t>PARYTET</t>
        </is>
      </c>
      <c r="L103" s="11" t="inlineStr">
        <is>
          <t>—</t>
        </is>
      </c>
      <c r="M103" s="11" t="inlineStr">
        <is>
          <t>—</t>
        </is>
      </c>
      <c r="N103" s="12" t="inlineStr"/>
    </row>
    <row r="104">
      <c r="A104" s="11" t="inlineStr">
        <is>
          <t>E-10</t>
        </is>
      </c>
      <c r="B104" s="12" t="inlineStr">
        <is>
          <t>E</t>
        </is>
      </c>
      <c r="C104" s="11" t="inlineStr">
        <is>
          <t>Catch-all</t>
        </is>
      </c>
      <c r="D104" s="11" t="inlineStr">
        <is>
          <t>TAK</t>
        </is>
      </c>
      <c r="E104" s="11" t="inlineStr">
        <is>
          <t>TAK</t>
        </is>
      </c>
      <c r="F104" s="11" t="inlineStr">
        <is>
          <t>TAK</t>
        </is>
      </c>
      <c r="G104" s="11" t="inlineStr">
        <is>
          <t>TAK</t>
        </is>
      </c>
      <c r="H104" s="11" t="inlineStr">
        <is>
          <t>TAK</t>
        </is>
      </c>
      <c r="I104" s="11" t="inlineStr">
        <is>
          <t>DZIAŁA</t>
        </is>
      </c>
      <c r="J104" s="12" t="inlineStr">
        <is>
          <t>services.controller.ts:585; D3 t1 (d3.hvln.pl) 28.09 FAIL: CMD_API_EMAIL_CATCH_ALL 500 — pakiet bez catchall=ON; poprawka e047077 (pakiety) + wypchnięcie pakietów na flotę; retest; D3 t1 (d3.hvln.pl) 29.09 po wdrożeniu: po wypchnięciu pakietów (catchall=ON) catch-all zapisany z panelu</t>
        </is>
      </c>
      <c r="K104" s="11" t="inlineStr">
        <is>
          <t>PARYTET</t>
        </is>
      </c>
      <c r="L104" s="11" t="inlineStr">
        <is>
          <t>—</t>
        </is>
      </c>
      <c r="M104" s="11" t="inlineStr">
        <is>
          <t>—</t>
        </is>
      </c>
      <c r="N104" s="12" t="inlineStr">
        <is>
          <t>fail/blackhole/adres</t>
        </is>
      </c>
    </row>
    <row r="105">
      <c r="A105" s="11" t="inlineStr">
        <is>
          <t>E-11</t>
        </is>
      </c>
      <c r="B105" s="12" t="inlineStr">
        <is>
          <t>E</t>
        </is>
      </c>
      <c r="C105" s="11" t="inlineStr">
        <is>
          <t>Filtr antyspamowy (próg + tag)</t>
        </is>
      </c>
      <c r="D105" s="11" t="inlineStr">
        <is>
          <t>TAK</t>
        </is>
      </c>
      <c r="E105" s="11" t="inlineStr">
        <is>
          <t>TAK</t>
        </is>
      </c>
      <c r="F105" s="11" t="inlineStr">
        <is>
          <t>TAK</t>
        </is>
      </c>
      <c r="G105" s="11" t="inlineStr">
        <is>
          <t>TAK</t>
        </is>
      </c>
      <c r="H105" s="11" t="inlineStr">
        <is>
          <t>TAK</t>
        </is>
      </c>
      <c r="I105" s="11" t="inlineStr">
        <is>
          <t>DZIAŁA</t>
        </is>
      </c>
      <c r="J105" s="12" t="inlineStr">
        <is>
          <t>services.controller.ts:599; D3 t1 (d3.hvln.pl) 28.09 FAIL: „Spamd nie jest uruchomiony” — węzeł bez filtra; poprawka e047077 (rspamd w profilu) + uruchomienie profilu; retest; 29.09 po profilu: rspamd działa, odczyt filtra w panelu OK (5.0, tag), zapis → błąd DA (required_hits, blacklist/whitelist) — poprawka 2495c13, sprawdzona na t1 bezpośrednio; D3 t1 (d3.hvln.pl) 29.09 po wdrożeniu: rspamd/spamd w profilu OK; zapis antyspamu (próg własny) z panelu przechodzi (2495c13: required_hits + blacklist/whitelist)</t>
        </is>
      </c>
      <c r="K105" s="11" t="inlineStr">
        <is>
          <t>PARYTET</t>
        </is>
      </c>
      <c r="L105" s="11" t="inlineStr">
        <is>
          <t>—</t>
        </is>
      </c>
      <c r="M105" s="11" t="inlineStr">
        <is>
          <t>—</t>
        </is>
      </c>
      <c r="N105" s="12" t="inlineStr">
        <is>
          <t>SpamAssassin przez DA</t>
        </is>
      </c>
    </row>
    <row r="106">
      <c r="A106" s="11" t="inlineStr">
        <is>
          <t>E-12</t>
        </is>
      </c>
      <c r="B106" s="12" t="inlineStr">
        <is>
          <t>E</t>
        </is>
      </c>
      <c r="C106" s="11" t="inlineStr">
        <is>
          <t>Reguły filtrowania poczty (Sieve)</t>
        </is>
      </c>
      <c r="D106" s="11" t="inlineStr">
        <is>
          <t>TAK</t>
        </is>
      </c>
      <c r="E106" s="11" t="inlineStr">
        <is>
          <t>TAK</t>
        </is>
      </c>
      <c r="F106" s="11" t="inlineStr">
        <is>
          <t>TAK</t>
        </is>
      </c>
      <c r="G106" s="11" t="inlineStr">
        <is>
          <t>TAK</t>
        </is>
      </c>
      <c r="H106" s="11" t="inlineStr">
        <is>
          <t>TAK</t>
        </is>
      </c>
      <c r="I106" s="11" t="inlineStr">
        <is>
          <t>DZIAŁA</t>
        </is>
      </c>
      <c r="J106" s="12" t="inlineStr">
        <is>
          <t>ops/scripts/node-hosting-profile.sh (da build dovecot_pigeonhole); client-panel MailTab.tsx (Filtry w webmailu); D3 t1 29.09: `da build dovecot_pigeonhole` w DA 1.710 niewspierane („use da build dovecot”) — profil poprawiony w 98e6f24 (pigeonhole=yes + da build dovecot), czeka na profil</t>
        </is>
      </c>
      <c r="K106" s="11" t="inlineStr">
        <is>
          <t>PARYTET</t>
        </is>
      </c>
      <c r="L106" s="11" t="inlineStr">
        <is>
          <t>ŚREDNIA</t>
        </is>
      </c>
      <c r="M106" s="11" t="inlineStr">
        <is>
          <t>M</t>
        </is>
      </c>
      <c r="N106" s="12" t="inlineStr">
        <is>
          <t>wszystkie 5 hostingów PL to ma | 2026-09-25 KOD: DirectAdmin nie ma API do reguł Sieve per skrzynka (dokumentacja i changelogi); filtry ustawia się w webmailu (Roundcube managesieve) na wtyczce Dovecot Pigeonhole. Węzeł: `da build dovecot_pigeonhole` (changelog DA 1.665) w profilu hostingowym; panel mówi klientowi, gdzie są filtry. D3 w wezel.csv. | 2026-10-02 D3: 02.10 t1: panel klienta → Poczta → „Webmail →” przy test@d3.hvln.pl (logowanie jednym kliknięciem, bez hasła) → Ustawienia → Filtry (managesieve działa, zestaw „roundcube”): filtr „Temat zawiera SIEVE-TEST-D3 → przenieś do Kosza” zapisany („Filter saved successfully”); wiadomość z tym tematem wysłana z webmaila na test@d3.hvln.pl trafiła od razu do Kosza (Inbox bez niej). Filtr usunięty po teście.</t>
        </is>
      </c>
    </row>
    <row r="107">
      <c r="A107" s="11" t="inlineStr">
        <is>
          <t>E-13</t>
        </is>
      </c>
      <c r="B107" s="12" t="inlineStr">
        <is>
          <t>E</t>
        </is>
      </c>
      <c r="C107" s="11" t="inlineStr">
        <is>
          <t>Webmail — dostęp</t>
        </is>
      </c>
      <c r="D107" s="11" t="inlineStr">
        <is>
          <t>TAK</t>
        </is>
      </c>
      <c r="E107" s="11" t="inlineStr">
        <is>
          <t>TAK</t>
        </is>
      </c>
      <c r="F107" s="11" t="inlineStr">
        <is>
          <t>TAK</t>
        </is>
      </c>
      <c r="G107" s="11" t="inlineStr">
        <is>
          <t>TAK</t>
        </is>
      </c>
      <c r="H107" s="11" t="inlineStr">
        <is>
          <t>TAK</t>
        </is>
      </c>
      <c r="I107" s="11" t="inlineStr">
        <is>
          <t>DZIAŁA</t>
        </is>
      </c>
      <c r="J107" s="12" t="inlineStr">
        <is>
          <t>dostęp przez auto-logowanie z panelu (E-14: POST /services/:id/hosting-sso-url) — MailTab.tsx:71,239,401 „Webmail”; D3 t1 (d3.hvln.pl) 29.09 FAIL: „Webmail →” otwiera listę skrzynek DA bez logowania do Roundcube; poprawka f8cfd8d (one_click_webmail_login + roundcube direct_login) + profil; retest; D3 t1 (d3.hvln.pl) 29.09 po profilu: w DA przy skrzynce logowanie jednym kliknięciem → Roundcube, skrzynka test@d3.hvln.pl otwarta bez hasła (CMD_WEBMAIL_LOGIN → /roundcube/direct_login/)</t>
        </is>
      </c>
      <c r="K107" s="11" t="inlineStr">
        <is>
          <t>PARYTET</t>
        </is>
      </c>
      <c r="L107" s="11" t="inlineStr">
        <is>
          <t>—</t>
        </is>
      </c>
      <c r="M107" s="11" t="inlineStr">
        <is>
          <t>S</t>
        </is>
      </c>
      <c r="N107" s="12" t="inlineStr">
        <is>
          <t>2026-09-23 PORZĄDKI: wpis „link do DA” sprzed E-14 (SSO, DZIAŁA od 2026-08-21) — dostęp jest z panelu bez wychodzenia do DirectAdmina. | 2026-10-06 D3 t1: webmail w marce Verris Poczta (plugin verris_marka: logo, kolory, czcionka, watermark) i po polsku dla nowych skrzynek; profil t1 OK=64 FAIL=0 po d293f12 (ops/roundcube w obrazie API, ścieżka configu po da build).</t>
        </is>
      </c>
    </row>
    <row r="108">
      <c r="A108" s="11" t="inlineStr">
        <is>
          <t>E-14</t>
        </is>
      </c>
      <c r="B108" s="12" t="inlineStr">
        <is>
          <t>E</t>
        </is>
      </c>
      <c r="C108" s="11" t="inlineStr">
        <is>
          <t>Webmail — auto-logowanie (SSO)</t>
        </is>
      </c>
      <c r="D108" s="11" t="inlineStr">
        <is>
          <t>TAK</t>
        </is>
      </c>
      <c r="E108" s="11" t="inlineStr">
        <is>
          <t>TAK</t>
        </is>
      </c>
      <c r="F108" s="11" t="inlineStr">
        <is>
          <t>TAK</t>
        </is>
      </c>
      <c r="G108" s="11" t="inlineStr">
        <is>
          <t>TAK</t>
        </is>
      </c>
      <c r="H108" s="11" t="inlineStr">
        <is>
          <t>TAK</t>
        </is>
      </c>
      <c r="I108" s="11" t="inlineStr">
        <is>
          <t>DZIAŁA</t>
        </is>
      </c>
      <c r="J108" s="12" t="inlineStr">
        <is>
          <t>services.controller.ts — POST /services/:id/hosting-sso-url (wspólna trasa z D-11); MailTab.tsx:68; D3 t1 (d3.hvln.pl) 29.09: SSO działa do DA, nie do webmaila (jak E-13); retest po f8cfd8d; 29.09: przycisk „Webmail →” w Verris prowadzi do listy skrzynek DA (drugi klik); poprawka 3434c1a — prosto do Roundcube tokenem z CMD_WEBMAIL_LOGIN; D3 t1 (d3.hvln.pl) 29.09 po wdrożeniu (panel klienta): API zwraca poprawny adres Roundcube i token, ale CSP panelu (form-action self) blokuje POST w nowym oknie; poprawka fce8430 (form-action *.verris.pl) czeka na push; D3 t1 (d3.hvln.pl) 29.09 po wdrożeniu 13:00 (panel klienta): „Webmail →” przy skrzynce otwiera Roundcube zalogowany na test@d3.hvln.pl (Inbox), bez DirectAdmina</t>
        </is>
      </c>
      <c r="K108" s="11" t="inlineStr">
        <is>
          <t>PARYTET</t>
        </is>
      </c>
      <c r="L108" s="11" t="inlineStr">
        <is>
          <t>—</t>
        </is>
      </c>
      <c r="M108" s="11" t="inlineStr">
        <is>
          <t>S</t>
        </is>
      </c>
      <c r="N108" s="12" t="inlineStr">
        <is>
          <t>Zamknięte 2026-08-21 (commit 6f2833d). Strażnik: apps/api/src/test/ui-routes-coverage.spec.ts porównuje wszystkie wywołania apiFetch z panelu ze wszystkimi trasami API — nawrót tej klasy błędu zapala test.</t>
        </is>
      </c>
    </row>
    <row r="109">
      <c r="A109" s="11" t="inlineStr">
        <is>
          <t>E-15</t>
        </is>
      </c>
      <c r="B109" s="12" t="inlineStr">
        <is>
          <t>E</t>
        </is>
      </c>
      <c r="C109" s="11" t="inlineStr">
        <is>
          <t>Rekordy SPF — kreator</t>
        </is>
      </c>
      <c r="D109" s="11" t="inlineStr">
        <is>
          <t>TAK</t>
        </is>
      </c>
      <c r="E109" s="11" t="inlineStr">
        <is>
          <t>TAK</t>
        </is>
      </c>
      <c r="F109" s="11" t="inlineStr">
        <is>
          <t>TAK</t>
        </is>
      </c>
      <c r="G109" s="11" t="inlineStr">
        <is>
          <t>TAK</t>
        </is>
      </c>
      <c r="H109" s="11" t="inlineStr">
        <is>
          <t>TAK</t>
        </is>
      </c>
      <c r="I109" s="11" t="inlineStr">
        <is>
          <t>DZIAŁA</t>
        </is>
      </c>
      <c r="J109" s="12" t="inlineStr">
        <is>
          <t>2026-09-23 D1: deliverability/mail-auth.ts (buildMailAuthChecks) + deliverability.service.ts (strefa DA + delegacja NS); UI app/dashboard/email/deliverability-panel.tsx podpięty w MailTab (zakładka Poczta); test mail-auth.spec.ts; D3 t1 (d3.hvln.pl) 29.09: SPF „v=spf1 a mx ip4:… ip6:… ~all” rozpoznany jako poprawny, wynik dostarczalności 88/100</t>
        </is>
      </c>
      <c r="K109" s="11" t="inlineStr">
        <is>
          <t>PARYTET</t>
        </is>
      </c>
      <c r="L109" s="11" t="inlineStr">
        <is>
          <t>—</t>
        </is>
      </c>
      <c r="M109" s="11" t="inlineStr">
        <is>
          <t>S</t>
        </is>
      </c>
      <c r="N109" s="12" t="inlineStr">
        <is>
          <t>deliverability-panel.tsx:26 to komponent osierocony — nikt go nie importuje | KOD: kreator pokazuje stan z publicznego DNS i gotowy rekord — „Dodaj/Zamień rekord w DNS” gdy domena na NS Verris, inaczej do skopiowania u dostawcy DNS. Zalecany SPF to `v=spf1 a mx ip4:&lt;IP węzła&gt; ~all`. ZNALEZISKO: dotychczasowa podpowiedź include:_spf.verris.pl odwołuje się do nieistniejącego rekordu (NXDOMAIN) → SPF permerror; usunięta z podpowiedzi, presetu DNS i artykułów KB, a kreator wykrywa ją u klientów. OTWARTE do D3 (węzeł): zapis rekordu przez CMD_API_DNS_CONTROL.</t>
        </is>
      </c>
    </row>
    <row r="110">
      <c r="A110" s="11" t="inlineStr">
        <is>
          <t>E-16</t>
        </is>
      </c>
      <c r="B110" s="12" t="inlineStr">
        <is>
          <t>E</t>
        </is>
      </c>
      <c r="C110" s="11" t="inlineStr">
        <is>
          <t>Rekordy DKIM — konfiguracja</t>
        </is>
      </c>
      <c r="D110" s="11" t="inlineStr">
        <is>
          <t>TAK</t>
        </is>
      </c>
      <c r="E110" s="11" t="inlineStr">
        <is>
          <t>TAK</t>
        </is>
      </c>
      <c r="F110" s="11" t="inlineStr">
        <is>
          <t>TAK</t>
        </is>
      </c>
      <c r="G110" s="11" t="inlineStr">
        <is>
          <t>TAK</t>
        </is>
      </c>
      <c r="H110" s="11" t="inlineStr">
        <is>
          <t>TAK</t>
        </is>
      </c>
      <c r="I110" s="11" t="inlineStr">
        <is>
          <t>DZIAŁA</t>
        </is>
      </c>
      <c r="J110" s="12" t="inlineStr">
        <is>
          <t>deliverability/mail-auth.ts (akcja enable-dkim); servers/directadmin.service.ts enableHostingDkim; POST /services/:id/hosting-email/dkim; email/deliverability-panel.tsx; testy mail-auth.spec.ts, directadmin.narzedzia.spec.ts</t>
        </is>
      </c>
      <c r="K110" s="11" t="inlineStr">
        <is>
          <t>PARYTET</t>
        </is>
      </c>
      <c r="L110" s="11" t="inlineStr">
        <is>
          <t>WYSOKA</t>
        </is>
      </c>
      <c r="M110" s="11" t="inlineStr">
        <is>
          <t>S</t>
        </is>
      </c>
      <c r="N110" s="12" t="inlineStr">
        <is>
          <t>j.w. | KOD: DKIM odczytywany ze strefy DA (DA dopisuje klucz sam przy włączonym DKIM). Brak klucza = link do zgłoszenia. OTWARTE: włączanie DKIM z panelu (komenda DA niepotwierdzona bez węzła) — D3 w sprincie 18. | 2026-09-25: KOD (D2) — „Włącz DKIM dla &lt;domena&gt;” w sekcji Dostarczalność zamiast „napisz zgłoszenie”. Komenda DA potwierdzona w dokumentacji (changelog 1.57.2): CMD_API_EMAIL_POP action=set_dkim&amp;domain=…&amp;enable=… — DA tworzy klucze i dopisuje rekord TXT do strefy. Tylko domena z konta usługi, konto zawieszone bez zmian, wpis w dzienniku (HOSTING_DKIM_ENABLED). Wyłączenia celowo brak: ponowne włączenie generuje nowe klucze i rekord u zewnętrznego DNS przestałby pasować. Przy DNS u innego dostawcy panel po włączeniu pokazuje rekord do skopiowania (istniejąca ścieżka „klucz w strefie”). D3: pierwsze włączenie na węźle. | 2026-09-25 (dokumentacja DirectAdmin „Exim → DKIM”): dkim=2 udostępnia włączanie DKIM użytkownikom per domena, dkim=1 generuje klucze automatycznie przy tworzeniu domeny (tylko gdy DNS jest lokalny). Profil węzła ustawia dkim=1 — przycisk w panelu pojawia się tylko dla domen bez klucza. D3 ma potwierdzić, że set_dkim działa przy dkim=1; jeśli nie — alternatywa z dokumentacji: scripts/dkim_create.sh &lt;domena&gt; po stronie węzła (zadanie agenta). | 2026-09-30 D3 t1: 30.09 d3.hvln.pl: sekcja Dostarczalność odczytuje DKIM ze strefy (selektor „x”, poprawny). Przycisk „Włącz DKIM” niesprawdzony — d3 ma już klucz, a sekcja pokazuje tylko domenę główną. | 2026-10-01 D3 t1: raport dostarczalności i DKIM dla każdej domeny usługi (03d5611); nowa domena test4.d3.hvln.pl ma DKIM od razu po dodaniu z panelu.</t>
        </is>
      </c>
    </row>
    <row r="111">
      <c r="A111" s="11" t="inlineStr">
        <is>
          <t>E-17</t>
        </is>
      </c>
      <c r="B111" s="12" t="inlineStr">
        <is>
          <t>E</t>
        </is>
      </c>
      <c r="C111" s="11" t="inlineStr">
        <is>
          <t>Rekord DMARC — konfiguracja</t>
        </is>
      </c>
      <c r="D111" s="11" t="inlineStr">
        <is>
          <t>TAK</t>
        </is>
      </c>
      <c r="E111" s="11" t="inlineStr">
        <is>
          <t>TAK</t>
        </is>
      </c>
      <c r="F111" s="11" t="inlineStr">
        <is>
          <t>TAK</t>
        </is>
      </c>
      <c r="G111" s="11" t="inlineStr">
        <is>
          <t>TAK</t>
        </is>
      </c>
      <c r="H111" s="11" t="inlineStr">
        <is>
          <t>TAK</t>
        </is>
      </c>
      <c r="I111" s="11" t="inlineStr">
        <is>
          <t>DZIAŁA</t>
        </is>
      </c>
      <c r="J111" s="12" t="inlineStr">
        <is>
          <t>2026-09-23 D1: mail-auth.ts dmarcCheck (brak / p=none / kilka rekordów) + lib/dmarc.ts tuneDmarc (polityka + adres raportów) w deliverability-panel.tsx; testy mail-auth.spec.ts, dmarc.spec.ts; D3 t1 (d3.hvln.pl) 29.09 00:07: DMARC dodany z panelu, sprawdzenie pokazuje p=quarantine</t>
        </is>
      </c>
      <c r="K111" s="11" t="inlineStr">
        <is>
          <t>PARYTET</t>
        </is>
      </c>
      <c r="L111" s="11" t="inlineStr">
        <is>
          <t>—</t>
        </is>
      </c>
      <c r="M111" s="11" t="inlineStr">
        <is>
          <t>S</t>
        </is>
      </c>
      <c r="N111" s="12" t="inlineStr">
        <is>
          <t>j.w. | KOD: kreator DMARC — wybór polityki i opcjonalny adres raportów, zachowuje pozostałe tagi. Sugestia bez rua na verris.pl (raporty do obcej domeny wymagają rekordu autoryzacji). OTWARTE do D3: zapis do strefy DA.</t>
        </is>
      </c>
    </row>
    <row r="112">
      <c r="A112" s="11" t="inlineStr">
        <is>
          <t>E-18</t>
        </is>
      </c>
      <c r="B112" s="12" t="inlineStr">
        <is>
          <t>E</t>
        </is>
      </c>
      <c r="C112" s="11" t="inlineStr">
        <is>
          <t>Sprawdzenie obecności na RBL</t>
        </is>
      </c>
      <c r="D112" s="11" t="inlineStr">
        <is>
          <t>TAK</t>
        </is>
      </c>
      <c r="E112" s="11" t="inlineStr">
        <is>
          <t>TAK</t>
        </is>
      </c>
      <c r="F112" s="11" t="inlineStr">
        <is>
          <t>CZĘŚĆ</t>
        </is>
      </c>
      <c r="G112" s="11" t="inlineStr">
        <is>
          <t>CZĘŚĆ</t>
        </is>
      </c>
      <c r="H112" s="11" t="inlineStr">
        <is>
          <t>CZĘŚĆ</t>
        </is>
      </c>
      <c r="I112" s="11" t="inlineStr">
        <is>
          <t>DZIAŁA</t>
        </is>
      </c>
      <c r="J112" s="12" t="inlineStr">
        <is>
          <t>deliverability.service.ts check → wiersz „Blacklisty (RBL)” w panelu Poczta → Dostarczalność (deliverability-panel.tsx, E-15); stan trójwartościowy: wpis / brak / nie udało się sprawdzić (timeout, 127.255.255.x); test D2 rbl-raport.spec.ts + rbl.spec.ts; D3 t1 (d3.hvln.pl) 29.09: 3 listy sprawdzone, zen.spamhaus.org „nie udało się sprawdzić” (Spamhaus odrzuca zapytania z publicznych resolverów — potrzebny własny resolver albo klucz DQS) | 2026-10-10: wspólna lista RBL_ZONES bez SORBS (deliverability/rbl.ts:5-10); monitoring IP węzłów admin-readiness/rbl-reputation.scheduler.ts:62-63,126 (stan „nieznany”, NODE_RBL_UNKNOWN); test rbl-reputation.scheduler.spec.ts</t>
        </is>
      </c>
      <c r="K112" s="11" t="inlineStr">
        <is>
          <t>PARYTET</t>
        </is>
      </c>
      <c r="L112" s="11" t="inlineStr">
        <is>
          <t>ŚREDNIA</t>
        </is>
      </c>
      <c r="M112" s="11" t="inlineStr">
        <is>
          <t>S</t>
        </is>
      </c>
      <c r="N112" s="12" t="inlineStr">
        <is>
          <t>2026-09-23: wejście z UI istniało już od E-15 (wiersz RBL w raporcie). Poprawione: timeout albo odmowa listy (127.255.255.x) pokazywały się jako „nie figuruje” — teraz ostrzeżenie „nie udało się sprawdzić” z nazwą listy. | 2026-10-10: monitoring reputacji IP węzłów liczył timeout listy jako „brak wpisu”, więc awaria DNS wyglądała jak czyste IP. Teraz stan „nieznany” z alertem do adminów (przypomnienie najwyżej raz na dobę na węzeł) i wpisem na pulpicie (stan-platformy.ts:149). dnsbl.sorbs.net usunięty z list (SORBS zamknięty w 2024). D2. Do sprawdzenia na węźle: czy resolver API nie jest odrzucany przez Spamhaus (alert „nieznany”).</t>
        </is>
      </c>
    </row>
    <row r="113">
      <c r="A113" s="11" t="inlineStr">
        <is>
          <t>E-19</t>
        </is>
      </c>
      <c r="B113" s="12" t="inlineStr">
        <is>
          <t>E</t>
        </is>
      </c>
      <c r="C113" s="11" t="inlineStr">
        <is>
          <t>Podgląd kolejki i logów dostarczania</t>
        </is>
      </c>
      <c r="D113" s="11" t="inlineStr">
        <is>
          <t>TAK</t>
        </is>
      </c>
      <c r="E113" s="11" t="inlineStr">
        <is>
          <t>TAK</t>
        </is>
      </c>
      <c r="F113" s="11" t="inlineStr">
        <is>
          <t>TAK</t>
        </is>
      </c>
      <c r="G113" s="11" t="inlineStr">
        <is>
          <t>CZĘŚĆ</t>
        </is>
      </c>
      <c r="H113" s="11" t="inlineStr">
        <is>
          <t>CZĘŚĆ</t>
        </is>
      </c>
      <c r="I113" s="11" t="inlineStr">
        <is>
          <t>DZIAŁA</t>
        </is>
      </c>
      <c r="J113" s="12" t="inlineStr">
        <is>
          <t>ops/scripts/node-mail-log.sh (zadanie MAIL_LOG: log exima mainlog + mainlog.1, tylko wiadomości z nadawcą lub odbiorcą w domenach usługi — lista domen z API), subscriptions/mail-log.service.ts, :id/hosting-mail-log, panel MailLogPanel.tsx (Poczta → Dziennik dostarczania); test mail-log.service.spec.ts; D3 t1 (d3.hvln.pl) 29.09 po wdrożeniu: wysyłka test@d3.hvln.pl → sama do siebie: dostarczone do Inbox; dziennik doręczeń w panelu pokazuje odebranie i doręczenie (surowe pola exima — do wygładzenia)</t>
        </is>
      </c>
      <c r="K113" s="11" t="inlineStr">
        <is>
          <t>PARYTET</t>
        </is>
      </c>
      <c r="L113" s="11" t="inlineStr">
        <is>
          <t>NISKA</t>
        </is>
      </c>
      <c r="M113" s="11" t="inlineStr">
        <is>
          <t>M</t>
        </is>
      </c>
      <c r="N113" s="12" t="inlineStr">
        <is>
          <t>2026-09-24: KOD (D2) + skrypt sprawdzony lokalnie na próbce logu exima — przyjęta/dostarczona/odrzucona (z powodem)/opóźniona, filtr adresu, cudza poczta z logu nie wychodzi. OTWARTE do D3 (sprint 21): format logu exima DA na węźle, rozmiar mainlog (czytany w całości). | „gdzie jest mój mail” to najczęstszy ticket poczty</t>
        </is>
      </c>
    </row>
    <row r="114">
      <c r="A114" s="11" t="inlineStr">
        <is>
          <t>E-20</t>
        </is>
      </c>
      <c r="B114" s="12" t="inlineStr">
        <is>
          <t>E</t>
        </is>
      </c>
      <c r="C114" s="11" t="inlineStr">
        <is>
          <t>Limity wysyłki pokazane klientowi</t>
        </is>
      </c>
      <c r="D114" s="11" t="inlineStr">
        <is>
          <t>TAK</t>
        </is>
      </c>
      <c r="E114" s="11" t="inlineStr">
        <is>
          <t>TAK</t>
        </is>
      </c>
      <c r="F114" s="11" t="inlineStr">
        <is>
          <t>TAK</t>
        </is>
      </c>
      <c r="G114" s="11" t="inlineStr">
        <is>
          <t>CZĘŚĆ</t>
        </is>
      </c>
      <c r="H114" s="11" t="inlineStr">
        <is>
          <t>TAK</t>
        </is>
      </c>
      <c r="I114" s="11" t="inlineStr">
        <is>
          <t>DZIAŁA</t>
        </is>
      </c>
      <c r="J114" s="12" t="inlineStr">
        <is>
          <t>MailTab.tsx KPI „Limit wysyłki” ← libs/contracts mail-limits.ts; node-hosting-profile.sh zapisuje /etc/virtual/limit; test src/test/limit-wysylki.spec.ts</t>
        </is>
      </c>
      <c r="K114" s="11" t="inlineStr">
        <is>
          <t>PARYTET</t>
        </is>
      </c>
      <c r="L114" s="11" t="inlineStr">
        <is>
          <t>ŚREDNIA</t>
        </is>
      </c>
      <c r="M114" s="11" t="inlineStr">
        <is>
          <t>S</t>
        </is>
      </c>
      <c r="N114" s="12" t="inlineStr">
        <is>
          <t>cyber_Folks publikuje jawnie: 1000/dobę, 300/15 min | 2026-09-23: 1000 wiadomości/dobę na konto, pokazane w zakładce Poczta; ta sama liczba zapisywana na węźle (exim DA), zgodność pod testem (D2). D3: po profilu na węźle `cat /etc/virtual/limit` = 1000. Limitu 15-minutowego nie wprowadzamy — nie ma go na węźle, więc nie pokazujemy.</t>
        </is>
      </c>
    </row>
    <row r="115">
      <c r="A115" s="11" t="inlineStr">
        <is>
          <t>E-21</t>
        </is>
      </c>
      <c r="B115" s="12" t="inlineStr">
        <is>
          <t>E</t>
        </is>
      </c>
      <c r="C115" s="11" t="inlineStr">
        <is>
          <t>Samodzielny import skrzynek przez IMAP</t>
        </is>
      </c>
      <c r="D115" s="11" t="inlineStr">
        <is>
          <t>CZĘŚĆ</t>
        </is>
      </c>
      <c r="E115" s="11" t="inlineStr">
        <is>
          <t>TAK</t>
        </is>
      </c>
      <c r="F115" s="11" t="inlineStr">
        <is>
          <t>CZĘŚĆ</t>
        </is>
      </c>
      <c r="G115" s="11" t="inlineStr">
        <is>
          <t>CZĘŚĆ</t>
        </is>
      </c>
      <c r="H115" s="11" t="inlineStr">
        <is>
          <t>TAK</t>
        </is>
      </c>
      <c r="I115" s="11" t="inlineStr">
        <is>
          <t>DZIAŁA</t>
        </is>
      </c>
      <c r="J115" s="12" t="inlineStr">
        <is>
          <t>migrations/migracja-poczty.tsx (źródło+test, cel z listy skrzynek+test, start); migrations-client.tsx wybór „Co przenosimy”; migration-orchestrator.service.ts createBundle (IMAP_SYNC, bez HTTP_POST_CHECK dla samej poczty); node-migration-worker.sh run_imap; node-hosting-profile.sh configure_dovecot_migration_master; testy migracja-poczty.spec.tsx, migration-orchestrator.service.spec.ts, wezel-zgodnie-z-dokumentacja.spec.ts</t>
        </is>
      </c>
      <c r="K115" s="11" t="inlineStr">
        <is>
          <t>PARYTET</t>
        </is>
      </c>
      <c r="L115" s="11" t="inlineStr">
        <is>
          <t>ŚREDNIA</t>
        </is>
      </c>
      <c r="M115" s="11" t="inlineStr">
        <is>
          <t>S</t>
        </is>
      </c>
      <c r="N115" s="12" t="inlineStr">
        <is>
          <t>2026-09-25: KOD (D2) — samodzielny import poczty jako osobne wejście: w zakładce Poczta przycisk „Przenieś pocztę z innego serwera” otwiera kreator migracji od razu na kroku skrzynek (bez plików, jedna pusta skrzynka, opis co się stanie). Pod spodem ta sama ścieżka co migracja: imapsync z sejfem haseł, delta-sync, postęp na żywo. ZNALEZIONE I NAPRAWIONE (bezpieczeństwo): adres docelowy skrzynki nie był sprawdzany — imapsync pisze przez master-login dovecota, więc klient mógł dopisać wiadomości do skrzynki innego klienta na tym samym węźle. Teraz domena skrzynki musi należeć do usługi, a brak adresu (sam login) to odmowa. Dane klienta — zostaje CZĘŚCIOWY do D3 (import na węźle). | 2026-09-25 (2): decyzja PM — skrzynka = adres + serwer + hasło (port opcjonalny, domyślnie 993, loginem jest adres; ten sam adres u nas). Bramka po stronie serwera: zlecenie przyjmujemy dopiero po udanym logowaniu IMAP do starego serwera (ten sam test co „Test dostępów”), więc złe hasło wychodzi od razu, a nie w kolejce. Transfer: imapsync (idempotentny, dedup po Message-Id). Przyjęcie zlecenia ma limit 30/h wspólny z „Test dostępów” — logowanie do cudzych serwerów nie może służyć do zgadywania haseł. | 2026-10-03: D3 na t1 — import test@ → import@ (inny adres) przez panel klienta zakończony, wiadomości i foldery (Inbox, Sent) w skrzynce docelowej. Naprawione po drodze: brak konta master Dovecota na węzłach (9f72524), jeden adres na źródło i cel w kreatorze (b6d1368 — osobny formularz poczty).</t>
        </is>
      </c>
    </row>
    <row r="116">
      <c r="A116" s="11" t="inlineStr">
        <is>
          <t>E-22</t>
        </is>
      </c>
      <c r="B116" s="12" t="inlineStr">
        <is>
          <t>E</t>
        </is>
      </c>
      <c r="C116" s="11" t="inlineStr">
        <is>
          <t>Listy mailingowe</t>
        </is>
      </c>
      <c r="D116" s="11" t="inlineStr">
        <is>
          <t>TAK</t>
        </is>
      </c>
      <c r="E116" s="11" t="inlineStr">
        <is>
          <t>TAK</t>
        </is>
      </c>
      <c r="F116" s="11" t="inlineStr">
        <is>
          <t>TAK</t>
        </is>
      </c>
      <c r="G116" s="11" t="inlineStr">
        <is>
          <t>CZĘŚĆ</t>
        </is>
      </c>
      <c r="H116" s="11" t="inlineStr">
        <is>
          <t>NIE</t>
        </is>
      </c>
      <c r="I116" s="11" t="inlineStr">
        <is>
          <t>BRAK</t>
        </is>
      </c>
      <c r="J116" s="12" t="inlineStr">
        <is>
          <t>—</t>
        </is>
      </c>
      <c r="K116" s="11" t="inlineStr">
        <is>
          <t>POZA ZAKRESEM</t>
        </is>
      </c>
      <c r="L116" s="11" t="inlineStr">
        <is>
          <t>NISKA</t>
        </is>
      </c>
      <c r="M116" s="11" t="inlineStr">
        <is>
          <t>—</t>
        </is>
      </c>
      <c r="N116" s="12" t="inlineStr">
        <is>
          <t>zastąpione modułem email-marketing</t>
        </is>
      </c>
    </row>
    <row r="117">
      <c r="A117" s="11" t="inlineStr">
        <is>
          <t>E-23</t>
        </is>
      </c>
      <c r="B117" s="12" t="inlineStr">
        <is>
          <t>E</t>
        </is>
      </c>
      <c r="C117" s="11" t="inlineStr">
        <is>
          <t>Kalendarz i kontakty (CalDAV/CardDAV)</t>
        </is>
      </c>
      <c r="D117" s="11" t="inlineStr">
        <is>
          <t>TAK</t>
        </is>
      </c>
      <c r="E117" s="11" t="inlineStr">
        <is>
          <t>TAK</t>
        </is>
      </c>
      <c r="F117" s="11" t="inlineStr">
        <is>
          <t>CZĘŚĆ</t>
        </is>
      </c>
      <c r="G117" s="11" t="inlineStr">
        <is>
          <t>CZĘŚĆ</t>
        </is>
      </c>
      <c r="H117" s="11" t="inlineStr">
        <is>
          <t>NIE</t>
        </is>
      </c>
      <c r="I117" s="11" t="inlineStr">
        <is>
          <t>DZIAŁA</t>
        </is>
      </c>
      <c r="J117" s="12" t="inlineStr">
        <is>
          <t>node-hosting-profile.sh (Radicale 3.8.1 w venv, verris-radicale.service, verris-dav-backup); security-hardening-baseline.sh (5232/tcp); client-panel MailTab (adres i instrukcja); test kalendarz-kontakty.spec.ts</t>
        </is>
      </c>
      <c r="K117" s="11" t="inlineStr">
        <is>
          <t>PARYTET</t>
        </is>
      </c>
      <c r="L117" s="11" t="inlineStr">
        <is>
          <t>NISKA</t>
        </is>
      </c>
      <c r="M117" s="11" t="inlineStr">
        <is>
          <t>L</t>
        </is>
      </c>
      <c r="N117" s="12" t="inlineStr">
        <is>
          <t>dhosting i home.pl mają w produkcie „poczta biznesowa” | DECYZJA WŁAŚCICIELA 2026-09-25: kalendarz i kontakty (CalDAV/CardDAV) robimy teraz (kod + instalacja wg dokumentacji, D3 na węźle testowym). | ZROBIONE W KODZIE 2026-09-25: Radicale 3.8.1 (radicale.org, DOCUMENTATION.md): logowanie danymi skrzynki przez gniazdo auth Dovecota (Dovecot dostaje IP klienta → blokady jak dla IMAP), rights owner_only, TLS na 5232 z certyfikatem hosta (LoadCredential), bez interfejsu WWW, domyślny Kalendarz i Kontakty. Kopia nocna do ~/.verris-dav/ właściciela (zapis jako właściciel), kalendarz usuniętej skrzynki do kosza na 30 dni. Konfiguracja sprawdzona na Radicale 3.8.1 (403 cudza ścieżka, 401 złe hasło). D3 w wezel.csv. | 2026-10-04: D3 na t1 — usługa padała od 03.10 (LoadCredential na systemd 257 nie podał certyfikatu, profil mimo to raportował [OK]); poprawka f5b85e72 (kopia certyfikatu przez ExecStartPre=+ do /run, [OK] tylko gdy is-active). Po nakładce z poprawką: active, nasłuch 5232 z SSL; PROPFIND z Maca: własna kolekcja 207, cudza 403, złe hasło 401.</t>
        </is>
      </c>
    </row>
    <row r="118">
      <c r="A118" s="11" t="inlineStr">
        <is>
          <t>E-24</t>
        </is>
      </c>
      <c r="B118" s="12" t="inlineStr">
        <is>
          <t>E</t>
        </is>
      </c>
      <c r="C118" s="11" t="inlineStr">
        <is>
          <t>2FA dla webmaila</t>
        </is>
      </c>
      <c r="D118" s="11" t="inlineStr">
        <is>
          <t>CZĘŚĆ</t>
        </is>
      </c>
      <c r="E118" s="11" t="inlineStr">
        <is>
          <t>TAK</t>
        </is>
      </c>
      <c r="F118" s="11" t="inlineStr">
        <is>
          <t>CZĘŚĆ</t>
        </is>
      </c>
      <c r="G118" s="11" t="inlineStr">
        <is>
          <t>CZĘŚĆ</t>
        </is>
      </c>
      <c r="H118" s="11" t="inlineStr">
        <is>
          <t>TAK</t>
        </is>
      </c>
      <c r="I118" s="11" t="inlineStr">
        <is>
          <t>BRAK</t>
        </is>
      </c>
      <c r="J118" s="12" t="inlineStr">
        <is>
          <t>—</t>
        </is>
      </c>
      <c r="K118" s="11" t="inlineStr">
        <is>
          <t>LUKA</t>
        </is>
      </c>
      <c r="L118" s="11" t="inlineStr">
        <is>
          <t>NISKA</t>
        </is>
      </c>
      <c r="M118" s="11" t="inlineStr">
        <is>
          <t>M</t>
        </is>
      </c>
      <c r="N118" s="12" t="inlineStr">
        <is>
          <t>cyber_Folks ma nawet 2FA dla IMAP/SMTP | 2026-10-08 DECYZJA WŁAŚCICIELA: po starcie — na start webmail przez logowanie z panelu (SSO) za 2FA panelu; osobne 2FA w Roundcube jako nowa funkcja po 11.01.2027.</t>
        </is>
      </c>
    </row>
    <row r="119">
      <c r="A119" s="11" t="inlineStr">
        <is>
          <t>E-25</t>
        </is>
      </c>
      <c r="B119" s="12" t="inlineStr">
        <is>
          <t>E</t>
        </is>
      </c>
      <c r="C119" s="11" t="inlineStr">
        <is>
          <t>Osobny produkt „poczta biznesowa”</t>
        </is>
      </c>
      <c r="D119" s="11" t="inlineStr">
        <is>
          <t>NIE</t>
        </is>
      </c>
      <c r="E119" s="11" t="inlineStr">
        <is>
          <t>NIE</t>
        </is>
      </c>
      <c r="F119" s="11" t="inlineStr">
        <is>
          <t>NIE</t>
        </is>
      </c>
      <c r="G119" s="11" t="inlineStr">
        <is>
          <t>TAK</t>
        </is>
      </c>
      <c r="H119" s="11" t="inlineStr">
        <is>
          <t>NIE</t>
        </is>
      </c>
      <c r="I119" s="11" t="inlineStr">
        <is>
          <t>DZIAŁA</t>
        </is>
      </c>
      <c r="J119" s="12" t="inlineStr">
        <is>
          <t>plans/new-email w admin-panel</t>
        </is>
      </c>
      <c r="K119" s="11" t="inlineStr">
        <is>
          <t>PARYTET</t>
        </is>
      </c>
      <c r="L119" s="11" t="inlineStr">
        <is>
          <t>—</t>
        </is>
      </c>
      <c r="M119" s="11" t="inlineStr">
        <is>
          <t>—</t>
        </is>
      </c>
      <c r="N119" s="12" t="inlineStr">
        <is>
          <t>plan e-mail istnieje jako osobny produkt</t>
        </is>
      </c>
    </row>
    <row r="120">
      <c r="A120" s="11" t="inlineStr">
        <is>
          <t>F-01</t>
        </is>
      </c>
      <c r="B120" s="12" t="inlineStr">
        <is>
          <t>F</t>
        </is>
      </c>
      <c r="C120" s="11" t="inlineStr">
        <is>
          <t>Edytor rekordów DNS (A/CNAME/MX/TXT)</t>
        </is>
      </c>
      <c r="D120" s="11" t="inlineStr">
        <is>
          <t>TAK</t>
        </is>
      </c>
      <c r="E120" s="11" t="inlineStr">
        <is>
          <t>TAK</t>
        </is>
      </c>
      <c r="F120" s="11" t="inlineStr">
        <is>
          <t>TAK</t>
        </is>
      </c>
      <c r="G120" s="11" t="inlineStr">
        <is>
          <t>TAK</t>
        </is>
      </c>
      <c r="H120" s="11" t="inlineStr">
        <is>
          <t>TAK</t>
        </is>
      </c>
      <c r="I120" s="11" t="inlineStr">
        <is>
          <t>DZIAŁA</t>
        </is>
      </c>
      <c r="J120" s="12" t="inlineStr">
        <is>
          <t>2026-09-22 D1: components/hosting/DnsZoneSection.tsx — edytor strefy w zakladce Domeny huba uslugi (wybor domeny, DnsManager z onChanged); dns-manager.tsx typy A/AAAA/CNAME/MX/TXT/SRV/NS/CAA; API subscriptions/dto/hosting-dns.dto.ts (whitelista typow, wzorzec nazwy, zakaz znakow sterujacych, TTL 60-86400) + assertDomainOnSubscription przy odczycie/dodaniu/usunieciu; test hosting-dns-dto.spec.ts; D3 t1 28.09: lista zawsze pusta (POST action=select = usuwanie) → GET json=yes records[]; usuwanie &lt;typ&gt;recs0 + kontrola listy (directadmin.domeny.spec.ts); retest; D3 t1 (d3.hvln.pl) 28.09–29.09: lista 12–13 rekordów, dodanie A verris-test, edycja na .11, usunięcie; DMARC jednym kliknięciem</t>
        </is>
      </c>
      <c r="K120" s="11" t="inlineStr">
        <is>
          <t>PARYTET</t>
        </is>
      </c>
      <c r="L120" s="11" t="inlineStr">
        <is>
          <t>—</t>
        </is>
      </c>
      <c r="M120" s="11" t="inlineStr">
        <is>
          <t>S</t>
        </is>
      </c>
      <c r="N120" s="12" t="inlineStr">
        <is>
          <t>Skorygowane: obejściem jest link do DirectAdmina (services.controller.ts:350) z poświadczeniami z „dane dostępowe”. Uwaga — SSO nie działa, trasa hosting-sso-url nie istnieje w API, więc klient trafia do obcego panelu i loguje się ręcznie. | 2026-09-22 KOREKTA OPISU: trasa hosting-sso-url ISTNIEJE w API (services.controller.ts, SPRINT-1c) — opis z audytu byl nieaktualny. KOD: komponent DnsManager byl gotowy i nigdzie nie wyrenderowany; podpiety w zakladce Domeny. Przy okazji zamknieta luka na granicy zaufania: body rekordu bylo nietypowane (dowolny typ, znak nowej linii w wartosci = drugi rekord w strefie), a domena z zapytania nie byla sprawdzana wobec konta. OTWARTE do D3 (sprint 18, wezel): format usuwania rekordu w CMD_API_DNS_CONTROL nie jest potwierdzony na zywym DA (komentarz ponytail w directadmin.service.ts) — edycja robi create-then-delete, wiec nieudane usuniecie daloby duplikat. | 2026-09-23: usuwanie rekordu wymaga potwierdzenia; preset „SPF (poczta Verris)” poprawiony na v=spf1 a mx ~all.</t>
        </is>
      </c>
    </row>
    <row r="121">
      <c r="A121" s="11" t="inlineStr">
        <is>
          <t>F-02</t>
        </is>
      </c>
      <c r="B121" s="12" t="inlineStr">
        <is>
          <t>F</t>
        </is>
      </c>
      <c r="C121" s="11" t="inlineStr">
        <is>
          <t>Rekordy SRV / CAA</t>
        </is>
      </c>
      <c r="D121" s="11" t="inlineStr">
        <is>
          <t>TAK</t>
        </is>
      </c>
      <c r="E121" s="11" t="inlineStr">
        <is>
          <t>TAK</t>
        </is>
      </c>
      <c r="F121" s="11" t="inlineStr">
        <is>
          <t>TAK</t>
        </is>
      </c>
      <c r="G121" s="11" t="inlineStr">
        <is>
          <t>TAK</t>
        </is>
      </c>
      <c r="H121" s="11" t="inlineStr">
        <is>
          <t>TAK</t>
        </is>
      </c>
      <c r="I121" s="11" t="inlineStr">
        <is>
          <t>DZIAŁA</t>
        </is>
      </c>
      <c r="J121" s="12" t="inlineStr">
        <is>
          <t>2026-09-22 D1: components/hosting/DnsZoneSection.tsx — edytor strefy w zakladce Domeny huba uslugi (wybor domeny, DnsManager z onChanged); dns-manager.tsx typy A/AAAA/CNAME/MX/TXT/SRV/NS/CAA; API subscriptions/dto/hosting-dns.dto.ts (whitelista typow, wzorzec nazwy, zakaz znakow sterujacych, TTL 60-86400) + assertDomainOnSubscription przy odczycie/dodaniu/usunieciu; test hosting-dns-dto.spec.ts; D3 t1 (d3.hvln.pl) 29.09 po wdrożeniu 13:00 (panel klienta): CAA 0 issue "letsencrypt.org" dodany z panelu i widoczny w strefie; SRV nie sprawdzany; usuwanie/zmiana takich rekordów — poprawka 3b508f6; D3 t1 29.09 (panel klienta, d3.hvln.pl): CAA dodany wcześniej; SRV _sip._tcp „10 5 5060 mail.d3.hvln.pl.” dodany i usunięty z panelu (wartość ze spacjami, bez duplikatu), licznik 15→16→15</t>
        </is>
      </c>
      <c r="K121" s="11" t="inlineStr">
        <is>
          <t>PARYTET</t>
        </is>
      </c>
      <c r="L121" s="11" t="inlineStr">
        <is>
          <t>WYSOKA</t>
        </is>
      </c>
      <c r="M121" s="11" t="inlineStr">
        <is>
          <t>S</t>
        </is>
      </c>
      <c r="N121" s="12" t="inlineStr">
        <is>
          <t xml:space="preserve"> | 2026-09-22 KOREKTA OPISU: trasa hosting-sso-url ISTNIEJE w API (services.controller.ts, SPRINT-1c) — opis z audytu byl nieaktualny. KOD: komponent DnsManager byl gotowy i nigdzie nie wyrenderowany; podpiety w zakladce Domeny. Przy okazji zamknieta luka na granicy zaufania: body rekordu bylo nietypowane (dowolny typ, znak nowej linii w wartosci = drugi rekord w strefie), a domena z zapytania nie byla sprawdzana wobec konta. OTWARTE do D3 (sprint 18, wezel): format usuwania rekordu w CMD_API_DNS_CONTROL nie jest potwierdzony na zywym DA (komentarz ponytail w directadmin.service.ts) — edycja robi create-then-delete, wiec nieudane usuniecie daloby duplikat. | 2026-09-23: usuwanie rekordu wymaga potwierdzenia; preset „SPF (poczta Verris)” poprawiony na v=spf1 a mx ~all.</t>
        </is>
      </c>
    </row>
    <row r="122">
      <c r="A122" s="11" t="inlineStr">
        <is>
          <t>F-03</t>
        </is>
      </c>
      <c r="B122" s="12" t="inlineStr">
        <is>
          <t>F</t>
        </is>
      </c>
      <c r="C122" s="11" t="inlineStr">
        <is>
          <t>Link do strefy DNS w DirectAdmin</t>
        </is>
      </c>
      <c r="D122" s="11" t="inlineStr">
        <is>
          <t>—</t>
        </is>
      </c>
      <c r="E122" s="11" t="inlineStr">
        <is>
          <t>—</t>
        </is>
      </c>
      <c r="F122" s="11" t="inlineStr">
        <is>
          <t>—</t>
        </is>
      </c>
      <c r="G122" s="11" t="inlineStr">
        <is>
          <t>CZĘŚĆ</t>
        </is>
      </c>
      <c r="H122" s="11" t="inlineStr">
        <is>
          <t>NIE</t>
        </is>
      </c>
      <c r="I122" s="11" t="inlineStr">
        <is>
          <t>DZIAŁA</t>
        </is>
      </c>
      <c r="J122" s="12" t="inlineStr">
        <is>
          <t>client-panel DomainsTab.tsx, DomainPointingPanel.tsx, ServiceOverviewV2/Tab — bez links.dnsUrl</t>
        </is>
      </c>
      <c r="K122" s="11" t="inlineStr">
        <is>
          <t>PARYTET</t>
        </is>
      </c>
      <c r="L122" s="11" t="inlineStr">
        <is>
          <t>—</t>
        </is>
      </c>
      <c r="M122" s="11" t="inlineStr">
        <is>
          <t>—</t>
        </is>
      </c>
      <c r="N122" s="12" t="inlineStr">
        <is>
          <t>obejście braku edytora — pokazuje klientowi obcy panel | 2026-09-25: link do strefy DNS w panelu DirectAdmin usunięty z zakładki Domeny, panelu kierowania domeny i przeglądu usługi — strefę edytuje się własnym edytorem Verris (F-01/F-02, DnsZoneSection) w tej samej zakładce. Zgodne z decyzją o pełnym white label.</t>
        </is>
      </c>
    </row>
    <row r="123">
      <c r="A123" s="11" t="inlineStr">
        <is>
          <t>F-04</t>
        </is>
      </c>
      <c r="B123" s="12" t="inlineStr">
        <is>
          <t>F</t>
        </is>
      </c>
      <c r="C123" s="11" t="inlineStr">
        <is>
          <t>Instrukcja skierowania domeny (NS / rekord A)</t>
        </is>
      </c>
      <c r="D123" s="11" t="inlineStr">
        <is>
          <t>CZĘŚĆ</t>
        </is>
      </c>
      <c r="E123" s="11" t="inlineStr">
        <is>
          <t>CZĘŚĆ</t>
        </is>
      </c>
      <c r="F123" s="11" t="inlineStr">
        <is>
          <t>CZĘŚĆ</t>
        </is>
      </c>
      <c r="G123" s="11" t="inlineStr">
        <is>
          <t>CZĘŚĆ</t>
        </is>
      </c>
      <c r="H123" s="11" t="inlineStr">
        <is>
          <t>TAK</t>
        </is>
      </c>
      <c r="I123" s="11" t="inlineStr">
        <is>
          <t>DZIAŁA</t>
        </is>
      </c>
      <c r="J123" s="12" t="inlineStr">
        <is>
          <t>DomainPointingPanel.tsx:232</t>
        </is>
      </c>
      <c r="K123" s="11" t="inlineStr">
        <is>
          <t>PRZEWAGA</t>
        </is>
      </c>
      <c r="L123" s="11" t="inlineStr">
        <is>
          <t>—</t>
        </is>
      </c>
      <c r="M123" s="11" t="inlineStr">
        <is>
          <t>—</t>
        </is>
      </c>
      <c r="N123" s="12" t="inlineStr"/>
    </row>
    <row r="124">
      <c r="A124" s="11" t="inlineStr">
        <is>
          <t>F-05</t>
        </is>
      </c>
      <c r="B124" s="12" t="inlineStr">
        <is>
          <t>F</t>
        </is>
      </c>
      <c r="C124" s="11" t="inlineStr">
        <is>
          <t>Weryfikacja skierowania domeny na żywo</t>
        </is>
      </c>
      <c r="D124" s="11" t="inlineStr">
        <is>
          <t>NIE</t>
        </is>
      </c>
      <c r="E124" s="11" t="inlineStr">
        <is>
          <t>CZĘŚĆ</t>
        </is>
      </c>
      <c r="F124" s="11" t="inlineStr">
        <is>
          <t>NIE</t>
        </is>
      </c>
      <c r="G124" s="11" t="inlineStr">
        <is>
          <t>CZĘŚĆ</t>
        </is>
      </c>
      <c r="H124" s="11" t="inlineStr">
        <is>
          <t>TAK</t>
        </is>
      </c>
      <c r="I124" s="11" t="inlineStr">
        <is>
          <t>DZIAŁA</t>
        </is>
      </c>
      <c r="J124" s="12" t="inlineStr">
        <is>
          <t>services.controller.ts:365</t>
        </is>
      </c>
      <c r="K124" s="11" t="inlineStr">
        <is>
          <t>PRZEWAGA</t>
        </is>
      </c>
      <c r="L124" s="11" t="inlineStr">
        <is>
          <t>—</t>
        </is>
      </c>
      <c r="M124" s="11" t="inlineStr">
        <is>
          <t>—</t>
        </is>
      </c>
      <c r="N124" s="12" t="inlineStr">
        <is>
          <t>z auto-pollingiem</t>
        </is>
      </c>
    </row>
    <row r="125">
      <c r="A125" s="11" t="inlineStr">
        <is>
          <t>F-06</t>
        </is>
      </c>
      <c r="B125" s="12" t="inlineStr">
        <is>
          <t>F</t>
        </is>
      </c>
      <c r="C125" s="11" t="inlineStr">
        <is>
          <t>DNSSEC</t>
        </is>
      </c>
      <c r="D125" s="11" t="inlineStr">
        <is>
          <t>TAK</t>
        </is>
      </c>
      <c r="E125" s="11" t="inlineStr">
        <is>
          <t>TAK</t>
        </is>
      </c>
      <c r="F125" s="11" t="inlineStr">
        <is>
          <t>TAK</t>
        </is>
      </c>
      <c r="G125" s="11" t="inlineStr">
        <is>
          <t>b.d.</t>
        </is>
      </c>
      <c r="H125" s="11" t="inlineStr">
        <is>
          <t>CZĘŚĆ</t>
        </is>
      </c>
      <c r="I125" s="11" t="inlineStr">
        <is>
          <t>DZIAŁA</t>
        </is>
      </c>
      <c r="J125" s="12" t="inlineStr">
        <is>
          <t>servers/directadmin.service.ts getHostingDnssec/enableHostingDnssec/disableHostingDnssec; services.controller.ts :id/hosting-dns/dnssec; client-panel components/hosting/DnssecPanel.tsx; ops/scripts/node-hosting-profile.sh dnssec=1; test directadmin.dnssec.spec.ts; D3 t1 29.09 (panel klienta, d3.hvln.pl): „Włącz DNSSEC” → strefa podpisana, rekord DS (13 2 …) do rejestratora, „Kopiuj rekordy DS”; data podpisu z sekund Unix poprawiona w d93c86e</t>
        </is>
      </c>
      <c r="K125" s="11" t="inlineStr">
        <is>
          <t>PARYTET</t>
        </is>
      </c>
      <c r="L125" s="11" t="inlineStr">
        <is>
          <t>ŚREDNIA</t>
        </is>
      </c>
      <c r="M125" s="11" t="inlineStr">
        <is>
          <t>M</t>
        </is>
      </c>
      <c r="N125" s="12" t="inlineStr">
        <is>
          <t>żaden z 5 hostingów PL nie potwierdza publicznie | 2026-09-25 KOD (D2): DNSSEC wg oficjalnej dokumentacji DirectAdmina (CMD_API_DNS_ADMIN action=dnssec: get_keys / generate_keys / sign_zone / remove_dnssec; dnssec=1 w directadmin.conf; DA sam odnawia podpisy). Widok strony → Domena i DNS → DNSSEC: stan, włącz (klucze tylko gdy ich nie ma — nowe klucze zmieniłyby DS już wpisany u rejestratora), rekordy DS do skopiowania, wyłącz z ostrzeżeniem (najpierw usuń DS u rejestratora). Subkonto: DNS_MANAGE. Audyt: HOSTING_DNSSEC_ENABLED/DISABLED. D3 w wezel.csv. PO STARCIE: automatyczne wysłanie DS do OpenProvider dla domen rejestrowanych u nas.</t>
        </is>
      </c>
    </row>
    <row r="126">
      <c r="A126" s="11" t="inlineStr">
        <is>
          <t>F-07</t>
        </is>
      </c>
      <c r="B126" s="12" t="inlineStr">
        <is>
          <t>F</t>
        </is>
      </c>
      <c r="C126" s="11" t="inlineStr">
        <is>
          <t>Secondary / slave DNS</t>
        </is>
      </c>
      <c r="D126" s="11" t="inlineStr">
        <is>
          <t>TAK</t>
        </is>
      </c>
      <c r="E126" s="11" t="inlineStr">
        <is>
          <t>TAK</t>
        </is>
      </c>
      <c r="F126" s="11" t="inlineStr">
        <is>
          <t>TAK</t>
        </is>
      </c>
      <c r="G126" s="11" t="inlineStr">
        <is>
          <t>b.d.</t>
        </is>
      </c>
      <c r="H126" s="11" t="inlineStr">
        <is>
          <t>NIE</t>
        </is>
      </c>
      <c r="I126" s="11" t="inlineStr">
        <is>
          <t>BRAK</t>
        </is>
      </c>
      <c r="J126" s="12" t="inlineStr">
        <is>
          <t>—</t>
        </is>
      </c>
      <c r="K126" s="11" t="inlineStr">
        <is>
          <t>POZA ZAKRESEM</t>
        </is>
      </c>
      <c r="L126" s="11" t="inlineStr">
        <is>
          <t>NISKA</t>
        </is>
      </c>
      <c r="M126" s="11" t="inlineStr">
        <is>
          <t>—</t>
        </is>
      </c>
      <c r="N126" s="12" t="inlineStr">
        <is>
          <t>Wtórny DNS ma sens przy własnej infrastrukturze DNS wielolokalizacyjnej; przy jednym operatorze i delegacji na zewnątrz (F-09) nie wnosi odporności, którą obiecuje.</t>
        </is>
      </c>
    </row>
    <row r="127">
      <c r="A127" s="11" t="inlineStr">
        <is>
          <t>F-08</t>
        </is>
      </c>
      <c r="B127" s="12" t="inlineStr">
        <is>
          <t>F</t>
        </is>
      </c>
      <c r="C127" s="11" t="inlineStr">
        <is>
          <t>Własne nameservery (vanity NS)</t>
        </is>
      </c>
      <c r="D127" s="11" t="inlineStr">
        <is>
          <t>TAK</t>
        </is>
      </c>
      <c r="E127" s="11" t="inlineStr">
        <is>
          <t>TAK</t>
        </is>
      </c>
      <c r="F127" s="11" t="inlineStr">
        <is>
          <t>TAK</t>
        </is>
      </c>
      <c r="G127" s="11" t="inlineStr">
        <is>
          <t>CZĘŚĆ</t>
        </is>
      </c>
      <c r="H127" s="11" t="inlineStr">
        <is>
          <t>CZĘŚĆ</t>
        </is>
      </c>
      <c r="I127" s="11" t="inlineStr">
        <is>
          <t>DZIAŁA</t>
        </is>
      </c>
      <c r="J127" s="12" t="inlineStr">
        <is>
          <t>servers.admin.controller.ts:204,209</t>
        </is>
      </c>
      <c r="K127" s="11" t="inlineStr">
        <is>
          <t>PARYTET</t>
        </is>
      </c>
      <c r="L127" s="11" t="inlineStr">
        <is>
          <t>—</t>
        </is>
      </c>
      <c r="M127" s="11" t="inlineStr">
        <is>
          <t>—</t>
        </is>
      </c>
      <c r="N127" s="12" t="inlineStr">
        <is>
          <t>po stronie operatora, per węzeł</t>
        </is>
      </c>
    </row>
    <row r="128">
      <c r="A128" s="11" t="inlineStr">
        <is>
          <t>F-09</t>
        </is>
      </c>
      <c r="B128" s="12" t="inlineStr">
        <is>
          <t>F</t>
        </is>
      </c>
      <c r="C128" s="11" t="inlineStr">
        <is>
          <t>Delegacja domeny na zewnętrzny DNS</t>
        </is>
      </c>
      <c r="D128" s="11" t="inlineStr">
        <is>
          <t>TAK</t>
        </is>
      </c>
      <c r="E128" s="11" t="inlineStr">
        <is>
          <t>TAK</t>
        </is>
      </c>
      <c r="F128" s="11" t="inlineStr">
        <is>
          <t>TAK</t>
        </is>
      </c>
      <c r="G128" s="11" t="inlineStr">
        <is>
          <t>TAK</t>
        </is>
      </c>
      <c r="H128" s="11" t="inlineStr">
        <is>
          <t>TAK</t>
        </is>
      </c>
      <c r="I128" s="11" t="inlineStr">
        <is>
          <t>DZIAŁA</t>
        </is>
      </c>
      <c r="J128" s="12" t="inlineStr">
        <is>
          <t>brak wymuszania własnych NS</t>
        </is>
      </c>
      <c r="K128" s="11" t="inlineStr">
        <is>
          <t>PARYTET</t>
        </is>
      </c>
      <c r="L128" s="11" t="inlineStr">
        <is>
          <t>—</t>
        </is>
      </c>
      <c r="M128" s="11" t="inlineStr">
        <is>
          <t>—</t>
        </is>
      </c>
      <c r="N128" s="12" t="inlineStr">
        <is>
          <t>home.pl tego zabrania — nasza przewaga narracyjna</t>
        </is>
      </c>
    </row>
    <row r="129">
      <c r="A129" s="11" t="inlineStr">
        <is>
          <t>F-10</t>
        </is>
      </c>
      <c r="B129" s="12" t="inlineStr">
        <is>
          <t>F</t>
        </is>
      </c>
      <c r="C129" s="11" t="inlineStr">
        <is>
          <t>Szablony stref DNS</t>
        </is>
      </c>
      <c r="D129" s="11" t="inlineStr">
        <is>
          <t>TAK</t>
        </is>
      </c>
      <c r="E129" s="11" t="inlineStr">
        <is>
          <t>TAK</t>
        </is>
      </c>
      <c r="F129" s="11" t="inlineStr">
        <is>
          <t>TAK</t>
        </is>
      </c>
      <c r="G129" s="11" t="inlineStr">
        <is>
          <t>NIE</t>
        </is>
      </c>
      <c r="H129" s="11" t="inlineStr">
        <is>
          <t>NIE</t>
        </is>
      </c>
      <c r="I129" s="11" t="inlineStr">
        <is>
          <t>BRAK</t>
        </is>
      </c>
      <c r="J129" s="12" t="inlineStr">
        <is>
          <t>—</t>
        </is>
      </c>
      <c r="K129" s="11" t="inlineStr">
        <is>
          <t>POZA ZAKRESEM</t>
        </is>
      </c>
      <c r="L129" s="11" t="inlineStr">
        <is>
          <t>NISKA</t>
        </is>
      </c>
      <c r="M129" s="11" t="inlineStr">
        <is>
          <t>—</t>
        </is>
      </c>
      <c r="N129" s="12" t="inlineStr">
        <is>
          <t>Szablony stref są narzędziem resellera zarządzającego setkami domen. Do rozważenia razem z epikiem E-07, nie wcześniej.</t>
        </is>
      </c>
    </row>
    <row r="130">
      <c r="A130" s="11" t="inlineStr">
        <is>
          <t>F-11</t>
        </is>
      </c>
      <c r="B130" s="12" t="inlineStr">
        <is>
          <t>F</t>
        </is>
      </c>
      <c r="C130" s="11" t="inlineStr">
        <is>
          <t>Zmiana TTL rekordów</t>
        </is>
      </c>
      <c r="D130" s="11" t="inlineStr">
        <is>
          <t>TAK</t>
        </is>
      </c>
      <c r="E130" s="11" t="inlineStr">
        <is>
          <t>TAK</t>
        </is>
      </c>
      <c r="F130" s="11" t="inlineStr">
        <is>
          <t>TAK</t>
        </is>
      </c>
      <c r="G130" s="11" t="inlineStr">
        <is>
          <t>CZĘŚĆ</t>
        </is>
      </c>
      <c r="H130" s="11" t="inlineStr">
        <is>
          <t>TAK</t>
        </is>
      </c>
      <c r="I130" s="11" t="inlineStr">
        <is>
          <t>DZIAŁA</t>
        </is>
      </c>
      <c r="J130" s="12" t="inlineStr">
        <is>
          <t>dns-manager.tsx:287,349 — pole TTL w formularzu rekordu → UtworzRekordDnsDto.ttl (60–86400) → directadmin.service createHostingDnsRecord ttl; D3 t1 (d3.hvln.pl) 29.09 po wdrożeniu 13:00 (panel klienta): FAIL: zmiana TTL rekordu → „zapisano”, TTL bez zmian (panel: dodaj+usuń); do tego usuwanie rekordów ze spacją w wartości (MX/TXT/CAA/SRV) nie działało (kodowanie „+”); poprawka 3b508f6 (DA action=edit, %20) czeka na push; D3 t1 29.09 13:43 po wdrożeniu 3b508f6 (panel klienta): TTL rekordu CAA 3600 → 1800 → 3600 zapisany w strefie (PUT /services/:id/hosting-dns → DA action=edit)</t>
        </is>
      </c>
      <c r="K130" s="11" t="inlineStr">
        <is>
          <t>PARYTET</t>
        </is>
      </c>
      <c r="L130" s="11" t="inlineStr">
        <is>
          <t>ŚREDNIA</t>
        </is>
      </c>
      <c r="M130" s="11" t="inlineStr">
        <is>
          <t>S</t>
        </is>
      </c>
      <c r="N130" s="12" t="inlineStr">
        <is>
          <t>2026-09-23: już nie atrapa — TTL wybierany i wysyłany do DA (D1). OTWARTE do D3 razem z F-01 (PB-21): czy DA zapisuje TTL rekordu.</t>
        </is>
      </c>
    </row>
    <row r="131">
      <c r="A131" s="11" t="inlineStr">
        <is>
          <t>F-12</t>
        </is>
      </c>
      <c r="B131" s="12" t="inlineStr">
        <is>
          <t>F</t>
        </is>
      </c>
      <c r="C131" s="11" t="inlineStr">
        <is>
          <t>Anycast DNS</t>
        </is>
      </c>
      <c r="D131" s="11" t="inlineStr">
        <is>
          <t>NIE</t>
        </is>
      </c>
      <c r="E131" s="11" t="inlineStr">
        <is>
          <t>NIE</t>
        </is>
      </c>
      <c r="F131" s="11" t="inlineStr">
        <is>
          <t>NIE</t>
        </is>
      </c>
      <c r="G131" s="11" t="inlineStr">
        <is>
          <t>CZĘŚĆ</t>
        </is>
      </c>
      <c r="H131" s="11" t="inlineStr">
        <is>
          <t>CZĘŚĆ</t>
        </is>
      </c>
      <c r="I131" s="11" t="inlineStr">
        <is>
          <t>BRAK</t>
        </is>
      </c>
      <c r="J131" s="12" t="inlineStr">
        <is>
          <t>—</t>
        </is>
      </c>
      <c r="K131" s="11" t="inlineStr">
        <is>
          <t>LUKA</t>
        </is>
      </c>
      <c r="L131" s="11" t="inlineStr">
        <is>
          <t>NISKA</t>
        </is>
      </c>
      <c r="M131" s="11" t="inlineStr">
        <is>
          <t>L</t>
        </is>
      </c>
      <c r="N131" s="12" t="inlineStr">
        <is>
          <t>tylko nazwa.pl na rynku PL</t>
        </is>
      </c>
    </row>
    <row r="132">
      <c r="A132" s="11" t="inlineStr">
        <is>
          <t>G-01</t>
        </is>
      </c>
      <c r="B132" s="12" t="inlineStr">
        <is>
          <t>G</t>
        </is>
      </c>
      <c r="C132" s="11" t="inlineStr">
        <is>
          <t>Certyfikat Let's Encrypt — wystawienie</t>
        </is>
      </c>
      <c r="D132" s="11" t="inlineStr">
        <is>
          <t>TAK</t>
        </is>
      </c>
      <c r="E132" s="11" t="inlineStr">
        <is>
          <t>TAK</t>
        </is>
      </c>
      <c r="F132" s="11" t="inlineStr">
        <is>
          <t>TAK</t>
        </is>
      </c>
      <c r="G132" s="11" t="inlineStr">
        <is>
          <t>TAK</t>
        </is>
      </c>
      <c r="H132" s="11" t="inlineStr">
        <is>
          <t>TAK</t>
        </is>
      </c>
      <c r="I132" s="11" t="inlineStr">
        <is>
          <t>DZIAŁA</t>
        </is>
      </c>
      <c r="J132" s="12" t="inlineStr">
        <is>
          <t>services.controller.ts:741; D3 t1 (d3.hvln.pl) 28.09 22:45: LE dla d3.hvln.pl + www (89 dni); poprawki le_select i wystawianie dopiero po DNS</t>
        </is>
      </c>
      <c r="K132" s="11" t="inlineStr">
        <is>
          <t>PARYTET</t>
        </is>
      </c>
      <c r="L132" s="11" t="inlineStr">
        <is>
          <t>—</t>
        </is>
      </c>
      <c r="M132" s="11" t="inlineStr">
        <is>
          <t>—</t>
        </is>
      </c>
      <c r="N132" s="12" t="inlineStr"/>
    </row>
    <row r="133">
      <c r="A133" s="11" t="inlineStr">
        <is>
          <t>G-02</t>
        </is>
      </c>
      <c r="B133" s="12" t="inlineStr">
        <is>
          <t>G</t>
        </is>
      </c>
      <c r="C133" s="11" t="inlineStr">
        <is>
          <t>Certyfikat z www i bez www</t>
        </is>
      </c>
      <c r="D133" s="11" t="inlineStr">
        <is>
          <t>TAK</t>
        </is>
      </c>
      <c r="E133" s="11" t="inlineStr">
        <is>
          <t>TAK</t>
        </is>
      </c>
      <c r="F133" s="11" t="inlineStr">
        <is>
          <t>TAK</t>
        </is>
      </c>
      <c r="G133" s="11" t="inlineStr">
        <is>
          <t>TAK</t>
        </is>
      </c>
      <c r="H133" s="11" t="inlineStr">
        <is>
          <t>TAK</t>
        </is>
      </c>
      <c r="I133" s="11" t="inlineStr">
        <is>
          <t>DZIAŁA</t>
        </is>
      </c>
      <c r="J133" s="12" t="inlineStr">
        <is>
          <t>HostingSslForms.tsx:93</t>
        </is>
      </c>
      <c r="K133" s="11" t="inlineStr">
        <is>
          <t>PARYTET</t>
        </is>
      </c>
      <c r="L133" s="11" t="inlineStr">
        <is>
          <t>—</t>
        </is>
      </c>
      <c r="M133" s="11" t="inlineStr">
        <is>
          <t>—</t>
        </is>
      </c>
      <c r="N133" s="12" t="inlineStr"/>
    </row>
    <row r="134">
      <c r="A134" s="11" t="inlineStr">
        <is>
          <t>G-03</t>
        </is>
      </c>
      <c r="B134" s="12" t="inlineStr">
        <is>
          <t>G</t>
        </is>
      </c>
      <c r="C134" s="11" t="inlineStr">
        <is>
          <t>Certyfikat wildcard (DNS-01)</t>
        </is>
      </c>
      <c r="D134" s="11" t="inlineStr">
        <is>
          <t>TAK</t>
        </is>
      </c>
      <c r="E134" s="11" t="inlineStr">
        <is>
          <t>TAK</t>
        </is>
      </c>
      <c r="F134" s="11" t="inlineStr">
        <is>
          <t>TAK</t>
        </is>
      </c>
      <c r="G134" s="11" t="inlineStr">
        <is>
          <t>CZĘŚĆ</t>
        </is>
      </c>
      <c r="H134" s="11" t="inlineStr">
        <is>
          <t>CZĘŚĆ</t>
        </is>
      </c>
      <c r="I134" s="11" t="inlineStr">
        <is>
          <t>DZIAŁA</t>
        </is>
      </c>
      <c r="J134" s="12" t="inlineStr">
        <is>
          <t>HostingSslForms.tsx:103; D3 t1 (d3.hvln.pl) 29.09 00:51 FAIL: zamówienie z panelu → wiadomość DA „Musi być wybrana co najmniej jedna pozycja Let's Encrypt” (tryb wildcard czyta le_wc_selectN); z le_wc_select0/1 wystawiony CN=*.d3.hvln.pl w ~1 min; poprawka 44d0875 czeka na wdrożenie; retest z panelu; D3 t1 (d3.hvln.pl) 29.09 08:00 po wdrożeniu: wildcard z panelu → CN=*.d3.hvln.pl wystawiony w ~1 min</t>
        </is>
      </c>
      <c r="K134" s="11" t="inlineStr">
        <is>
          <t>PRZEWAGA</t>
        </is>
      </c>
      <c r="L134" s="11" t="inlineStr">
        <is>
          <t>—</t>
        </is>
      </c>
      <c r="M134" s="11" t="inlineStr">
        <is>
          <t>—</t>
        </is>
      </c>
      <c r="N134" s="12" t="inlineStr"/>
    </row>
    <row r="135">
      <c r="A135" s="11" t="inlineStr">
        <is>
          <t>G-04</t>
        </is>
      </c>
      <c r="B135" s="12" t="inlineStr">
        <is>
          <t>G</t>
        </is>
      </c>
      <c r="C135" s="11" t="inlineStr">
        <is>
          <t>Automatyczne odnawianie certyfikatu</t>
        </is>
      </c>
      <c r="D135" s="11" t="inlineStr">
        <is>
          <t>TAK</t>
        </is>
      </c>
      <c r="E135" s="11" t="inlineStr">
        <is>
          <t>TAK</t>
        </is>
      </c>
      <c r="F135" s="11" t="inlineStr">
        <is>
          <t>TAK</t>
        </is>
      </c>
      <c r="G135" s="11" t="inlineStr">
        <is>
          <t>TAK</t>
        </is>
      </c>
      <c r="H135" s="11" t="inlineStr">
        <is>
          <t>TAK</t>
        </is>
      </c>
      <c r="I135" s="11" t="inlineStr">
        <is>
          <t>DZIAŁA</t>
        </is>
      </c>
      <c r="J135" s="12" t="inlineStr">
        <is>
          <t>przez DA</t>
        </is>
      </c>
      <c r="K135" s="11" t="inlineStr">
        <is>
          <t>PARYTET</t>
        </is>
      </c>
      <c r="L135" s="11" t="inlineStr">
        <is>
          <t>—</t>
        </is>
      </c>
      <c r="M135" s="11" t="inlineStr">
        <is>
          <t>—</t>
        </is>
      </c>
      <c r="N135" s="12" t="inlineStr"/>
    </row>
    <row r="136">
      <c r="A136" s="11" t="inlineStr">
        <is>
          <t>G-05</t>
        </is>
      </c>
      <c r="B136" s="12" t="inlineStr">
        <is>
          <t>G</t>
        </is>
      </c>
      <c r="C136" s="11" t="inlineStr">
        <is>
          <t>Wgranie własnego certyfikatu i klucza</t>
        </is>
      </c>
      <c r="D136" s="11" t="inlineStr">
        <is>
          <t>TAK</t>
        </is>
      </c>
      <c r="E136" s="11" t="inlineStr">
        <is>
          <t>TAK</t>
        </is>
      </c>
      <c r="F136" s="11" t="inlineStr">
        <is>
          <t>TAK</t>
        </is>
      </c>
      <c r="G136" s="11" t="inlineStr">
        <is>
          <t>TAK</t>
        </is>
      </c>
      <c r="H136" s="11" t="inlineStr">
        <is>
          <t>TAK</t>
        </is>
      </c>
      <c r="I136" s="11" t="inlineStr">
        <is>
          <t>DZIAŁA</t>
        </is>
      </c>
      <c r="J136" s="12" t="inlineStr">
        <is>
          <t>services.controller.ts:754</t>
        </is>
      </c>
      <c r="K136" s="11" t="inlineStr">
        <is>
          <t>PARYTET</t>
        </is>
      </c>
      <c r="L136" s="11" t="inlineStr">
        <is>
          <t>—</t>
        </is>
      </c>
      <c r="M136" s="11" t="inlineStr">
        <is>
          <t>—</t>
        </is>
      </c>
      <c r="N136" s="12" t="inlineStr"/>
    </row>
    <row r="137">
      <c r="A137" s="11" t="inlineStr">
        <is>
          <t>G-06</t>
        </is>
      </c>
      <c r="B137" s="12" t="inlineStr">
        <is>
          <t>G</t>
        </is>
      </c>
      <c r="C137" s="11" t="inlineStr">
        <is>
          <t>Lista certyfikatów ze statusem i datą wygaśnięcia</t>
        </is>
      </c>
      <c r="D137" s="11" t="inlineStr">
        <is>
          <t>TAK</t>
        </is>
      </c>
      <c r="E137" s="11" t="inlineStr">
        <is>
          <t>TAK</t>
        </is>
      </c>
      <c r="F137" s="11" t="inlineStr">
        <is>
          <t>TAK</t>
        </is>
      </c>
      <c r="G137" s="11" t="inlineStr">
        <is>
          <t>CZĘŚĆ</t>
        </is>
      </c>
      <c r="H137" s="11" t="inlineStr">
        <is>
          <t>TAK</t>
        </is>
      </c>
      <c r="I137" s="11" t="inlineStr">
        <is>
          <t>DZIAŁA</t>
        </is>
      </c>
      <c r="J137" s="12" t="inlineStr">
        <is>
          <t>services.controller.ts:736; directadmin.service.ts:2547</t>
        </is>
      </c>
      <c r="K137" s="11" t="inlineStr">
        <is>
          <t>PARYTET</t>
        </is>
      </c>
      <c r="L137" s="11" t="inlineStr">
        <is>
          <t>—</t>
        </is>
      </c>
      <c r="M137" s="11" t="inlineStr">
        <is>
          <t>—</t>
        </is>
      </c>
      <c r="N137" s="12" t="inlineStr">
        <is>
          <t>realny odczyt PEM</t>
        </is>
      </c>
    </row>
    <row r="138">
      <c r="A138" s="11" t="inlineStr">
        <is>
          <t>G-07</t>
        </is>
      </c>
      <c r="B138" s="12" t="inlineStr">
        <is>
          <t>G</t>
        </is>
      </c>
      <c r="C138" s="11" t="inlineStr">
        <is>
          <t>HSTS</t>
        </is>
      </c>
      <c r="D138" s="11" t="inlineStr">
        <is>
          <t>TAK</t>
        </is>
      </c>
      <c r="E138" s="11" t="inlineStr">
        <is>
          <t>TAK</t>
        </is>
      </c>
      <c r="F138" s="11" t="inlineStr">
        <is>
          <t>CZĘŚĆ</t>
        </is>
      </c>
      <c r="G138" s="11" t="inlineStr">
        <is>
          <t>CZĘŚĆ</t>
        </is>
      </c>
      <c r="H138" s="11" t="inlineStr">
        <is>
          <t>CZĘŚĆ</t>
        </is>
      </c>
      <c r="I138" s="11" t="inlineStr">
        <is>
          <t>DZIAŁA</t>
        </is>
      </c>
      <c r="J138" s="12" t="inlineStr">
        <is>
          <t>ops/scripts/node-htaccess.sh; subscriptions/htaccess.service.ts; HtaccessPanel.tsx (strona → PHP i serwer); D3 t1 29.09 (panel klienta, d3.hvln.pl): HSTS włączony w „PHP i serwer” → nagłówek strict-transport-security: max-age=31536000 na /, /wp-login.php i plikach statycznych</t>
        </is>
      </c>
      <c r="K138" s="11" t="inlineStr">
        <is>
          <t>PARYTET</t>
        </is>
      </c>
      <c r="L138" s="11" t="inlineStr">
        <is>
          <t>NISKA</t>
        </is>
      </c>
      <c r="M138" s="11" t="inlineStr">
        <is>
          <t>S</t>
        </is>
      </c>
      <c r="N138" s="12" t="inlineStr">
        <is>
          <t>2026-09-24: KOD (D2) + skrypt sprawdzony lokalnie — HSTS na rok jednym przełącznikiem (Header always set w IfModule mod_headers; przeglądarki ignorują go po HTTP, więc bez warunku). Panel zarządza tylko blokiem „# BEGIN Verris” na początku public_html/.htaccess (reguły WordPressa i klienta zostają), plik czyta i zapisuje klient (dowiązanie → odmowa), po zapisie kontrola strony i przy 5xx powrót poprzedniego pliku. OTWARTE do D3 (sprint 21): Apache/LiteSpeed na węźle. | 2026-09-24 SKALA DOWODU (decyzja PM): funkcja bez pieniędzy, danych klienta i dostępu — D2 (test w CI) wystarcza do „zrobione”, więc werdykt PARYTET. Stan zostaje CZĘŚCIOWE do testu na węźle (audyt/dane/wezel.csv).</t>
        </is>
      </c>
    </row>
    <row r="139">
      <c r="A139" s="11" t="inlineStr">
        <is>
          <t>G-08</t>
        </is>
      </c>
      <c r="B139" s="12" t="inlineStr">
        <is>
          <t>G</t>
        </is>
      </c>
      <c r="C139" s="11" t="inlineStr">
        <is>
          <t>Sprzedaż certyfikatów DV/OV/EV</t>
        </is>
      </c>
      <c r="D139" s="11" t="inlineStr">
        <is>
          <t>NIE</t>
        </is>
      </c>
      <c r="E139" s="11" t="inlineStr">
        <is>
          <t>NIE</t>
        </is>
      </c>
      <c r="F139" s="11" t="inlineStr">
        <is>
          <t>NIE</t>
        </is>
      </c>
      <c r="G139" s="11" t="inlineStr">
        <is>
          <t>TAK</t>
        </is>
      </c>
      <c r="H139" s="11" t="inlineStr">
        <is>
          <t>CZĘŚĆ</t>
        </is>
      </c>
      <c r="I139" s="11" t="inlineStr">
        <is>
          <t>DZIAŁA</t>
        </is>
      </c>
      <c r="J139" s="12" t="inlineStr">
        <is>
          <t>apps/api/src/ssl/ssl.service.ts (zamówienie, klucz+CSR na serwerze, szyfrowany), registrar.provider.ts /v1/ssl/*, SslOrder (migracja 20261006090000_certyfikaty_ssl); client SslPlatne.tsx; admin ssl-prices-form.tsx</t>
        </is>
      </c>
      <c r="K139" s="11" t="inlineStr">
        <is>
          <t>CZĘŚCIOWY</t>
        </is>
      </c>
      <c r="L139" s="11" t="inlineStr">
        <is>
          <t>NISKA</t>
        </is>
      </c>
      <c r="M139" s="11" t="inlineStr">
        <is>
          <t>M</t>
        </is>
      </c>
      <c r="N139" s="12" t="inlineStr">
        <is>
          <t>wszystkie 5 hostingów PL to sprzedaje | 2026-10-05 KOD (D2): certyfikaty DV (single, wildcard) z portfela, cena brutto w adminie (puste = ukryte), walidacja DNS w naszej strefie albo e-mail, instalacja na koncie po wydaniu, przypomnienie 30 dni; OV/EV na zapytanie. Zostaje sandbox OP + D3 na t1. | 2026-10-06/07 D3 SANDBOX OpenProvider (test2.d3.hvln.pl, EssentialSSL 48,99 K): trzy pierwsze zamówienia odrzucone, zwrot do portfela zadziałał za każdym razem; przyczyna widoczna dopiero po 19f9613/086016a — „CSR contains an invalid country code” → b449a39 (C=PL w CSR). Czwarte zamówienie przyjęte: stan „oczekuje na weryfikację”, opłata pobrana. Zostaje: rekord DNS od wystawcy, wydanie i instalacja. | 2026-10-07 ZNALEZISKO D3: zamówienie 348 (sandbox OP) stało w weryfikacji — OpenProvider zwraca skróty CSR (md5/sha256 + plik DCV), nie dns_record; rekord CNAME składany wg Sectigo (60e6496). Sandbox podstawia dane wystawcy (vendor_order_id 960000000) — wydanie i instalacja dopiero na produkcyjnym koncie OP (PB-05). | 2026-10-07 po deployu 60e6496: SSL_ORDER_DNS_ADDED 18:00 UTC, rekord _6b18…cd.test2.d3.hvln.pl CNAME …sectigo.com. widoczny w publicznym DNS. Zostaje wydanie i instalacja na produkcyjnym OP.</t>
        </is>
      </c>
    </row>
    <row r="140">
      <c r="A140" s="11" t="inlineStr">
        <is>
          <t>G-09</t>
        </is>
      </c>
      <c r="B140" s="12" t="inlineStr">
        <is>
          <t>G</t>
        </is>
      </c>
      <c r="C140" s="11" t="inlineStr">
        <is>
          <t>WAF — włączenie i tryb pracy</t>
        </is>
      </c>
      <c r="D140" s="11" t="inlineStr">
        <is>
          <t>CZĘŚĆ</t>
        </is>
      </c>
      <c r="E140" s="11" t="inlineStr">
        <is>
          <t>TAK</t>
        </is>
      </c>
      <c r="F140" s="11" t="inlineStr">
        <is>
          <t>CZĘŚĆ</t>
        </is>
      </c>
      <c r="G140" s="11" t="inlineStr">
        <is>
          <t>CZĘŚĆ</t>
        </is>
      </c>
      <c r="H140" s="11" t="inlineStr">
        <is>
          <t>CZĘŚĆ</t>
        </is>
      </c>
      <c r="I140" s="11" t="inlineStr">
        <is>
          <t>DZIAŁA</t>
        </is>
      </c>
      <c r="J140" s="12" t="inlineStr">
        <is>
          <t>services.controller.ts:203; D3 t1 (d3.hvln.pl) 29.09 po wdrożeniu (panel klienta): WAF aktywny: log błędów domeny pokazuje ModSecurity 406 (CRS 949110) dla ataku na xmlrpc.php</t>
        </is>
      </c>
      <c r="K140" s="11" t="inlineStr">
        <is>
          <t>PARYTET</t>
        </is>
      </c>
      <c r="L140" s="11" t="inlineStr">
        <is>
          <t>—</t>
        </is>
      </c>
      <c r="M140" s="11" t="inlineStr">
        <is>
          <t>—</t>
        </is>
      </c>
      <c r="N140" s="12" t="inlineStr">
        <is>
          <t>OFF/DETECTION/ON per konto; dhosting WAF-u nie ma | 2026-09-25 AUDYT SKRYPTÓW WĘZŁA z oficjalną dokumentacją (DA/CloudLinux/LiteSpeed), test src/test/wezel-zgodnie-z-dokumentacja.spec.ts: (1) BEZPIECZEŃSTWO: root dopisywał do .htaccess klienta i robił chown — dowiązanie symboliczne .htaccess → /etc/passwd dawało klientowi zapis do pliku systemowego; teraz edycja jako klient (runuser), walidacja loginu i domeny. (2) Dokumentacja LiteSpeed opisuje w .htaccess tylko `SecRuleEngine Off`; DetectionOnly/On w .htaccess i per-domenowy WAF DA (strona użytkownika „Web Application Firewall”) do weryfikacji na węźle. (3) profil węzła ustawiał modsecurity w CustomBuild bez `da build modsecurity` (log „włączony” bez instalacji) i nieistniejący klucz modsecurity_enabled — teraz build wg dokumentacji DA. | 2026-09-25 (cd.): blok WAF wg dokumentacji LiteSpeed — wyłączenie `&lt;IfModule mod_security.c&gt; SecRuleEngine Off / SecRequestBodyAccess Off`, tryb ON = brak bloku (konfiguracja serwera); DetectionOnly w .htaccess niedokumentowane w LiteSpeed — do sprawdzenia na węźle. | 2026-10-07 D3 t1: d3.hvln.pl w trybie Blokowanie → SQLi/XSS/traversal 406 (wpis ModSecurity w logu), strona/wp-login/wyszukiwanie 200. ZNALEZISKO: nowe konta miały w bazie DETECTION, a bez zadania WAF_APPLY działa konfiguracja serwera (blokowanie) — panel pokazywał nieprawdę; decyzja właściciela: domyślnie blokowanie (0c8b222d, migracja 20261007200000). Admin: usunięte konta poza licznikiem kont i tabelą WAF (4c55370).</t>
        </is>
      </c>
    </row>
    <row r="141">
      <c r="A141" s="11" t="inlineStr">
        <is>
          <t>G-10</t>
        </is>
      </c>
      <c r="B141" s="12" t="inlineStr">
        <is>
          <t>G</t>
        </is>
      </c>
      <c r="C141" s="11" t="inlineStr">
        <is>
          <t>ModSecurity — zarządzanie regułami</t>
        </is>
      </c>
      <c r="D141" s="11" t="inlineStr">
        <is>
          <t>TAK</t>
        </is>
      </c>
      <c r="E141" s="11" t="inlineStr">
        <is>
          <t>TAK</t>
        </is>
      </c>
      <c r="F141" s="11" t="inlineStr">
        <is>
          <t>TAK</t>
        </is>
      </c>
      <c r="G141" s="11" t="inlineStr">
        <is>
          <t>NIE</t>
        </is>
      </c>
      <c r="H141" s="11" t="inlineStr">
        <is>
          <t>NIE</t>
        </is>
      </c>
      <c r="I141" s="11" t="inlineStr">
        <is>
          <t>BRAK</t>
        </is>
      </c>
      <c r="J141" s="12" t="inlineStr">
        <is>
          <t>—</t>
        </is>
      </c>
      <c r="K141" s="11" t="inlineStr">
        <is>
          <t>POZA ZAKRESEM</t>
        </is>
      </c>
      <c r="L141" s="11" t="inlineStr">
        <is>
          <t>NISKA</t>
        </is>
      </c>
      <c r="M141" s="11" t="inlineStr">
        <is>
          <t>—</t>
        </is>
      </c>
      <c r="N141" s="12" t="inlineStr">
        <is>
          <t>poziom operatora</t>
        </is>
      </c>
    </row>
    <row r="142">
      <c r="A142" s="11" t="inlineStr">
        <is>
          <t>G-11</t>
        </is>
      </c>
      <c r="B142" s="12" t="inlineStr">
        <is>
          <t>G</t>
        </is>
      </c>
      <c r="C142" s="11" t="inlineStr">
        <is>
          <t>Skaner malware dla klienta</t>
        </is>
      </c>
      <c r="D142" s="11" t="inlineStr">
        <is>
          <t>PŁATNE</t>
        </is>
      </c>
      <c r="E142" s="11" t="inlineStr">
        <is>
          <t>PŁATNE</t>
        </is>
      </c>
      <c r="F142" s="11" t="inlineStr">
        <is>
          <t>PŁATNE</t>
        </is>
      </c>
      <c r="G142" s="11" t="inlineStr">
        <is>
          <t>CZĘŚĆ</t>
        </is>
      </c>
      <c r="H142" s="11" t="inlineStr">
        <is>
          <t>TAK</t>
        </is>
      </c>
      <c r="I142" s="11" t="inlineStr">
        <is>
          <t>DZIAŁA</t>
        </is>
      </c>
      <c r="J142" s="12" t="inlineStr">
        <is>
          <t>ops/scripts/node-malware-scan.sh (zadanie MALWARE_SCAN: imunify-antivirus on-demand + malicious list, tylko pliki konta), instalacja ImunifyAV w node-hosting-profile.sh, subscriptions/malware-scan.service.ts, :id/hosting-malware(/scan|/refresh), panel MalwarePanel.tsx (Bezpieczeństwo); test malware-scan.service.spec.ts</t>
        </is>
      </c>
      <c r="K142" s="11" t="inlineStr">
        <is>
          <t>PARYTET</t>
        </is>
      </c>
      <c r="L142" s="11" t="inlineStr">
        <is>
          <t>WYSOKA</t>
        </is>
      </c>
      <c r="M142" s="11" t="inlineStr">
        <is>
          <t>L</t>
        </is>
      </c>
      <c r="N142" s="12" t="inlineStr">
        <is>
          <t>DECYZJA WŁAŚCICIELA 2026-09-24: na start darmowy ImunifyAV (skan + lista zainfekowanych plików z instrukcją), później płatny (czyszczenie). 2026-09-24: KOD (D2) + skrypt sprawdzony lokalnie na atrapie CLI. OTWARTE do D3 (sprint 21): instalacja ImunifyAV na węźle, faktyczny format JSON `malware malicious list`, czas pełnego skanu. | Imunify to koszt licencyjny — pozycja do unit economics | 2026-09-24 SKALA DOWODU (decyzja PM): funkcja bez pieniędzy, danych klienta i dostępu — D2 (test w CI) wystarcza do „zrobione”, więc werdykt PARYTET. Stan zostaje CZĘŚCIOWE do testu na węźle (audyt/dane/wezel.csv). | 2026-09-30 D3 t1: 30.09 d3.hvln.pl: skan z panelu wykrył testowy plik EICAR w public_html i pokazał go w wyniku; plik usunięty po teście.</t>
        </is>
      </c>
    </row>
    <row r="143">
      <c r="A143" s="11" t="inlineStr">
        <is>
          <t>G-12</t>
        </is>
      </c>
      <c r="B143" s="12" t="inlineStr">
        <is>
          <t>G</t>
        </is>
      </c>
      <c r="C143" s="11" t="inlineStr">
        <is>
          <t>Czyszczenie zainfekowanych plików</t>
        </is>
      </c>
      <c r="D143" s="11" t="inlineStr">
        <is>
          <t>PŁATNE</t>
        </is>
      </c>
      <c r="E143" s="11" t="inlineStr">
        <is>
          <t>PŁATNE</t>
        </is>
      </c>
      <c r="F143" s="11" t="inlineStr">
        <is>
          <t>PŁATNE</t>
        </is>
      </c>
      <c r="G143" s="11" t="inlineStr">
        <is>
          <t>CZĘŚĆ</t>
        </is>
      </c>
      <c r="H143" s="11" t="inlineStr">
        <is>
          <t>CZĘŚĆ</t>
        </is>
      </c>
      <c r="I143" s="11" t="inlineStr">
        <is>
          <t>DZIAŁA</t>
        </is>
      </c>
      <c r="J143" s="12" t="inlineStr">
        <is>
          <t>ops/scripts/node-malware-scan.sh (kwarantanna/przywroc/usun, manifest w ~/.verris-kwarantanna); subscriptions/malware-scan.service.ts; POST /services/:id/hosting-malware/kwarantanna[/przywroc|/usun]; client MalwarePanel.tsx; testy malware-scan.service.spec.ts, MalwarePanel.spec.tsx</t>
        </is>
      </c>
      <c r="K143" s="11" t="inlineStr">
        <is>
          <t>PARYTET</t>
        </is>
      </c>
      <c r="L143" s="11" t="inlineStr">
        <is>
          <t>ŚREDNIA</t>
        </is>
      </c>
      <c r="M143" s="11" t="inlineStr">
        <is>
          <t>L</t>
        </is>
      </c>
      <c r="N143" s="12" t="inlineStr">
        <is>
          <t xml:space="preserve"> | DECYZJA WŁAŚCICIELA 2026-09-25: na start darmowy ImunifyAV (wykrywanie, G-11), czyszczenie robi obsługa na zgłoszenie; płatny ImunifyAV+ po starcie (wybór „po starcie”). | 2026-10-05 KOD (decyzja właściciela): kwarantanna plików wykrytych przez darmowy ImunifyAV — przeniesienie poza public_html (tryb 000, manifest sha256), przywrócenie bez nadpisywania, usunięcie; podwójna walidacja ścieżek API + węzeł (8f0199ce). Czyszczenie kodu w pliku (ImunifyAV+) — nie. Zostaje: D3 na t1 z plikiem EICAR po reinstalacji agenta zadań. | 2026-10-05 D3 t1 (panel klienta, d3): EICAR w test2.d3.hvln.pl (.txt i .php) wykryty pełnym skanem, kwarantanna (strona 404), przywrócenie (200), trwałe usunięcie z kwarantanny; skan ponownie „czysto”. Poprawione przy teście: odmiana „2 pliki znikną … trafią”, „ostatni pełny skan” znikał po 5 operacjach kwarantanny.</t>
        </is>
      </c>
    </row>
    <row r="144">
      <c r="A144" s="11" t="inlineStr">
        <is>
          <t>G-13</t>
        </is>
      </c>
      <c r="B144" s="12" t="inlineStr">
        <is>
          <t>G</t>
        </is>
      </c>
      <c r="C144" s="11" t="inlineStr">
        <is>
          <t>2FA (TOTP) w panelu klienta</t>
        </is>
      </c>
      <c r="D144" s="11" t="inlineStr">
        <is>
          <t>TAK</t>
        </is>
      </c>
      <c r="E144" s="11" t="inlineStr">
        <is>
          <t>TAK</t>
        </is>
      </c>
      <c r="F144" s="11" t="inlineStr">
        <is>
          <t>TAK</t>
        </is>
      </c>
      <c r="G144" s="11" t="inlineStr">
        <is>
          <t>TAK</t>
        </is>
      </c>
      <c r="H144" s="11" t="inlineStr">
        <is>
          <t>TAK</t>
        </is>
      </c>
      <c r="I144" s="11" t="inlineStr">
        <is>
          <t>DZIAŁA</t>
        </is>
      </c>
      <c r="J144" s="12" t="inlineStr">
        <is>
          <t>auth.controller.ts:206,213</t>
        </is>
      </c>
      <c r="K144" s="11" t="inlineStr">
        <is>
          <t>PARYTET</t>
        </is>
      </c>
      <c r="L144" s="11" t="inlineStr">
        <is>
          <t>—</t>
        </is>
      </c>
      <c r="M144" s="11" t="inlineStr">
        <is>
          <t>—</t>
        </is>
      </c>
      <c r="N144" s="12" t="inlineStr">
        <is>
          <t>u nazwa.pl 2FA jest PŁATNE — nasza przewaga narracyjna | 2026-09-25: kod TOTP jest jednorazowy przy logowaniu — zapamiętany krok ostatnio przyjętego kodu (User.twoFactorLastStep, migracja 20260925100000_totp_replay), warunek w UPDATE atomowy także przy równoległych próbach. Wcześniej ten sam kod (np. podejrzany) logował ponownie przez ~90 s okna. Test two-factor.replay.spec.ts.</t>
        </is>
      </c>
    </row>
    <row r="145">
      <c r="A145" s="11" t="inlineStr">
        <is>
          <t>G-14</t>
        </is>
      </c>
      <c r="B145" s="12" t="inlineStr">
        <is>
          <t>G</t>
        </is>
      </c>
      <c r="C145" s="11" t="inlineStr">
        <is>
          <t>Kody odzyskiwania do 2FA</t>
        </is>
      </c>
      <c r="D145" s="11" t="inlineStr">
        <is>
          <t>TAK</t>
        </is>
      </c>
      <c r="E145" s="11" t="inlineStr">
        <is>
          <t>TAK</t>
        </is>
      </c>
      <c r="F145" s="11" t="inlineStr">
        <is>
          <t>CZĘŚĆ</t>
        </is>
      </c>
      <c r="G145" s="11" t="inlineStr">
        <is>
          <t>b.d.</t>
        </is>
      </c>
      <c r="H145" s="11" t="inlineStr">
        <is>
          <t>TAK</t>
        </is>
      </c>
      <c r="I145" s="11" t="inlineStr">
        <is>
          <t>DZIAŁA</t>
        </is>
      </c>
      <c r="J145" s="12" t="inlineStr">
        <is>
          <t>auth.controller.ts:206</t>
        </is>
      </c>
      <c r="K145" s="11" t="inlineStr">
        <is>
          <t>PARYTET</t>
        </is>
      </c>
      <c r="L145" s="11" t="inlineStr">
        <is>
          <t>—</t>
        </is>
      </c>
      <c r="M145" s="11" t="inlineStr">
        <is>
          <t>—</t>
        </is>
      </c>
      <c r="N145" s="12" t="inlineStr"/>
    </row>
    <row r="146">
      <c r="A146" s="11" t="inlineStr">
        <is>
          <t>G-15</t>
        </is>
      </c>
      <c r="B146" s="12" t="inlineStr">
        <is>
          <t>G</t>
        </is>
      </c>
      <c r="C146" s="11" t="inlineStr">
        <is>
          <t>Passkeys / WebAuthn</t>
        </is>
      </c>
      <c r="D146" s="11" t="inlineStr">
        <is>
          <t>NIE</t>
        </is>
      </c>
      <c r="E146" s="11" t="inlineStr">
        <is>
          <t>CZĘŚĆ</t>
        </is>
      </c>
      <c r="F146" s="11" t="inlineStr">
        <is>
          <t>NIE</t>
        </is>
      </c>
      <c r="G146" s="11" t="inlineStr">
        <is>
          <t>NIE</t>
        </is>
      </c>
      <c r="H146" s="11" t="inlineStr">
        <is>
          <t>CZĘŚĆ</t>
        </is>
      </c>
      <c r="I146" s="11" t="inlineStr">
        <is>
          <t>DZIAŁA</t>
        </is>
      </c>
      <c r="J146" s="12" t="inlineStr">
        <is>
          <t>auth.controller.ts:260,268,283</t>
        </is>
      </c>
      <c r="K146" s="11" t="inlineStr">
        <is>
          <t>PRZEWAGA</t>
        </is>
      </c>
      <c r="L146" s="11" t="inlineStr">
        <is>
          <t>—</t>
        </is>
      </c>
      <c r="M146" s="11" t="inlineStr">
        <is>
          <t>—</t>
        </is>
      </c>
      <c r="N146" s="12" t="inlineStr">
        <is>
          <t>nikt na rynku PL tego nie ma</t>
        </is>
      </c>
    </row>
    <row r="147">
      <c r="A147" s="11" t="inlineStr">
        <is>
          <t>G-16</t>
        </is>
      </c>
      <c r="B147" s="12" t="inlineStr">
        <is>
          <t>G</t>
        </is>
      </c>
      <c r="C147" s="11" t="inlineStr">
        <is>
          <t>Lista aktywnych sesji i zdalne wylogowanie</t>
        </is>
      </c>
      <c r="D147" s="11" t="inlineStr">
        <is>
          <t>CZĘŚĆ</t>
        </is>
      </c>
      <c r="E147" s="11" t="inlineStr">
        <is>
          <t>TAK</t>
        </is>
      </c>
      <c r="F147" s="11" t="inlineStr">
        <is>
          <t>CZĘŚĆ</t>
        </is>
      </c>
      <c r="G147" s="11" t="inlineStr">
        <is>
          <t>NIE</t>
        </is>
      </c>
      <c r="H147" s="11" t="inlineStr">
        <is>
          <t>CZĘŚĆ</t>
        </is>
      </c>
      <c r="I147" s="11" t="inlineStr">
        <is>
          <t>DZIAŁA</t>
        </is>
      </c>
      <c r="J147" s="12" t="inlineStr">
        <is>
          <t>auth.controller.ts:329,338</t>
        </is>
      </c>
      <c r="K147" s="11" t="inlineStr">
        <is>
          <t>PRZEWAGA</t>
        </is>
      </c>
      <c r="L147" s="11" t="inlineStr">
        <is>
          <t>—</t>
        </is>
      </c>
      <c r="M147" s="11" t="inlineStr">
        <is>
          <t>—</t>
        </is>
      </c>
      <c r="N147" s="12" t="inlineStr">
        <is>
          <t>2026-09-25: zmiana hasła w ustawieniach wylogowuje pozostałe urządzenia (unieważnia wszystkie sesje poza bieżącą) — wcześniej przejęta sesja przetrwałaby zmianę hasła; zmiana hasła ma też limit 10/h (bez niego przejęta sesja pozwalała zgadywać aktualne hasło). Test users.password.spec.ts.</t>
        </is>
      </c>
    </row>
    <row r="148">
      <c r="A148" s="11" t="inlineStr">
        <is>
          <t>G-17</t>
        </is>
      </c>
      <c r="B148" s="12" t="inlineStr">
        <is>
          <t>G</t>
        </is>
      </c>
      <c r="C148" s="11" t="inlineStr">
        <is>
          <t>Historia logowań</t>
        </is>
      </c>
      <c r="D148" s="11" t="inlineStr">
        <is>
          <t>TAK</t>
        </is>
      </c>
      <c r="E148" s="11" t="inlineStr">
        <is>
          <t>TAK</t>
        </is>
      </c>
      <c r="F148" s="11" t="inlineStr">
        <is>
          <t>TAK</t>
        </is>
      </c>
      <c r="G148" s="11" t="inlineStr">
        <is>
          <t>CZĘŚĆ</t>
        </is>
      </c>
      <c r="H148" s="11" t="inlineStr">
        <is>
          <t>TAK</t>
        </is>
      </c>
      <c r="I148" s="11" t="inlineStr">
        <is>
          <t>DZIAŁA</t>
        </is>
      </c>
      <c r="J148" s="12" t="inlineStr">
        <is>
          <t>users.controller.ts:38</t>
        </is>
      </c>
      <c r="K148" s="11" t="inlineStr">
        <is>
          <t>PARYTET</t>
        </is>
      </c>
      <c r="L148" s="11" t="inlineStr">
        <is>
          <t>—</t>
        </is>
      </c>
      <c r="M148" s="11" t="inlineStr">
        <is>
          <t>—</t>
        </is>
      </c>
      <c r="N148" s="12" t="inlineStr">
        <is>
          <t>bez geolokalizacji</t>
        </is>
      </c>
    </row>
    <row r="149">
      <c r="A149" s="11" t="inlineStr">
        <is>
          <t>G-18</t>
        </is>
      </c>
      <c r="B149" s="12" t="inlineStr">
        <is>
          <t>G</t>
        </is>
      </c>
      <c r="C149" s="11" t="inlineStr">
        <is>
          <t>Dziennik aktywności konta</t>
        </is>
      </c>
      <c r="D149" s="11" t="inlineStr">
        <is>
          <t>TAK</t>
        </is>
      </c>
      <c r="E149" s="11" t="inlineStr">
        <is>
          <t>TAK</t>
        </is>
      </c>
      <c r="F149" s="11" t="inlineStr">
        <is>
          <t>CZĘŚĆ</t>
        </is>
      </c>
      <c r="G149" s="11" t="inlineStr">
        <is>
          <t>CZĘŚĆ</t>
        </is>
      </c>
      <c r="H149" s="11" t="inlineStr">
        <is>
          <t>CZĘŚĆ</t>
        </is>
      </c>
      <c r="I149" s="11" t="inlineStr">
        <is>
          <t>CZĘŚCIOWE</t>
        </is>
      </c>
      <c r="J149" s="12" t="inlineStr">
        <is>
          <t>users.controller.ts:44; users.service.ts listMyActivity; lib/etykiety-dziennika.ts; settings/activity-log-section.tsx; test users.activity.spec.ts</t>
        </is>
      </c>
      <c r="K149" s="11" t="inlineStr">
        <is>
          <t>PARYTET</t>
        </is>
      </c>
      <c r="L149" s="11" t="inlineStr">
        <is>
          <t>ŚREDNIA</t>
        </is>
      </c>
      <c r="M149" s="11" t="inlineStr">
        <is>
          <t>S</t>
        </is>
      </c>
      <c r="N149" s="12" t="inlineStr">
        <is>
          <t>OSŁABIONE: users.service.ts:664-707 filtruje przez białą listę 14 akcji HOSTING_*. Poza dziennikiem zostają logowania, zmiany 2FA, odtworzenia z kopii, publikacje staging, zmiany planu i billing. Rekord nie ma pola aktora. | 2026-09-25: KOD (D2) — biała lista zastąpiona: dziennik pokazuje wszystkie akcje HOSTING_* (62) oraz zdarzenia konta (asystent, webhooki, program partnerski), zdarzenia własne i wykonane przez subkonta na koncie; każdy wpis ma „wykonał(a)” (e-mail subkonta albo „obsługa Verris” dla działań operatora). Etykiety wspólne z dziennikiem IAM. Logowania/2FA nadal poza dziennikiem (osobna sekcja bezpieczeństwa). D3: podgląd na produkcji po deployu. | 2026-09-25 (2): działania operatora „jako klient” (impersonacja) zapisywały się w dzienniku jak działania klienta (actorUserId = klient, bez śladu operatora). Teraz globalny kontekst żądania dopisuje impersonatedBy do każdego wpisu z takiej sesji, a dziennik klienta pokazuje „wykonał(a): obsługa Verris”. Test kontekst-zadania.spec.ts (także po await), users.activity.spec.ts. | SPRAWDZONE NA PRODUKCJI 26.09: sekcja „Aktywność konta” w Ustawieniach → Bezpieczeństwo pokazuje wpisy (reseller, poddomena) z datami; wykonawca spoza konta dopisywany jako „wykonał(a)”. | 2026-10-07 KOD (ea29d344): zmiana hasła i dodanie/usunięcie passkey nie miały wpisu audytu — dodane (PASSWORD_CHANGED, PASSKEY_ADDED/REMOVED); „Aktywność konta” pokazuje też 2FA, zmianę e-maila, wylogowanie wszędzie, tokeny API, zaproszenia IAM, zmiany domen i wstrzymanie/wznowienie usługi, z polskimi etykietami (strażnik etykiet w teście). Komunikaty API po polsku (7fb717f0, 9427c77c). Do D3: podgląd po deployu.</t>
        </is>
      </c>
    </row>
    <row r="150">
      <c r="A150" s="11" t="inlineStr">
        <is>
          <t>G-19</t>
        </is>
      </c>
      <c r="B150" s="12" t="inlineStr">
        <is>
          <t>G</t>
        </is>
      </c>
      <c r="C150" s="11" t="inlineStr">
        <is>
          <t>Auto-wylogowanie po bezczynności</t>
        </is>
      </c>
      <c r="D150" s="11" t="inlineStr">
        <is>
          <t>CZĘŚĆ</t>
        </is>
      </c>
      <c r="E150" s="11" t="inlineStr">
        <is>
          <t>TAK</t>
        </is>
      </c>
      <c r="F150" s="11" t="inlineStr">
        <is>
          <t>CZĘŚĆ</t>
        </is>
      </c>
      <c r="G150" s="11" t="inlineStr">
        <is>
          <t>b.d.</t>
        </is>
      </c>
      <c r="H150" s="11" t="inlineStr">
        <is>
          <t>CZĘŚĆ</t>
        </is>
      </c>
      <c r="I150" s="11" t="inlineStr">
        <is>
          <t>DZIAŁA</t>
        </is>
      </c>
      <c r="J150" s="12" t="inlineStr">
        <is>
          <t>session-idle-guard.tsx | 2026-09-23: POST /auth/logout → AuthService.logoutCurrentSession (UserSession.revokedAt dla sid bieżącego tokenu; JwtStrategy odrzuca odwołaną sesję od następnego żądania); wołane przed usunięciem ciasteczka w panelu klienta (także wylogowanie po bezczynności — session-idle-guard → logoutAction), admina i staffu; test D2 auth.service.spec.ts</t>
        </is>
      </c>
      <c r="K150" s="11" t="inlineStr">
        <is>
          <t>PARYTET</t>
        </is>
      </c>
      <c r="L150" s="11" t="inlineStr">
        <is>
          <t>ŚREDNIA</t>
        </is>
      </c>
      <c r="M150" s="11" t="inlineStr">
        <is>
          <t>S</t>
        </is>
      </c>
      <c r="N150" s="12" t="inlineStr">
        <is>
          <t>OSŁABIONE: wygaszenie to samo usunięcie ciasteczka (dashboard/actions.ts:6-9). UserSession.revokedAt zostaje null, JWT jest ważny do TTL. To timeout UI, nie kontrola bezpieczeństwa. | 2026-09-23: naprawione — wylogowanie (ręczne i po bezczynności) unieważnia sesję po stronie serwera we wszystkich trzech panelach. Token impersonacji nie ma sid i wygasa po 30 min.</t>
        </is>
      </c>
    </row>
    <row r="151">
      <c r="A151" s="11" t="inlineStr">
        <is>
          <t>G-20</t>
        </is>
      </c>
      <c r="B151" s="12" t="inlineStr">
        <is>
          <t>G</t>
        </is>
      </c>
      <c r="C151" s="11" t="inlineStr">
        <is>
          <t>Ochrona przed atakiem słownikowym na panel</t>
        </is>
      </c>
      <c r="D151" s="11" t="inlineStr">
        <is>
          <t>TAK</t>
        </is>
      </c>
      <c r="E151" s="11" t="inlineStr">
        <is>
          <t>TAK</t>
        </is>
      </c>
      <c r="F151" s="11" t="inlineStr">
        <is>
          <t>TAK</t>
        </is>
      </c>
      <c r="G151" s="11" t="inlineStr">
        <is>
          <t>TAK</t>
        </is>
      </c>
      <c r="H151" s="11" t="inlineStr">
        <is>
          <t>TAK</t>
        </is>
      </c>
      <c r="I151" s="11" t="inlineStr">
        <is>
          <t>DZIAŁA</t>
        </is>
      </c>
      <c r="J151" s="12" t="inlineStr">
        <is>
          <t>2026-09-23 D2: common/guards/rate-limit.guard.spec.ts (6 testów: limit per IP, per e-mail z wielu IP, reset okna, zakresy i @SkipRateLimit, przepełnienie mapy, awaria Redisa)</t>
        </is>
      </c>
      <c r="K151" s="11" t="inlineStr">
        <is>
          <t>PARYTET</t>
        </is>
      </c>
      <c r="L151" s="11" t="inlineStr">
        <is>
          <t>WYSOKA</t>
        </is>
      </c>
      <c r="M151" s="11" t="inlineStr">
        <is>
          <t>S</t>
        </is>
      </c>
      <c r="N151" s="12" t="inlineStr">
        <is>
          <t>brak dowodu D2 na krytycznym guardzie | ZNALEZISKO przy pisaniu testów: w trybie pamięciowym przepełnienie mapy (50 tys. kluczy) czyściło WSZYSTKIE liczniki — losowe e-maile zerowały licznik prób logowania do atakowanego konta (fail-open). Teraz usuwane są tylko wygasłe, a przy pełnej mapie nowe klucze dostają 429 (fail-closed).</t>
        </is>
      </c>
    </row>
    <row r="152">
      <c r="A152" s="11" t="inlineStr">
        <is>
          <t>G-21</t>
        </is>
      </c>
      <c r="B152" s="12" t="inlineStr">
        <is>
          <t>G</t>
        </is>
      </c>
      <c r="C152" s="11" t="inlineStr">
        <is>
          <t>Anty-DDoS</t>
        </is>
      </c>
      <c r="D152" s="11" t="inlineStr">
        <is>
          <t>NIE</t>
        </is>
      </c>
      <c r="E152" s="11" t="inlineStr">
        <is>
          <t>NIE</t>
        </is>
      </c>
      <c r="F152" s="11" t="inlineStr">
        <is>
          <t>NIE</t>
        </is>
      </c>
      <c r="G152" s="11" t="inlineStr">
        <is>
          <t>TAK</t>
        </is>
      </c>
      <c r="H152" s="11" t="inlineStr">
        <is>
          <t>CZĘŚĆ</t>
        </is>
      </c>
      <c r="I152" s="11" t="inlineStr">
        <is>
          <t>DZIAŁA</t>
        </is>
      </c>
      <c r="J152" s="12" t="inlineStr">
        <is>
          <t>ops/docs/DDOS.md; Hetzner DDoS Protection (L3/L4, w cenie); RateLimitGuard + Turnstile (L7 panel/API); LiteSpeed Per-Client Throttling (węzeł, onboarding)</t>
        </is>
      </c>
      <c r="K152" s="11" t="inlineStr">
        <is>
          <t>CZĘŚCIOWY</t>
        </is>
      </c>
      <c r="L152" s="11" t="inlineStr">
        <is>
          <t>ŚREDNIA</t>
        </is>
      </c>
      <c r="M152" s="11" t="inlineStr">
        <is>
          <t>L</t>
        </is>
      </c>
      <c r="N152" s="12" t="inlineStr">
        <is>
          <t>wszystkie 5 hostingów PL to deklaruje — brak w ofercie będzie widoczny | DECYZJA WŁAŚCICIELA 2026-09-25: na start ochrona DDoS Hetznera (w cenie), Cloudflare przed panelem/verris.pl po starcie. | 2026-09-25: ops/docs/DDOS.md — warstwy wg oficjalnych źródeł: Hetzner (hetzner.com → DDoS-Schutz: L3/L4 UDP/SYN/DNS/NTP, automatycznie, bezpłatnie dla wszystkich, bez opisu L7), L7 panel/API po naszej stronie (RateLimitGuard, Turnstile), L7 stron klientów: LiteSpeed Per-Client Throttling z wartościami z dokumentacji LiteSpeed (Static 40/s, Dynamic 2/s, Soft 15, Hard 20, Grace 15 s, Ban 60 s) + reCAPTCHA serwera w czasie ataku. Na verris.pl nie ma dziś żadnej obietnicy anty-DDoS — ewentualny opis w PB-07 tylko w tym zakresie. ZOSTAJE: ustawienie throttlingu na węźle przy onboardingu (D3), Cloudflare po starcie. | 2026-10-02 D3: 02.10 t1: profil (efcb7e7) ustawia Per-Client Throttling — httpd_config.xml: dynReqPerSec 20, softLimit 100, hardLimit 150, grace 15, ban 60 (log profilu [OK]); accessControl bez wyjątków poza zakresami Cloudflare. Testy: z t1 200 żądań PHP 7,3 s vs statyki 1,2 s (niejednoznaczne — limity LVE); z Maca ab -c 130 -k 25 s → 496 odpowiedzi uciętych (Length), 0 odrzuconych połączeń (zgodnie z dokumentacją LSWS rozłącza keep-alive ponad soft limit); 130 wolnych pobrań z Maca przez 30 s → BLOCKED_IP w /tmp/lshttpd/.rtreport pusty, strona odpowiada 200. ZOSTAJE: blokady IP nie udało się wywołać — sprawdzić edycję licencji LSWS (lshttpd -V) i czy throttling dotyczy HTTP/2. | 2026-10-04: DECYZJA WŁAŚCICIELA — G-21 domknięte na zgodności konfiguracji z dokumentacją LiteSpeed, bez celowego wywoływania bana. Wg docs.litespeedtech.com/cp/cpanel/antiddos i docs.openlitespeed.org/security/throttling: przekroczenie req/s tylko dławi (bez bana); ban wyłącznie za równoczesne połączenia z IP (hard limit od razu, soft limit przez grace period). Na t1 (LSWS 6.3.7 Enterprise) httpd_config.xml zgodny z ops/docs/DDOS.md (dynReqPerSec 20, softLimit 100, hardLimit 150, grace 15, ban 60), a obserwacja z 02.10 (ucinanie połączeń keep-alive ponad soft limit, inne IP bez wpływu) potwierdza działanie dławienia. Brak bana w teście = zgodne z dokumentacją (test nie utrzymywał połączeń ponad limit). L3/L4: Hetzner; Cloudflare przed panelem po starcie.</t>
        </is>
      </c>
    </row>
    <row r="153">
      <c r="A153" s="11" t="inlineStr">
        <is>
          <t>G-22</t>
        </is>
      </c>
      <c r="B153" s="12" t="inlineStr">
        <is>
          <t>G</t>
        </is>
      </c>
      <c r="C153" s="11" t="inlineStr">
        <is>
          <t>Powiadomienie o podejrzanym logowaniu</t>
        </is>
      </c>
      <c r="D153" s="11" t="inlineStr">
        <is>
          <t>CZĘŚĆ</t>
        </is>
      </c>
      <c r="E153" s="11" t="inlineStr">
        <is>
          <t>TAK</t>
        </is>
      </c>
      <c r="F153" s="11" t="inlineStr">
        <is>
          <t>CZĘŚĆ</t>
        </is>
      </c>
      <c r="G153" s="11" t="inlineStr">
        <is>
          <t>b.d.</t>
        </is>
      </c>
      <c r="H153" s="11" t="inlineStr">
        <is>
          <t>CZĘŚĆ</t>
        </is>
      </c>
      <c r="I153" s="11" t="inlineStr">
        <is>
          <t>DZIAŁA</t>
        </is>
      </c>
      <c r="J153" s="12" t="inlineStr">
        <is>
          <t>auth/login-event.service.ts record → notifyNewDevice (newDeviceLoginTemplate, nadawca SECURITY): odcisk UA + sieć /24 (/48), znane urządzenie = 90 dni, bez alertu przy pierwszym logowaniu, wyłączane preferencją loginAlertsEmail; test D2 login-event.service.spec.ts</t>
        </is>
      </c>
      <c r="K153" s="11" t="inlineStr">
        <is>
          <t>PARYTET</t>
        </is>
      </c>
      <c r="L153" s="11" t="inlineStr">
        <is>
          <t>NISKA</t>
        </is>
      </c>
      <c r="M153" s="11" t="inlineStr">
        <is>
          <t>S</t>
        </is>
      </c>
      <c r="N153" s="12" t="inlineStr">
        <is>
          <t>2026-09-23 PORZĄDKI: funkcja istniała (E-8), macierz miała BRAK. Dopisany test.</t>
        </is>
      </c>
    </row>
    <row r="154">
      <c r="A154" s="11" t="inlineStr">
        <is>
          <t>G-23</t>
        </is>
      </c>
      <c r="B154" s="12" t="inlineStr">
        <is>
          <t>G</t>
        </is>
      </c>
      <c r="C154" s="11" t="inlineStr">
        <is>
          <t>Blokada logowania klienta przez operatora</t>
        </is>
      </c>
      <c r="D154" s="11" t="inlineStr">
        <is>
          <t>TAK</t>
        </is>
      </c>
      <c r="E154" s="11" t="inlineStr">
        <is>
          <t>TAK</t>
        </is>
      </c>
      <c r="F154" s="11" t="inlineStr">
        <is>
          <t>TAK</t>
        </is>
      </c>
      <c r="G154" s="11" t="inlineStr">
        <is>
          <t>b.d.</t>
        </is>
      </c>
      <c r="H154" s="11" t="inlineStr">
        <is>
          <t>b.d.</t>
        </is>
      </c>
      <c r="I154" s="11" t="inlineStr">
        <is>
          <t>DZIAŁA</t>
        </is>
      </c>
      <c r="J154" s="12" t="inlineStr">
        <is>
          <t>users.admin.controller.ts:142</t>
        </is>
      </c>
      <c r="K154" s="11" t="inlineStr">
        <is>
          <t>PARYTET</t>
        </is>
      </c>
      <c r="L154" s="11" t="inlineStr">
        <is>
          <t>—</t>
        </is>
      </c>
      <c r="M154" s="11" t="inlineStr">
        <is>
          <t>—</t>
        </is>
      </c>
      <c r="N154" s="12" t="inlineStr">
        <is>
          <t>uwaga: blokuje logowanie, NIE wyłącza hostingu</t>
        </is>
      </c>
    </row>
    <row r="155">
      <c r="A155" s="11" t="inlineStr">
        <is>
          <t>G-24</t>
        </is>
      </c>
      <c r="B155" s="12" t="inlineStr">
        <is>
          <t>G</t>
        </is>
      </c>
      <c r="C155" s="11" t="inlineStr">
        <is>
          <t>Break-glass / dostęp awaryjny operatora</t>
        </is>
      </c>
      <c r="D155" s="11" t="inlineStr">
        <is>
          <t>CZĘŚĆ</t>
        </is>
      </c>
      <c r="E155" s="11" t="inlineStr">
        <is>
          <t>CZĘŚĆ</t>
        </is>
      </c>
      <c r="F155" s="11" t="inlineStr">
        <is>
          <t>CZĘŚĆ</t>
        </is>
      </c>
      <c r="G155" s="11" t="inlineStr">
        <is>
          <t>b.d.</t>
        </is>
      </c>
      <c r="H155" s="11" t="inlineStr">
        <is>
          <t>b.d.</t>
        </is>
      </c>
      <c r="I155" s="11" t="inlineStr">
        <is>
          <t>DZIAŁA</t>
        </is>
      </c>
      <c r="J155" s="12" t="inlineStr">
        <is>
          <t>settings/security/actions.ts:15,23</t>
        </is>
      </c>
      <c r="K155" s="11" t="inlineStr">
        <is>
          <t>PRZEWAGA</t>
        </is>
      </c>
      <c r="L155" s="11" t="inlineStr">
        <is>
          <t>—</t>
        </is>
      </c>
      <c r="M155" s="11" t="inlineStr">
        <is>
          <t>—</t>
        </is>
      </c>
      <c r="N155" s="12" t="inlineStr"/>
    </row>
    <row r="156">
      <c r="A156" s="11" t="inlineStr">
        <is>
          <t>Z-03</t>
        </is>
      </c>
      <c r="B156" s="12" t="inlineStr">
        <is>
          <t>G</t>
        </is>
      </c>
      <c r="C156" s="11" t="inlineStr">
        <is>
          <t>Walidacja danych migracji przed użyciem w poleceniu powłoki</t>
        </is>
      </c>
      <c r="D156" s="11" t="inlineStr">
        <is>
          <t>—</t>
        </is>
      </c>
      <c r="E156" s="11" t="inlineStr">
        <is>
          <t>—</t>
        </is>
      </c>
      <c r="F156" s="11" t="inlineStr">
        <is>
          <t>—</t>
        </is>
      </c>
      <c r="G156" s="11" t="inlineStr">
        <is>
          <t>—</t>
        </is>
      </c>
      <c r="H156" s="11" t="inlineStr">
        <is>
          <t>—</t>
        </is>
      </c>
      <c r="I156" s="11" t="inlineStr">
        <is>
          <t>DZIAŁA</t>
        </is>
      </c>
      <c r="J156" s="12" t="inlineStr">
        <is>
          <t>dto/migration.dto.ts — MIGRACJA_WZORCE + @Matches na 17 polach; ops/scripts/lib/migration-input-guard.sh — vg_require; node-migration-worker.sh — fail-closed source + zero eval; D3 na węźle: 2026-09-28 — t1.verris.pl: bez /usr/local/sbin/verris-migration-guard.sh `verris-migration-worker once` → rc=78, żadne zlecenie nie pobrane; plik przywrócony</t>
        </is>
      </c>
      <c r="K156" s="11" t="inlineStr">
        <is>
          <t>PARYTET</t>
        </is>
      </c>
      <c r="L156" s="11" t="inlineStr">
        <is>
          <t>—</t>
        </is>
      </c>
      <c r="M156" s="11" t="inlineStr">
        <is>
          <t>M</t>
        </is>
      </c>
      <c r="N156" s="12" t="inlineStr">
        <is>
          <t>Zamknięte 2026-08-21. Trzy wektory: eval z nazwą bazy, łańcuch poleceń lftp ze ścieżką zdalną, eval przy imporcie — wszystkie usunięte, plus allowlista znaków na obu warstwach (DTO i węzeł). Worker startuje fail-closed bez biblioteki walidacji (kod 78), sprawdzone zachowaniem w teście. 70 przypadków testowych, 48 czerwieniło się na starym kodzie. D3 wymagane po wdrożeniu, bo pozycja dotyczy dostępu. Dokumentacja: docs/archiwum/zadania/Z-03-walidacja-danych-migracji.md</t>
        </is>
      </c>
    </row>
    <row r="157">
      <c r="A157" s="11" t="inlineStr">
        <is>
          <t>H-01</t>
        </is>
      </c>
      <c r="B157" s="12" t="inlineStr">
        <is>
          <t>H</t>
        </is>
      </c>
      <c r="C157" s="11" t="inlineStr">
        <is>
          <t>Kopia zapasowa na żądanie</t>
        </is>
      </c>
      <c r="D157" s="11" t="inlineStr">
        <is>
          <t>TAK</t>
        </is>
      </c>
      <c r="E157" s="11" t="inlineStr">
        <is>
          <t>TAK</t>
        </is>
      </c>
      <c r="F157" s="11" t="inlineStr">
        <is>
          <t>TAK</t>
        </is>
      </c>
      <c r="G157" s="11" t="inlineStr">
        <is>
          <t>TAK</t>
        </is>
      </c>
      <c r="H157" s="11" t="inlineStr">
        <is>
          <t>TAK</t>
        </is>
      </c>
      <c r="I157" s="11" t="inlineStr">
        <is>
          <t>DZIAŁA</t>
        </is>
      </c>
      <c r="J157" s="12" t="inlineStr">
        <is>
          <t>services.controller.ts:915; D3 t1 (d3.hvln.pl) 29.09 00:40: „Utwórz kopię teraz” → backup-Sep-29-2026-1.tar.zst w /backups</t>
        </is>
      </c>
      <c r="K157" s="11" t="inlineStr">
        <is>
          <t>PARYTET</t>
        </is>
      </c>
      <c r="L157" s="11" t="inlineStr">
        <is>
          <t>—</t>
        </is>
      </c>
      <c r="M157" s="11" t="inlineStr">
        <is>
          <t>—</t>
        </is>
      </c>
      <c r="N157" s="12" t="inlineStr">
        <is>
          <t>CMD_API_SITE_BACKUP | 2026-10-06 D3 t1 (próba bety, scenariusz 6): „Utwórz kopię teraz” na d3 → backup-Oct-06-2026-2.tar.zst na liście kopii po ok. 2 min.</t>
        </is>
      </c>
    </row>
    <row r="158">
      <c r="A158" s="11" t="inlineStr">
        <is>
          <t>H-02</t>
        </is>
      </c>
      <c r="B158" s="12" t="inlineStr">
        <is>
          <t>H</t>
        </is>
      </c>
      <c r="C158" s="11" t="inlineStr">
        <is>
          <t>Harmonogram kopii (dzienny/tygodniowy)</t>
        </is>
      </c>
      <c r="D158" s="11" t="inlineStr">
        <is>
          <t>TAK</t>
        </is>
      </c>
      <c r="E158" s="11" t="inlineStr">
        <is>
          <t>TAK</t>
        </is>
      </c>
      <c r="F158" s="11" t="inlineStr">
        <is>
          <t>TAK</t>
        </is>
      </c>
      <c r="G158" s="11" t="inlineStr">
        <is>
          <t>TAK</t>
        </is>
      </c>
      <c r="H158" s="11" t="inlineStr">
        <is>
          <t>TAK</t>
        </is>
      </c>
      <c r="I158" s="11" t="inlineStr">
        <is>
          <t>DZIAŁA</t>
        </is>
      </c>
      <c r="J158" s="12" t="inlineStr">
        <is>
          <t>services.controller.ts:926; D3 t1 (d3.hvln.pl) 29.09: harmonogram z panelu (codziennie 03:00 UTC) — kopia wykonana 05:00 CEST, status OK w panelu</t>
        </is>
      </c>
      <c r="K158" s="11" t="inlineStr">
        <is>
          <t>PARYTET</t>
        </is>
      </c>
      <c r="L158" s="11" t="inlineStr">
        <is>
          <t>—</t>
        </is>
      </c>
      <c r="M158" s="11" t="inlineStr">
        <is>
          <t>—</t>
        </is>
      </c>
      <c r="N158" s="12" t="inlineStr">
        <is>
          <t xml:space="preserve"> | 2026-09-25: provisioning zakłada codzienny harmonogram kopii (7 ostatnich) w tej samej transakcji co konto — obietnica verris.pl „kopie w ramach usługi” od pierwszego dnia; klient zmienia/wyłącza w zakładce kopii. Test plans/plan-produkcyjny.spec.ts.</t>
        </is>
      </c>
    </row>
    <row r="159">
      <c r="A159" s="11" t="inlineStr">
        <is>
          <t>H-03</t>
        </is>
      </c>
      <c r="B159" s="12" t="inlineStr">
        <is>
          <t>H</t>
        </is>
      </c>
      <c r="C159" s="11" t="inlineStr">
        <is>
          <t>Konfigurowalna retencja kopii</t>
        </is>
      </c>
      <c r="D159" s="11" t="inlineStr">
        <is>
          <t>TAK</t>
        </is>
      </c>
      <c r="E159" s="11" t="inlineStr">
        <is>
          <t>TAK</t>
        </is>
      </c>
      <c r="F159" s="11" t="inlineStr">
        <is>
          <t>TAK</t>
        </is>
      </c>
      <c r="G159" s="11" t="inlineStr">
        <is>
          <t>TAK</t>
        </is>
      </c>
      <c r="H159" s="11" t="inlineStr">
        <is>
          <t>TAK</t>
        </is>
      </c>
      <c r="I159" s="11" t="inlineStr">
        <is>
          <t>DZIAŁA</t>
        </is>
      </c>
      <c r="J159" s="12" t="inlineStr">
        <is>
          <t>services.controller.ts:926; D3 t1 (d3.hvln.pl) 29.09: DA 1.710 robi .tar.zst z datą epoch — retencja pomijała .tar.zst, a przy dacie NaN sortowała po nazwie (Sep &gt; Oct = kasowanie najnowszych); poprawka 8f7b043 + test; retest po wdrożeniu</t>
        </is>
      </c>
      <c r="K159" s="11" t="inlineStr">
        <is>
          <t>PARYTET</t>
        </is>
      </c>
      <c r="L159" s="11" t="inlineStr">
        <is>
          <t>WYSOKA</t>
        </is>
      </c>
      <c r="M159" s="11" t="inlineStr">
        <is>
          <t>—</t>
        </is>
      </c>
      <c r="N159" s="12" t="inlineStr">
        <is>
          <t>2026-10-04: D3 na t1 — retencja po poprawce 8f7b043 działa: harmonogram dobowy 03:00, „zachowaj 7”; w panelu klienta (Kopie zapasowe) 04.10 kopie automatyczne z 02.10–04.10 (6 plików .tar.zst) + kopie WordPress, kopie z 29–30.09 usunięte jako najstarsze (nie najnowsze, jak przed poprawką); ostatnia kopia automatyczna 04.10 05:00 OK, off-site 04.10 03:41.</t>
        </is>
      </c>
    </row>
    <row r="160">
      <c r="A160" s="11" t="inlineStr">
        <is>
          <t>H-04</t>
        </is>
      </c>
      <c r="B160" s="12" t="inlineStr">
        <is>
          <t>H</t>
        </is>
      </c>
      <c r="C160" s="11" t="inlineStr">
        <is>
          <t>Retencja co najmniej 28 dni w cenie</t>
        </is>
      </c>
      <c r="D160" s="11" t="inlineStr">
        <is>
          <t>—</t>
        </is>
      </c>
      <c r="E160" s="11" t="inlineStr">
        <is>
          <t>—</t>
        </is>
      </c>
      <c r="F160" s="11" t="inlineStr">
        <is>
          <t>—</t>
        </is>
      </c>
      <c r="G160" s="11" t="inlineStr">
        <is>
          <t>CZĘŚĆ</t>
        </is>
      </c>
      <c r="H160" s="11" t="inlineStr">
        <is>
          <t>CZĘŚĆ</t>
        </is>
      </c>
      <c r="I160" s="11" t="inlineStr">
        <is>
          <t>DZIAŁA</t>
        </is>
      </c>
      <c r="J160" s="12" t="inlineStr">
        <is>
          <t>off-site: 30 dni (node-offsite-backup.sh:101); libs/contracts/src/kopie.ts; hosting-offsite-panel.tsx; test kopie-30-dni.spec.ts</t>
        </is>
      </c>
      <c r="K160" s="11" t="inlineStr">
        <is>
          <t>PARYTET</t>
        </is>
      </c>
      <c r="L160" s="11" t="inlineStr">
        <is>
          <t>WYSOKA</t>
        </is>
      </c>
      <c r="M160" s="11" t="inlineStr">
        <is>
          <t>M</t>
        </is>
      </c>
      <c r="N160" s="12" t="inlineStr">
        <is>
          <t>cyber_Folks 28 dni, seohost do 60 dni — to jest poprzeczka rynkowa | DECYZJA WŁAŚCICIELA 2026-09-25: pokazujemy 30 dni — kopia poza serwerem z każdego z ostatnich 30 dni, klient sam wybiera dzień i przywraca (S-1, offsite-restore). KOD (D2): stała KOPIE_OFFSITE_DNI=30 w panelu (kopie off-site) i na verris.pl (cennik, llms.txt); strażnik kopie-30-dni.spec.ts pilnuje zgodności z RETENTION_DAYS skryptu węzła. D3 w wezel.csv. Do dokumentów prawnych (PB-03): Regulamin §… może wymienić 30 dni. | 01.10 na t1: wybór dnia, pobranie wersji z 30.09 na serwer i przywrócenie z listy kopii działają z panelu.</t>
        </is>
      </c>
    </row>
    <row r="161">
      <c r="A161" s="11" t="inlineStr">
        <is>
          <t>H-05</t>
        </is>
      </c>
      <c r="B161" s="12" t="inlineStr">
        <is>
          <t>H</t>
        </is>
      </c>
      <c r="C161" s="11" t="inlineStr">
        <is>
          <t>Lista dostępnych kopii</t>
        </is>
      </c>
      <c r="D161" s="11" t="inlineStr">
        <is>
          <t>TAK</t>
        </is>
      </c>
      <c r="E161" s="11" t="inlineStr">
        <is>
          <t>TAK</t>
        </is>
      </c>
      <c r="F161" s="11" t="inlineStr">
        <is>
          <t>TAK</t>
        </is>
      </c>
      <c r="G161" s="11" t="inlineStr">
        <is>
          <t>TAK</t>
        </is>
      </c>
      <c r="H161" s="11" t="inlineStr">
        <is>
          <t>TAK</t>
        </is>
      </c>
      <c r="I161" s="11" t="inlineStr">
        <is>
          <t>DZIAŁA</t>
        </is>
      </c>
      <c r="J161" s="12" t="inlineStr">
        <is>
          <t>services.controller.ts:768; D3 t1 (d3.hvln.pl) 29.09 FAIL: archiwum w /backups, panel „Brak kopii” (goła tablica JSON; /backups bez archiwów = 404 jako błąd); poprawka 8f7b043 czeka na wdrożenie; retest; D3 t1 (d3.hvln.pl) 29.09 po wdrożeniu: lista pokazuje 2 archiwa (ręczne 00:40 i z harmonogramu 05:00)</t>
        </is>
      </c>
      <c r="K161" s="11" t="inlineStr">
        <is>
          <t>PARYTET</t>
        </is>
      </c>
      <c r="L161" s="11" t="inlineStr">
        <is>
          <t>—</t>
        </is>
      </c>
      <c r="M161" s="11" t="inlineStr">
        <is>
          <t>—</t>
        </is>
      </c>
      <c r="N161" s="12" t="inlineStr"/>
    </row>
    <row r="162">
      <c r="A162" s="11" t="inlineStr">
        <is>
          <t>H-06</t>
        </is>
      </c>
      <c r="B162" s="12" t="inlineStr">
        <is>
          <t>H</t>
        </is>
      </c>
      <c r="C162" s="11" t="inlineStr">
        <is>
          <t>Samodzielne odtworzenie plików</t>
        </is>
      </c>
      <c r="D162" s="11" t="inlineStr">
        <is>
          <t>TAK</t>
        </is>
      </c>
      <c r="E162" s="11" t="inlineStr">
        <is>
          <t>TAK</t>
        </is>
      </c>
      <c r="F162" s="11" t="inlineStr">
        <is>
          <t>TAK</t>
        </is>
      </c>
      <c r="G162" s="11" t="inlineStr">
        <is>
          <t>TAK</t>
        </is>
      </c>
      <c r="H162" s="11" t="inlineStr">
        <is>
          <t>TAK</t>
        </is>
      </c>
      <c r="I162" s="11" t="inlineStr">
        <is>
          <t>DZIAŁA</t>
        </is>
      </c>
      <c r="J162" s="12" t="inlineStr">
        <is>
          <t>services.controller.ts:811</t>
        </is>
      </c>
      <c r="K162" s="11" t="inlineStr">
        <is>
          <t>PARYTET</t>
        </is>
      </c>
      <c r="L162" s="11" t="inlineStr">
        <is>
          <t>—</t>
        </is>
      </c>
      <c r="M162" s="11" t="inlineStr">
        <is>
          <t>—</t>
        </is>
      </c>
      <c r="N162" s="12" t="inlineStr"/>
    </row>
    <row r="163">
      <c r="A163" s="11" t="inlineStr">
        <is>
          <t>H-07</t>
        </is>
      </c>
      <c r="B163" s="12" t="inlineStr">
        <is>
          <t>H</t>
        </is>
      </c>
      <c r="C163" s="11" t="inlineStr">
        <is>
          <t>Samodzielne odtworzenie bazy danych</t>
        </is>
      </c>
      <c r="D163" s="11" t="inlineStr">
        <is>
          <t>TAK</t>
        </is>
      </c>
      <c r="E163" s="11" t="inlineStr">
        <is>
          <t>TAK</t>
        </is>
      </c>
      <c r="F163" s="11" t="inlineStr">
        <is>
          <t>TAK</t>
        </is>
      </c>
      <c r="G163" s="11" t="inlineStr">
        <is>
          <t>TAK</t>
        </is>
      </c>
      <c r="H163" s="11" t="inlineStr">
        <is>
          <t>TAK</t>
        </is>
      </c>
      <c r="I163" s="11" t="inlineStr">
        <is>
          <t>DZIAŁA</t>
        </is>
      </c>
      <c r="J163" s="12" t="inlineStr">
        <is>
          <t>services.controller.ts:811</t>
        </is>
      </c>
      <c r="K163" s="11" t="inlineStr">
        <is>
          <t>PARYTET</t>
        </is>
      </c>
      <c r="L163" s="11" t="inlineStr">
        <is>
          <t>—</t>
        </is>
      </c>
      <c r="M163" s="11" t="inlineStr">
        <is>
          <t>—</t>
        </is>
      </c>
      <c r="N163" s="12" t="inlineStr"/>
    </row>
    <row r="164">
      <c r="A164" s="11" t="inlineStr">
        <is>
          <t>H-08</t>
        </is>
      </c>
      <c r="B164" s="12" t="inlineStr">
        <is>
          <t>H</t>
        </is>
      </c>
      <c r="C164" s="11" t="inlineStr">
        <is>
          <t>Samodzielne odtworzenie poczty</t>
        </is>
      </c>
      <c r="D164" s="11" t="inlineStr">
        <is>
          <t>TAK</t>
        </is>
      </c>
      <c r="E164" s="11" t="inlineStr">
        <is>
          <t>TAK</t>
        </is>
      </c>
      <c r="F164" s="11" t="inlineStr">
        <is>
          <t>TAK</t>
        </is>
      </c>
      <c r="G164" s="11" t="inlineStr">
        <is>
          <t>CZĘŚĆ</t>
        </is>
      </c>
      <c r="H164" s="11" t="inlineStr">
        <is>
          <t>TAK</t>
        </is>
      </c>
      <c r="I164" s="11" t="inlineStr">
        <is>
          <t>DZIAŁA</t>
        </is>
      </c>
      <c r="J164" s="12" t="inlineStr">
        <is>
          <t>services.controller.ts:811</t>
        </is>
      </c>
      <c r="K164" s="11" t="inlineStr">
        <is>
          <t>PRZEWAGA</t>
        </is>
      </c>
      <c r="L164" s="11" t="inlineStr">
        <is>
          <t>—</t>
        </is>
      </c>
      <c r="M164" s="11" t="inlineStr">
        <is>
          <t>—</t>
        </is>
      </c>
      <c r="N164" s="12" t="inlineStr">
        <is>
          <t>u home.pl i nazwa.pl odtworzenie poczty jest PŁATNE</t>
        </is>
      </c>
    </row>
    <row r="165">
      <c r="A165" s="11" t="inlineStr">
        <is>
          <t>H-09</t>
        </is>
      </c>
      <c r="B165" s="12" t="inlineStr">
        <is>
          <t>H</t>
        </is>
      </c>
      <c r="C165" s="11" t="inlineStr">
        <is>
          <t>Kopia bezpieczeństwa przed odtworzeniem</t>
        </is>
      </c>
      <c r="D165" s="11" t="inlineStr">
        <is>
          <t>CZĘŚĆ</t>
        </is>
      </c>
      <c r="E165" s="11" t="inlineStr">
        <is>
          <t>TAK</t>
        </is>
      </c>
      <c r="F165" s="11" t="inlineStr">
        <is>
          <t>CZĘŚĆ</t>
        </is>
      </c>
      <c r="G165" s="11" t="inlineStr">
        <is>
          <t>b.d.</t>
        </is>
      </c>
      <c r="H165" s="11" t="inlineStr">
        <is>
          <t>CZĘŚĆ</t>
        </is>
      </c>
      <c r="I165" s="11" t="inlineStr">
        <is>
          <t>DZIAŁA</t>
        </is>
      </c>
      <c r="J165" s="12" t="inlineStr">
        <is>
          <t>2026-09-23 D1: hosting-restore.service.ts takeSafetyBackup — odtwarzanie rusza dopiero, gdy na liście kopii pojawi się NOWE archiwum (do 15 min), inaczej FAILED „dane nie zostały zmienione”; nieczytelna lista = odmowa; test hosting-restore.safety.spec.ts; D3 t1 29.09 (panel klienta, d3.hvln.pl): „Przywróć” z backup-Sep-29-2026-3 (pliki + bazy, kopia bezpieczeństwa zaznaczona) → najpierw powstała nowa kopia backup-Sep-29-2026-4, dopiero potem DA dostał restore; strona po odtworzeniu 200</t>
        </is>
      </c>
      <c r="K165" s="11" t="inlineStr">
        <is>
          <t>PARYTET</t>
        </is>
      </c>
      <c r="L165" s="11" t="inlineStr">
        <is>
          <t>WYSOKA</t>
        </is>
      </c>
      <c r="M165" s="11" t="inlineStr">
        <is>
          <t>S</t>
        </is>
      </c>
      <c r="N165" s="12" t="inlineStr">
        <is>
          <t>OSŁABIONE: hosting-restore.service.ts:167 tylko KOLEJKUJE backup w DA i nie czeka na wynik — destrukcyjne odtworzenie rusza mimo nieudanej kopii. Job dostaje COMPLETED (:182) w chwili przyjęcia zadania, nie po odtworzeniu. | Naprawione: nadpisywanie danych bez siatki. Status COMPLETED w panelu klienta opisany uczciwie („Odtwarzanie zlecone — serwer odtwarza dane w tle”), bo DA przyjmuje odtworzenie asynchronicznie. OTWARTE do D3 (PB-21): pełny przebieg na żywym DA i wykrycie końca odtwarzania.</t>
        </is>
      </c>
    </row>
    <row r="166">
      <c r="A166" s="11" t="inlineStr">
        <is>
          <t>H-10</t>
        </is>
      </c>
      <c r="B166" s="12" t="inlineStr">
        <is>
          <t>H</t>
        </is>
      </c>
      <c r="C166" s="11" t="inlineStr">
        <is>
          <t>Odtworzenie pojedynczego pliku</t>
        </is>
      </c>
      <c r="D166" s="11" t="inlineStr">
        <is>
          <t>PŁATNE</t>
        </is>
      </c>
      <c r="E166" s="11" t="inlineStr">
        <is>
          <t>TAK</t>
        </is>
      </c>
      <c r="F166" s="11" t="inlineStr">
        <is>
          <t>CZĘŚĆ</t>
        </is>
      </c>
      <c r="G166" s="11" t="inlineStr">
        <is>
          <t>CZĘŚĆ</t>
        </is>
      </c>
      <c r="H166" s="11" t="inlineStr">
        <is>
          <t>TAK</t>
        </is>
      </c>
      <c r="I166" s="11" t="inlineStr">
        <is>
          <t>DZIAŁA</t>
        </is>
      </c>
      <c r="J166" s="12" t="inlineStr">
        <is>
          <t>ops/scripts/node-file-restore.sh (zadanie FILE_RESTORE, list/extract jako klient), subscriptions/file-restore.service.ts, services.controller.ts :id/hosting-file-restore(/list|/extract), client-panel components/hosting/ArchiveBrowser.tsx (Kopie → Pliki); test file-restore.service.spec.ts; D3 t1 29.09 14:45 (panel klienta): odtworzenie pojedynczego pliku domains/d3.hvln.pl/public_html/index.php z backup-Sep-29-2026-2.tar.zst → ~/verris-odtworzone/20260929-144546-9ab0 (bez nadpisania)</t>
        </is>
      </c>
      <c r="K166" s="11" t="inlineStr">
        <is>
          <t>PARYTET</t>
        </is>
      </c>
      <c r="L166" s="11" t="inlineStr">
        <is>
          <t>WYSOKA</t>
        </is>
      </c>
      <c r="M166" s="11" t="inlineStr">
        <is>
          <t>M</t>
        </is>
      </c>
      <c r="N166" s="12" t="inlineStr">
        <is>
          <t>2026-09-24: KOD (D2) + skrypt sprawdzony lokalnie na tar.gz — odtworzenie pliku/katalogu do nowego ~/verris-odtworzone/&lt;czas&gt; bez nadpisywania; przeniesienie świadomie menedżerem plików. OTWARTE do D3 (sprint 21): format archiwów DA (domains/…), tar --zstd na węźle, czas listowania dużych kopii. | JetBackup/Plesk to mają; seohost i dhosting też | 2026-10-06 D3 t1: usunięty d3.hvln.pl/readme.html (404) → „Pliki” w kopii → Odtwórz → verris-odtworzone/20261006-135424-4561 → „Przenieś do…” public_html → strona znów 200. Odtworzenie celowo do katalogu obok (bez nadpisywania).</t>
        </is>
      </c>
    </row>
    <row r="167">
      <c r="A167" s="11" t="inlineStr">
        <is>
          <t>H-11</t>
        </is>
      </c>
      <c r="B167" s="12" t="inlineStr">
        <is>
          <t>H</t>
        </is>
      </c>
      <c r="C167" s="11" t="inlineStr">
        <is>
          <t>Podgląd zawartości archiwum przed odtworzeniem</t>
        </is>
      </c>
      <c r="D167" s="11" t="inlineStr">
        <is>
          <t>PŁATNE</t>
        </is>
      </c>
      <c r="E167" s="11" t="inlineStr">
        <is>
          <t>TAK</t>
        </is>
      </c>
      <c r="F167" s="11" t="inlineStr">
        <is>
          <t>CZĘŚĆ</t>
        </is>
      </c>
      <c r="G167" s="11" t="inlineStr">
        <is>
          <t>CZĘŚĆ</t>
        </is>
      </c>
      <c r="H167" s="11" t="inlineStr">
        <is>
          <t>CZĘŚĆ</t>
        </is>
      </c>
      <c r="I167" s="11" t="inlineStr">
        <is>
          <t>DZIAŁA</t>
        </is>
      </c>
      <c r="J167" s="12" t="inlineStr">
        <is>
          <t>ops/scripts/node-file-restore.sh (zadanie FILE_RESTORE, list/extract jako klient), subscriptions/file-restore.service.ts, services.controller.ts :id/hosting-file-restore(/list|/extract), client-panel components/hosting/ArchiveBrowser.tsx (Kopie → Pliki); test file-restore.service.spec.ts; D3 t1 (d3.hvln.pl) 29.09 po wdrożeniu 13:00 (panel klienta): FAIL: podgląd katalogu „domains” w kopii → „Operacja nie powiodła się” (SIGPIPE tar przy &gt;2000 wpisach + pipefail); poprawka befd7f4 czeka na push; D3 t1 29.09 13:46 po befd7f4: zadanie listy „domains” kończy się sukcesem, ale panel pokazuje „Pusty katalog” (log zadania obcięty do 120 000 znaków od końca zjadał bieżący poziom); poprawka 9f1010b (budżet znaków) czeka na push; D3 t1 29.09 14:43 po 8ee458a (panel klienta): przeglądanie archiwum domains → d3.hvln.pl → public_html (WordPress, &gt;2000 wpisów) działa; „Wczytaj ponownie” przy pustym katalogu</t>
        </is>
      </c>
      <c r="K167" s="11" t="inlineStr">
        <is>
          <t>PARYTET</t>
        </is>
      </c>
      <c r="L167" s="11" t="inlineStr">
        <is>
          <t>WYSOKA</t>
        </is>
      </c>
      <c r="M167" s="11" t="inlineStr">
        <is>
          <t>M</t>
        </is>
      </c>
      <c r="N167" s="12" t="inlineStr">
        <is>
          <t>2026-09-24: KOD (D2) + skrypt sprawdzony lokalnie na tar.gz — podgląd zawartości archiwum (do 2000 wpisów, katalogi wczytywane głębiej na żądanie). OTWARTE do D3 (sprint 21): format archiwów DA (domains/…), tar --zstd na węźle, czas listowania dużych kopii. | nazwa funkcji obiecuje coś, czego nie robi | 2026-09-23: ATRAPA USUNIĘTA — endpoint restore-preview i akcja panelu nie miały żadnego wywołania w UI, a zwracały „podgląd archiwum” zbudowany z bieżącego konta i obietnicę, że „worker potwierdza zawartość archiwum” (nieprawda). Zostaje prawdziwa luka: podgląd zawartości archiwum wymaga listowania tar na węźle (D3). | 2026-10-06 D3 t1: przeglądanie archiwum katalog po katalogu (każdy poziom wczytywany z węzła, ok. 20–40 s).</t>
        </is>
      </c>
    </row>
    <row r="168">
      <c r="A168" s="11" t="inlineStr">
        <is>
          <t>H-12</t>
        </is>
      </c>
      <c r="B168" s="12" t="inlineStr">
        <is>
          <t>H</t>
        </is>
      </c>
      <c r="C168" s="11" t="inlineStr">
        <is>
          <t>Status zadania odtwarzania</t>
        </is>
      </c>
      <c r="D168" s="11" t="inlineStr">
        <is>
          <t>TAK</t>
        </is>
      </c>
      <c r="E168" s="11" t="inlineStr">
        <is>
          <t>TAK</t>
        </is>
      </c>
      <c r="F168" s="11" t="inlineStr">
        <is>
          <t>CZĘŚĆ</t>
        </is>
      </c>
      <c r="G168" s="11" t="inlineStr">
        <is>
          <t>CZĘŚĆ</t>
        </is>
      </c>
      <c r="H168" s="11" t="inlineStr">
        <is>
          <t>TAK</t>
        </is>
      </c>
      <c r="I168" s="11" t="inlineStr">
        <is>
          <t>DZIAŁA</t>
        </is>
      </c>
      <c r="J168" s="12" t="inlineStr">
        <is>
          <t>services.controller.ts:828</t>
        </is>
      </c>
      <c r="K168" s="11" t="inlineStr">
        <is>
          <t>PARYTET</t>
        </is>
      </c>
      <c r="L168" s="11" t="inlineStr">
        <is>
          <t>—</t>
        </is>
      </c>
      <c r="M168" s="11" t="inlineStr">
        <is>
          <t>—</t>
        </is>
      </c>
      <c r="N168" s="12" t="inlineStr"/>
    </row>
    <row r="169">
      <c r="A169" s="11" t="inlineStr">
        <is>
          <t>H-13</t>
        </is>
      </c>
      <c r="B169" s="12" t="inlineStr">
        <is>
          <t>H</t>
        </is>
      </c>
      <c r="C169" s="11" t="inlineStr">
        <is>
          <t>Pobranie archiwum kopii lokalnie</t>
        </is>
      </c>
      <c r="D169" s="11" t="inlineStr">
        <is>
          <t>TAK</t>
        </is>
      </c>
      <c r="E169" s="11" t="inlineStr">
        <is>
          <t>TAK</t>
        </is>
      </c>
      <c r="F169" s="11" t="inlineStr">
        <is>
          <t>TAK</t>
        </is>
      </c>
      <c r="G169" s="11" t="inlineStr">
        <is>
          <t>TAK</t>
        </is>
      </c>
      <c r="H169" s="11" t="inlineStr">
        <is>
          <t>TAK</t>
        </is>
      </c>
      <c r="I169" s="11" t="inlineStr">
        <is>
          <t>DZIAŁA</t>
        </is>
      </c>
      <c r="J169" s="12" t="inlineStr">
        <is>
          <t>files/files.service.ts downloadStream; files.controller.ts GET download-stream; client app/api/services/[id]/files/download/route.ts; BackupsTab.tsx „Pobierz”; test files.service.spec.ts; D3 t1 29.09 (panel klienta, d3.hvln.pl): pobranie archiwum backup-Sep-29-2026-2.tar.zst przez panel: 43 728 787 B strumieniem, nagłówek zstd</t>
        </is>
      </c>
      <c r="K169" s="11" t="inlineStr">
        <is>
          <t>PARYTET</t>
        </is>
      </c>
      <c r="L169" s="11" t="inlineStr">
        <is>
          <t>ŚREDNIA</t>
        </is>
      </c>
      <c r="M169" s="11" t="inlineStr">
        <is>
          <t>S</t>
        </is>
      </c>
      <c r="N169" s="12" t="inlineStr">
        <is>
          <t>2026-09-25: KOD (D2) — „Pobierz” przy każdej kopii: archiwum z ~/backups idzie strumieniem z DirectAdmina przez API i panel prosto do przeglądarki (bez ładowania do pamięci, bez base64 i bez limitu 100 MB zwykłego pobierania z menedżera plików). Ta sama piaskownica ścieżek i własność usługi; subkonto potrzebuje uprawnienia do plików; 120 pobrań na godzinę (też menedżer plików i eksport bazy, które przeszły na ten sam strumień); wpis w dzienniku (HOSTING_FILE_DOWNLOADED). D3: pobranie kilkugigabajtowego archiwum na węźle — sprawdzić limity czasu proxy (Traefik/Nginx) przy wolnym łączu.</t>
        </is>
      </c>
    </row>
    <row r="170">
      <c r="A170" s="11" t="inlineStr">
        <is>
          <t>H-14</t>
        </is>
      </c>
      <c r="B170" s="12" t="inlineStr">
        <is>
          <t>H</t>
        </is>
      </c>
      <c r="C170" s="11" t="inlineStr">
        <is>
          <t>Kopia off-site (poza węzłem)</t>
        </is>
      </c>
      <c r="D170" s="11" t="inlineStr">
        <is>
          <t>PŁATNE</t>
        </is>
      </c>
      <c r="E170" s="11" t="inlineStr">
        <is>
          <t>TAK</t>
        </is>
      </c>
      <c r="F170" s="11" t="inlineStr">
        <is>
          <t>CZĘŚĆ</t>
        </is>
      </c>
      <c r="G170" s="11" t="inlineStr">
        <is>
          <t>CZĘŚĆ</t>
        </is>
      </c>
      <c r="H170" s="11" t="inlineStr">
        <is>
          <t>CZĘŚĆ</t>
        </is>
      </c>
      <c r="I170" s="11" t="inlineStr">
        <is>
          <t>DZIAŁA</t>
        </is>
      </c>
      <c r="J170" s="12" t="inlineStr">
        <is>
          <t>ops/scripts/node-offsite-backup.sh:93-97 (rclone crypt → S3); D3 t1 (d3.hvln.pl) 29.09: nocny przebieg 03:54 accounts=2, archiwum konta d3 widoczne w panelu (D4 — test odtworzenia — nadal otwarte)</t>
        </is>
      </c>
      <c r="K170" s="11" t="inlineStr">
        <is>
          <t>PARYTET</t>
        </is>
      </c>
      <c r="L170" s="11" t="inlineStr">
        <is>
          <t>—</t>
        </is>
      </c>
      <c r="M170" s="11" t="inlineStr">
        <is>
          <t>—</t>
        </is>
      </c>
      <c r="N170" s="12" t="inlineStr">
        <is>
          <t>szyfrowane po stronie węzła | 2026-09-25 AUDYT SKRYPTÓW WĘZŁA z oficjalną dokumentacją (DA/CloudLinux/LiteSpeed), test src/test/wezel-zgodnie-z-dokumentacja.spec.ts: kopia off-site NIE tworzyła nowych kopii — wpis task.queue z user_select0/owner=&lt;user&gt; nie jest formatem z dokumentacji, a skrypt synchronizował stare archiwa z /home/*/backups i zgłaszał ok=true. Teraz oficjalne `directadmin admin-backup --destination=/home/&lt;admin&gt;/admin_backups --user=&lt;u&gt;` synchronicznie per konto → drzewo tylko dla roota → rclone sync (układ zdalny bez zmian); nieudane konto: rc=3 i jego poprzednia kopia zostaje (exclude). D3: pierwszy przebieg na węźle. | 2026-10-01 D3 t1: 01.10: nocne przebiegi 29.09–01.10 OK (accounts=2), na magazynie archiwum konta z 01.10 03:54 (111 MB) i wersje 20260930/20261001; lista w panelu po odświeżeniu pokazuje bieżące archiwum, pobranie do konta działało 29.09. Godzina w liście +2 h → 47f621e. | 2026-10-01: werdykt PARYTET — działa na węźle (D3). | 2026-10-10: gotowość t1 na karcie węzła w adminie: offsite 10.10 03:51 OK (D3 10.10 ok. 13:00).</t>
        </is>
      </c>
    </row>
    <row r="171">
      <c r="A171" s="11" t="inlineStr">
        <is>
          <t>H-15</t>
        </is>
      </c>
      <c r="B171" s="12" t="inlineStr">
        <is>
          <t>H</t>
        </is>
      </c>
      <c r="C171" s="11" t="inlineStr">
        <is>
          <t>Lista kopii off-site dla klienta</t>
        </is>
      </c>
      <c r="D171" s="11" t="inlineStr">
        <is>
          <t>NIE</t>
        </is>
      </c>
      <c r="E171" s="11" t="inlineStr">
        <is>
          <t>CZĘŚĆ</t>
        </is>
      </c>
      <c r="F171" s="11" t="inlineStr">
        <is>
          <t>NIE</t>
        </is>
      </c>
      <c r="G171" s="11" t="inlineStr">
        <is>
          <t>NIE</t>
        </is>
      </c>
      <c r="H171" s="11" t="inlineStr">
        <is>
          <t>NIE</t>
        </is>
      </c>
      <c r="I171" s="11" t="inlineStr">
        <is>
          <t>DZIAŁA</t>
        </is>
      </c>
      <c r="J171" s="12" t="inlineStr">
        <is>
          <t>services.controller.ts:845; D3 t1 (d3.hvln.pl) 29.09: lista off-site pokazuje user.admin.ovsekucx.tar.zst (42 MB) z przebiegu 03:54; „Pobierz na serwer” zlecone</t>
        </is>
      </c>
      <c r="K171" s="11" t="inlineStr">
        <is>
          <t>PRZEWAGA</t>
        </is>
      </c>
      <c r="L171" s="11" t="inlineStr">
        <is>
          <t>—</t>
        </is>
      </c>
      <c r="M171" s="11" t="inlineStr">
        <is>
          <t>—</t>
        </is>
      </c>
      <c r="N171" s="12" t="inlineStr">
        <is>
          <t xml:space="preserve"> | 2026-09-25 AUDYT SKRYPTÓW WĘZŁA z oficjalną dokumentacją (DA/CloudLinux/LiteSpeed), test src/test/wezel-zgodnie-z-dokumentacja.spec.ts: pobranie archiwum do ~/backups klienta: odmowa, gdy katalog lub plik jest dowiązaniem symbolicznym; chown -h.</t>
        </is>
      </c>
    </row>
    <row r="172">
      <c r="A172" s="11" t="inlineStr">
        <is>
          <t>H-16</t>
        </is>
      </c>
      <c r="B172" s="12" t="inlineStr">
        <is>
          <t>H</t>
        </is>
      </c>
      <c r="C172" s="11" t="inlineStr">
        <is>
          <t>ODTWORZENIE KONTA NA INNY WĘZEŁ</t>
        </is>
      </c>
      <c r="D172" s="11" t="inlineStr">
        <is>
          <t>PŁATNE</t>
        </is>
      </c>
      <c r="E172" s="11" t="inlineStr">
        <is>
          <t>TAK</t>
        </is>
      </c>
      <c r="F172" s="11" t="inlineStr">
        <is>
          <t>CZĘŚĆ</t>
        </is>
      </c>
      <c r="G172" s="11" t="inlineStr">
        <is>
          <t>b.d.</t>
        </is>
      </c>
      <c r="H172" s="11" t="inlineStr">
        <is>
          <t>CZĘŚĆ</t>
        </is>
      </c>
      <c r="I172" s="11" t="inlineStr">
        <is>
          <t>CZĘŚCIOWE</t>
        </is>
      </c>
      <c r="J172" s="12" t="inlineStr">
        <is>
          <t>subscriptions/odtworzenie-na-wezle.service.ts; admin subskrypcja → odtworzenie-na-wezle-panel.tsx; ops/scripts/node-account-restore.sh (OFR_MODE=restore, OFR_SOURCE_PREFIX, OFR_IP); node-tasks.service.ts completeTaskFromNode (przepięcie konta); test odtworzenie-na-wezle.service.spec.ts</t>
        </is>
      </c>
      <c r="K172" s="11" t="inlineStr">
        <is>
          <t>CZĘŚCIOWY</t>
        </is>
      </c>
      <c r="L172" s="11" t="inlineStr">
        <is>
          <t>WYSOKA</t>
        </is>
      </c>
      <c r="M172" s="11" t="inlineStr">
        <is>
          <t>L</t>
        </is>
      </c>
      <c r="N172" s="12" t="inlineStr">
        <is>
          <t>Skorygowane: ścieżka odtworzenia na NOWYM węźle istnieje jako procedura ops — ops/docs/OFFSITE_RESTORE_RUNBOOK.md, sekcja „Scenariusz utrata węzła”. Nie jest funkcją produktu (runbook sam to nazywa kolejnym krokiem), ale warunek „bez ścieżki odtworzenia” nie jest spełniony. | 2026-09-25 AUDYT SKRYPTÓW WĘZŁA z oficjalną dokumentacją (DA/CloudLinux/LiteSpeed), test src/test/wezel-zgodnie-z-dokumentacja.spec.ts: restore z off-site (ścieżka operatora) na format task.queue z dokumentacji DA (value=multiple, owner = creator konta, local_path = admin_backups administratora — nie katalog klienta, gdzie archiwum dałoby się podmienić). | 2026-09-25 KOD (D2): funkcja produktu zamiast samego runbooka. Admin → subskrypcja → „Odtworzenie na innym węźle — awaria węzła”: węzeł docelowy → lista kopii z prefiksu węzła źródłowego (nodes/&lt;hostname -s&gt;) → odtworzenie. Węzeł docelowy pobiera archiwum do admin_backups i zleca restore DA z ip_choice=select&amp;ip=&lt;IP celu&gt; (oficjalna dokumentacja DA: Backup/Restore/Migration — „assuming his account doesn't exist yet”); istniejące konto nie jest nadpisywane; po założeniu konta przez DA (do 30 min, VERRIS-OFFSITE-RESTORED) panel sam przepina konto (Account.serverId) + audyt ACCOUNT_MOVED_TO_NODE. Tylko ADMIN. Warunek floty: ten sam remote rclone crypt (dopisane w kreatorze węzła i runbooku). ZOSTAJE: DNS przy strefach na węźle (zmiana NS — z ClouDNS klastrem idzie za kontem), D3 na dwóch węzłach.</t>
        </is>
      </c>
    </row>
    <row r="173">
      <c r="A173" s="11" t="inlineStr">
        <is>
          <t>H-17</t>
        </is>
      </c>
      <c r="B173" s="12" t="inlineStr">
        <is>
          <t>H</t>
        </is>
      </c>
      <c r="C173" s="11" t="inlineStr">
        <is>
          <t>Tryb restore skryptu odtwarzającego osiągalny z produktu</t>
        </is>
      </c>
      <c r="D173" s="11" t="inlineStr">
        <is>
          <t>—</t>
        </is>
      </c>
      <c r="E173" s="11" t="inlineStr">
        <is>
          <t>—</t>
        </is>
      </c>
      <c r="F173" s="11" t="inlineStr">
        <is>
          <t>—</t>
        </is>
      </c>
      <c r="G173" s="11" t="inlineStr">
        <is>
          <t>—</t>
        </is>
      </c>
      <c r="H173" s="11" t="inlineStr">
        <is>
          <t>—</t>
        </is>
      </c>
      <c r="I173" s="11" t="inlineStr">
        <is>
          <t>DZIAŁA</t>
        </is>
      </c>
      <c r="J173" s="12" t="inlineStr">
        <is>
          <t>2026-09-23: produktowa ścieżka odtwarzania z off-site = „Pobierz na serwer” (fetch, agent) + przywrócenie z listy kopii z kopią bezpieczeństwa (H-09) i potwierdzeniem domeną; tryb `restore` skryptu (DA type=admin, bez kopii bezpieczeństwa) celowo zostaje tylko w CLI/runbooku DR</t>
        </is>
      </c>
      <c r="K173" s="11" t="inlineStr">
        <is>
          <t>PARYTET</t>
        </is>
      </c>
      <c r="L173" s="11" t="inlineStr">
        <is>
          <t>WYSOKA</t>
        </is>
      </c>
      <c r="M173" s="11" t="inlineStr">
        <is>
          <t>S</t>
        </is>
      </c>
      <c r="N173" s="12" t="inlineStr">
        <is>
          <t>Skorygowane: tryb restore jest martwy z poziomu produktu, ale żywy z CLI (node-account-restore.sh:120-124) i udokumentowany w runbooku. | DO DECYZJI WŁAŚCICIELA: proponuję zamknąć jako PARYTET przez równoważną ścieżkę produktową — wystawienie trybu `restore` ominęłoby kopię bezpieczeństwa z H-09. Tryb restore działa też tylko przy istniejącym koncie na węźle, czyli dokładnie tam, gdzie wystarcza fetch + przywrócenie. | DECYZJA WŁAŚCICIELA 2026-09-23: zamknięte jako PARYTET — ścieżka produktowa (pobierz na serwer + przywrócenie z kopią bezpieczeństwa i potwierdzeniem domeną) daje ten sam efekt bezpieczniej; tryb restore skryptu zostaje wyłącznie w CLI/runbooku DR.</t>
        </is>
      </c>
    </row>
    <row r="174">
      <c r="A174" s="11" t="inlineStr">
        <is>
          <t>H-18</t>
        </is>
      </c>
      <c r="B174" s="12" t="inlineStr">
        <is>
          <t>H</t>
        </is>
      </c>
      <c r="C174" s="11" t="inlineStr">
        <is>
          <t>Odtworzenie konta przez operatora z panelu</t>
        </is>
      </c>
      <c r="D174" s="11" t="inlineStr">
        <is>
          <t>TAK</t>
        </is>
      </c>
      <c r="E174" s="11" t="inlineStr">
        <is>
          <t>TAK</t>
        </is>
      </c>
      <c r="F174" s="11" t="inlineStr">
        <is>
          <t>TAK</t>
        </is>
      </c>
      <c r="G174" s="11" t="inlineStr">
        <is>
          <t>TAK</t>
        </is>
      </c>
      <c r="H174" s="11" t="inlineStr">
        <is>
          <t>TAK</t>
        </is>
      </c>
      <c r="I174" s="11" t="inlineStr">
        <is>
          <t>DZIAŁA</t>
        </is>
      </c>
      <c r="J174" s="12" t="inlineStr">
        <is>
          <t>admin: Subskrypcje → usługa → „Odtworzenie konta z kopii” (restore-panel.tsx): lista kopii (nowe GET admin/subscriptions/:id/hosting-backups), zakres, kopia bezpieczeństwa domyślnie, potwierdzenie domeną, status ostatniego odtworzenia → POST admin/subscriptions/:id/hosting-restore (SUBSCRIPTIONS_MANAGE); D3 t1 (d3.hvln.pl) 29.09 FAIL: panel operatora „Na koncie nie ma kopii do odtworzenia” mimo archiwum w /backups — ten sam parser co H-05; poprawka 8f7b043 czeka na wdrożenie; retest z odtworzeniem</t>
        </is>
      </c>
      <c r="K174" s="11" t="inlineStr">
        <is>
          <t>PARYTET</t>
        </is>
      </c>
      <c r="L174" s="11" t="inlineStr">
        <is>
          <t>WYSOKA</t>
        </is>
      </c>
      <c r="M174" s="11" t="inlineStr">
        <is>
          <t>S</t>
        </is>
      </c>
      <c r="N174" s="12" t="inlineStr">
        <is>
          <t>Skorygowane: klient ma self-restore z kopii lokalnych, operator ma działający endpoint. Brakuje przycisku. | 2026-09-23: przycisk dodany; operator przepisuje domenę jak klient (API dla admina tego nie wymaga — potwierdzenie w UI). D3 z odtworzeniem na żywym DA (PB-21). | 2026-10-01 D3: 01.10 t1: Admin → usługa d3.hvln.pl → „Odtworzenie konta z kopii”, zakres tylko poczta, kopia off-site z 30.09, z kopią bezpieczeństwa: kopia bezpieczeństwa powstała (backup-Oct-01-2026-2), DA wykonał odtworzenie po ~2,5 min („User ovsekucx has restored file user.admin.ovsekucx.tar.zst”, system.log 22:31:35), pliki strony nietknięte (zakres respektowany).</t>
        </is>
      </c>
    </row>
    <row r="175">
      <c r="A175" s="11" t="inlineStr">
        <is>
          <t>H-19</t>
        </is>
      </c>
      <c r="B175" s="12" t="inlineStr">
        <is>
          <t>H</t>
        </is>
      </c>
      <c r="C175" s="11" t="inlineStr">
        <is>
          <t>Automatyczna konfiguracja backupu przy wdrożeniu węzła</t>
        </is>
      </c>
      <c r="D175" s="11" t="inlineStr">
        <is>
          <t>TAK</t>
        </is>
      </c>
      <c r="E175" s="11" t="inlineStr">
        <is>
          <t>TAK</t>
        </is>
      </c>
      <c r="F175" s="11" t="inlineStr">
        <is>
          <t>TAK</t>
        </is>
      </c>
      <c r="G175" s="11" t="inlineStr">
        <is>
          <t>—</t>
        </is>
      </c>
      <c r="H175" s="11" t="inlineStr">
        <is>
          <t>—</t>
        </is>
      </c>
      <c r="I175" s="11" t="inlineStr">
        <is>
          <t>DZIAŁA</t>
        </is>
      </c>
      <c r="J175" s="12" t="inlineStr">
        <is>
          <t>ops/scripts/node-onboard-live.sh (backup_offsite_skonfigurowany → [FAIL], skrypt w wymaganym bundle); live-readiness.service.ts (offsite_backup blokujący); kreator węzła: krok „Backup offsite”; test src/test/backup-offsite-bramka.spec.ts</t>
        </is>
      </c>
      <c r="K175" s="11" t="inlineStr">
        <is>
          <t>PARYTET</t>
        </is>
      </c>
      <c r="L175" s="11" t="inlineStr">
        <is>
          <t>WYSOKA</t>
        </is>
      </c>
      <c r="M175" s="11" t="inlineStr">
        <is>
          <t>M</t>
        </is>
      </c>
      <c r="N175" s="12" t="inlineStr">
        <is>
          <t>Skorygowane: timer instalowany zawsze (node-onboard-live.sh:239-247), brakuje pliku konfiguracyjnego, a stan jest widoczny w live-readiness (:171-180). Realny problem: ostrzeżenie nie blokuje go-live — dodać twardą bramkę. | 2026-09-23: brak konfiguracji backupu to teraz [FAIL] zatrzymujący onboard (etap hardening), a węzeł ACTIVE bez udanego backupu offsite blokuje go-live. PRZY OKAZJI: kreator kopiował na węzeł listę plików BEZ node-offsite-backup.sh (i bez lib/ oraz workera migracji) — onboard po cichu pomijał backup; teraz kopiuje cały katalog. D3: pierwszy onboard węzła #1.</t>
        </is>
      </c>
    </row>
    <row r="176">
      <c r="A176" s="11" t="inlineStr">
        <is>
          <t>H-20</t>
        </is>
      </c>
      <c r="B176" s="12" t="inlineStr">
        <is>
          <t>H</t>
        </is>
      </c>
      <c r="C176" s="11" t="inlineStr">
        <is>
          <t>Test odtworzeniowy z datą ostatniego wykonania</t>
        </is>
      </c>
      <c r="D176" s="11" t="inlineStr">
        <is>
          <t>—</t>
        </is>
      </c>
      <c r="E176" s="11" t="inlineStr">
        <is>
          <t>—</t>
        </is>
      </c>
      <c r="F176" s="11" t="inlineStr">
        <is>
          <t>—</t>
        </is>
      </c>
      <c r="G176" s="11" t="inlineStr">
        <is>
          <t>—</t>
        </is>
      </c>
      <c r="H176" s="11" t="inlineStr">
        <is>
          <t>—</t>
        </is>
      </c>
      <c r="I176" s="11" t="inlineStr">
        <is>
          <t>DZIAŁA</t>
        </is>
      </c>
      <c r="J176" s="12" t="inlineStr">
        <is>
          <t>DOWÓD D4 — wiersz w bazie PRODUKCYJNEJ, odczytany 2026-08-23: finishedAt=2026-08-22 23:19:45, result=OK, owner=Dominik Kowalski, durationSec=9, objectName=latest.sql.gz.age. W tabeli stoi też wiersz poprzedni: 2026-08-22 19:57:36 / FAILED / durationSec=1 / objectName=latest.sql.gz — próba sprzed H-24, która szła po nieistniejący obiekt. | MECHANIZM (D2): admin-readiness/proba-odtworzenia.ts — ocenProby/brakujaceWiersze/MINIMALNE_WIERSZE; live-readiness.service.ts — pozycja restore_drill z blocking: true; proba-odtworzenia.scheduler.ts — przypomnienie codziennie 08:30, tylko gdy jest co robić; ops/scripts/restore-drill-isolated.sh — progi wierszy na 5 tabelach, suma kontrolna, deszyfrowanie age, zapis śladu; migracja 20260823000000_proba_odtworzenia (tabela RestoreDrill + 2 CHECK); ops/docs/OFFSITE_RESTORE_RUNBOOK.md — procedura z właścicielem i cyklem 30 dni; proba-odtworzenia.spec.ts (20) + test/integration/proba-odtworzenia.int-spec.ts (8) | 2026-10-10: admin Flota → Kopie (nodes/kopie/page.tsx:22 → GET /admin/live-readiness/proby-odtworzenia, live-readiness.admin.controller.ts:32; test kopie.spec.tsx) — ostatnia udana próba nadal z 2026-08-22/23 | 2026-10-11 D4: ops/scripts/restore-drill-isolated.sh na control-plane (właściciel Dominik Kowalski) — latest.sql.gz.age 03:17 UTC, suma i age OK, wiersze Invoice 5 / Plan 5 / Account 7 / User 15 / Subscription 15, 11 s, wpis RestoreDrill wynik=OK; konto d3 na t1 z kopii off-site (user.admin.ovsekucx.tar.zst 11.10 16:18:57, 367 MB) przez panel klienta (pobranie) + admin „Odtworzenie konta z kopii” (pliki+bazy+poczta, kopia bezpieczeństwa) 17:11:56→17:14:04, strona i 3 skrzynki działają</t>
        </is>
      </c>
      <c r="K176" s="11" t="inlineStr">
        <is>
          <t>PARYTET</t>
        </is>
      </c>
      <c r="L176" s="11" t="inlineStr">
        <is>
          <t>WYSOKA</t>
        </is>
      </c>
      <c r="M176" s="11" t="inlineStr">
        <is>
          <t>M</t>
        </is>
      </c>
      <c r="N176" s="12" t="inlineStr">
        <is>
          <t>ZAMKNIĘTE 2026-08-23. Pierwsze w historii projektu odtworzenie bazy z kopii — i pierwszy dowód, że warstwa DR w ogóle działa. Przebieg: MinIO stat latest.sql.gz.age (4,3 MiB, 2026-08-22 21:24:12), suma kontrolna zgodna, deszyfrowanie kluczem operacyjnym, odtworzenie do izolowanej bazy verris_restore_drill w 9 sekund, progi wierszy na pięciu tabelach: Invoice 0 (min 0), Plan 5 (min 1), Account 3 (min 0), User 10 (min 1), Subscription 7 (min 0), baza drillowa skasowana, produkcyjna verris_db nietknięta. | DZIEWIĘĆ SEKUND TO REALNE RTO — dolne oszacowanie, bo drill biegnie na tym samym hoście. To jest liczba, którą trzeba znać PRZED awarią, nie w jej trakcie. | DWA WIERSZE W TABELI, NIE JEDEN — i to jest część dowodu. Pierwsza próba (19:57, FAILED, 1 s, latest.sql.gz) padła, bo skrypt pytał o obiekt, którego produkcja NIGDY nie tworzy; naprawione w H-24, druga próba (23:19, OK, 9 s, latest.sql.gz.age) przeszła. Mechanizm zapisał własną porażkę zamiast ją przemilczeć — dokładnie po to powstał wymóg, żeby ślad powstawał RÓWNIEŻ przy niepowodzeniu. Ocena patrzy na OSTATNIĄ próbę, nie na ostatnią udaną: gdyby patrzyła tylko na udane, wczorajsza awaria odtwarzania byłaby niewidoczna. | DOWÓD ODCZYTANY Z BAZY, NIE Z KOMUNIKATU SKRYPTU. Skrypt drukuje „ślad próby zapisany" — to jest zdanie o zamiarze, nie o wyniku. Cała ta pozycja i cała awaria kopii z H-23 wzięły się z ufania takim zdaniom. | DOWÓD SIĘ STARZEJE: termin ważności 30 dni (MAKS_WIEK_PROBY_DNI), czyli do 2026-09-21, potem gotowość do startu znów zwraca go: false. Przypomnienie idzie mailem 7 dni przed terminem. Odtworzenie sprzed schematu, którego już nie ma, nie dowodzi niczego o dzisiejszej kopii. | ZROBIONE POZA KOLEJNOŚCIĄ — pozycja planowana na sprint 9 (po postawieniu węzła produkcyjnego w sprincie 8), wykonana w sprincie 2, bo H-23 wymusiło odtworzenie kopii tu i teraz. | CZEGO NIE ROBI: nie odtwarza konta hostingowego (pliki, poczta, bazy klienta — osobna ścieżka w runbooku); nie mierzy RTO na maszynie zastępczej; nie sprawdza poprawności danych ponad to, że tabele nie są puste; nie uruchamia się sam — przypomina, nie wykonuje. Dokumentacja: docs/archiwum/zadania/H-20-proba-odtworzenia.md | FLAGA BLOKERA ZDJETA 2026-09-19: pozycja ma stan DZIALA i werdykt PARYTET od 2026-08-23, z dowodem D4 (wiersz w bazie produkcyjnej, finishedAt=2026-08-22 23:19:45, durationSec=9). Flaga BLOKER STARTU zostala po zamknieciu i generator liczyl przez nia piec blokerow zamiast czterech. Licznik, ktory podaje zla liczbe, jest tym samym rodzajem usterki co bramka z X-33 — uczy nie ufac wlasnemu odczytowi. | 2026-10-10: DOWÓD WYGASŁ. Ostatnia udana próba odtworzenia to nadal 2026-08-22 23:19 (bazy platformy) — odczyt na produkcji 10.10 ok. 13:00 (Flota → Kopie). Ważność 30 dni minęła 2026-09-21, więc D4 przestał obowiązywać (README: dowód starszy niż 30 dni wraca do D0; backupy i DR — wyłącznie D4). Mechanizm, przypomnienie i strona w panelu zostają D2. Stan DZIAŁA → CZĘŚCIOWE, werdykt PARYTET → CZĘŚCIOWY, flaga BLOKER STARTU wraca — zdjęto ją 2026-09-19 wyłącznie dlatego, że był D4, a live-readiness restore_drill jest blocking. Odnowienie: PB-54 (próba bazy platformy + odtworzenie jednego konta na t1, z datą i właścicielem) w sprincie 16, przed betą 19.10; potem cykl 30 dni. | 2026-10-10 (przegląd): przypomnienie o próbie (proba-odtworzenia.scheduler.ts:41, codziennie 08:30, od 7 dni przed terminem, czyli od ok. 14.09) nie przełożyło się na próbę przez ponad 3 tygodnie. Nie sprawdzono, czy maile przypomnień dotarły — do sprawdzenia przy PB-54, bo przypomnienie, które nie wywołuje działania, to ten sam rodzaj usterki co alert z H-24. | 2026-10-11: PB-54 wykonane (D4) — flaga BLOKER STARTU zdjęta. Następna próba: do 2026-11-10 (cykl 30 dni, przypomnienie proba-odtworzenia.scheduler.ts).</t>
        </is>
      </c>
    </row>
    <row r="177">
      <c r="A177" s="11" t="inlineStr">
        <is>
          <t>H-21</t>
        </is>
      </c>
      <c r="B177" s="12" t="inlineStr">
        <is>
          <t>H</t>
        </is>
      </c>
      <c r="C177" s="11" t="inlineStr">
        <is>
          <t>Monitoring wykonania kopii we flocie</t>
        </is>
      </c>
      <c r="D177" s="11" t="inlineStr">
        <is>
          <t>TAK</t>
        </is>
      </c>
      <c r="E177" s="11" t="inlineStr">
        <is>
          <t>TAK</t>
        </is>
      </c>
      <c r="F177" s="11" t="inlineStr">
        <is>
          <t>CZĘŚĆ</t>
        </is>
      </c>
      <c r="G177" s="11" t="inlineStr">
        <is>
          <t>—</t>
        </is>
      </c>
      <c r="H177" s="11" t="inlineStr">
        <is>
          <t>—</t>
        </is>
      </c>
      <c r="I177" s="11" t="inlineStr">
        <is>
          <t>DZIAŁA</t>
        </is>
      </c>
      <c r="J177" s="12" t="inlineStr">
        <is>
          <t>node-backup.agent.controller.ts:44-78</t>
        </is>
      </c>
      <c r="K177" s="11" t="inlineStr">
        <is>
          <t>PARYTET</t>
        </is>
      </c>
      <c r="L177" s="11" t="inlineStr">
        <is>
          <t>—</t>
        </is>
      </c>
      <c r="M177" s="11" t="inlineStr">
        <is>
          <t>—</t>
        </is>
      </c>
      <c r="N177" s="12" t="inlineStr"/>
    </row>
    <row r="178">
      <c r="A178" s="11" t="inlineStr">
        <is>
          <t>H-22</t>
        </is>
      </c>
      <c r="B178" s="12" t="inlineStr">
        <is>
          <t>H</t>
        </is>
      </c>
      <c r="C178" s="11" t="inlineStr">
        <is>
          <t>Panel odtwarzania w widocznym miejscu</t>
        </is>
      </c>
      <c r="D178" s="11" t="inlineStr">
        <is>
          <t>TAK</t>
        </is>
      </c>
      <c r="E178" s="11" t="inlineStr">
        <is>
          <t>TAK</t>
        </is>
      </c>
      <c r="F178" s="11" t="inlineStr">
        <is>
          <t>TAK</t>
        </is>
      </c>
      <c r="G178" s="11" t="inlineStr">
        <is>
          <t>TAK</t>
        </is>
      </c>
      <c r="H178" s="11" t="inlineStr">
        <is>
          <t>TAK</t>
        </is>
      </c>
      <c r="I178" s="11" t="inlineStr">
        <is>
          <t>DZIAŁA</t>
        </is>
      </c>
      <c r="J178" s="12" t="inlineStr">
        <is>
          <t>2026-09-23: client-panel BackupsTab.tsx — sekcja „Kopie poza serwerem” (HostingOffsitePanel) w zakładce Kopie zapasowe; zdublowany panel przywracania usunięty z Zużycia zasobów (hosting-backup-restore-panel.tsx)</t>
        </is>
      </c>
      <c r="K178" s="11" t="inlineStr">
        <is>
          <t>PARYTET</t>
        </is>
      </c>
      <c r="L178" s="11" t="inlineStr">
        <is>
          <t>WYSOKA</t>
        </is>
      </c>
      <c r="M178" s="11" t="inlineStr">
        <is>
          <t>S</t>
        </is>
      </c>
      <c r="N178" s="12" t="inlineStr">
        <is>
          <t>klient w kryzysie tego nie znajdzie | Kopie off-site są tam, gdzie klient ich szuka w kryzysie; przywracanie jest w jednym miejscu, z potwierdzeniem domeną.</t>
        </is>
      </c>
    </row>
    <row r="179">
      <c r="A179" s="11" t="inlineStr">
        <is>
          <t>H-23</t>
        </is>
      </c>
      <c r="B179" s="12" t="inlineStr">
        <is>
          <t>H</t>
        </is>
      </c>
      <c r="C179" s="11" t="inlineStr">
        <is>
          <t>Backup bazy control-plane</t>
        </is>
      </c>
      <c r="D179" s="11" t="inlineStr">
        <is>
          <t>—</t>
        </is>
      </c>
      <c r="E179" s="11" t="inlineStr">
        <is>
          <t>—</t>
        </is>
      </c>
      <c r="F179" s="11" t="inlineStr">
        <is>
          <t>—</t>
        </is>
      </c>
      <c r="G179" s="11" t="inlineStr">
        <is>
          <t>—</t>
        </is>
      </c>
      <c r="H179" s="11" t="inlineStr">
        <is>
          <t>—</t>
        </is>
      </c>
      <c r="I179" s="11" t="inlineStr">
        <is>
          <t>DZIAŁA</t>
        </is>
      </c>
      <c r="J179" s="12" t="inlineStr">
        <is>
          <t>ops/backup-postgres.sh (fail-closed przy braku kluczy age — zadziałało poprawnie); .env.prod — BACKUP_AGE_RECIPIENTS ustawione 2026-08-22 (dwa klucze: operacyjny + break-glass offline); MinIO verris-backups/postgres/: latest.sql.gz.age + verris-2026-08-22-2124.sql.gz.age + dwa .sha256 (bucket UTWORZONY dopiero 2026-08-22 21:24 — wcześniej nie istniał); odtworzenie potwierdzone 2026-08-22 21:41: integralność OK, deszyfrowanie OK, User 10 / Plan 5 wierszy</t>
        </is>
      </c>
      <c r="K179" s="11" t="inlineStr">
        <is>
          <t>PARYTET</t>
        </is>
      </c>
      <c r="L179" s="11" t="inlineStr">
        <is>
          <t>—</t>
        </is>
      </c>
      <c r="M179" s="11" t="inlineStr">
        <is>
          <t>—</t>
        </is>
      </c>
      <c r="N179" s="12" t="inlineStr">
        <is>
          <t>POPRAWKA WERDYKTU 2026-08-22. Do dziś ta pozycja miała DZIAŁA / PARYTET, a dowodem było „ops/backup-postgres.sh, backup-mirror-external.sh, backup-verify.sh" — czyli TO, ŻE SKRYPTY ISTNIEJĄ. Poziom dowodu D1, wpisany jako działający, przy regule audytu, która dla backupów i DR wymaga D4. Reguła była dobra, wiersz ją łamał. | STAN FAKTYCZNY DO 2026-08-22: kopia bazy control-plane nie wykonała się ANI RAZU. Nie „nie doleciała" — bucket verris-backups w MinIO w ogóle nie istniał, utworzył się dopiero przy pierwszym udanym uruchomieniu. Cron chodził codziennie o 03:17, pg_dump i gzip przechodziły, a skrypt przerywał na szyfrowaniu: w .env.prod nigdy nie ustawiono BACKUP_AGE_RECIPIENTS. Najstarszy porzucony zrzut w stagingu miał datę 24 lipca — awaria trwała co najmniej miesiąc. | SKRYPT ZACHOWAŁ SIĘ POPRAWNIE: szyfrowanie jest fail-closed, więc zamiast wysłać niezaszyfrowany zrzut z danymi osobowymi do MinIO, odmówił i wyszedł z kodem 43. To jedyny element tego łańcucha, który zadziałał zgodnie z projektem. | DLACZEGO NIKT SIĘ NIE DOWIEDZIAŁ: (1) log szedł do /var/log/verris-backup.log i nikt go nie czytał; (2) alert VerrisPostgresBackupStale istnieje, ma severity: critical i regułę „verris_backup_present == 0" — czyli powinien dzwonić bez przerwy przez miesiąc; nie dotarł do nikogo i to jest osobne pytanie o routing Alertmanagera; (3) gotowość do startu sprawdzała backupy WĘZŁÓW (offsite_backup), a bazy control-plane — tej z fakturami, użytkownikami i subskrypcjami — nie sprawdzała nigdzie. | NAPRAWA 2026-08-22: wygenerowane dwa klucze age (operacyjny na control-plane do restore i drilla, break-glass wyniesiony do menedżera haseł — bo oba klucze prywatne na tej samej maszynie co baza znaczą, że pożar zabiera kopie I możliwość ich odczytania naraz), kopia wykonana ręcznie, obecność obiektu potwierdzona, odtwarzalność potwierdzona osobnym uruchomieniem. Przy okazji skrypt sam usunął 27 nieszyfrowanych zrzutów zalegających w /tmp (RODO art. 32). | OSIĄGNIĘTY POZIOM: D3 (obiekt na produkcji + potwierdzone odtworzenie, z datą). D4 domknie H-20, bo dopiero drill zapisuje datę, wynik i właściciela w sposób powtarzalny. | 2026-10-10 (przegląd): „potwierdzone odtworzenie” w poziomie D3 tej pozycji to próba z 2026-08-22 — ta sama, której ważność wygasła 21.09 (H-20). Werdykt bez zmian, bo pozycja dotyczy powstawania kopii, nie odtwarzania, ale odczytu kopii control-plane w tej aktualizacji nie było; dowód odtwarzalności tej kopii wraca razem z H-20 (PB-54).</t>
        </is>
      </c>
    </row>
    <row r="180">
      <c r="A180" s="11" t="inlineStr">
        <is>
          <t>H-24</t>
        </is>
      </c>
      <c r="B180" s="12" t="inlineStr">
        <is>
          <t>H</t>
        </is>
      </c>
      <c r="C180" s="11" t="inlineStr">
        <is>
          <t>Nazwa obiektu kopii i drill odtworzeniowy mają po jednym miejscu</t>
        </is>
      </c>
      <c r="D180" s="11" t="inlineStr">
        <is>
          <t>—</t>
        </is>
      </c>
      <c r="E180" s="11" t="inlineStr">
        <is>
          <t>—</t>
        </is>
      </c>
      <c r="F180" s="11" t="inlineStr">
        <is>
          <t>—</t>
        </is>
      </c>
      <c r="G180" s="11" t="inlineStr">
        <is>
          <t>—</t>
        </is>
      </c>
      <c r="H180" s="11" t="inlineStr">
        <is>
          <t>—</t>
        </is>
      </c>
      <c r="I180" s="11" t="inlineStr">
        <is>
          <t>DZIAŁA</t>
        </is>
      </c>
      <c r="J180" s="12" t="inlineStr">
        <is>
          <t>ops/lib/backup-crypto.sh — backup_crypto_latest_object(), jedno źródło nazwy obiektu; ops/scripts/restore-drill-isolated.sh — nazwa z biblioteki + weryfikacja SHA-256 + deszyfrowanie age; ops/scripts/prod-health-snapshot.sh, ops/restore-postgres.sh — nazwa z biblioteki; apps/api/src/storage/object-storage.service.ts — stała OBIEKT_KOPII_LATEST; USUNIĘTY ops/backup-verify.sh (druga kopia drilla); apps/api/src/test/nazwa-obiektu-kopii.spec.ts (12)</t>
        </is>
      </c>
      <c r="K180" s="11" t="inlineStr">
        <is>
          <t>PARYTET</t>
        </is>
      </c>
      <c r="L180" s="11" t="inlineStr">
        <is>
          <t>—</t>
        </is>
      </c>
      <c r="M180" s="11" t="inlineStr">
        <is>
          <t>S</t>
        </is>
      </c>
      <c r="N180" s="12" t="inlineStr">
        <is>
          <t>Odkryte 2026-08-22 przy pierwszym prawdziwym uruchomieniu drilla z H-20. | DWA SKRYPTY DO JEDNEGO ZADANIA. ops/backup-verify.sh robił wszystko POPRAWNIE: właściwa nazwa obiektu (latest.sql.gz.age), weryfikacja SHA-256, deszyfrowanie age, odtworzenie do osobnej bazy, sanity-check. I nie wołał go NIKT — żaden cron, runbook ani dokument; jedyne wystąpienia nazwy tego pliku w repozytorium to jego własny nagłówek. Obok stał ops/scripts/restore-drill-isolated.sh: zła nazwa obiektu, bez sumy kontrolnej, bez deszyfrowania, za to wpięty w runbook, w mail przypominający i w gotowość do startu. Utwardzanie H-20 poszło w tę drugą kopię — dołożyłem progi na pięciu tabelach, tabelę RestoreDrill, właściciela, pomiar czasu i bramkę, przykręcając to wszystko do skryptu, który nie mógł zadziałać. To moja pomyłka i to na pozycji, której całym sensem było sprawdzenie, czy naprawdę potrafimy odtworzyć bazę. Rodzina „bliźniaczych miejsc": Z-12, Z-16, M-06, X-24, teraz tu — tym razem najdroższa, bo dotyczyła DR. | NAZWA OBIEKTU W CZTERECH MIEJSCACH: drill, prod-health-snapshot.sh, restore-postgres.sh i metryka Prometheusa. Trzy z czterech miały „latest.sql.gz", a backup wysyła „latest.sql.gz.age", bo szyfrowanie jest w produkcji obowiązkowe. | PRECYZYJNIE O SKUTKU, bo łatwo tu przesadzić: w sierpniu metryka pokazywała zero ZGODNIE Z PRAWDĄ — kopii nie było w ogóle, więc zła nazwa nie ukryła TAMTEJ awarii. Ukryłaby NASTĘPNĄ: po naprawie kopii metryka nadal czytałaby nieistniejący obiekt, alert VerrisPostgresBackupStale krzyczałby bez końca przy działających kopiach, a wtedy ktoś by go wyciszył. Alarm, który kłamie, kończy tak samo jak alarm, którego nie ma. | ROZWIĄZANIE: nazwa wyprowadzana z backup_crypto_latest_object(), obok backup_crypto_enabled — żeby odpowiedź na „czy .age" brała się z tego samego miejsca co decyzja o szyfrowaniu. TypeScript nie zaimportuje funkcji basha, więc stała OBIEKT_KOPII_LATEST jest wiązana z biblioteką testem czytającym oba pliki (ta sama technika co X-24 i Z-03). | Drill dostał to, czego mu brakowało: weryfikację sumy kontrolnej pobranego obiektu (bez niej dowodziłby, że da się odtworzyć TO, CO POBRAŁ, a nie to, co zapisała kopia) i deszyfrowanie przed gunzipem. | Czerwieni się na starym kodzie: 4 z 12. | CZEGO NIE ROBI: nie odpowiada, dlaczego krytyczny alert nie dotarł do nikogo przez miesiąc — to konfiguracja Alertmanagera, poza kodem repozytorium. Dokumentacja: docs/archiwum/zadania/H-24-jedna-nazwa-jeden-drill.md</t>
        </is>
      </c>
    </row>
    <row r="181">
      <c r="A181" s="11" t="inlineStr">
        <is>
          <t>I-01</t>
        </is>
      </c>
      <c r="B181" s="12" t="inlineStr">
        <is>
          <t>I</t>
        </is>
      </c>
      <c r="C181" s="11" t="inlineStr">
        <is>
          <t>Autoinstalator aplikacji</t>
        </is>
      </c>
      <c r="D181" s="11" t="inlineStr">
        <is>
          <t>PŁATNE</t>
        </is>
      </c>
      <c r="E181" s="11" t="inlineStr">
        <is>
          <t>TAK</t>
        </is>
      </c>
      <c r="F181" s="11" t="inlineStr">
        <is>
          <t>PŁATNE</t>
        </is>
      </c>
      <c r="G181" s="11" t="inlineStr">
        <is>
          <t>TAK</t>
        </is>
      </c>
      <c r="H181" s="11" t="inlineStr">
        <is>
          <t>TAK</t>
        </is>
      </c>
      <c r="I181" s="11" t="inlineStr">
        <is>
          <t>DZIAŁA</t>
        </is>
      </c>
      <c r="J181" s="12" t="inlineStr">
        <is>
          <t>app-install.service.ts CATALOG (Nextcloud, PrestaShop, Joomla, MediaWiki); ops/scripts/node-app-install.sh; test test/instalator-aplikacji-katalog.spec.ts; D3 t1 28.09: WordPress 1-click na t1 — WP_INSTALL zakończone (kolejka ~3 min), strona po zmianie NS</t>
        </is>
      </c>
      <c r="K181" s="11" t="inlineStr">
        <is>
          <t>PARYTET</t>
        </is>
      </c>
      <c r="L181" s="11" t="inlineStr">
        <is>
          <t>WYSOKA</t>
        </is>
      </c>
      <c r="M181" s="11" t="inlineStr">
        <is>
          <t>M</t>
        </is>
      </c>
      <c r="N181" s="12" t="inlineStr">
        <is>
          <t>Softaculous/Installatron ma ~400 aplikacji; my mamy Nextcloud i PrestaShop | KOREKTA 2026-08-21: niezależnie od ubogiego katalogu, ścieżka wykonania była przerwana — node-app-install.sh nie był kopiowany do obrazu, więc /agent/tasks/app-install/script zwracał 500 i zadanie APP_INSTALL nie mogło się wykonać na produkcji. Naprawione razem z B-01. | 2026-09-25 KOD (D2): +Joomla (installation/joomla.php install -n wg docs.joomla.org J4.x:Joomla CLI Installation; najnowsza paczka Full_Package z wydań GitHub — dziś 6.1.3) i +MediaWiki 1.46.0 (maintenance/run.php install wg mediawiki.org Manual:install.php). NAPRAWIONE przy okazji (D3 by to złapał): domyślna strona Verris w public_html (index.html + assets/) blokowała instalator aplikacji („katalog nie jest pusty”), a w WordPressie i aplikacjach zostawała i zasłaniała je (index.html przed index.php) — teraz nie blokuje i znika po udanej instalacji. Katalog nadal 4+WordPress wobec ~400 u Softaculous; D3 w wezel.csv. | DECYZJA WŁAŚCICIELA 2026-10-01: zakres na start wystarcza — na t1 z panelu: WordPress (28.09), Joomla 6.1.4 (30.09), Nextcloud 35.0.1 (01.10). PrestaShop i MediaWiki poprawione w kodzie (32b7bd1, e359766, 682030d), retest i kolejne aplikacje po starcie.</t>
        </is>
      </c>
    </row>
    <row r="182">
      <c r="A182" s="11" t="inlineStr">
        <is>
          <t>I-02</t>
        </is>
      </c>
      <c r="B182" s="12" t="inlineStr">
        <is>
          <t>I</t>
        </is>
      </c>
      <c r="C182" s="11" t="inlineStr">
        <is>
          <t>Instalacja WordPressa jednym kliknięciem</t>
        </is>
      </c>
      <c r="D182" s="11" t="inlineStr">
        <is>
          <t>PŁATNE</t>
        </is>
      </c>
      <c r="E182" s="11" t="inlineStr">
        <is>
          <t>TAK</t>
        </is>
      </c>
      <c r="F182" s="11" t="inlineStr">
        <is>
          <t>PŁATNE</t>
        </is>
      </c>
      <c r="G182" s="11" t="inlineStr">
        <is>
          <t>TAK</t>
        </is>
      </c>
      <c r="H182" s="11" t="inlineStr">
        <is>
          <t>TAK</t>
        </is>
      </c>
      <c r="I182" s="11" t="inlineStr">
        <is>
          <t>DZIAŁA</t>
        </is>
      </c>
      <c r="J182" s="12" t="inlineStr">
        <is>
          <t>services.controller.ts:218</t>
        </is>
      </c>
      <c r="K182" s="11" t="inlineStr">
        <is>
          <t>PARYTET</t>
        </is>
      </c>
      <c r="L182" s="11" t="inlineStr">
        <is>
          <t>—</t>
        </is>
      </c>
      <c r="M182" s="11" t="inlineStr">
        <is>
          <t>—</t>
        </is>
      </c>
      <c r="N182" s="12" t="inlineStr">
        <is>
          <t>NodeTask WP_INSTALL + wp-cli | 2026-09-25 AUDYT SKRYPTÓW WĘZŁA z oficjalną dokumentacją (DA/CloudLinux/LiteSpeed), test src/test/wezel-zgodnie-z-dokumentacja.spec.ts: BEZPIECZEŃSTWO: root robił chmod/chown/curl -o na ~/.verris klienta — dowiązanie ~/.verris/wp-cli.phar → /etc/shadow dawało chmod 644 na nim; teraz wp-cli zapisuje klient (runuser), root tylko pobiera do własnego pliku tymczasowego. To samo w aktualizacjach WP, stagingu i klonowaniu. | 2026-10-06 D3 t1: instalacja WordPressa na poddomenie beta.d3.hvln.pl z panelu, DISALLOW_FILE_EDIT od instalacji (2786a23).</t>
        </is>
      </c>
    </row>
    <row r="183">
      <c r="A183" s="11" t="inlineStr">
        <is>
          <t>I-03</t>
        </is>
      </c>
      <c r="B183" s="12" t="inlineStr">
        <is>
          <t>I</t>
        </is>
      </c>
      <c r="C183" s="11" t="inlineStr">
        <is>
          <t>Status instalacji WordPressa</t>
        </is>
      </c>
      <c r="D183" s="11" t="inlineStr">
        <is>
          <t>CZĘŚĆ</t>
        </is>
      </c>
      <c r="E183" s="11" t="inlineStr">
        <is>
          <t>TAK</t>
        </is>
      </c>
      <c r="F183" s="11" t="inlineStr">
        <is>
          <t>CZĘŚĆ</t>
        </is>
      </c>
      <c r="G183" s="11" t="inlineStr">
        <is>
          <t>TAK</t>
        </is>
      </c>
      <c r="H183" s="11" t="inlineStr">
        <is>
          <t>TAK</t>
        </is>
      </c>
      <c r="I183" s="11" t="inlineStr">
        <is>
          <t>DZIAŁA</t>
        </is>
      </c>
      <c r="J183" s="12" t="inlineStr">
        <is>
          <t>services.controller.ts:213</t>
        </is>
      </c>
      <c r="K183" s="11" t="inlineStr">
        <is>
          <t>PARYTET</t>
        </is>
      </c>
      <c r="L183" s="11" t="inlineStr">
        <is>
          <t>—</t>
        </is>
      </c>
      <c r="M183" s="11" t="inlineStr">
        <is>
          <t>—</t>
        </is>
      </c>
      <c r="N183" s="12" t="inlineStr"/>
    </row>
    <row r="184">
      <c r="A184" s="11" t="inlineStr">
        <is>
          <t>I-04</t>
        </is>
      </c>
      <c r="B184" s="12" t="inlineStr">
        <is>
          <t>I</t>
        </is>
      </c>
      <c r="C184" s="11" t="inlineStr">
        <is>
          <t>Automatyczne aktualizacje WordPressa</t>
        </is>
      </c>
      <c r="D184" s="11" t="inlineStr">
        <is>
          <t>PŁATNE</t>
        </is>
      </c>
      <c r="E184" s="11" t="inlineStr">
        <is>
          <t>TAK</t>
        </is>
      </c>
      <c r="F184" s="11" t="inlineStr">
        <is>
          <t>PŁATNE</t>
        </is>
      </c>
      <c r="G184" s="11" t="inlineStr">
        <is>
          <t>TAK</t>
        </is>
      </c>
      <c r="H184" s="11" t="inlineStr">
        <is>
          <t>TAK</t>
        </is>
      </c>
      <c r="I184" s="11" t="inlineStr">
        <is>
          <t>DZIAŁA</t>
        </is>
      </c>
      <c r="J184" s="12" t="inlineStr">
        <is>
          <t>ops/scripts/node-wp-update.sh (zadanie WP_UPDATE, check/update jako klient), subscriptions/wp-update.service.ts, wp-auto-update.scheduler.ts (codziennie 3:20), model WpAutoUpdate, services.controller.ts :id/hosting-wp-updates(/check|/run|/auto), client-panel components/hosting/WpUpdatesPanel.tsx (strona → WordPress); test wp-update.service.spec.ts</t>
        </is>
      </c>
      <c r="K184" s="11" t="inlineStr">
        <is>
          <t>PARYTET</t>
        </is>
      </c>
      <c r="L184" s="11" t="inlineStr">
        <is>
          <t>WYSOKA</t>
        </is>
      </c>
      <c r="M184" s="11" t="inlineStr">
        <is>
          <t>M</t>
        </is>
      </c>
      <c r="N184" s="12" t="inlineStr">
        <is>
          <t>4 z 5 hostingów PL to ma | 2026-09-24: KOD (D2) + skrypt sprawdzony lokalnie na atrapie wp-cli — automat per domena (rdzeń: poprawki/wszystkie, wtyczki, motywy), zawsze kopia plików + bazy (0600, dwie ostatnie) i wycofanie plików i bazy, gdy strona po aktualizacji zwraca 5xx. OTWARTE do D3 (sprint 21): prawdziwy WordPress i wp-cli w klatce CageFS, kontrola strony przez lokalny serwer WWW węzła (Host), czas kopii dużych stron. | 2026-09-25 AUDYT SKRYPTÓW WĘZŁA z oficjalną dokumentacją (DA/CloudLinux/LiteSpeed), test src/test/wezel-zgodnie-z-dokumentacja.spec.ts: wp-cli w ~/.verris zapisywany jako klient (poprawka eskalacji przez dowiązanie symboliczne). | 2026-09-30 D3 t1: 30.09 d3.hvln.pl: nocna automatyczna aktualizacja WordPressa przeszła z kopią przed aktualizacją (~/backups). Do sprawdzenia: retencja kopii — przybywają co noc. | 2026-10-01: werdykt PARYTET — działa na węźle (D3). Retencja zgodna z założeniem: w ~/backups dwie ostatnie kopie (30.09 i 01.10). | 2026-10-06: przegląd agentów — przy wycofaniu nieudanej aktualizacji WP na poddomenie kopia trafiała do publicznego katalogu domeny nadrzędnej (działający WP pod adresem rodzica); poprawione f857f38, poddomeny wyłączone z kopii/wycofania rodzica (test wp-poddomena-katalog.spec.ts).</t>
        </is>
      </c>
    </row>
    <row r="185">
      <c r="A185" s="11" t="inlineStr">
        <is>
          <t>I-05</t>
        </is>
      </c>
      <c r="B185" s="12" t="inlineStr">
        <is>
          <t>I</t>
        </is>
      </c>
      <c r="C185" s="11" t="inlineStr">
        <is>
          <t>Aktualizacje wtyczek i motywów z panelu</t>
        </is>
      </c>
      <c r="D185" s="11" t="inlineStr">
        <is>
          <t>PŁATNE</t>
        </is>
      </c>
      <c r="E185" s="11" t="inlineStr">
        <is>
          <t>TAK</t>
        </is>
      </c>
      <c r="F185" s="11" t="inlineStr">
        <is>
          <t>PŁATNE</t>
        </is>
      </c>
      <c r="G185" s="11" t="inlineStr">
        <is>
          <t>CZĘŚĆ</t>
        </is>
      </c>
      <c r="H185" s="11" t="inlineStr">
        <is>
          <t>TAK</t>
        </is>
      </c>
      <c r="I185" s="11" t="inlineStr">
        <is>
          <t>DZIAŁA</t>
        </is>
      </c>
      <c r="J185" s="12" t="inlineStr">
        <is>
          <t>ops/scripts/node-wp-update.sh (zadanie WP_UPDATE, check/update jako klient), subscriptions/wp-update.service.ts, wp-auto-update.scheduler.ts (codziennie 3:20), model WpAutoUpdate, services.controller.ts :id/hosting-wp-updates(/check|/run|/auto), client-panel components/hosting/WpUpdatesPanel.tsx (strona → WordPress); test wp-update.service.spec.ts; D3 t1 (d3.hvln.pl) 29.09 po wdrożeniu (panel klienta): Sprawdź aktualizacje → rdzeń 7.1.2, 3 wtyczki, 4 motywy, wszystko aktualne (aktualizacji do wykonania nie było)</t>
        </is>
      </c>
      <c r="K185" s="11" t="inlineStr">
        <is>
          <t>PARYTET</t>
        </is>
      </c>
      <c r="L185" s="11" t="inlineStr">
        <is>
          <t>ŚREDNIA</t>
        </is>
      </c>
      <c r="M185" s="11" t="inlineStr">
        <is>
          <t>M</t>
        </is>
      </c>
      <c r="N185" s="12" t="inlineStr">
        <is>
          <t>2026-09-24: KOD (D2) razem z I-04 — pełna lista wtyczek i motywów z wersjami, wybór pozycji do aktualizacji, historia z listą zmian i nazwą kopii. Wtyczki płatne spoza WordPress.org — z kokpitu WP (komunikat w panelu). Potwierdzone na t1 z panelu 29.09 (lista wtyczek/motywów z wersjami, wybór pozycji, historia z kopią).</t>
        </is>
      </c>
    </row>
    <row r="186">
      <c r="A186" s="11" t="inlineStr">
        <is>
          <t>I-06</t>
        </is>
      </c>
      <c r="B186" s="12" t="inlineStr">
        <is>
          <t>I</t>
        </is>
      </c>
      <c r="C186" s="11" t="inlineStr">
        <is>
          <t>Smart Updates (test przed aktualizacją)</t>
        </is>
      </c>
      <c r="D186" s="11" t="inlineStr">
        <is>
          <t>NIE</t>
        </is>
      </c>
      <c r="E186" s="11" t="inlineStr">
        <is>
          <t>PŁATNE</t>
        </is>
      </c>
      <c r="F186" s="11" t="inlineStr">
        <is>
          <t>NIE</t>
        </is>
      </c>
      <c r="G186" s="11" t="inlineStr">
        <is>
          <t>NIE</t>
        </is>
      </c>
      <c r="H186" s="11" t="inlineStr">
        <is>
          <t>CZĘŚĆ</t>
        </is>
      </c>
      <c r="I186" s="11" t="inlineStr">
        <is>
          <t>BRAK</t>
        </is>
      </c>
      <c r="J186" s="12" t="inlineStr">
        <is>
          <t>—</t>
        </is>
      </c>
      <c r="K186" s="11" t="inlineStr">
        <is>
          <t>POZA ZAKRESEM</t>
        </is>
      </c>
      <c r="L186" s="11" t="inlineStr">
        <is>
          <t>NISKA</t>
        </is>
      </c>
      <c r="M186" s="11" t="inlineStr">
        <is>
          <t>L</t>
        </is>
      </c>
      <c r="N186" s="12" t="inlineStr">
        <is>
          <t>wyróżnik Pleska, rynek PL tego nie ma</t>
        </is>
      </c>
    </row>
    <row r="187">
      <c r="A187" s="11" t="inlineStr">
        <is>
          <t>I-07</t>
        </is>
      </c>
      <c r="B187" s="12" t="inlineStr">
        <is>
          <t>I</t>
        </is>
      </c>
      <c r="C187" s="11" t="inlineStr">
        <is>
          <t>Skanowanie podatności WordPressa</t>
        </is>
      </c>
      <c r="D187" s="11" t="inlineStr">
        <is>
          <t>NIE</t>
        </is>
      </c>
      <c r="E187" s="11" t="inlineStr">
        <is>
          <t>TAK</t>
        </is>
      </c>
      <c r="F187" s="11" t="inlineStr">
        <is>
          <t>NIE</t>
        </is>
      </c>
      <c r="G187" s="11" t="inlineStr">
        <is>
          <t>CZĘŚĆ</t>
        </is>
      </c>
      <c r="H187" s="11" t="inlineStr">
        <is>
          <t>TAK</t>
        </is>
      </c>
      <c r="I187" s="11" t="inlineStr">
        <is>
          <t>DZIAŁA</t>
        </is>
      </c>
      <c r="J187" s="12" t="inlineStr">
        <is>
          <t>subscriptions/wp-podatnosci.service.ts (Wordfence Scanner Feed v3, cron 05:40, tabela WpPodatnosc, migracja 20260925190000); wp-update.service.ts opis/przeglad → podatnosci; client-panel WpUpdatesPanel/WpOverviewPanel; test wp-podatnosci.service.spec.ts</t>
        </is>
      </c>
      <c r="K187" s="11" t="inlineStr">
        <is>
          <t>PARYTET</t>
        </is>
      </c>
      <c r="L187" s="11" t="inlineStr">
        <is>
          <t>ŚREDNIA</t>
        </is>
      </c>
      <c r="M187" s="11" t="inlineStr">
        <is>
          <t>L</t>
        </is>
      </c>
      <c r="N187" s="12" t="inlineStr">
        <is>
          <t>Plesk używa Patchstack | 2026-09-25 KOD (D2), decyzja właściciela „najlepsze darmowe na start”: Wordfence Intelligence Vulnerability Data Feed v3 (oficjalna dokumentacja: darmowy także do użytku komercyjnego, klucz API z konta wordfence.com, licencja Defiant: link do rekordu + nota o prawach autorskich — pokazujemy obie). Scanner Feed raz na dobę do bazy (podmiana tylko przy ≥1000 rekordów), dopasowanie wersji rdzenia/wtyczek/motywów z ostatniego sprawdzenia strony (wp plugin/theme list) w stylu PHP version_compare. Panel: lista podatności przy aktualizacjach WordPressa (wersja, poprawka, link), licznik w przeglądzie stron WP. Egress: www.wordfence.com (i api.anthropic.com dla L-11 — brakowało) w allowliście. ZOSTAJE: WORDFENCE_API_KEY (właściciel zakłada konto Wordfence), D3 na węźle. PO STARCIE: płatne źródło (Patchstack/Wordfence premium) i powiadomienie mailem. | 2026-10-02 D3: 02.10 t1: baza Wordfence Intelligence (Scanner Feed v3) pobrana — log API „Wordfence feed: 43574 wpisów” (13:52 UTC, start API przy pustej tabeli). Panel klienta → d3.hvln.pl → WordPress → „Sprawdź aktualizacje” przy Contact Form 7 5.3.1 (celowo stara, nieaktywna): „Znane podatności: 5” — m.in. „Contact Form 7 &lt;= 5.3.1 - Arbitrary File Upload via Bypass. Poprawka: 5.3.2”, każda z linkiem „Szczegóły” i notą licencyjną Defiant; wtyczka zaznaczona do aktualizacji „do 6.1.7”. Po drodze 2 błędy naprawione: import padał na powtórzonym slugu w rekordzie feedu (UniqueConstraintViolation → łączenie zakresów) i błąd crona szedł do logu Schedulera bez słowa „Wordfence”.</t>
        </is>
      </c>
    </row>
    <row r="188">
      <c r="A188" s="11" t="inlineStr">
        <is>
          <t>I-08</t>
        </is>
      </c>
      <c r="B188" s="12" t="inlineStr">
        <is>
          <t>I</t>
        </is>
      </c>
      <c r="C188" s="11" t="inlineStr">
        <is>
          <t>Hardening WordPressa (checklist)</t>
        </is>
      </c>
      <c r="D188" s="11" t="inlineStr">
        <is>
          <t>NIE</t>
        </is>
      </c>
      <c r="E188" s="11" t="inlineStr">
        <is>
          <t>TAK</t>
        </is>
      </c>
      <c r="F188" s="11" t="inlineStr">
        <is>
          <t>NIE</t>
        </is>
      </c>
      <c r="G188" s="11" t="inlineStr">
        <is>
          <t>CZĘŚĆ</t>
        </is>
      </c>
      <c r="H188" s="11" t="inlineStr">
        <is>
          <t>CZĘŚĆ</t>
        </is>
      </c>
      <c r="I188" s="11" t="inlineStr">
        <is>
          <t>DZIAŁA</t>
        </is>
      </c>
      <c r="J188" s="12" t="inlineStr">
        <is>
          <t>ops/scripts/node-wp-update.sh (sprawdzenie: DISALLOW_FILE_EDIT, WP_DEBUG, login „admin”, uprawnienia wp-config.php, core verify-checksums; tryb harden file-edit/debug-off), WpUpdateService.zabezpiecz + :id/hosting-wp-updates/harden, WpUpdatesPanel.tsx (Zabezpieczenia WordPressa); test wp-update.service.spec.ts; D3 t1 (d3.hvln.pl) 29.09 po wdrożeniu (panel klienta): przegląd zabezpieczeń WP (edytor, WP_DEBUG, admin, sumy rdzenia, wp-config 644); „Wyłącz edytor” → DISALLOW_FILE_EDIT w wp-config</t>
        </is>
      </c>
      <c r="K188" s="11" t="inlineStr">
        <is>
          <t>PARYTET</t>
        </is>
      </c>
      <c r="L188" s="11" t="inlineStr">
        <is>
          <t>—</t>
        </is>
      </c>
      <c r="M188" s="11" t="inlineStr">
        <is>
          <t>M</t>
        </is>
      </c>
      <c r="N188" s="12" t="inlineStr">
        <is>
          <t>2026-09-24: KOD (D2) + skrypt sprawdzony lokalnie na atrapie wp-cli — przegląd 5 punktów z opisem ryzyka, dwie poprawki jednym kliknięciem (edytor plików, WP_DEBUG). OTWARTE do D3 (sprint 21): prawdziwy WordPress (verify-checksums pobiera sumy z api.wordpress.org). | 2026-09-24 SKALA DOWODU (decyzja PM): funkcja bez pieniędzy, danych klienta i dostępu — D2 (test w CI) wystarcza do „zrobione”, więc werdykt PARYTET. Stan zostaje CZĘŚCIOWE do testu na węźle (audyt/dane/wezel.csv). | 2026-10-01 D3 t1: 01.10: „Pliki rdzenia — do poprawy” na d3/test2 był fałszywym alarmem — optymalizacja obrazów przerobiła PNG w wp-admin/wp-includes → 50dccf7; rdzeń przywrócony (wp core download --skip-content), verify-checksums OK.</t>
        </is>
      </c>
    </row>
    <row r="189">
      <c r="A189" s="11" t="inlineStr">
        <is>
          <t>I-09</t>
        </is>
      </c>
      <c r="B189" s="12" t="inlineStr">
        <is>
          <t>I</t>
        </is>
      </c>
      <c r="C189" s="11" t="inlineStr">
        <is>
          <t>Staging — utworzenie kopii roboczej</t>
        </is>
      </c>
      <c r="D189" s="11" t="inlineStr">
        <is>
          <t>PŁATNE</t>
        </is>
      </c>
      <c r="E189" s="11" t="inlineStr">
        <is>
          <t>TAK</t>
        </is>
      </c>
      <c r="F189" s="11" t="inlineStr">
        <is>
          <t>PŁATNE</t>
        </is>
      </c>
      <c r="G189" s="11" t="inlineStr">
        <is>
          <t>CZĘŚĆ</t>
        </is>
      </c>
      <c r="H189" s="11" t="inlineStr">
        <is>
          <t>TAK</t>
        </is>
      </c>
      <c r="I189" s="11" t="inlineStr">
        <is>
          <t>DZIAŁA</t>
        </is>
      </c>
      <c r="J189" s="12" t="inlineStr">
        <is>
          <t>services.controller.ts:182</t>
        </is>
      </c>
      <c r="K189" s="11" t="inlineStr">
        <is>
          <t>PRZEWAGA</t>
        </is>
      </c>
      <c r="L189" s="11" t="inlineStr">
        <is>
          <t>—</t>
        </is>
      </c>
      <c r="M189" s="11" t="inlineStr">
        <is>
          <t>—</t>
        </is>
      </c>
      <c r="N189" s="12" t="inlineStr">
        <is>
          <t>tylko 2 z 5 hostingów PL ma staging | 2026-09-25 AUDYT SKRYPTÓW WĘZŁA z oficjalną dokumentacją (DA/CloudLinux/LiteSpeed), test src/test/wezel-zgodnie-z-dokumentacja.spec.ts: wp-cli w ~/.verris zapisywany jako klient (poprawka eskalacji: chown/chmod roota szły za dowiązaniem).</t>
        </is>
      </c>
    </row>
    <row r="190">
      <c r="A190" s="11" t="inlineStr">
        <is>
          <t>I-10</t>
        </is>
      </c>
      <c r="B190" s="12" t="inlineStr">
        <is>
          <t>I</t>
        </is>
      </c>
      <c r="C190" s="11" t="inlineStr">
        <is>
          <t>Staging — odświeżenie z produkcji</t>
        </is>
      </c>
      <c r="D190" s="11" t="inlineStr">
        <is>
          <t>PŁATNE</t>
        </is>
      </c>
      <c r="E190" s="11" t="inlineStr">
        <is>
          <t>TAK</t>
        </is>
      </c>
      <c r="F190" s="11" t="inlineStr">
        <is>
          <t>PŁATNE</t>
        </is>
      </c>
      <c r="G190" s="11" t="inlineStr">
        <is>
          <t>CZĘŚĆ</t>
        </is>
      </c>
      <c r="H190" s="11" t="inlineStr">
        <is>
          <t>TAK</t>
        </is>
      </c>
      <c r="I190" s="11" t="inlineStr">
        <is>
          <t>DZIAŁA</t>
        </is>
      </c>
      <c r="J190" s="12" t="inlineStr">
        <is>
          <t>StagingTab.tsx:174</t>
        </is>
      </c>
      <c r="K190" s="11" t="inlineStr">
        <is>
          <t>PRZEWAGA</t>
        </is>
      </c>
      <c r="L190" s="11" t="inlineStr">
        <is>
          <t>—</t>
        </is>
      </c>
      <c r="M190" s="11" t="inlineStr">
        <is>
          <t>—</t>
        </is>
      </c>
      <c r="N190" s="12" t="inlineStr">
        <is>
          <t>2026-10-06 D3 t1: „Odśwież z produkcji” → staging.d3.hvln.pl z kopią z 14:02 działa. Znalezisko: nadpisywało bez pytania — e04767e3 dodaje potwierdzenie (test StagingTab.spec.tsx).</t>
        </is>
      </c>
    </row>
    <row r="191">
      <c r="A191" s="11" t="inlineStr">
        <is>
          <t>I-11</t>
        </is>
      </c>
      <c r="B191" s="12" t="inlineStr">
        <is>
          <t>I</t>
        </is>
      </c>
      <c r="C191" s="11" t="inlineStr">
        <is>
          <t>Staging — publikacja na produkcję</t>
        </is>
      </c>
      <c r="D191" s="11" t="inlineStr">
        <is>
          <t>PŁATNE</t>
        </is>
      </c>
      <c r="E191" s="11" t="inlineStr">
        <is>
          <t>TAK</t>
        </is>
      </c>
      <c r="F191" s="11" t="inlineStr">
        <is>
          <t>PŁATNE</t>
        </is>
      </c>
      <c r="G191" s="11" t="inlineStr">
        <is>
          <t>CZĘŚĆ</t>
        </is>
      </c>
      <c r="H191" s="11" t="inlineStr">
        <is>
          <t>TAK</t>
        </is>
      </c>
      <c r="I191" s="11" t="inlineStr">
        <is>
          <t>DZIAŁA</t>
        </is>
      </c>
      <c r="J191" s="12" t="inlineStr">
        <is>
          <t>2026-09-23 D1: node-staging-sync.sh TO_LIVE — eksport bazy LIVE i niepusty plik kopii są twardą bramką (die) przed db import; retencja po udanej kopii; strażnik src/test/staging-publikacja-z-kopia.spec.ts; D3 t1 29.09 (panel klienta, d3.hvln.pl): pierwsze „Utwórz kopię roboczą” → błąd: DA 1.710 zakłada subdomenę jako domains/staging.&lt;domena&gt;/public_html, skrypt szukał public_html/staging; poprawka d93c86e (plus sprzątanie bazy stg z nieudanej próby) czeka na push</t>
        </is>
      </c>
      <c r="K191" s="11" t="inlineStr">
        <is>
          <t>PARYTET</t>
        </is>
      </c>
      <c r="L191" s="11" t="inlineStr">
        <is>
          <t>WYSOKA</t>
        </is>
      </c>
      <c r="M191" s="11" t="inlineStr">
        <is>
          <t>S</t>
        </is>
      </c>
      <c r="N191" s="12" t="inlineStr">
        <is>
          <t>OSŁABIONE: node-staging-sync.sh:141-142 backup plików jest twardą bramką, ale :152-153 backup bazy LIVE jest best-effort — linia 158 robi wp db import na produkcji mimo braku kopii. | Naprawione: import bazy staging na produkcję mimo braku kopii bazy LIVE. 01.10 na t1 z panelu: utworzenie kopii roboczej i publikacja na produkcję (z kopią plików i bazy LIVE) działają.</t>
        </is>
      </c>
    </row>
    <row r="192">
      <c r="A192" s="11" t="inlineStr">
        <is>
          <t>I-12</t>
        </is>
      </c>
      <c r="B192" s="12" t="inlineStr">
        <is>
          <t>I</t>
        </is>
      </c>
      <c r="C192" s="11" t="inlineStr">
        <is>
          <t>Staging — usunięcie</t>
        </is>
      </c>
      <c r="D192" s="11" t="inlineStr">
        <is>
          <t>PŁATNE</t>
        </is>
      </c>
      <c r="E192" s="11" t="inlineStr">
        <is>
          <t>TAK</t>
        </is>
      </c>
      <c r="F192" s="11" t="inlineStr">
        <is>
          <t>PŁATNE</t>
        </is>
      </c>
      <c r="G192" s="11" t="inlineStr">
        <is>
          <t>CZĘŚĆ</t>
        </is>
      </c>
      <c r="H192" s="11" t="inlineStr">
        <is>
          <t>TAK</t>
        </is>
      </c>
      <c r="I192" s="11" t="inlineStr">
        <is>
          <t>DZIAŁA</t>
        </is>
      </c>
      <c r="J192" s="12" t="inlineStr">
        <is>
          <t>services.controller.ts:192</t>
        </is>
      </c>
      <c r="K192" s="11" t="inlineStr">
        <is>
          <t>PRZEWAGA</t>
        </is>
      </c>
      <c r="L192" s="11" t="inlineStr">
        <is>
          <t>—</t>
        </is>
      </c>
      <c r="M192" s="11" t="inlineStr">
        <is>
          <t>—</t>
        </is>
      </c>
      <c r="N192" s="12" t="inlineStr"/>
    </row>
    <row r="193">
      <c r="A193" s="11" t="inlineStr">
        <is>
          <t>I-13</t>
        </is>
      </c>
      <c r="B193" s="12" t="inlineStr">
        <is>
          <t>I</t>
        </is>
      </c>
      <c r="C193" s="11" t="inlineStr">
        <is>
          <t>Klonowanie strony między domenami</t>
        </is>
      </c>
      <c r="D193" s="11" t="inlineStr">
        <is>
          <t>PŁATNE</t>
        </is>
      </c>
      <c r="E193" s="11" t="inlineStr">
        <is>
          <t>TAK</t>
        </is>
      </c>
      <c r="F193" s="11" t="inlineStr">
        <is>
          <t>PŁATNE</t>
        </is>
      </c>
      <c r="G193" s="11" t="inlineStr">
        <is>
          <t>CZĘŚĆ</t>
        </is>
      </c>
      <c r="H193" s="11" t="inlineStr">
        <is>
          <t>TAK</t>
        </is>
      </c>
      <c r="I193" s="11" t="inlineStr">
        <is>
          <t>DZIAŁA</t>
        </is>
      </c>
      <c r="J193" s="12" t="inlineStr">
        <is>
          <t>ops/scripts/node-site-clone.sh (zadanie SITE_CLONE: cp -a jako klient, cel odkładany obok z unikalną nazwą, WordPress: zrzut → nowa baza, wp-config.php kopii, search-replace adresów), subscriptions/site-clone.service.ts (nowa baza w DA dla WP), :id/hosting-site-clone, panel SiteClonePanel.tsx (strona → Pliki → Kopia strony na inną domenę); test site-clone.service.spec.ts</t>
        </is>
      </c>
      <c r="K193" s="11" t="inlineStr">
        <is>
          <t>PARYTET</t>
        </is>
      </c>
      <c r="L193" s="11" t="inlineStr">
        <is>
          <t>ŚREDNIA</t>
        </is>
      </c>
      <c r="M193" s="11" t="inlineStr">
        <is>
          <t>M</t>
        </is>
      </c>
      <c r="N193" s="12" t="inlineStr">
        <is>
          <t>2026-09-24: KOD (D2) + skrypt sprawdzony lokalnie na atrapie wp-cli (odłożenie celu, WordPress bez bazy → odmowa przed ruszeniem celu, nowa baza i adresy). OTWARTE do D3 (sprint 21). |  | 2026-09-25 AUDYT SKRYPTÓW WĘZŁA z oficjalną dokumentacją (DA/CloudLinux/LiteSpeed), test src/test/wezel-zgodnie-z-dokumentacja.spec.ts: wp-cli w ~/.verris zapisywany jako klient (poprawka eskalacji przez dowiązanie symboliczne). | 2026-09-30 D3 t1: 30.09: klon d3 → test2 pokazywał treść źródła — obie strony miały ten sam WP_REDIS_PREFIX (wspólny Redis konta). Po ręcznej zmianie prefiksu klon działa; skrypty klonu i stagingu ustawiają własny prefiks → 8958de1. Retest po wdrożeniu. | 2026-10-01 D3 t1: 01.10 po 8958de1: nowy klon d3 → test2 — wp-config test2 ma WP_REDIS_PREFIX i WP_CACHE_KEY_SALT „test2.d3.hvln.pl:”, nowa baza, poprzednie pliki odłożone. | 2026-10-01: werdykt PARYTET — działa na węźle (D3).</t>
        </is>
      </c>
    </row>
    <row r="194">
      <c r="A194" s="11" t="inlineStr">
        <is>
          <t>I-14</t>
        </is>
      </c>
      <c r="B194" s="12" t="inlineStr">
        <is>
          <t>I</t>
        </is>
      </c>
      <c r="C194" s="11" t="inlineStr">
        <is>
          <t>Masowe zarządzanie wieloma instalacjami WP</t>
        </is>
      </c>
      <c r="D194" s="11" t="inlineStr">
        <is>
          <t>NIE</t>
        </is>
      </c>
      <c r="E194" s="11" t="inlineStr">
        <is>
          <t>TAK</t>
        </is>
      </c>
      <c r="F194" s="11" t="inlineStr">
        <is>
          <t>NIE</t>
        </is>
      </c>
      <c r="G194" s="11" t="inlineStr">
        <is>
          <t>NIE</t>
        </is>
      </c>
      <c r="H194" s="11" t="inlineStr">
        <is>
          <t>CZĘŚĆ</t>
        </is>
      </c>
      <c r="I194" s="11" t="inlineStr">
        <is>
          <t>DZIAŁA</t>
        </is>
      </c>
      <c r="J194" s="12" t="inlineStr">
        <is>
          <t>wp-update.service.ts przeglad/sprawdzWszystkie; services.controller.ts :id/hosting-wp-overview(/check); WpOverviewPanel.tsx (usługa → Aplikacje); test wp-update.service.spec.ts</t>
        </is>
      </c>
      <c r="K194" s="11" t="inlineStr">
        <is>
          <t>PARYTET</t>
        </is>
      </c>
      <c r="L194" s="11" t="inlineStr">
        <is>
          <t>NISKA</t>
        </is>
      </c>
      <c r="M194" s="11" t="inlineStr">
        <is>
          <t>L</t>
        </is>
      </c>
      <c r="N194" s="12" t="inlineStr">
        <is>
          <t>realna przewaga dla agencji | 2026-09-24: KOD (D2) — „Wszystkie strony WordPress” na jednym ekranie usługi: wersja, czekające aktualizacje rdzenia/wtyczek/motywów, automat, punkty zabezpieczeń do poprawy, tryb konserwacji, link do zakładki WordPress strony; „Sprawdź wszystkie” kolejkuje sprawdzenie (tylko odczyt) każdej domeny, pomijając domeny z zadaniem w toku. Masowe AKTUALIZACJE świadomie nie: jedna zmiana WordPressa na konto naraz (kopie i wycofanie) — automat per domena pokrywa ten przypadek. Tylko odczyt → PARYTET wg skali; stan CZĘŚCIOWE do testu na węźle. | 2026-10-01 D3 t1: 01.10: „Wszystkie strony WordPress” → „Sprawdź wszystkie” odświeża d3 i test2 (wersja, aktualizacje, zabezpieczenia, automat).</t>
        </is>
      </c>
    </row>
    <row r="195">
      <c r="A195" s="11" t="inlineStr">
        <is>
          <t>I-15</t>
        </is>
      </c>
      <c r="B195" s="12" t="inlineStr">
        <is>
          <t>I</t>
        </is>
      </c>
      <c r="C195" s="11" t="inlineStr">
        <is>
          <t>Tryb konserwacji WordPressa</t>
        </is>
      </c>
      <c r="D195" s="11" t="inlineStr">
        <is>
          <t>NIE</t>
        </is>
      </c>
      <c r="E195" s="11" t="inlineStr">
        <is>
          <t>TAK</t>
        </is>
      </c>
      <c r="F195" s="11" t="inlineStr">
        <is>
          <t>NIE</t>
        </is>
      </c>
      <c r="G195" s="11" t="inlineStr">
        <is>
          <t>NIE</t>
        </is>
      </c>
      <c r="H195" s="11" t="inlineStr">
        <is>
          <t>CZĘŚĆ</t>
        </is>
      </c>
      <c r="I195" s="11" t="inlineStr">
        <is>
          <t>DZIAŁA</t>
        </is>
      </c>
      <c r="J195" s="12" t="inlineStr">
        <is>
          <t>ops/scripts/node-wp-update.sh (harden maintenance-on/off); WpUpdatesPanel.tsx „Tryb konserwacji”; D3 t1 (d3.hvln.pl) 29.09 po wdrożeniu (panel klienta): tryb konserwacji z panelu → strona 503 „Przerwa techniczna”; wyłączenie → 200</t>
        </is>
      </c>
      <c r="K195" s="11" t="inlineStr">
        <is>
          <t>PARYTET</t>
        </is>
      </c>
      <c r="L195" s="11" t="inlineStr">
        <is>
          <t>—</t>
        </is>
      </c>
      <c r="M195" s="11" t="inlineStr">
        <is>
          <t>S</t>
        </is>
      </c>
      <c r="N195" s="12" t="inlineStr">
        <is>
          <t>2026-09-24: KOD (D2) + skrypt sprawdzony lokalnie na atrapie wp-cli — tryb konserwacji z zakładki WordPress: plik .maintenance z $upgrading = time() (nie wygasa po 10 minutach jak przy wp maintenance-mode), polska strona „Trwa przerwa techniczna” z kodem 503 i Retry-After tylko gdy klient nie ma własnego wp-content/maintenance.php (usuwana przy wyłączeniu tylko nasza, po znaczniku). Aktualizacje odmawiają przy włączonym trybie (kontrola strony dostałaby 503 i wycofała zmiany). Włączenie z potwierdzeniem. OTWARTE do D3 (sprint 21): prawdziwy WordPress na węźle. | 2026-09-24 SKALA DOWODU (decyzja PM): funkcja bez pieniędzy, danych klienta i dostępu — D2 (test w CI) wystarcza do „zrobione”, więc werdykt PARYTET. Stan zostaje CZĘŚCIOWE do testu na węźle (audyt/dane/wezel.csv).</t>
        </is>
      </c>
    </row>
    <row r="196">
      <c r="A196" s="11" t="inlineStr">
        <is>
          <t>I-16</t>
        </is>
      </c>
      <c r="B196" s="12" t="inlineStr">
        <is>
          <t>I</t>
        </is>
      </c>
      <c r="C196" s="11" t="inlineStr">
        <is>
          <t>WP-CLI</t>
        </is>
      </c>
      <c r="D196" s="11" t="inlineStr">
        <is>
          <t>TAK</t>
        </is>
      </c>
      <c r="E196" s="11" t="inlineStr">
        <is>
          <t>TAK</t>
        </is>
      </c>
      <c r="F196" s="11" t="inlineStr">
        <is>
          <t>TAK</t>
        </is>
      </c>
      <c r="G196" s="11" t="inlineStr">
        <is>
          <t>CZĘŚĆ</t>
        </is>
      </c>
      <c r="H196" s="11" t="inlineStr">
        <is>
          <t>TAK</t>
        </is>
      </c>
      <c r="I196" s="11" t="inlineStr">
        <is>
          <t>DZIAŁA</t>
        </is>
      </c>
      <c r="J196" s="12" t="inlineStr">
        <is>
          <t>używane wewnętrznie przy WP_INSTALL</t>
        </is>
      </c>
      <c r="K196" s="11" t="inlineStr">
        <is>
          <t>PARYTET</t>
        </is>
      </c>
      <c r="L196" s="11" t="inlineStr">
        <is>
          <t>ŚREDNIA</t>
        </is>
      </c>
      <c r="M196" s="11" t="inlineStr">
        <is>
          <t>S</t>
        </is>
      </c>
      <c r="N196" s="12" t="inlineStr">
        <is>
          <t>2026-09-24: odblokowane przez C-21 (SSH w klatce z panelu) — do potwierdzenia na węźle. | klient nie ma bezpośredniego dostępu (dziedziczy C-21) | 2026-10-02 D3: 02.10 t1: SSH z panelu włączone (przełącznik → „włączony”), logowanie kluczem z panelu z Maca: whoami=ovsekucx, ls /home pokazuje tylko ovsekucx (CageFS), wp core version → 7.1.2, wp plugin list → akismet/hello/litespeed-cache/redis-cache. Uwaga z testu: klucz o niestandardowej nazwie trzeba wskazać (ssh -i) — dopisane w panelu (b9370db).</t>
        </is>
      </c>
    </row>
    <row r="197">
      <c r="A197" s="11" t="inlineStr">
        <is>
          <t>I-17</t>
        </is>
      </c>
      <c r="B197" s="12" t="inlineStr">
        <is>
          <t>I</t>
        </is>
      </c>
      <c r="C197" s="11" t="inlineStr">
        <is>
          <t>Migracja z innego hostingu — wykrywanie źródła</t>
        </is>
      </c>
      <c r="D197" s="11" t="inlineStr">
        <is>
          <t>NIE</t>
        </is>
      </c>
      <c r="E197" s="11" t="inlineStr">
        <is>
          <t>TAK</t>
        </is>
      </c>
      <c r="F197" s="11" t="inlineStr">
        <is>
          <t>NIE</t>
        </is>
      </c>
      <c r="G197" s="11" t="inlineStr">
        <is>
          <t>CZĘŚĆ</t>
        </is>
      </c>
      <c r="H197" s="11" t="inlineStr">
        <is>
          <t>CZĘŚĆ</t>
        </is>
      </c>
      <c r="I197" s="11" t="inlineStr">
        <is>
          <t>DZIAŁA</t>
        </is>
      </c>
      <c r="J197" s="12" t="inlineStr">
        <is>
          <t>services.controller.ts:978</t>
        </is>
      </c>
      <c r="K197" s="11" t="inlineStr">
        <is>
          <t>PRZEWAGA</t>
        </is>
      </c>
      <c r="L197" s="11" t="inlineStr">
        <is>
          <t>—</t>
        </is>
      </c>
      <c r="M197" s="11" t="inlineStr">
        <is>
          <t>—</t>
        </is>
      </c>
      <c r="N197" s="12" t="inlineStr">
        <is>
          <t>na rynku PL migrację robi dostawca ręcznie | 2026-10-08 KOD (23429b36, uwaga Dominika): wykrywanie zwraca listę stron z katalogiem względem startu FTP — cPanel DomainInfo::domains_data (documentroot−homedir), DirectAdmin CMD_API_DOMAIN?action=document_root (fallback /domains/&lt;d&gt;/public_html), Plesk przez XML API (działa z loginem klienta; REST v2 był tylko dla administratora) z www_root, loginem FTP subskrypcji i bazami subskrypcji. Kreator: „Którą stronę przenosimy?” + zaznaczanie baz strony. Testy D2. Zostaje: D3 z prawdziwymi panelami (Plesk Dominika jako klient i admin, DA innego dostawcy, cPanel).</t>
        </is>
      </c>
    </row>
    <row r="198">
      <c r="A198" s="11" t="inlineStr">
        <is>
          <t>I-18</t>
        </is>
      </c>
      <c r="B198" s="12" t="inlineStr">
        <is>
          <t>I</t>
        </is>
      </c>
      <c r="C198" s="11" t="inlineStr">
        <is>
          <t>Migracja — test poświadczeń (preflight)</t>
        </is>
      </c>
      <c r="D198" s="11" t="inlineStr">
        <is>
          <t>NIE</t>
        </is>
      </c>
      <c r="E198" s="11" t="inlineStr">
        <is>
          <t>TAK</t>
        </is>
      </c>
      <c r="F198" s="11" t="inlineStr">
        <is>
          <t>NIE</t>
        </is>
      </c>
      <c r="G198" s="11" t="inlineStr">
        <is>
          <t>NIE</t>
        </is>
      </c>
      <c r="H198" s="11" t="inlineStr">
        <is>
          <t>NIE</t>
        </is>
      </c>
      <c r="I198" s="11" t="inlineStr">
        <is>
          <t>DZIAŁA</t>
        </is>
      </c>
      <c r="J198" s="12" t="inlineStr">
        <is>
          <t>subscriptions/migration-preflight.service.ts (sshLogin, ssh2); test migration-preflight.ssh.spec.ts; sprawdzone na prawdziwym sshd 2026-09-23</t>
        </is>
      </c>
      <c r="K198" s="11" t="inlineStr">
        <is>
          <t>PARYTET</t>
        </is>
      </c>
      <c r="L198" s="11" t="inlineStr">
        <is>
          <t>ŚREDNIA</t>
        </is>
      </c>
      <c r="M198" s="11" t="inlineStr">
        <is>
          <t>S</t>
        </is>
      </c>
      <c r="N198" s="12" t="inlineStr">
        <is>
          <t>OSŁABIONE: migration-preflight.service.ts:93-131 — dla SFTP/SSH, czyli głównego kanału plików, testowany jest wyłącznie baner portu. Literówka w haśle przejdzie preflight. | 2026-09-23: SFTP/SSH w preflight to teraz pełne logowanie (hasło + keyboard-interactive) biblioteką ssh2 i natychmiastowe rozłączenie — literówka w haśle daje „odrzucił login lub hasło” przed zakolejkowaniem, nie mail po godzinie. Sprawdzone na prawdziwym sshd (dobre hasło → ok, złe → auth_failed, zamknięty port → unreachable). Nowa zależność ssh2 (bez @types — własna minimalna deklaracja). | 2026-10-08: host zakazany (sieć prywatna, serwer Verris) = status „blocked”, kreator nie przechodzi dalej (c6f0eeb4) — D3 t1.</t>
        </is>
      </c>
    </row>
    <row r="199">
      <c r="A199" s="11" t="inlineStr">
        <is>
          <t>I-19</t>
        </is>
      </c>
      <c r="B199" s="12" t="inlineStr">
        <is>
          <t>I</t>
        </is>
      </c>
      <c r="C199" s="11" t="inlineStr">
        <is>
          <t>Migracja — uruchomienie (pliki + baza + poczta)</t>
        </is>
      </c>
      <c r="D199" s="11" t="inlineStr">
        <is>
          <t>NIE</t>
        </is>
      </c>
      <c r="E199" s="11" t="inlineStr">
        <is>
          <t>TAK</t>
        </is>
      </c>
      <c r="F199" s="11" t="inlineStr">
        <is>
          <t>NIE</t>
        </is>
      </c>
      <c r="G199" s="11" t="inlineStr">
        <is>
          <t>CZĘŚĆ</t>
        </is>
      </c>
      <c r="H199" s="11" t="inlineStr">
        <is>
          <t>CZĘŚĆ</t>
        </is>
      </c>
      <c r="I199" s="11" t="inlineStr">
        <is>
          <t>DZIAŁA</t>
        </is>
      </c>
      <c r="J199" s="12" t="inlineStr">
        <is>
          <t>migration-orchestrator.service.ts:636,655</t>
        </is>
      </c>
      <c r="K199" s="11" t="inlineStr">
        <is>
          <t>PRZEWAGA</t>
        </is>
      </c>
      <c r="L199" s="11" t="inlineStr">
        <is>
          <t>—</t>
        </is>
      </c>
      <c r="M199" s="11" t="inlineStr">
        <is>
          <t>—</t>
        </is>
      </c>
      <c r="N199" s="12" t="inlineStr">
        <is>
          <t>rsync + mysqldump; test D1 (11 przypadków) | 2026-09-27 PRZEGLĄD KODU (4fe4c26): węzeł dostawał zadania migracji już dla zleceń QUEUED, czyli zanim harmonogram (co minutę) zrobił kopię bezpieczeństwa konta docelowego i bazy docelowe — przenoszenie plików mogło nadpisać konto bez kopii. Teraz tylko RUNNING; harmonogram nie nakłada się sam na siebie. Do potwierdzenia przy pierwszej migracji na węźle. | 2026-10-08 D3 t1: migracja „Pliki” FTP z Pleska → z09.d3.hvln.pl, 3864 pliki / 109 MB, pliki z właścicielem konta. Znaleziska naprawione: kopia lokalna padała przy FTP wskazującym wprost katalog strony (d53c979b), zgłoszenie błędu workera ginęło przy logu &gt;128 KiB (f5089076), test strony bez bazy eskalował (208571a0), eskalacja = jeden mail do klienta (217f5a2a), kreator po deployu wisiał (efd06019). | 2026-10-08 KOD (23429b36): tryb „Wszystko naraz” — pliki, bazy i skrzynki w jednym zleceniu; brakujące skrzynki docelowe zakładane z hasłem ze starego hostingu (po teście logowania do źródła i limicie migracji). Testy D2. Zostaje: D3 „Cała strona” i „Wszystko naraz” z Pleska na t1.</t>
        </is>
      </c>
    </row>
    <row r="200">
      <c r="A200" s="11" t="inlineStr">
        <is>
          <t>I-20</t>
        </is>
      </c>
      <c r="B200" s="12" t="inlineStr">
        <is>
          <t>I</t>
        </is>
      </c>
      <c r="C200" s="11" t="inlineStr">
        <is>
          <t>Migracja — delta-sync przed przełączeniem</t>
        </is>
      </c>
      <c r="D200" s="11" t="inlineStr">
        <is>
          <t>NIE</t>
        </is>
      </c>
      <c r="E200" s="11" t="inlineStr">
        <is>
          <t>CZĘŚĆ</t>
        </is>
      </c>
      <c r="F200" s="11" t="inlineStr">
        <is>
          <t>NIE</t>
        </is>
      </c>
      <c r="G200" s="11" t="inlineStr">
        <is>
          <t>NIE</t>
        </is>
      </c>
      <c r="H200" s="11" t="inlineStr">
        <is>
          <t>NIE</t>
        </is>
      </c>
      <c r="I200" s="11" t="inlineStr">
        <is>
          <t>DZIAŁA</t>
        </is>
      </c>
      <c r="J200" s="12" t="inlineStr">
        <is>
          <t>services.controller.ts:1041</t>
        </is>
      </c>
      <c r="K200" s="11" t="inlineStr">
        <is>
          <t>PRZEWAGA</t>
        </is>
      </c>
      <c r="L200" s="11" t="inlineStr">
        <is>
          <t>—</t>
        </is>
      </c>
      <c r="M200" s="11" t="inlineStr">
        <is>
          <t>—</t>
        </is>
      </c>
      <c r="N200" s="12" t="inlineStr">
        <is>
          <t>realny wyróżnik: minimalizuje przestój</t>
        </is>
      </c>
    </row>
    <row r="201">
      <c r="A201" s="11" t="inlineStr">
        <is>
          <t>I-21</t>
        </is>
      </c>
      <c r="B201" s="12" t="inlineStr">
        <is>
          <t>I</t>
        </is>
      </c>
      <c r="C201" s="11" t="inlineStr">
        <is>
          <t>Migracja — plan i weryfikacja cutoveru</t>
        </is>
      </c>
      <c r="D201" s="11" t="inlineStr">
        <is>
          <t>NIE</t>
        </is>
      </c>
      <c r="E201" s="11" t="inlineStr">
        <is>
          <t>NIE</t>
        </is>
      </c>
      <c r="F201" s="11" t="inlineStr">
        <is>
          <t>NIE</t>
        </is>
      </c>
      <c r="G201" s="11" t="inlineStr">
        <is>
          <t>NIE</t>
        </is>
      </c>
      <c r="H201" s="11" t="inlineStr">
        <is>
          <t>NIE</t>
        </is>
      </c>
      <c r="I201" s="11" t="inlineStr">
        <is>
          <t>DZIAŁA</t>
        </is>
      </c>
      <c r="J201" s="12" t="inlineStr">
        <is>
          <t>services.controller.ts:1052,1062</t>
        </is>
      </c>
      <c r="K201" s="11" t="inlineStr">
        <is>
          <t>PRZEWAGA</t>
        </is>
      </c>
      <c r="L201" s="11" t="inlineStr">
        <is>
          <t>—</t>
        </is>
      </c>
      <c r="M201" s="11" t="inlineStr">
        <is>
          <t>—</t>
        </is>
      </c>
      <c r="N201" s="12" t="inlineStr"/>
    </row>
    <row r="202">
      <c r="A202" s="11" t="inlineStr">
        <is>
          <t>I-22</t>
        </is>
      </c>
      <c r="B202" s="12" t="inlineStr">
        <is>
          <t>I</t>
        </is>
      </c>
      <c r="C202" s="11" t="inlineStr">
        <is>
          <t>Migracja — cockpit operatora</t>
        </is>
      </c>
      <c r="D202" s="11" t="inlineStr">
        <is>
          <t>NIE</t>
        </is>
      </c>
      <c r="E202" s="11" t="inlineStr">
        <is>
          <t>TAK</t>
        </is>
      </c>
      <c r="F202" s="11" t="inlineStr">
        <is>
          <t>NIE</t>
        </is>
      </c>
      <c r="G202" s="11" t="inlineStr">
        <is>
          <t>—</t>
        </is>
      </c>
      <c r="H202" s="11" t="inlineStr">
        <is>
          <t>—</t>
        </is>
      </c>
      <c r="I202" s="11" t="inlineStr">
        <is>
          <t>DZIAŁA</t>
        </is>
      </c>
      <c r="J202" s="12" t="inlineStr">
        <is>
          <t>staff-panel: (dashboard)/migrations (lista, eskalacje, ponowienie kroku, szczegóły, odsłonięcie danych z powodem) + pozycja „Migracje” w menu; API bez zmian (staff/migrations, MIGRATIONS_MANAGE)</t>
        </is>
      </c>
      <c r="K202" s="11" t="inlineStr">
        <is>
          <t>PARYTET</t>
        </is>
      </c>
      <c r="L202" s="11" t="inlineStr">
        <is>
          <t>ŚREDNIA</t>
        </is>
      </c>
      <c r="M202" s="11" t="inlineStr">
        <is>
          <t>S</t>
        </is>
      </c>
      <c r="N202" s="12" t="inlineStr">
        <is>
          <t>OSŁABIONE: cockpit ma UI tylko w panelu admina; apps/staff-panel nie ma strony migracji, a logowanie do admina odrzuca STAFF. Uprawnienie MIGRATIONS_MANAGE dla roli STAFF jest bezużyteczne. | 2026-09-23: cockpit migracji w panelu obsługi (ta sama powierzchnia API co w adminie), link do usługi przez CRM klienta. Uprawnienie MIGRATIONS_MANAGE dla STAFF ma wreszcie gdzie działać. | 2026-10-06: eskalacja migracji tworzyła zgłoszenie z pominięciem TicketsService (bez opiekuna i SLA, techniczny powód widoczny jako wiadomość klienta) — a9f5a3f; oś „Co się działo” pokazywała klientowi angielskie kody migracji — e744e24.</t>
        </is>
      </c>
    </row>
    <row r="203">
      <c r="A203" s="11" t="inlineStr">
        <is>
          <t>J-01</t>
        </is>
      </c>
      <c r="B203" s="12" t="inlineStr">
        <is>
          <t>J</t>
        </is>
      </c>
      <c r="C203" s="11" t="inlineStr">
        <is>
          <t>LiteSpeed / serwer o wysokiej wydajności</t>
        </is>
      </c>
      <c r="D203" s="11" t="inlineStr">
        <is>
          <t>PŁATNE</t>
        </is>
      </c>
      <c r="E203" s="11" t="inlineStr">
        <is>
          <t>CZĘŚĆ</t>
        </is>
      </c>
      <c r="F203" s="11" t="inlineStr">
        <is>
          <t>PŁATNE</t>
        </is>
      </c>
      <c r="G203" s="11" t="inlineStr">
        <is>
          <t>CZĘŚĆ</t>
        </is>
      </c>
      <c r="H203" s="11" t="inlineStr">
        <is>
          <t>CZĘŚĆ</t>
        </is>
      </c>
      <c r="I203" s="11" t="inlineStr">
        <is>
          <t>DZIAŁA</t>
        </is>
      </c>
      <c r="J203" s="12" t="inlineStr">
        <is>
          <t>decyzja infrastrukturalna, poza kodem panelu; D3 t1 29.09 (panel klienta, d3.hvln.pl): LiteSpeed Enterprise (Server: LiteSpeed), CacheRoot z profilu [OK], strona główna WordPressa z x-litespeed-cache: hit</t>
        </is>
      </c>
      <c r="K203" s="11" t="inlineStr">
        <is>
          <t>PARYTET</t>
        </is>
      </c>
      <c r="L203" s="11" t="inlineStr">
        <is>
          <t>WYSOKA</t>
        </is>
      </c>
      <c r="M203" s="11" t="inlineStr">
        <is>
          <t>S</t>
        </is>
      </c>
      <c r="N203" s="12" t="inlineStr">
        <is>
          <t>koszt licencji — pozycja do unit economics | WYCENA 2026-09-19: krytycznosc i naklad uzupelnione przy wznowieniu. Pozycje przepisane 2026-08-28 w ramach X-49 zostaly bez wyceny, przez co nie liczyly sie do budzetu godzin i nie stały w zadnym sprincie. Podstawa wyceny: Stan b.d. — definicja ukonczenia dla b.d. to weryfikacja na produkcji z timestampem (D3), nie implementacja. Wykonalne na wezle #1. | 2026-09-25 (wg oficjalnej dokumentacji LiteSpeed dla DirectAdmin): profil węzła sprawdzał /usr/local/lsws/conf/httpd_config.conf — plik OpenLiteSpeed; na LSWS Enterprise (webserver=litespeed) go nie ma, więc konfiguracja cache nigdy się nie wykonywała. Teraz CacheRoot serwera w /etc/httpd/conf/extra/httpd-includes.conf i vhostów w templates/custom/cust_httpd.CUSTOM.2.pre, potem custombuild rewrite_confs — dokładnie jak w docs.litespeedtech.com/lsws/cp/directadmin/configuration/. D3 na węźle.</t>
        </is>
      </c>
    </row>
    <row r="204">
      <c r="A204" s="11" t="inlineStr">
        <is>
          <t>J-02</t>
        </is>
      </c>
      <c r="B204" s="12" t="inlineStr">
        <is>
          <t>J</t>
        </is>
      </c>
      <c r="C204" s="11" t="inlineStr">
        <is>
          <t>Cache stron (LSCache) sterowany z panelu</t>
        </is>
      </c>
      <c r="D204" s="11" t="inlineStr">
        <is>
          <t>PŁATNE</t>
        </is>
      </c>
      <c r="E204" s="11" t="inlineStr">
        <is>
          <t>TAK</t>
        </is>
      </c>
      <c r="F204" s="11" t="inlineStr">
        <is>
          <t>PŁATNE</t>
        </is>
      </c>
      <c r="G204" s="11" t="inlineStr">
        <is>
          <t>CZĘŚĆ</t>
        </is>
      </c>
      <c r="H204" s="11" t="inlineStr">
        <is>
          <t>TAK</t>
        </is>
      </c>
      <c r="I204" s="11" t="inlineStr">
        <is>
          <t>DZIAŁA</t>
        </is>
      </c>
      <c r="J204" s="12" t="inlineStr">
        <is>
          <t>ops/scripts/node-wp-update.sh tryb cache (WPU_CACHE on/off/purge), WpUpdateService.cache, services.controller.ts :id/hosting-wp-updates/cache, client-panel WpUpdatesPanel.tsx (strona → WordPress → Pamięć podręczna); testy wp-update.service.spec.ts; D3 t1 (d3.hvln.pl) 29.09 po wdrożeniu (panel klienta): status LSCache „Włączona” w panelu (wtyczka litespeed-cache 7.9.1 aktywna); przełącznika nie ruszałem</t>
        </is>
      </c>
      <c r="K204" s="11" t="inlineStr">
        <is>
          <t>PARYTET</t>
        </is>
      </c>
      <c r="L204" s="11" t="inlineStr">
        <is>
          <t>WYSOKA</t>
        </is>
      </c>
      <c r="M204" s="11" t="inlineStr">
        <is>
          <t>M</t>
        </is>
      </c>
      <c r="N204" s="12" t="inlineStr">
        <is>
          <t>2026-09-24: KOD (D2) + skrypt sprawdzony lokalnie na atrapie — włączenie wtyczki LiteSpeed Cache z kontrolą strony (5xx po włączeniu → wyłączamy z powrotem), wyłączenie, wyczyszczenie. Zakres: WordPress w katalogu domeny; inne strony po starcie. OTWARTE do D3 (sprint 21): LiteSpeed na węźle, nagłówek X-LiteSpeed-Cache: hit. | 2026-09-24 SKALA DOWODU (decyzja PM): funkcja bez pieniędzy, danych klienta i dostępu — D2 (test w CI) wystarcza do „zrobione”, więc werdykt PARYTET. Stan zostaje CZĘŚCIOWE do testu na węźle (audyt/dane/wezel.csv). | 2026-10-07: stan zgodny z wezel.csv (sprawdzone na t1 29.09).</t>
        </is>
      </c>
    </row>
    <row r="205">
      <c r="A205" s="11" t="inlineStr">
        <is>
          <t>J-03</t>
        </is>
      </c>
      <c r="B205" s="12" t="inlineStr">
        <is>
          <t>J</t>
        </is>
      </c>
      <c r="C205" s="11" t="inlineStr">
        <is>
          <t>Cache obiektowy (Redis) dla WordPressa</t>
        </is>
      </c>
      <c r="D205" s="11" t="inlineStr">
        <is>
          <t>CZĘŚĆ</t>
        </is>
      </c>
      <c r="E205" s="11" t="inlineStr">
        <is>
          <t>TAK</t>
        </is>
      </c>
      <c r="F205" s="11" t="inlineStr">
        <is>
          <t>CZĘŚĆ</t>
        </is>
      </c>
      <c r="G205" s="11" t="inlineStr">
        <is>
          <t>TAK</t>
        </is>
      </c>
      <c r="H205" s="11" t="inlineStr">
        <is>
          <t>TAK</t>
        </is>
      </c>
      <c r="I205" s="11" t="inlineStr">
        <is>
          <t>DZIAŁA</t>
        </is>
      </c>
      <c r="J205" s="12" t="inlineStr">
        <is>
          <t>ops/scripts/node-redis.sh (zadanie REDIS_ACCESS: instancja na konto, tylko gniazdo ~/.verris-redis/redis.sock 0700, konfiguracja roota, CONFIG wyłączone, 64 MB, MemoryMax w systemd), subscriptions/redis-access.service.ts, :id/hosting-redis, panel RedisPanel.tsx (PHP i serwer); WordPress: node-wp-update.sh WPU_CACHE=redis-on/off (wtyczka Redis Object Cache, WP_REDIS_PATH, kontrola strony), WpUpdatesPanel.tsx; testy redis-access.service.spec.ts, wp-update.service.spec.ts; D3 t1 (d3.hvln.pl) 29.09 po wdrożeniu 13:00 (panel klienta): „Włącz Redis dla WordPressa” → „Włączony”, strona odpowiada 200</t>
        </is>
      </c>
      <c r="K205" s="11" t="inlineStr">
        <is>
          <t>PARYTET</t>
        </is>
      </c>
      <c r="L205" s="11" t="inlineStr">
        <is>
          <t>—</t>
        </is>
      </c>
      <c r="M205" s="11" t="inlineStr">
        <is>
          <t>M</t>
        </is>
      </c>
      <c r="N205" s="12" t="inlineStr">
        <is>
          <t>2026-09-24: KOD (D2) razem z D-15 — jedno kliknięcie w zakładce WordPress (wtyczka Redis Object Cache połączona z gniazdem konta, prefiks domeny, wycofanie przy 5xx). OTWARTE do D3 (sprint 21). | patrz D-15</t>
        </is>
      </c>
    </row>
    <row r="206">
      <c r="A206" s="11" t="inlineStr">
        <is>
          <t>J-04</t>
        </is>
      </c>
      <c r="B206" s="12" t="inlineStr">
        <is>
          <t>J</t>
        </is>
      </c>
      <c r="C206" s="11" t="inlineStr">
        <is>
          <t>HTTP/3</t>
        </is>
      </c>
      <c r="D206" s="11" t="inlineStr">
        <is>
          <t>TAK</t>
        </is>
      </c>
      <c r="E206" s="11" t="inlineStr">
        <is>
          <t>TAK</t>
        </is>
      </c>
      <c r="F206" s="11" t="inlineStr">
        <is>
          <t>TAK</t>
        </is>
      </c>
      <c r="G206" s="11" t="inlineStr">
        <is>
          <t>TAK</t>
        </is>
      </c>
      <c r="H206" s="11" t="inlineStr">
        <is>
          <t>TAK</t>
        </is>
      </c>
      <c r="I206" s="11" t="inlineStr">
        <is>
          <t>DZIAŁA</t>
        </is>
      </c>
      <c r="J206" s="12" t="inlineStr">
        <is>
          <t>poza kodem panelu; D3 t1 29.09 (panel klienta, d3.hvln.pl): brak alt-svc, połączenia po h2 — firewalld nie przepuszczał UDP 443; poprawka 68c7e95 (profil + hardening) czeka na push i profil; D3 t1 29.09 wieczór po profilu: curl -sI https://d3.hvln.pl → alt-svc: h3=":443", LiteSpeed nasłuchuje na UDP 443 (IPv4 i IPv6), firewalld przepuszcza 443/udp</t>
        </is>
      </c>
      <c r="K206" s="11" t="inlineStr">
        <is>
          <t>PARYTET</t>
        </is>
      </c>
      <c r="L206" s="11" t="inlineStr">
        <is>
          <t>ŚREDNIA</t>
        </is>
      </c>
      <c r="M206" s="11" t="inlineStr">
        <is>
          <t>S</t>
        </is>
      </c>
      <c r="N206" s="12" t="inlineStr">
        <is>
          <t>4 z 5 hostingów PL już ma | WYCENA 2026-09-19: krytycznosc i naklad uzupelnione przy wznowieniu. Pozycje przepisane 2026-08-28 w ramach X-49 zostaly bez wyceny, przez co nie liczyly sie do budzetu godzin i nie stały w zadnym sprincie. Podstawa wyceny: Stan b.d. — jak J-01, weryfikacja na wezle #1.</t>
        </is>
      </c>
    </row>
    <row r="207">
      <c r="A207" s="11" t="inlineStr">
        <is>
          <t>J-05</t>
        </is>
      </c>
      <c r="B207" s="12" t="inlineStr">
        <is>
          <t>J</t>
        </is>
      </c>
      <c r="C207" s="11" t="inlineStr">
        <is>
          <t>CDN</t>
        </is>
      </c>
      <c r="D207" s="11" t="inlineStr">
        <is>
          <t>CZĘŚĆ</t>
        </is>
      </c>
      <c r="E207" s="11" t="inlineStr">
        <is>
          <t>TAK</t>
        </is>
      </c>
      <c r="F207" s="11" t="inlineStr">
        <is>
          <t>CZĘŚĆ</t>
        </is>
      </c>
      <c r="G207" s="11" t="inlineStr">
        <is>
          <t>PŁATNE</t>
        </is>
      </c>
      <c r="H207" s="11" t="inlineStr">
        <is>
          <t>TAK</t>
        </is>
      </c>
      <c r="I207" s="11" t="inlineStr">
        <is>
          <t>BRAK</t>
        </is>
      </c>
      <c r="J207" s="12" t="inlineStr">
        <is>
          <t>—</t>
        </is>
      </c>
      <c r="K207" s="11" t="inlineStr">
        <is>
          <t>LUKA</t>
        </is>
      </c>
      <c r="L207" s="11" t="inlineStr">
        <is>
          <t>NISKA</t>
        </is>
      </c>
      <c r="M207" s="11" t="inlineStr">
        <is>
          <t>L</t>
        </is>
      </c>
      <c r="N207" s="12" t="inlineStr">
        <is>
          <t>na rynku PL płatny dodatek</t>
        </is>
      </c>
    </row>
    <row r="208">
      <c r="A208" s="11" t="inlineStr">
        <is>
          <t>J-06</t>
        </is>
      </c>
      <c r="B208" s="12" t="inlineStr">
        <is>
          <t>J</t>
        </is>
      </c>
      <c r="C208" s="11" t="inlineStr">
        <is>
          <t>Optymalizacja obrazów</t>
        </is>
      </c>
      <c r="D208" s="11" t="inlineStr">
        <is>
          <t>NIE</t>
        </is>
      </c>
      <c r="E208" s="11" t="inlineStr">
        <is>
          <t>TAK</t>
        </is>
      </c>
      <c r="F208" s="11" t="inlineStr">
        <is>
          <t>NIE</t>
        </is>
      </c>
      <c r="G208" s="11" t="inlineStr">
        <is>
          <t>NIE</t>
        </is>
      </c>
      <c r="H208" s="11" t="inlineStr">
        <is>
          <t>TAK</t>
        </is>
      </c>
      <c r="I208" s="11" t="inlineStr">
        <is>
          <t>DZIAŁA</t>
        </is>
      </c>
      <c r="J208" s="12" t="inlineStr">
        <is>
          <t>ops/scripts/node-image-optimize.sh (zadanie IMAGE_OPTIMIZE, migracja 20260925211000); subscriptions/obrazy.service.ts; services.controller.ts :id/hosting-images; client-panel ObrazyPanel (widok strony → Pliki); profil węzła: jpegoptim, optipng (EPEL); test obrazy.service.spec.ts; D3 t1 29.09 (panel klienta, d3.hvln.pl): „Optymalizuj obrazy” (cała strona) → 43 pliki, 2,9 MB → 2,9 MB (obrazy rdzenia WP już zoptymalizowane); zadanie kończy się poprawnie</t>
        </is>
      </c>
      <c r="K208" s="11" t="inlineStr">
        <is>
          <t>PARYTET</t>
        </is>
      </c>
      <c r="L208" s="11" t="inlineStr">
        <is>
          <t>NISKA</t>
        </is>
      </c>
      <c r="M208" s="11" t="inlineStr">
        <is>
          <t>M</t>
        </is>
      </c>
      <c r="N208" s="12" t="inlineStr">
        <is>
          <t xml:space="preserve"> | ZROBIONE W KODZIE 2026-09-25: bezstratnie — jpegoptim (tablice Huffmana, -p -P, -T 1) i optipng -o2 -preserve, opcjonalnie usunięcie metadanych (EXIF/GPS); jako klient z nice/ionice, do 5000 plików na raz, znacznik w ~/.verris-obrazy/ — kolejne uruchomienie bierze tylko nowe pliki. Sprawdzone lokalnie (6 plików, dowiązanie do /etc/passwd pominięte, dowiązanie katalogu poza stronę → odmowa). D3 w wezel.csv. | 2026-10-01 D3 t1: 01.10: optymalizacja całego public_html zmieniała obrazy rdzenia WordPressa (43 pliki, 0% zysku) i psuła sumy kontrolne → 50dccf7 (pomija wp-admin, wp-includes).</t>
        </is>
      </c>
    </row>
    <row r="209">
      <c r="A209" s="11" t="inlineStr">
        <is>
          <t>J-07</t>
        </is>
      </c>
      <c r="B209" s="12" t="inlineStr">
        <is>
          <t>J</t>
        </is>
      </c>
      <c r="C209" s="11" t="inlineStr">
        <is>
          <t>Dedykowany adres IP</t>
        </is>
      </c>
      <c r="D209" s="11" t="inlineStr">
        <is>
          <t>TAK</t>
        </is>
      </c>
      <c r="E209" s="11" t="inlineStr">
        <is>
          <t>TAK</t>
        </is>
      </c>
      <c r="F209" s="11" t="inlineStr">
        <is>
          <t>TAK</t>
        </is>
      </c>
      <c r="G209" s="11" t="inlineStr">
        <is>
          <t>PŁATNE</t>
        </is>
      </c>
      <c r="H209" s="11" t="inlineStr">
        <is>
          <t>CZĘŚĆ</t>
        </is>
      </c>
      <c r="I209" s="11" t="inlineStr">
        <is>
          <t>CZĘŚCIOWE</t>
        </is>
      </c>
      <c r="J209" s="12" t="inlineStr">
        <is>
          <t>addons — jako dodatek typu workorder</t>
        </is>
      </c>
      <c r="K209" s="11" t="inlineStr">
        <is>
          <t>CZĘŚCIOWY</t>
        </is>
      </c>
      <c r="L209" s="11" t="inlineStr">
        <is>
          <t>ŚREDNIA</t>
        </is>
      </c>
      <c r="M209" s="11" t="inlineStr">
        <is>
          <t>S</t>
        </is>
      </c>
      <c r="N209" s="12" t="inlineStr">
        <is>
          <t>addon.service.ts:120 — realizacja przez zgłoszenie do BOK, nie automat</t>
        </is>
      </c>
    </row>
    <row r="210">
      <c r="A210" s="11" t="inlineStr">
        <is>
          <t>J-08</t>
        </is>
      </c>
      <c r="B210" s="12" t="inlineStr">
        <is>
          <t>J</t>
        </is>
      </c>
      <c r="C210" s="11" t="inlineStr">
        <is>
          <t>Autoskalowanie zasobów</t>
        </is>
      </c>
      <c r="D210" s="11" t="inlineStr">
        <is>
          <t>NIE</t>
        </is>
      </c>
      <c r="E210" s="11" t="inlineStr">
        <is>
          <t>NIE</t>
        </is>
      </c>
      <c r="F210" s="11" t="inlineStr">
        <is>
          <t>NIE</t>
        </is>
      </c>
      <c r="G210" s="11" t="inlineStr">
        <is>
          <t>CZĘŚĆ</t>
        </is>
      </c>
      <c r="H210" s="11" t="inlineStr">
        <is>
          <t>TAK</t>
        </is>
      </c>
      <c r="I210" s="11" t="inlineStr">
        <is>
          <t>DZIAŁA</t>
        </is>
      </c>
      <c r="J210" s="12" t="inlineStr">
        <is>
          <t>autoscaling-engine.service.ts:64 (cron 1 min) | 2026-10-09: autoscaling-billing.service.ts:158-196 (reszta groszy, Account.scaledCostCarryPln), :282,297-331 doplataZaPodbicie (Account.scaledBlockPaid*, schema.prisma:1303-1313); test autoskalowanie-rozliczenie.int-spec.ts:81-118,133-260</t>
        </is>
      </c>
      <c r="K210" s="11" t="inlineStr">
        <is>
          <t>PRZEWAGA</t>
        </is>
      </c>
      <c r="L210" s="11" t="inlineStr">
        <is>
          <t>—</t>
        </is>
      </c>
      <c r="M210" s="11" t="inlineStr">
        <is>
          <t>—</t>
        </is>
      </c>
      <c r="N210" s="12" t="inlineStr">
        <is>
          <t>tylko dhosting ma coś podobnego na rynku PL | 2026-09-25: stawki na verris.pl (0,001323 zł / 1% CPU / h, 0,0882 zł / GB RAM / h, 0,0008 zł / GB dysku / h) zgodne z produkcją (admin → Cennik autoskalowania); seed bazy poprawiony na te same wartości (miał przykładowe, dysk 62× droższy). Strona: „naliczanie kończy się w ciągu kilkunastu minut” zamiast „sekundę po piku” (bloki 15 min). | 2026-10-10: rozliczenie bloków 15 min domknięte w dwóch miejscach: (1) podbicie poziomu w trakcie opłaconego bloku dopłaca proporcjonalnie różnicę za pozostałe minuty (spadek bez zwrotu, dopłata raz przy równoległych przebiegach silnika i crona, rabat operatora i rozliczenie poza Verris też ją obejmują); (2) reszta groszy przechodzi między blokami — blok za 0,0165 zł nie jest już zaokrąglany w górę przy każdym pobraniu (suma pobrań zgodna z cennikiem zamiast +21%). Wdrożone 10.10 (integracja API 351/351). Pieniądze → D3 przy pierwszym szczycie z portfelem na t1.</t>
        </is>
      </c>
    </row>
    <row r="211">
      <c r="A211" s="11" t="inlineStr">
        <is>
          <t>J-09</t>
        </is>
      </c>
      <c r="B211" s="12" t="inlineStr">
        <is>
          <t>J</t>
        </is>
      </c>
      <c r="C211" s="11" t="inlineStr">
        <is>
          <t>Limit miesięcznego kosztu autoskalowania</t>
        </is>
      </c>
      <c r="D211" s="11" t="inlineStr">
        <is>
          <t>NIE</t>
        </is>
      </c>
      <c r="E211" s="11" t="inlineStr">
        <is>
          <t>NIE</t>
        </is>
      </c>
      <c r="F211" s="11" t="inlineStr">
        <is>
          <t>NIE</t>
        </is>
      </c>
      <c r="G211" s="11" t="inlineStr">
        <is>
          <t>NIE</t>
        </is>
      </c>
      <c r="H211" s="11" t="inlineStr">
        <is>
          <t>CZĘŚĆ</t>
        </is>
      </c>
      <c r="I211" s="11" t="inlineStr">
        <is>
          <t>DZIAŁA</t>
        </is>
      </c>
      <c r="J211" s="12" t="inlineStr">
        <is>
          <t>subscriptions.controller.ts:120; test autoscaling-engine.cap.spec.ts</t>
        </is>
      </c>
      <c r="K211" s="11" t="inlineStr">
        <is>
          <t>PRZEWAGA</t>
        </is>
      </c>
      <c r="L211" s="11" t="inlineStr">
        <is>
          <t>—</t>
        </is>
      </c>
      <c r="M211" s="11" t="inlineStr">
        <is>
          <t>—</t>
        </is>
      </c>
      <c r="N211" s="12" t="inlineStr">
        <is>
          <t>cap egzekwowany w silniku, test D1</t>
        </is>
      </c>
    </row>
    <row r="212">
      <c r="A212" s="11" t="inlineStr">
        <is>
          <t>J-10</t>
        </is>
      </c>
      <c r="B212" s="12" t="inlineStr">
        <is>
          <t>J</t>
        </is>
      </c>
      <c r="C212" s="11" t="inlineStr">
        <is>
          <t>Kalkulator kosztu skalowania</t>
        </is>
      </c>
      <c r="D212" s="11" t="inlineStr">
        <is>
          <t>NIE</t>
        </is>
      </c>
      <c r="E212" s="11" t="inlineStr">
        <is>
          <t>NIE</t>
        </is>
      </c>
      <c r="F212" s="11" t="inlineStr">
        <is>
          <t>NIE</t>
        </is>
      </c>
      <c r="G212" s="11" t="inlineStr">
        <is>
          <t>NIE</t>
        </is>
      </c>
      <c r="H212" s="11" t="inlineStr">
        <is>
          <t>CZĘŚĆ</t>
        </is>
      </c>
      <c r="I212" s="11" t="inlineStr">
        <is>
          <t>DZIAŁA</t>
        </is>
      </c>
      <c r="J212" s="12" t="inlineStr">
        <is>
          <t>autoscaling.controller.ts:12</t>
        </is>
      </c>
      <c r="K212" s="11" t="inlineStr">
        <is>
          <t>PRZEWAGA</t>
        </is>
      </c>
      <c r="L212" s="11" t="inlineStr">
        <is>
          <t>—</t>
        </is>
      </c>
      <c r="M212" s="11" t="inlineStr">
        <is>
          <t>—</t>
        </is>
      </c>
      <c r="N212" s="12" t="inlineStr"/>
    </row>
    <row r="213">
      <c r="A213" s="11" t="inlineStr">
        <is>
          <t>J-11</t>
        </is>
      </c>
      <c r="B213" s="12" t="inlineStr">
        <is>
          <t>J</t>
        </is>
      </c>
      <c r="C213" s="11" t="inlineStr">
        <is>
          <t>Historia zdarzeń skalowania</t>
        </is>
      </c>
      <c r="D213" s="11" t="inlineStr">
        <is>
          <t>NIE</t>
        </is>
      </c>
      <c r="E213" s="11" t="inlineStr">
        <is>
          <t>NIE</t>
        </is>
      </c>
      <c r="F213" s="11" t="inlineStr">
        <is>
          <t>NIE</t>
        </is>
      </c>
      <c r="G213" s="11" t="inlineStr">
        <is>
          <t>NIE</t>
        </is>
      </c>
      <c r="H213" s="11" t="inlineStr">
        <is>
          <t>CZĘŚĆ</t>
        </is>
      </c>
      <c r="I213" s="11" t="inlineStr">
        <is>
          <t>DZIAŁA</t>
        </is>
      </c>
      <c r="J213" s="12" t="inlineStr">
        <is>
          <t>subscriptions.controller.ts:138</t>
        </is>
      </c>
      <c r="K213" s="11" t="inlineStr">
        <is>
          <t>PRZEWAGA</t>
        </is>
      </c>
      <c r="L213" s="11" t="inlineStr">
        <is>
          <t>—</t>
        </is>
      </c>
      <c r="M213" s="11" t="inlineStr">
        <is>
          <t>—</t>
        </is>
      </c>
      <c r="N213" s="12" t="inlineStr"/>
    </row>
    <row r="214">
      <c r="A214" s="11" t="inlineStr">
        <is>
          <t>K-01</t>
        </is>
      </c>
      <c r="B214" s="12" t="inlineStr">
        <is>
          <t>K</t>
        </is>
      </c>
      <c r="C214" s="11" t="inlineStr">
        <is>
          <t>Zużycie CPU / RAM / IO na wykresie</t>
        </is>
      </c>
      <c r="D214" s="11" t="inlineStr">
        <is>
          <t>TAK</t>
        </is>
      </c>
      <c r="E214" s="11" t="inlineStr">
        <is>
          <t>TAK</t>
        </is>
      </c>
      <c r="F214" s="11" t="inlineStr">
        <is>
          <t>TAK</t>
        </is>
      </c>
      <c r="G214" s="11" t="inlineStr">
        <is>
          <t>TAK</t>
        </is>
      </c>
      <c r="H214" s="11" t="inlineStr">
        <is>
          <t>TAK</t>
        </is>
      </c>
      <c r="I214" s="11" t="inlineStr">
        <is>
          <t>DZIAŁA</t>
        </is>
      </c>
      <c r="J214" s="12" t="inlineStr">
        <is>
          <t>services.controller.ts:881</t>
        </is>
      </c>
      <c r="K214" s="11" t="inlineStr">
        <is>
          <t>PARYTET</t>
        </is>
      </c>
      <c r="L214" s="11" t="inlineStr">
        <is>
          <t>—</t>
        </is>
      </c>
      <c r="M214" s="11" t="inlineStr">
        <is>
          <t>—</t>
        </is>
      </c>
      <c r="N214" s="12" t="inlineStr">
        <is>
          <t>realna telemetria LVE, 24 h / 7 d</t>
        </is>
      </c>
    </row>
    <row r="215">
      <c r="A215" s="11" t="inlineStr">
        <is>
          <t>K-02</t>
        </is>
      </c>
      <c r="B215" s="12" t="inlineStr">
        <is>
          <t>K</t>
        </is>
      </c>
      <c r="C215" s="11" t="inlineStr">
        <is>
          <t>Zużycie powierzchni i transferu</t>
        </is>
      </c>
      <c r="D215" s="11" t="inlineStr">
        <is>
          <t>TAK</t>
        </is>
      </c>
      <c r="E215" s="11" t="inlineStr">
        <is>
          <t>TAK</t>
        </is>
      </c>
      <c r="F215" s="11" t="inlineStr">
        <is>
          <t>TAK</t>
        </is>
      </c>
      <c r="G215" s="11" t="inlineStr">
        <is>
          <t>TAK</t>
        </is>
      </c>
      <c r="H215" s="11" t="inlineStr">
        <is>
          <t>TAK</t>
        </is>
      </c>
      <c r="I215" s="11" t="inlineStr">
        <is>
          <t>DZIAŁA</t>
        </is>
      </c>
      <c r="J215" s="12" t="inlineStr">
        <is>
          <t>services.controller.ts:936</t>
        </is>
      </c>
      <c r="K215" s="11" t="inlineStr">
        <is>
          <t>PARYTET</t>
        </is>
      </c>
      <c r="L215" s="11" t="inlineStr">
        <is>
          <t>—</t>
        </is>
      </c>
      <c r="M215" s="11" t="inlineStr">
        <is>
          <t>—</t>
        </is>
      </c>
      <c r="N215" s="12" t="inlineStr"/>
    </row>
    <row r="216">
      <c r="A216" s="11" t="inlineStr">
        <is>
          <t>K-03</t>
        </is>
      </c>
      <c r="B216" s="12" t="inlineStr">
        <is>
          <t>K</t>
        </is>
      </c>
      <c r="C216" s="11" t="inlineStr">
        <is>
          <t>Licznik inodów</t>
        </is>
      </c>
      <c r="D216" s="11" t="inlineStr">
        <is>
          <t>TAK</t>
        </is>
      </c>
      <c r="E216" s="11" t="inlineStr">
        <is>
          <t>TAK</t>
        </is>
      </c>
      <c r="F216" s="11" t="inlineStr">
        <is>
          <t>TAK</t>
        </is>
      </c>
      <c r="G216" s="11" t="inlineStr">
        <is>
          <t>b.d.</t>
        </is>
      </c>
      <c r="H216" s="11" t="inlineStr">
        <is>
          <t>CZĘŚĆ</t>
        </is>
      </c>
      <c r="I216" s="11" t="inlineStr">
        <is>
          <t>DZIAŁA</t>
        </is>
      </c>
      <c r="J216" s="12" t="inlineStr">
        <is>
          <t>ops/scripts/node-disk-usage.sh (du --inodes), DiskUsagePanel.tsx; łączna liczba i-węzłów konta także w ServiceConnectionInfoDto.inodes (DA); D3 t1 29.09 (panel klienta, d3.hvln.pl): liczba plików (i-węzłów) per katalog i razem w „Co zajmuje miejsce” (5821)</t>
        </is>
      </c>
      <c r="K216" s="11" t="inlineStr">
        <is>
          <t>PARYTET</t>
        </is>
      </c>
      <c r="L216" s="11" t="inlineStr">
        <is>
          <t>ŚREDNIA</t>
        </is>
      </c>
      <c r="M216" s="11" t="inlineStr">
        <is>
          <t>S</t>
        </is>
      </c>
      <c r="N216" s="12" t="inlineStr">
        <is>
          <t>2026-09-24: KOD (D2) razem z C-15 — liczba plików per katalog obok rozmiaru. OTWARTE do D3 (sprint 21). | żaden hosting PL nie publikuje — okazja na transparentność | 2026-09-24 SKALA DOWODU (decyzja PM): funkcja bez pieniędzy, danych klienta i dostępu — D2 (test w CI) wystarcza do „zrobione”, więc werdykt PARYTET. Stan zostaje CZĘŚCIOWE do testu na węźle (audyt/dane/wezel.csv).</t>
        </is>
      </c>
    </row>
    <row r="217">
      <c r="A217" s="11" t="inlineStr">
        <is>
          <t>K-04</t>
        </is>
      </c>
      <c r="B217" s="12" t="inlineStr">
        <is>
          <t>K</t>
        </is>
      </c>
      <c r="C217" s="11" t="inlineStr">
        <is>
          <t>Logi dostępu WWW (access log)</t>
        </is>
      </c>
      <c r="D217" s="11" t="inlineStr">
        <is>
          <t>TAK</t>
        </is>
      </c>
      <c r="E217" s="11" t="inlineStr">
        <is>
          <t>TAK</t>
        </is>
      </c>
      <c r="F217" s="11" t="inlineStr">
        <is>
          <t>TAK</t>
        </is>
      </c>
      <c r="G217" s="11" t="inlineStr">
        <is>
          <t>TAK</t>
        </is>
      </c>
      <c r="H217" s="11" t="inlineStr">
        <is>
          <t>TAK</t>
        </is>
      </c>
      <c r="I217" s="11" t="inlineStr">
        <is>
          <t>DZIAŁA</t>
        </is>
      </c>
      <c r="J217" s="12" t="inlineStr">
        <is>
          <t>GET /services/:id/hosting-logs (readHostingLog, DA CMD_SHOW_LOG type=log|error) + zakładka usługi „Logi WWW” (LogsTab.tsx); directadmin.logi.spec.ts (9 testów); subkonto: FILES_MANAGE; D3 t1 (d3.hvln.pl) 29.09 po wdrożeniu (panel klienta): Logi → Dostęp: 100 ostatnich wpisów access logu domeny, najnowsze na górze</t>
        </is>
      </c>
      <c r="K217" s="11" t="inlineStr">
        <is>
          <t>PARYTET</t>
        </is>
      </c>
      <c r="L217" s="11" t="inlineStr">
        <is>
          <t>—</t>
        </is>
      </c>
      <c r="M217" s="11" t="inlineStr">
        <is>
          <t>M</t>
        </is>
      </c>
      <c r="N217" s="12" t="inlineStr">
        <is>
          <t>2026-09-24: zbudowane — domena tylko z konta usługi, 20–1000 ostatnich linii, najnowsze na górze, zawijanie bez przewijania w bok; HTML/error=1 od DA to komunikat, nie „wpisy”. OTWARTE: potwierdzenie na żywym węźle, że CMD_SHOW_LOG zwraca tekst dla klucza użytkownika (test w Chrome po wdrożeniu). | wszystkie 5 hostingów PL to ma; seohost reklamuje jako darmowe | 2026-09-24: zakładka Logi WWW wdrożona i otwiera się w panelu. Treść logów do sprawdzenia dopiero na węźle (sprint 18, PB-21) — węzła jeszcze nie ma, więc usługa testowa nie ma skąd pobrać domen ani logów.</t>
        </is>
      </c>
    </row>
    <row r="218">
      <c r="A218" s="11" t="inlineStr">
        <is>
          <t>K-05</t>
        </is>
      </c>
      <c r="B218" s="12" t="inlineStr">
        <is>
          <t>K</t>
        </is>
      </c>
      <c r="C218" s="11" t="inlineStr">
        <is>
          <t>Logi błędów PHP</t>
        </is>
      </c>
      <c r="D218" s="11" t="inlineStr">
        <is>
          <t>TAK</t>
        </is>
      </c>
      <c r="E218" s="11" t="inlineStr">
        <is>
          <t>TAK</t>
        </is>
      </c>
      <c r="F218" s="11" t="inlineStr">
        <is>
          <t>TAK</t>
        </is>
      </c>
      <c r="G218" s="11" t="inlineStr">
        <is>
          <t>TAK</t>
        </is>
      </c>
      <c r="H218" s="11" t="inlineStr">
        <is>
          <t>TAK</t>
        </is>
      </c>
      <c r="I218" s="11" t="inlineStr">
        <is>
          <t>DZIAŁA</t>
        </is>
      </c>
      <c r="J218" s="12" t="inlineStr">
        <is>
          <t>GET /services/:id/hosting-logs (readHostingLog, DA CMD_SHOW_LOG type=log|error) + zakładka usługi „Logi WWW” (LogsTab.tsx); directadmin.logi.spec.ts (9 testów); subkonto: FILES_MANAGE; D3 t1 (d3.hvln.pl) 29.09 po wdrożeniu (panel klienta): Logi → Błędy: wpisy LiteSpeed/ModSecurity domeny</t>
        </is>
      </c>
      <c r="K218" s="11" t="inlineStr">
        <is>
          <t>PARYTET</t>
        </is>
      </c>
      <c r="L218" s="11" t="inlineStr">
        <is>
          <t>—</t>
        </is>
      </c>
      <c r="M218" s="11" t="inlineStr">
        <is>
          <t>M</t>
        </is>
      </c>
      <c r="N218" s="12" t="inlineStr">
        <is>
          <t>2026-09-24: zbudowane — domena tylko z konta usługi, 20–1000 ostatnich linii, najnowsze na górze, zawijanie bez przewijania w bok; HTML/error=1 od DA to komunikat, nie „wpisy”. OTWARTE: potwierdzenie na żywym węźle, że CMD_SHOW_LOG zwraca tekst dla klucza użytkownika (test w Chrome po wdrożeniu). | j.w. — bez tego klient nie zdiagnozuje własnej strony | 2026-09-24: zakładka Logi WWW wdrożona i otwiera się w panelu. Treść logów do sprawdzenia dopiero na węźle (sprint 18, PB-21) — węzła jeszcze nie ma, więc usługa testowa nie ma skąd pobrać domen ani logów.</t>
        </is>
      </c>
    </row>
    <row r="219">
      <c r="A219" s="11" t="inlineStr">
        <is>
          <t>K-06</t>
        </is>
      </c>
      <c r="B219" s="12" t="inlineStr">
        <is>
          <t>K</t>
        </is>
      </c>
      <c r="C219" s="11" t="inlineStr">
        <is>
          <t>Surowe logi do pobrania</t>
        </is>
      </c>
      <c r="D219" s="11" t="inlineStr">
        <is>
          <t>TAK</t>
        </is>
      </c>
      <c r="E219" s="11" t="inlineStr">
        <is>
          <t>TAK</t>
        </is>
      </c>
      <c r="F219" s="11" t="inlineStr">
        <is>
          <t>TAK</t>
        </is>
      </c>
      <c r="G219" s="11" t="inlineStr">
        <is>
          <t>CZĘŚĆ</t>
        </is>
      </c>
      <c r="H219" s="11" t="inlineStr">
        <is>
          <t>CZĘŚĆ</t>
        </is>
      </c>
      <c r="I219" s="11" t="inlineStr">
        <is>
          <t>DZIAŁA</t>
        </is>
      </c>
      <c r="J219" s="12" t="inlineStr">
        <is>
          <t>client-panel components/hosting/LogsTab.tsx — „Pobierz” zapisuje wczytane linie (do 1000 ostatnich) jako plik .log</t>
        </is>
      </c>
      <c r="K219" s="11" t="inlineStr">
        <is>
          <t>PARYTET</t>
        </is>
      </c>
      <c r="L219" s="11" t="inlineStr">
        <is>
          <t>ŚREDNIA</t>
        </is>
      </c>
      <c r="M219" s="11" t="inlineStr">
        <is>
          <t>S</t>
        </is>
      </c>
      <c r="N219" s="12" t="inlineStr">
        <is>
          <t>2026-09-24: KOD — pobranie tego, co widać w zakładce Logi WWW. Pełne archiwa logów (np. rotowane .gz) — po starcie, gdy K-04/K-05 przejdą D3. | 2026-09-24 SKALA DOWODU (decyzja PM): funkcja bez pieniędzy, danych klienta i dostępu — D2 (test w CI) wystarcza do „zrobione”, więc werdykt PARYTET. Stan zostaje CZĘŚCIOWE do testu na węźle (audyt/dane/wezel.csv). | 2026-10-07 D3 t1 (d3.hvln.pl): Logi WWW → Błędy → „Pobierz” = d3.hvln.pl-error-2026-10-07.log, 100 linii chronologicznie, w tym wpisy ModSecurity z testu WAF — prawdziwe dane z węzła.</t>
        </is>
      </c>
    </row>
    <row r="220">
      <c r="A220" s="11" t="inlineStr">
        <is>
          <t>K-07</t>
        </is>
      </c>
      <c r="B220" s="12" t="inlineStr">
        <is>
          <t>K</t>
        </is>
      </c>
      <c r="C220" s="11" t="inlineStr">
        <is>
          <t>Statystyki odwiedzin (AWStats/Webalizer)</t>
        </is>
      </c>
      <c r="D220" s="11" t="inlineStr">
        <is>
          <t>TAK</t>
        </is>
      </c>
      <c r="E220" s="11" t="inlineStr">
        <is>
          <t>TAK</t>
        </is>
      </c>
      <c r="F220" s="11" t="inlineStr">
        <is>
          <t>TAK</t>
        </is>
      </c>
      <c r="G220" s="11" t="inlineStr">
        <is>
          <t>CZĘŚĆ</t>
        </is>
      </c>
      <c r="H220" s="11" t="inlineStr">
        <is>
          <t>NIE</t>
        </is>
      </c>
      <c r="I220" s="11" t="inlineStr">
        <is>
          <t>BRAK</t>
        </is>
      </c>
      <c r="J220" s="12" t="inlineStr">
        <is>
          <t>—</t>
        </is>
      </c>
      <c r="K220" s="11" t="inlineStr">
        <is>
          <t>POZA ZAKRESEM</t>
        </is>
      </c>
      <c r="L220" s="11" t="inlineStr">
        <is>
          <t>NISKA</t>
        </is>
      </c>
      <c r="M220" s="11" t="inlineStr">
        <is>
          <t>—</t>
        </is>
      </c>
      <c r="N220" s="12" t="inlineStr">
        <is>
          <t>zastąpione własną analityką (K-12)</t>
        </is>
      </c>
    </row>
    <row r="221">
      <c r="A221" s="11" t="inlineStr">
        <is>
          <t>K-08</t>
        </is>
      </c>
      <c r="B221" s="12" t="inlineStr">
        <is>
          <t>K</t>
        </is>
      </c>
      <c r="C221" s="11" t="inlineStr">
        <is>
          <t>Powiadomienia o przekroczeniu limitów</t>
        </is>
      </c>
      <c r="D221" s="11" t="inlineStr">
        <is>
          <t>TAK</t>
        </is>
      </c>
      <c r="E221" s="11" t="inlineStr">
        <is>
          <t>TAK</t>
        </is>
      </c>
      <c r="F221" s="11" t="inlineStr">
        <is>
          <t>TAK</t>
        </is>
      </c>
      <c r="G221" s="11" t="inlineStr">
        <is>
          <t>CZĘŚĆ</t>
        </is>
      </c>
      <c r="H221" s="11" t="inlineStr">
        <is>
          <t>TAK</t>
        </is>
      </c>
      <c r="I221" s="11" t="inlineStr">
        <is>
          <t>DZIAŁA</t>
        </is>
      </c>
      <c r="J221" s="12" t="inlineStr">
        <is>
          <t>subscriptions/quota-alert.scheduler.ts (dysk/transfer z DA + CPU/RAM z UsageMetric), mail accountQuotaAlertTemplate; test quota-alert.scheduler.spec.ts</t>
        </is>
      </c>
      <c r="K221" s="11" t="inlineStr">
        <is>
          <t>PARYTET</t>
        </is>
      </c>
      <c r="L221" s="11" t="inlineStr">
        <is>
          <t>ŚREDNIA</t>
        </is>
      </c>
      <c r="M221" s="11" t="inlineStr">
        <is>
          <t>S</t>
        </is>
      </c>
      <c r="N221" s="12" t="inlineStr">
        <is>
          <t>2026-09-23: alert istniał tylko dla dysku i transferu (PANEL-14) i sprawdzał pierwsze 500 kont bez kolejności — reszta nigdy. Teraz: wszystkie konta porcjami; CPU/RAM, gdy ≥10% próbek LVE z doby stoi na ≥90% efektywnego limitu (plan + autoskalowanie); mail z radami i linkiem do zakładki „Zużycie zasobów”; maks. 1 na 3 dni. D3: wymaga telemetrii LVE z węzła.</t>
        </is>
      </c>
    </row>
    <row r="222">
      <c r="A222" s="11" t="inlineStr">
        <is>
          <t>K-09</t>
        </is>
      </c>
      <c r="B222" s="12" t="inlineStr">
        <is>
          <t>K</t>
        </is>
      </c>
      <c r="C222" s="11" t="inlineStr">
        <is>
          <t>Health-check usługi (DNS/TLS/poczta/HTTP)</t>
        </is>
      </c>
      <c r="D222" s="11" t="inlineStr">
        <is>
          <t>NIE</t>
        </is>
      </c>
      <c r="E222" s="11" t="inlineStr">
        <is>
          <t>CZĘŚĆ</t>
        </is>
      </c>
      <c r="F222" s="11" t="inlineStr">
        <is>
          <t>NIE</t>
        </is>
      </c>
      <c r="G222" s="11" t="inlineStr">
        <is>
          <t>NIE</t>
        </is>
      </c>
      <c r="H222" s="11" t="inlineStr">
        <is>
          <t>CZĘŚĆ</t>
        </is>
      </c>
      <c r="I222" s="11" t="inlineStr">
        <is>
          <t>DZIAŁA</t>
        </is>
      </c>
      <c r="J222" s="12" t="inlineStr">
        <is>
          <t>services.controller.ts:865</t>
        </is>
      </c>
      <c r="K222" s="11" t="inlineStr">
        <is>
          <t>PRZEWAGA</t>
        </is>
      </c>
      <c r="L222" s="11" t="inlineStr">
        <is>
          <t>—</t>
        </is>
      </c>
      <c r="M222" s="11" t="inlineStr">
        <is>
          <t>—</t>
        </is>
      </c>
      <c r="N222" s="12" t="inlineStr">
        <is>
          <t>z podpowiedziami „co zrobić”</t>
        </is>
      </c>
    </row>
    <row r="223">
      <c r="A223" s="11" t="inlineStr">
        <is>
          <t>K-10</t>
        </is>
      </c>
      <c r="B223" s="12" t="inlineStr">
        <is>
          <t>K</t>
        </is>
      </c>
      <c r="C223" s="11" t="inlineStr">
        <is>
          <t>Monitoring dostępności strony</t>
        </is>
      </c>
      <c r="D223" s="11" t="inlineStr">
        <is>
          <t>NIE</t>
        </is>
      </c>
      <c r="E223" s="11" t="inlineStr">
        <is>
          <t>TAK</t>
        </is>
      </c>
      <c r="F223" s="11" t="inlineStr">
        <is>
          <t>NIE</t>
        </is>
      </c>
      <c r="G223" s="11" t="inlineStr">
        <is>
          <t>CZĘŚĆ</t>
        </is>
      </c>
      <c r="H223" s="11" t="inlineStr">
        <is>
          <t>TAK</t>
        </is>
      </c>
      <c r="I223" s="11" t="inlineStr">
        <is>
          <t>DZIAŁA</t>
        </is>
      </c>
      <c r="J223" s="12" t="inlineStr">
        <is>
          <t>services.controller.ts:147,157</t>
        </is>
      </c>
      <c r="K223" s="11" t="inlineStr">
        <is>
          <t>PRZEWAGA</t>
        </is>
      </c>
      <c r="L223" s="11" t="inlineStr">
        <is>
          <t>—</t>
        </is>
      </c>
      <c r="M223" s="11" t="inlineStr">
        <is>
          <t>—</t>
        </is>
      </c>
      <c r="N223" s="12" t="inlineStr">
        <is>
          <t>z powiadomieniami e-mail | 2026-09-25: zamknięte okno DNS rebinding w monitorze strony (komentarz ponytail w kodzie wskazywał je jako znane ograniczenie). Klient kontroluje DNS swojej domeny, więc mógł między sprawdzeniem a połączeniem przekierować sondę na adres wewnętrzny; teraz adres jest sprawdzany w chwili połączenia (http/https z lookup odrzucającym adresy prywatne), bez przekierowań. Test site-monitor-ssrf.spec.ts + common/net/webhook-post.spec.ts. | 2026-10-10: sonda monitoringu sprawdza host przez tę samą listę zastrzeżonych zakresów co migracje i webhooki (site-monitor.service.ts:25,830 → resolvePublicHost; 7d5cc87c, test site-monitor-ssrf.spec.ts).</t>
        </is>
      </c>
    </row>
    <row r="224">
      <c r="A224" s="11" t="inlineStr">
        <is>
          <t>K-11</t>
        </is>
      </c>
      <c r="B224" s="12" t="inlineStr">
        <is>
          <t>K</t>
        </is>
      </c>
      <c r="C224" s="11" t="inlineStr">
        <is>
          <t>Powiadomienia o wykrytej niedostępności</t>
        </is>
      </c>
      <c r="D224" s="11" t="inlineStr">
        <is>
          <t>NIE</t>
        </is>
      </c>
      <c r="E224" s="11" t="inlineStr">
        <is>
          <t>TAK</t>
        </is>
      </c>
      <c r="F224" s="11" t="inlineStr">
        <is>
          <t>NIE</t>
        </is>
      </c>
      <c r="G224" s="11" t="inlineStr">
        <is>
          <t>CZĘŚĆ</t>
        </is>
      </c>
      <c r="H224" s="11" t="inlineStr">
        <is>
          <t>TAK</t>
        </is>
      </c>
      <c r="I224" s="11" t="inlineStr">
        <is>
          <t>DZIAŁA</t>
        </is>
      </c>
      <c r="J224" s="12" t="inlineStr">
        <is>
          <t>services.controller.ts:157</t>
        </is>
      </c>
      <c r="K224" s="11" t="inlineStr">
        <is>
          <t>PRZEWAGA</t>
        </is>
      </c>
      <c r="L224" s="11" t="inlineStr">
        <is>
          <t>—</t>
        </is>
      </c>
      <c r="M224" s="11" t="inlineStr">
        <is>
          <t>—</t>
        </is>
      </c>
      <c r="N224" s="12" t="inlineStr"/>
    </row>
    <row r="225">
      <c r="A225" s="11" t="inlineStr">
        <is>
          <t>K-12</t>
        </is>
      </c>
      <c r="B225" s="12" t="inlineStr">
        <is>
          <t>K</t>
        </is>
      </c>
      <c r="C225" s="11" t="inlineStr">
        <is>
          <t>Analityka odwiedzin bez cookies</t>
        </is>
      </c>
      <c r="D225" s="11" t="inlineStr">
        <is>
          <t>NIE</t>
        </is>
      </c>
      <c r="E225" s="11" t="inlineStr">
        <is>
          <t>NIE</t>
        </is>
      </c>
      <c r="F225" s="11" t="inlineStr">
        <is>
          <t>NIE</t>
        </is>
      </c>
      <c r="G225" s="11" t="inlineStr">
        <is>
          <t>NIE</t>
        </is>
      </c>
      <c r="H225" s="11" t="inlineStr">
        <is>
          <t>NIE</t>
        </is>
      </c>
      <c r="I225" s="11" t="inlineStr">
        <is>
          <t>DZIAŁA</t>
        </is>
      </c>
      <c r="J225" s="12" t="inlineStr">
        <is>
          <t>analytics-sites.controller.ts:30,51; retencja 90 dni (analytics-sites.service.ts:49)</t>
        </is>
      </c>
      <c r="K225" s="11" t="inlineStr">
        <is>
          <t>PRZEWAGA</t>
        </is>
      </c>
      <c r="L225" s="11" t="inlineStr">
        <is>
          <t>—</t>
        </is>
      </c>
      <c r="M225" s="11" t="inlineStr">
        <is>
          <t>—</t>
        </is>
      </c>
      <c r="N225" s="12" t="inlineStr">
        <is>
          <t>nikt na rynku PL tego nie ma</t>
        </is>
      </c>
    </row>
    <row r="226">
      <c r="A226" s="11" t="inlineStr">
        <is>
          <t>K-13</t>
        </is>
      </c>
      <c r="B226" s="12" t="inlineStr">
        <is>
          <t>K</t>
        </is>
      </c>
      <c r="C226" s="11" t="inlineStr">
        <is>
          <t>Analityka — snippet do wklejenia</t>
        </is>
      </c>
      <c r="D226" s="11" t="inlineStr">
        <is>
          <t>NIE</t>
        </is>
      </c>
      <c r="E226" s="11" t="inlineStr">
        <is>
          <t>NIE</t>
        </is>
      </c>
      <c r="F226" s="11" t="inlineStr">
        <is>
          <t>NIE</t>
        </is>
      </c>
      <c r="G226" s="11" t="inlineStr">
        <is>
          <t>NIE</t>
        </is>
      </c>
      <c r="H226" s="11" t="inlineStr">
        <is>
          <t>NIE</t>
        </is>
      </c>
      <c r="I226" s="11" t="inlineStr">
        <is>
          <t>DZIAŁA</t>
        </is>
      </c>
      <c r="J226" s="12" t="inlineStr">
        <is>
          <t>analytics-public.controller.ts</t>
        </is>
      </c>
      <c r="K226" s="11" t="inlineStr">
        <is>
          <t>PRZEWAGA</t>
        </is>
      </c>
      <c r="L226" s="11" t="inlineStr">
        <is>
          <t>—</t>
        </is>
      </c>
      <c r="M226" s="11" t="inlineStr">
        <is>
          <t>—</t>
        </is>
      </c>
      <c r="N226" s="12" t="inlineStr"/>
    </row>
    <row r="227">
      <c r="A227" s="11" t="inlineStr">
        <is>
          <t>K-14</t>
        </is>
      </c>
      <c r="B227" s="12" t="inlineStr">
        <is>
          <t>K</t>
        </is>
      </c>
      <c r="C227" s="11" t="inlineStr">
        <is>
          <t>Wolne zapytania SQL</t>
        </is>
      </c>
      <c r="D227" s="11" t="inlineStr">
        <is>
          <t>TAK</t>
        </is>
      </c>
      <c r="E227" s="11" t="inlineStr">
        <is>
          <t>TAK</t>
        </is>
      </c>
      <c r="F227" s="11" t="inlineStr">
        <is>
          <t>CZĘŚĆ</t>
        </is>
      </c>
      <c r="G227" s="11" t="inlineStr">
        <is>
          <t>NIE</t>
        </is>
      </c>
      <c r="H227" s="11" t="inlineStr">
        <is>
          <t>CZĘŚĆ</t>
        </is>
      </c>
      <c r="I227" s="11" t="inlineStr">
        <is>
          <t>DZIAŁA</t>
        </is>
      </c>
      <c r="J227" s="12" t="inlineStr">
        <is>
          <t>ops/scripts/node-slow-sql.sh (zadanie SLOW_SQL, migracja 20260925200000); subscriptions/slow-sql.service.ts; services.controller.ts :id/hosting-slow-sql; client-panel SlowSqlPanel (zakładka Bazy danych); node-hosting-profile.sh (slow_query_log=1, long_query_time=2, logrotate); test slow-sql.service.spec.ts; D3 t1 (d3.hvln.pl) 29.09 po wdrożeniu (panel klienta): Wolne zapytania SQL → Odczytaj: „Brak wolnych zapytań”</t>
        </is>
      </c>
      <c r="K227" s="11" t="inlineStr">
        <is>
          <t>PARYTET</t>
        </is>
      </c>
      <c r="L227" s="11" t="inlineStr">
        <is>
          <t>—</t>
        </is>
      </c>
      <c r="M227" s="11" t="inlineStr">
        <is>
          <t>M</t>
        </is>
      </c>
      <c r="N227" s="12" t="inlineStr">
        <is>
          <t>2026-09-25 KOD (D2) wg dokumentacji MariaDB (Slow Query Log Overview: slow_query_log, long_query_time, log_output=FILE, format „# User@Host / # Query_time”). Profil węzła włącza log na stałe w [mysqld] i od razu przez SET GLOBAL (bez restartu), logrotate tygodniowo. Panel → Bazy danych → „Wolne zapytania SQL”: tylko zapytania użytkowników baz konta (login_*), znormalizowane — wartości zastąpione „?”, więc żadnych danych z baz — zgrupowane: ile razy, łączny i najdłuższy czas, przejrzane wiersze + wskazówki (indeks, Redis). D3 w wezel.csv.</t>
        </is>
      </c>
    </row>
    <row r="228">
      <c r="A228" s="11" t="inlineStr">
        <is>
          <t>L-01</t>
        </is>
      </c>
      <c r="B228" s="12" t="inlineStr">
        <is>
          <t>L</t>
        </is>
      </c>
      <c r="C228" s="11" t="inlineStr">
        <is>
          <t>Zadanie cron — dodanie</t>
        </is>
      </c>
      <c r="D228" s="11" t="inlineStr">
        <is>
          <t>TAK</t>
        </is>
      </c>
      <c r="E228" s="11" t="inlineStr">
        <is>
          <t>TAK</t>
        </is>
      </c>
      <c r="F228" s="11" t="inlineStr">
        <is>
          <t>TAK</t>
        </is>
      </c>
      <c r="G228" s="11" t="inlineStr">
        <is>
          <t>TAK</t>
        </is>
      </c>
      <c r="H228" s="11" t="inlineStr">
        <is>
          <t>TAK</t>
        </is>
      </c>
      <c r="I228" s="11" t="inlineStr">
        <is>
          <t>DZIAŁA</t>
        </is>
      </c>
      <c r="J228" s="12" t="inlineStr">
        <is>
          <t>services.controller.ts:640; D3 t1 (d3.hvln.pl) 29.09 01:11: zadanie co minutę dodane z panelu, uruchamia się (plik wynikowy co minutę)</t>
        </is>
      </c>
      <c r="K228" s="11" t="inlineStr">
        <is>
          <t>PARYTET</t>
        </is>
      </c>
      <c r="L228" s="11" t="inlineStr">
        <is>
          <t>—</t>
        </is>
      </c>
      <c r="M228" s="11" t="inlineStr">
        <is>
          <t>—</t>
        </is>
      </c>
      <c r="N228" s="12" t="inlineStr">
        <is>
          <t>presety harmonogramu</t>
        </is>
      </c>
    </row>
    <row r="229">
      <c r="A229" s="11" t="inlineStr">
        <is>
          <t>L-02</t>
        </is>
      </c>
      <c r="B229" s="12" t="inlineStr">
        <is>
          <t>L</t>
        </is>
      </c>
      <c r="C229" s="11" t="inlineStr">
        <is>
          <t>Zadanie cron — usunięcie</t>
        </is>
      </c>
      <c r="D229" s="11" t="inlineStr">
        <is>
          <t>TAK</t>
        </is>
      </c>
      <c r="E229" s="11" t="inlineStr">
        <is>
          <t>TAK</t>
        </is>
      </c>
      <c r="F229" s="11" t="inlineStr">
        <is>
          <t>TAK</t>
        </is>
      </c>
      <c r="G229" s="11" t="inlineStr">
        <is>
          <t>TAK</t>
        </is>
      </c>
      <c r="H229" s="11" t="inlineStr">
        <is>
          <t>TAK</t>
        </is>
      </c>
      <c r="I229" s="11" t="inlineStr">
        <is>
          <t>DZIAŁA</t>
        </is>
      </c>
      <c r="J229" s="12" t="inlineStr">
        <is>
          <t>services.controller.ts:657; D3 t1 (d3.hvln.pl) 29.09: usunięcie zadania z panelu, lista pusta</t>
        </is>
      </c>
      <c r="K229" s="11" t="inlineStr">
        <is>
          <t>PARYTET</t>
        </is>
      </c>
      <c r="L229" s="11" t="inlineStr">
        <is>
          <t>—</t>
        </is>
      </c>
      <c r="M229" s="11" t="inlineStr">
        <is>
          <t>—</t>
        </is>
      </c>
      <c r="N229" s="12" t="inlineStr"/>
    </row>
    <row r="230">
      <c r="A230" s="11" t="inlineStr">
        <is>
          <t>L-03</t>
        </is>
      </c>
      <c r="B230" s="12" t="inlineStr">
        <is>
          <t>L</t>
        </is>
      </c>
      <c r="C230" s="11" t="inlineStr">
        <is>
          <t>Zadanie cron — edycja</t>
        </is>
      </c>
      <c r="D230" s="11" t="inlineStr">
        <is>
          <t>TAK</t>
        </is>
      </c>
      <c r="E230" s="11" t="inlineStr">
        <is>
          <t>TAK</t>
        </is>
      </c>
      <c r="F230" s="11" t="inlineStr">
        <is>
          <t>TAK</t>
        </is>
      </c>
      <c r="G230" s="11" t="inlineStr">
        <is>
          <t>TAK</t>
        </is>
      </c>
      <c r="H230" s="11" t="inlineStr">
        <is>
          <t>TAK</t>
        </is>
      </c>
      <c r="I230" s="11" t="inlineStr">
        <is>
          <t>DZIAŁA</t>
        </is>
      </c>
      <c r="J230" s="12" t="inlineStr">
        <is>
          <t>PUT /services/:id/hosting-cron/:cronId (ZadanieCronDto) → directadmin.service updateHostingCronJob (nowy wpis, potem usunięcie starego); klient: CronTab — „Edytuj” wypełnia formularz, pełna komenda widoczna (bez ucinania); test D2 directadmin.granica.spec.ts; D3 t1 (d3.hvln.pl) 28.09: create/lista/usunięcie przez CMD_API_CRON_JOBS po poprawce endpointu (CMD_API_CRON nie istnieje w DA 1.710); 29.09 01:15: edycja z PHP 7.4 na 8.1 — kolejne uruchomienie 8.1.34, bez duplikatu</t>
        </is>
      </c>
      <c r="K230" s="11" t="inlineStr">
        <is>
          <t>PARYTET</t>
        </is>
      </c>
      <c r="L230" s="11" t="inlineStr">
        <is>
          <t>ŚREDNIA</t>
        </is>
      </c>
      <c r="M230" s="11" t="inlineStr">
        <is>
          <t>S</t>
        </is>
      </c>
      <c r="N230" s="12" t="inlineStr">
        <is>
          <t>obecnie usuń i dodaj ponownie | 2026-09-23: DA nie ma modyfikacji wpisu crona — nieudane usunięcie zostawia widoczny duplikat, nigdy utratę zadania. OTWARTE do D3 (PB-21): action=create/delete na żywym DA.</t>
        </is>
      </c>
    </row>
    <row r="231">
      <c r="A231" s="11" t="inlineStr">
        <is>
          <t>L-04</t>
        </is>
      </c>
      <c r="B231" s="12" t="inlineStr">
        <is>
          <t>L</t>
        </is>
      </c>
      <c r="C231" s="11" t="inlineStr">
        <is>
          <t>Cron z interwałem 1 minuty</t>
        </is>
      </c>
      <c r="D231" s="11" t="inlineStr">
        <is>
          <t>TAK</t>
        </is>
      </c>
      <c r="E231" s="11" t="inlineStr">
        <is>
          <t>TAK</t>
        </is>
      </c>
      <c r="F231" s="11" t="inlineStr">
        <is>
          <t>TAK</t>
        </is>
      </c>
      <c r="G231" s="11" t="inlineStr">
        <is>
          <t>CZĘŚĆ</t>
        </is>
      </c>
      <c r="H231" s="11" t="inlineStr">
        <is>
          <t>TAK</t>
        </is>
      </c>
      <c r="I231" s="11" t="inlineStr">
        <is>
          <t>DZIAŁA</t>
        </is>
      </c>
      <c r="J231" s="12" t="inlineStr">
        <is>
          <t>CronTab.tsx PRESETS „Co minutę”; hosting-cron.dto.ts (pole minuty przyjmuje „*”), directadmin.service.ts createHostingCron; D3 t1 (d3.hvln.pl) 29.09: preset „Co minutę” — uruchomienia 01:12, 01:13, 01:14, 01:15, 01:16</t>
        </is>
      </c>
      <c r="K231" s="11" t="inlineStr">
        <is>
          <t>PARYTET</t>
        </is>
      </c>
      <c r="L231" s="11" t="inlineStr">
        <is>
          <t>—</t>
        </is>
      </c>
      <c r="M231" s="11" t="inlineStr">
        <is>
          <t>S</t>
        </is>
      </c>
      <c r="N231" s="12" t="inlineStr">
        <is>
          <t>cyber_Folks ma minimum 60 min — okazja | 2026-09-24: KOD — harmonogram co minutę przyjmowany przez API od początku (pole minuty „*”), teraz także jako preset „Co minutę” w panelu, żeby nie trzeba było go znać. PARYTET wg skali (bez danych i dostępu). OTWARTE do D3 (sprint 21): czy limity LVE/CageFS nie ograniczają crona co minutę na węźle. | 2026-09-30 D3 t1: 30.09: preset „Co minutę” — zadanie wykonuje się co minutę na koncie w CageFS/LVE, wyniki kolejnych przebiegów w panelu.</t>
        </is>
      </c>
    </row>
    <row r="232">
      <c r="A232" s="11" t="inlineStr">
        <is>
          <t>L-05</t>
        </is>
      </c>
      <c r="B232" s="12" t="inlineStr">
        <is>
          <t>L</t>
        </is>
      </c>
      <c r="C232" s="11" t="inlineStr">
        <is>
          <t>Cron z wyborem wersji PHP</t>
        </is>
      </c>
      <c r="D232" s="11" t="inlineStr">
        <is>
          <t>TAK</t>
        </is>
      </c>
      <c r="E232" s="11" t="inlineStr">
        <is>
          <t>TAK</t>
        </is>
      </c>
      <c r="F232" s="11" t="inlineStr">
        <is>
          <t>TAK</t>
        </is>
      </c>
      <c r="G232" s="11" t="inlineStr">
        <is>
          <t>CZĘŚĆ</t>
        </is>
      </c>
      <c r="H232" s="11" t="inlineStr">
        <is>
          <t>CZĘŚĆ</t>
        </is>
      </c>
      <c r="I232" s="11" t="inlineStr">
        <is>
          <t>DZIAŁA</t>
        </is>
      </c>
      <c r="J232" s="12" t="inlineStr">
        <is>
          <t>client-panel components/hosting/CronPhpHelper.tsx (Zadania cron → Skrypt PHP w wybranej wersji: /opt/alt/phpXY/usr/bin/php); test CronPhpHelper.spec.ts; 28.09: ścieżka /opt/alt/phpXY/usr/bin/php (CustomBuild ma jedną wersję); D3 t1 (d3.hvln.pl) 29.09: pomocnik „Skrypt PHP w wybranej wersji” → /opt/alt/php74/usr/bin/php → skrypt raportuje 7.4.33, po zmianie na 8.1 → 8.1.34</t>
        </is>
      </c>
      <c r="K232" s="11" t="inlineStr">
        <is>
          <t>PARYTET</t>
        </is>
      </c>
      <c r="L232" s="11" t="inlineStr">
        <is>
          <t>—</t>
        </is>
      </c>
      <c r="M232" s="11" t="inlineStr">
        <is>
          <t>S</t>
        </is>
      </c>
      <c r="N232" s="12" t="inlineStr">
        <is>
          <t>2026-09-24: KOD (D2) — wybór wersji PHP i pliku w public_html buduje polecenie crona. OTWARTE do D3 (sprint 21): ścieżki CustomBuild widoczne w CageFS, $HOME w crontabie DA. | seohost to reklamuje | 2026-09-24 SKALA DOWODU (decyzja PM): funkcja bez pieniędzy, danych klienta i dostępu — D2 (test w CI) wystarcza do „zrobione”, więc werdykt PARYTET. Stan zostaje CZĘŚCIOWE do testu na węźle (audyt/dane/wezel.csv).</t>
        </is>
      </c>
    </row>
    <row r="233">
      <c r="A233" s="11" t="inlineStr">
        <is>
          <t>L-06</t>
        </is>
      </c>
      <c r="B233" s="12" t="inlineStr">
        <is>
          <t>L</t>
        </is>
      </c>
      <c r="C233" s="11" t="inlineStr">
        <is>
          <t>Podgląd wyniku ostatniego wykonania crona</t>
        </is>
      </c>
      <c r="D233" s="11" t="inlineStr">
        <is>
          <t>TAK</t>
        </is>
      </c>
      <c r="E233" s="11" t="inlineStr">
        <is>
          <t>TAK</t>
        </is>
      </c>
      <c r="F233" s="11" t="inlineStr">
        <is>
          <t>CZĘŚĆ</t>
        </is>
      </c>
      <c r="G233" s="11" t="inlineStr">
        <is>
          <t>NIE</t>
        </is>
      </c>
      <c r="H233" s="11" t="inlineStr">
        <is>
          <t>CZĘŚĆ</t>
        </is>
      </c>
      <c r="I233" s="11" t="inlineStr">
        <is>
          <t>DZIAŁA</t>
        </is>
      </c>
      <c r="J233" s="12" t="inlineStr">
        <is>
          <t>client-panel components/hosting/cron-output.ts (opakowanie polecenia: wynik do ~/.verris-cron/&lt;klucz&gt;.log) + CronTab.tsx (opcja przy zadaniu, „Wynik ostatniego uruchomienia”), directadmin.service.ts getHostingCronOutput + :id/hosting-cron-output; testy cron-output.spec.ts, directadmin.domeny.spec.ts; D3 t1 (d3.hvln.pl) 29.09: wynik zapisywany do ~/.verris-cron/&lt;id&gt;.log (plik powstaje); skrypt nic nie wypisywał, więc podgląd „nic nie wypisało” — treść wyniku do sprawdzenia skryptem z echo</t>
        </is>
      </c>
      <c r="K233" s="11" t="inlineStr">
        <is>
          <t>PARYTET</t>
        </is>
      </c>
      <c r="L233" s="11" t="inlineStr">
        <is>
          <t>ŚREDNIA</t>
        </is>
      </c>
      <c r="M233" s="11" t="inlineStr">
        <is>
          <t>M</t>
        </is>
      </c>
      <c r="N233" s="12" t="inlineStr">
        <is>
          <t>2026-09-24: KOD (D2) — opcja „Zapisuj wynik ostatniego uruchomienia” (domyślnie włączona dla nowych zadań), podgląd ostatnich 20 tys. znaków przy zadaniu, edycja pokazuje polecenie bez opakowania. OTWARTE do D3 (sprint 21): czy crontab DA przyjmuje nawiasy, średnik i przekierowanie. |  | 2026-09-24 SKALA DOWODU (decyzja PM): funkcja bez pieniędzy, danych klienta i dostępu — D2 (test w CI) wystarcza do „zrobione”, więc werdykt PARYTET. Stan zostaje CZĘŚCIOWE do testu na węźle (audyt/dane/wezel.csv). | 2026-09-30 D3 t1: 30.09: zadanie co minutę z echo → wynik widoczny w panelu. Polecenie z % (np. date +%F) cicho się urywało (crontab(5): % = nowa linia) → 3a76645 (escapowanie %). | 2026-10-01 D3 t1: 01.10 po 3a76645: nowe zadanie „echo VERRIS-PCT $(date +%H:%M)” → wynik „VERRIS-PCT 09:54”. Po usunięciu zadania wynik/edycja wskazywały sąsiednie → 52b7e3a.</t>
        </is>
      </c>
    </row>
    <row r="234">
      <c r="A234" s="11" t="inlineStr">
        <is>
          <t>L-07</t>
        </is>
      </c>
      <c r="B234" s="12" t="inlineStr">
        <is>
          <t>L</t>
        </is>
      </c>
      <c r="C234" s="11" t="inlineStr">
        <is>
          <t>Publiczne API — odczyt</t>
        </is>
      </c>
      <c r="D234" s="11" t="inlineStr">
        <is>
          <t>TAK</t>
        </is>
      </c>
      <c r="E234" s="11" t="inlineStr">
        <is>
          <t>TAK</t>
        </is>
      </c>
      <c r="F234" s="11" t="inlineStr">
        <is>
          <t>TAK</t>
        </is>
      </c>
      <c r="G234" s="11" t="inlineStr">
        <is>
          <t>NIE</t>
        </is>
      </c>
      <c r="H234" s="11" t="inlineStr">
        <is>
          <t>TAK</t>
        </is>
      </c>
      <c r="I234" s="11" t="inlineStr">
        <is>
          <t>DZIAŁA</t>
        </is>
      </c>
      <c r="J234" s="12" t="inlineStr">
        <is>
          <t>public-api.controller.ts (GET me, services, services/:id, billing/wallet, invoices) + public-api-write.controller.ts (GET services/:id/dns, services/:id/deploy); dokumentacja: artykuł KB „Publiczne API Verris (v1)” (seed-kb-cms.ts, pomoc.verris.pl/a/publiczne-api), link z panelu API i integracje</t>
        </is>
      </c>
      <c r="K234" s="11" t="inlineStr">
        <is>
          <t>PRZEWAGA</t>
        </is>
      </c>
      <c r="L234" s="11" t="inlineStr">
        <is>
          <t>NISKA</t>
        </is>
      </c>
      <c r="M234" s="11" t="inlineStr">
        <is>
          <t>M</t>
        </is>
      </c>
      <c r="N234" s="12" t="inlineStr">
        <is>
          <t>żaden hosting PL nie ma publicznego API | WYCENA 2026-09-19: krytycznosc i naklad uzupelnione przy wznowieniu. Pozycje przepisane 2026-08-28 w ramach X-49 zostaly bez wyceny, przez co nie liczyly sie do budzetu godzin i nie stały w zadnym sprincie. Podstawa wyceny: Publiczne API tylko do odczytu — roadmapa po starcie, nie warunek startu. | 2026-09-26: ZAMKNIĘTE — zakres odczytu v1 domknięty jako: konto, usługi (lista/szczegóły), portfel, faktury, rekordy DNS, stan wdrożenia z Gita; świadomie poza v1: zamówienia i płatności, rejestracja domen, skrzynki (tylko panel). Pełna dokumentacja (token, zakresy, pola odpowiedzi, błędy 401/403/404/429, limit 300/min, webhooki z podpisem HMAC) jako artykuł bazy wiedzy w nowej kategorii „API i integracje”; sprawdzone renderowanie na /kb/a/publiczne-api.</t>
        </is>
      </c>
    </row>
    <row r="235">
      <c r="A235" s="11" t="inlineStr">
        <is>
          <t>L-08</t>
        </is>
      </c>
      <c r="B235" s="12" t="inlineStr">
        <is>
          <t>L</t>
        </is>
      </c>
      <c r="C235" s="11" t="inlineStr">
        <is>
          <t>Publiczne API — zapis</t>
        </is>
      </c>
      <c r="D235" s="11" t="inlineStr">
        <is>
          <t>TAK</t>
        </is>
      </c>
      <c r="E235" s="11" t="inlineStr">
        <is>
          <t>TAK</t>
        </is>
      </c>
      <c r="F235" s="11" t="inlineStr">
        <is>
          <t>TAK</t>
        </is>
      </c>
      <c r="G235" s="11" t="inlineStr">
        <is>
          <t>NIE</t>
        </is>
      </c>
      <c r="H235" s="11" t="inlineStr">
        <is>
          <t>TAK</t>
        </is>
      </c>
      <c r="I235" s="11" t="inlineStr">
        <is>
          <t>DZIAŁA</t>
        </is>
      </c>
      <c r="J235" s="12" t="inlineStr">
        <is>
          <t>subscriptions/public-api-write.controller.ts (api/v1/services/:id/dns GET/POST, /dns/delete, /deploy GET/POST; zakresy dns:read, dns:write, deploy:write w api-scopes.ts; te same serwisy i walidacja co panel), opis w panelu api-tokens-client.tsx; test public-api-write.controller.spec.ts</t>
        </is>
      </c>
      <c r="K235" s="11" t="inlineStr">
        <is>
          <t>PARYTET</t>
        </is>
      </c>
      <c r="L235" s="11" t="inlineStr">
        <is>
          <t>ŚREDNIA</t>
        </is>
      </c>
      <c r="M235" s="11" t="inlineStr">
        <is>
          <t>L</t>
        </is>
      </c>
      <c r="N235" s="12" t="inlineStr">
        <is>
          <t>2026-09-24: KOD (D2) — zapis przez API: rekordy DNS (Terraform, DNS-01) i wdrożenie z Gita po pushu (CI/CD); obietnica ze strony tokenów przestaje być na wyrost. Zostają: webhooki (L-10), zamówienia i skrzynki przez API. | strona obiecuje „CI/CD, Terraform, skrypty” przy samych GET-ach | 2026-10-02 D3: 02.10 produkcja + t1: token z panelu (API i integracje, dns:read + dns:write, 30 dni) → GET /api/v1/services/:id/dns?domain=d3.hvln.pl lista rekordów; POST /dns TXT l08-test → {"ok":true}, rekord na liście z API i po ~60 s na ns3.verris.pl („verris-l08”); POST /dns/delete → {"ok":true}, lista bez rekordu (0); POST /deploy bez deploy:write → 403. Token unieważniony po teście. Zamówienia i skrzynki przez API — decyzja właściciela 02.10: po starcie.</t>
        </is>
      </c>
    </row>
    <row r="236">
      <c r="A236" s="11" t="inlineStr">
        <is>
          <t>L-09</t>
        </is>
      </c>
      <c r="B236" s="12" t="inlineStr">
        <is>
          <t>L</t>
        </is>
      </c>
      <c r="C236" s="11" t="inlineStr">
        <is>
          <t>Tokeny API z zakresami uprawnień</t>
        </is>
      </c>
      <c r="D236" s="11" t="inlineStr">
        <is>
          <t>TAK</t>
        </is>
      </c>
      <c r="E236" s="11" t="inlineStr">
        <is>
          <t>TAK</t>
        </is>
      </c>
      <c r="F236" s="11" t="inlineStr">
        <is>
          <t>TAK</t>
        </is>
      </c>
      <c r="G236" s="11" t="inlineStr">
        <is>
          <t>NIE</t>
        </is>
      </c>
      <c r="H236" s="11" t="inlineStr">
        <is>
          <t>TAK</t>
        </is>
      </c>
      <c r="I236" s="11" t="inlineStr">
        <is>
          <t>DZIAŁA</t>
        </is>
      </c>
      <c r="J236" s="12" t="inlineStr">
        <is>
          <t>api-tokens/api-token.guard.ts, api-tokens.service.ts, api-scopes.ts; test api-tokens.spec.ts (+ public-api-write.controller.spec.ts)</t>
        </is>
      </c>
      <c r="K236" s="11" t="inlineStr">
        <is>
          <t>PARYTET</t>
        </is>
      </c>
      <c r="L236" s="11" t="inlineStr">
        <is>
          <t>NISKA</t>
        </is>
      </c>
      <c r="M236" s="11" t="inlineStr">
        <is>
          <t>S</t>
        </is>
      </c>
      <c r="N236" s="12" t="inlineStr">
        <is>
          <t xml:space="preserve"> | 2026-09-25: TESTY + UTWARDZENIE (D2) — strażnik jest teraz fail-closed: trasa bez @ApiScope nie wpuszcza żadnego tokenu (wcześniej zapomniany dekorator = dostęp dla każdego tokenu). Test pilnuje, że każda trasa publicznego API ma zakres. Testy: zły sekret, unieważniony, wygasły, obcy prefiks → odmowa; konto usunięte/zanonimizowane/zablokowane i token operatora → odmowa; w bazie tylko hash bcrypt, sekret pokazany raz; nieznane zakresy odrzucane przy tworzeniu. Dostęp — zostaje CZĘŚCIOWY do D3 (wywołanie z tokenem na produkcji). | 2026-09-25 D3 (produkcja, deploy #152): token z samym services:read — GET /api/v1/services 200 (7 usług), /me 200, /billing/wallet 403 „Token nie ma uprawnienia billing:read”, zły sekret 401, po unieważnieniu 401; w panelu „użyty 25.09.2026”. Token testowy unieważniony. Przy okazji: unieważnienie wymaga teraz potwierdzenia (wcześniej jedno kliknięcie, nieodwracalne), a pola zakresów to kontrolki panelu zamiast systemowych checkboxów. | 2026-09-25 (2): subkonto z uprawnieniem do ustawień mogło nadać tokenowi dowolny zakres (np. dns:write albo deploy:write bez DNS_MANAGE/FILES_MANAGE) — teraz tylko zakresy, których odpowiednik samo ma (services:read→SERVICES_READ, billing/invoices:read→BILLING_READ, dns:*→DNS_MANAGE, deploy:write→FILES_MANAGE).</t>
        </is>
      </c>
    </row>
    <row r="237">
      <c r="A237" s="11" t="inlineStr">
        <is>
          <t>L-10</t>
        </is>
      </c>
      <c r="B237" s="12" t="inlineStr">
        <is>
          <t>L</t>
        </is>
      </c>
      <c r="C237" s="11" t="inlineStr">
        <is>
          <t>Webhooki dla klienta</t>
        </is>
      </c>
      <c r="D237" s="11" t="inlineStr">
        <is>
          <t>CZĘŚĆ</t>
        </is>
      </c>
      <c r="E237" s="11" t="inlineStr">
        <is>
          <t>TAK</t>
        </is>
      </c>
      <c r="F237" s="11" t="inlineStr">
        <is>
          <t>NIE</t>
        </is>
      </c>
      <c r="G237" s="11" t="inlineStr">
        <is>
          <t>NIE</t>
        </is>
      </c>
      <c r="H237" s="11" t="inlineStr">
        <is>
          <t>CZĘŚĆ</t>
        </is>
      </c>
      <c r="I237" s="11" t="inlineStr">
        <is>
          <t>DZIAŁA</t>
        </is>
      </c>
      <c r="J237" s="12" t="inlineStr">
        <is>
          <t>client-webhooks/ (serwis, kontroler users/me/webhooks, moduł globalny); node-tasks.service.ts → poZadaniu; api-tokens/webhooks-client.tsx; migracja 20260924242000_client_webhooks; test client-webhooks.service.spec.ts; D3 t1 29.09 (panel klienta, d3.hvln.pl): webhook na https://d3.hvln.pl/verris-webhook-test.php (odbiornik testowy): „Wyślij test” → ping dostarczony (HTTP 200, x-verris-signature 64 znaki); odczyt PHP z panelu → task.completed dostarczony w ciągu minuty; webhook usunięty po teście</t>
        </is>
      </c>
      <c r="K237" s="11" t="inlineStr">
        <is>
          <t>PARYTET</t>
        </is>
      </c>
      <c r="L237" s="11" t="inlineStr">
        <is>
          <t>NISKA</t>
        </is>
      </c>
      <c r="M237" s="11" t="inlineStr">
        <is>
          <t>M</t>
        </is>
      </c>
      <c r="N237" s="12" t="inlineStr">
        <is>
          <t>2026-09-24: KOD (D2) — webhooki klienta w „API i integracje”: adres https (bez adresów prywatnych — sprawdzane przy zapisie i każdej wysyłce, bez przekierowań), zdarzenia task.completed / task.failed dla zadań na stronach (WordPress, Git, bazy, kopie, SSH…), sekret pokazany raz (w bazie zaszyfrowany), podpis x-verris-signature HMAC-SHA256, 5 prób z rosnącym odstępem, historia 5 ostatnich dostaw, „Wyślij test”. Do 5 adresów na konto; subkonta tylko z uprawnieniem ustawień. Doszły zdarzenia rozliczeń: invoice.issued (numer, kwota), subscription.renewed, subscription.past_due. D3: pierwsza dostawa na produkcji (ping). | 2026-09-25: subkonto bez BILLING_READ nie zasubskrybuje zdarzeń rozliczeń (faktury, odnowienia, zaległości — niosą kwoty). | 2026-09-25 (2): ochrona przed DNS rebinding — adres był sprawdzany przed wysyłką, a fetch rozwiązywał nazwę drugi raz (nazwa z TTL 0 mogła przy połączeniu wskazać sieć wewnętrzną). Teraz wysyłka (webhooki klienta i webhooki strony statusu) idzie przez https.request z lookup, który odrzuca adres prywatny/zarezerwowany w chwili połączenia; bez przekierowań, tylko https. Test common/net/webhook-post.spec.ts. | SPRAWDZONE NA PRODUKCJI 26.09 (21:48): webhook na adres testowy (webhook.site), „Wyślij test” → dostarczone w ~1 min, HTTP 200; treść JSON (id, event=ping, createdAt, payload) i nagłówki x-verris-event/x-verris-delivery/x-verris-signature; podpis HMAC-SHA256 zweryfikowany niezależnie sekretem z panelu. Webhook usunięty po teście. Poprawione: sekret usuniętego adresu zostawał na ekranie. Zdarzenie rozliczeń (invoice.issued) — przy pierwszej fakturze.</t>
        </is>
      </c>
    </row>
    <row r="238">
      <c r="A238" s="11" t="inlineStr">
        <is>
          <t>L-11</t>
        </is>
      </c>
      <c r="B238" s="12" t="inlineStr">
        <is>
          <t>L</t>
        </is>
      </c>
      <c r="C238" s="11" t="inlineStr">
        <is>
          <t>Asystent AI w panelu</t>
        </is>
      </c>
      <c r="D238" s="11" t="inlineStr">
        <is>
          <t>NIE</t>
        </is>
      </c>
      <c r="E238" s="11" t="inlineStr">
        <is>
          <t>NIE</t>
        </is>
      </c>
      <c r="F238" s="11" t="inlineStr">
        <is>
          <t>NIE</t>
        </is>
      </c>
      <c r="G238" s="11" t="inlineStr">
        <is>
          <t>CZĘŚĆ</t>
        </is>
      </c>
      <c r="H238" s="11" t="inlineStr">
        <is>
          <t>TAK</t>
        </is>
      </c>
      <c r="I238" s="11" t="inlineStr">
        <is>
          <t>DZIAŁA</t>
        </is>
      </c>
      <c r="J238" s="12" t="inlineStr">
        <is>
          <t>ai-modele.ts; ai-provider.service.ts; ai-ustawienia.admin.controller.ts; admin /settings/ai</t>
        </is>
      </c>
      <c r="K238" s="11" t="inlineStr">
        <is>
          <t>PARYTET</t>
        </is>
      </c>
      <c r="L238" s="11" t="inlineStr">
        <is>
          <t>ŚREDNIA</t>
        </is>
      </c>
      <c r="M238" s="11" t="inlineStr">
        <is>
          <t>S</t>
        </is>
      </c>
      <c r="N238" s="12" t="inlineStr">
        <is>
          <t>funkcja wygląda na wbudowaną, a bez klucza milczy | 2026-09-25 SPRAWDZONE: notka „bez klucza milczy” nieaktualna — bez AI_API_KEY dymek czatu w ogóle się nie pokazuje (HostingAssistant: status.configured=false → null), a API odpowiada available:false z komunikatem o wsparciu. Zostaje konfiguracja właściciela (AI_API_KEY w .env.prod) — FLAGA. | 2026-09-25: wybór właściciela — najlepszy stosunek jakości do kosztu. Rekomendacja: OpenAI gpt-5.6-luna (0,20 USD/1M wej., 1,20 USD/1M wyj.) + text-embedding-3-small (0,02 USD/1M) — kod już zgodny z OpenAI, domyślny model zmieniony na gpt-5.6-luna, dla modeli z rozumowaniem reasoning_effort=none i max_completion_tokens (test ai-provider.service.spec.ts). Zostaje: klucz AI_API_KEY w .env.prod (właściciel) i wpis OpenAI jako podprocesora (DPA/RCPD, PB-03). | 2026-09-25: decyzja właściciela — DWA POZIOMY z wyborem w adminie (Ustawienia → Asystent AI): SZYBKI (czat, dymki) = OpenAI gpt-5.6-luna, ANALIZA (prognozy, szkice BOK) = Anthropic Claude Sonnet 5 (Messages API). Admin wybiera dostawcę i model z listy albo wpisuje nowszy identyfikator (bez wdrożenia), edytuje ceny, ustawia miesięczny limit USD na konto klienta (czat klienta + prognozy; obsługa bez limitu); każde wywołanie loguje tokeny i koszt (AiInteractionLog.inputTokens/outputTokens/costUsd), panel pokazuje koszt miesiąca, prognozę, 30 dni per funkcja/model i top klientów. Testy: ai-provider.service.spec.ts (7). Zostają klucze AI_API_KEY i ANTHROPIC_API_KEY w .env.prod (właściciel) oraz OpenAI+Anthropic jako podprocesorzy (PB-03). | 2026-09-25: dokumenty — RCPD A13, Polityka prywatności 1.0.3 (draft), lista subprocesorów, tracker DPA; dziennik AI kasowany po 12 mies. | 2026-10-05 D3 (prod, klucze ustawione, AI tylko dla kont właściciela — AI_TYLKO_KONTA): czat w panelu odpowiada (GPT-6 Luna) na podstawie bazy wiedzy. Znalezione: na pulpicie nie znał daty odnowienia ani SSL, surowe **, brak informacji „to AI” (AI Act art. 50 od 2.08.2026) → aa17018. Zostaje FLAGA do publikacji Polityki 1.1.0 (AI dla wszystkich). | 2026-10-06 AI DLA WSZYSTKICH: po publikacji dokumentów 1.1.0 (Polityka prywatności pkt 2.7, Regulamin §5 ust. 5) właściciel wyczyścił AI_TYLKO_KONTA i włączył embeddingi bazy wiedzy (AI_EMBED_DISABLED=false), API zrestartowane 06.10 ~17:50. Działanie czatu D3 z 05.10; reguła dostępu dla każdego konta — D2 (ai-provider.service.spec.ts). | 2026-10-10: pływający asystent pracowników w panelu admina z kontekstem strony (components/asystent.tsx, asystent-actions.ts); wiedza STAFF to słownik „?” i 3 runbooki z białej listy (test na sekrety, IP i e-maile); runbooki nie trafiają do bazy wiedzy klienta (628c061d). Z prawdziwym dostawcą AI w panelu admina — niesprawdzone.</t>
        </is>
      </c>
    </row>
    <row r="239">
      <c r="A239" s="11" t="inlineStr">
        <is>
          <t>L-12</t>
        </is>
      </c>
      <c r="B239" s="12" t="inlineStr">
        <is>
          <t>L</t>
        </is>
      </c>
      <c r="C239" s="11" t="inlineStr">
        <is>
          <t>Prognoza zużycia zasobów (AI)</t>
        </is>
      </c>
      <c r="D239" s="11" t="inlineStr">
        <is>
          <t>NIE</t>
        </is>
      </c>
      <c r="E239" s="11" t="inlineStr">
        <is>
          <t>NIE</t>
        </is>
      </c>
      <c r="F239" s="11" t="inlineStr">
        <is>
          <t>NIE</t>
        </is>
      </c>
      <c r="G239" s="11" t="inlineStr">
        <is>
          <t>NIE</t>
        </is>
      </c>
      <c r="H239" s="11" t="inlineStr">
        <is>
          <t>CZĘŚĆ</t>
        </is>
      </c>
      <c r="I239" s="11" t="inlineStr">
        <is>
          <t>DZIAŁA</t>
        </is>
      </c>
      <c r="J239" s="12" t="inlineStr">
        <is>
          <t>hosting-forecast-actions.ts:7; fallback ServiceForecastPanel.tsx:97</t>
        </is>
      </c>
      <c r="K239" s="11" t="inlineStr">
        <is>
          <t>PRZEWAGA</t>
        </is>
      </c>
      <c r="L239" s="11" t="inlineStr">
        <is>
          <t>NISKA</t>
        </is>
      </c>
      <c r="M239" s="11" t="inlineStr">
        <is>
          <t>S</t>
        </is>
      </c>
      <c r="N239" s="12" t="inlineStr">
        <is>
          <t xml:space="preserve"> | 2026-09-25: ten sam dostawca co L-11 (OpenAI gpt-5.6-luna) — włącza się kluczem AI_API_KEY. | 2026-09-25: prognoza idzie poziomem ANALIZA (domyślnie Claude Sonnet 5), liczy się do limitu klienta; włącza się kluczem ANTHROPIC_API_KEY (albo admin przełącza poziom na OpenAI). | 2026-10-05 D3 (prod, konto właściciela): „Generuj prognozę” → liczby z panelu + komentarz AI (Claude Sonnet 5.5). Stopka mówiła „autorski mechanizm Verris” mimo komentarza AI → aa17018 (oznaczenie AI). | 2026-10-06: prognoza AI dla wszystkich kont (AI_TYLKO_KONTA puste od 06.10, jak L-11); działanie D3 z 05.10 (Sonnet 5.5). Rynek PL tego nie ma — PRZEWAGA.</t>
        </is>
      </c>
    </row>
    <row r="240">
      <c r="A240" s="11" t="inlineStr">
        <is>
          <t>M-01</t>
        </is>
      </c>
      <c r="B240" s="12" t="inlineStr">
        <is>
          <t>M</t>
        </is>
      </c>
      <c r="C240" s="11" t="inlineStr">
        <is>
          <t>Faktura VAT dostępna w panelu</t>
        </is>
      </c>
      <c r="D240" s="11" t="inlineStr">
        <is>
          <t>NIE</t>
        </is>
      </c>
      <c r="E240" s="11" t="inlineStr">
        <is>
          <t>NIE</t>
        </is>
      </c>
      <c r="F240" s="11" t="inlineStr">
        <is>
          <t>NIE</t>
        </is>
      </c>
      <c r="G240" s="11" t="inlineStr">
        <is>
          <t>TAK</t>
        </is>
      </c>
      <c r="H240" s="11" t="inlineStr">
        <is>
          <t>TAK</t>
        </is>
      </c>
      <c r="I240" s="11" t="inlineStr">
        <is>
          <t>DZIAŁA</t>
        </is>
      </c>
      <c r="J240" s="12" t="inlineStr">
        <is>
          <t>invoices.controller.ts:23,46</t>
        </is>
      </c>
      <c r="K240" s="11" t="inlineStr">
        <is>
          <t>PARYTET</t>
        </is>
      </c>
      <c r="L240" s="11" t="inlineStr">
        <is>
          <t>—</t>
        </is>
      </c>
      <c r="M240" s="11" t="inlineStr">
        <is>
          <t>—</t>
        </is>
      </c>
      <c r="N240" s="12" t="inlineStr"/>
    </row>
    <row r="241">
      <c r="A241" s="11" t="inlineStr">
        <is>
          <t>M-02</t>
        </is>
      </c>
      <c r="B241" s="12" t="inlineStr">
        <is>
          <t>M</t>
        </is>
      </c>
      <c r="C241" s="11" t="inlineStr">
        <is>
          <t>Numeracja faktur odporna na wyścigi</t>
        </is>
      </c>
      <c r="D241" s="11" t="inlineStr">
        <is>
          <t>NIE</t>
        </is>
      </c>
      <c r="E241" s="11" t="inlineStr">
        <is>
          <t>NIE</t>
        </is>
      </c>
      <c r="F241" s="11" t="inlineStr">
        <is>
          <t>NIE</t>
        </is>
      </c>
      <c r="G241" s="11" t="inlineStr">
        <is>
          <t>TAK</t>
        </is>
      </c>
      <c r="H241" s="11" t="inlineStr">
        <is>
          <t>TAK</t>
        </is>
      </c>
      <c r="I241" s="11" t="inlineStr">
        <is>
          <t>DZIAŁA</t>
        </is>
      </c>
      <c r="J241" s="12" t="inlineStr">
        <is>
          <t>invoices.service.ts:245-267 (ON CONFLICT ... seq+1)</t>
        </is>
      </c>
      <c r="K241" s="11" t="inlineStr">
        <is>
          <t>PARYTET</t>
        </is>
      </c>
      <c r="L241" s="11" t="inlineStr">
        <is>
          <t>WYSOKA</t>
        </is>
      </c>
      <c r="M241" s="11" t="inlineStr">
        <is>
          <t>—</t>
        </is>
      </c>
      <c r="N241" s="12" t="inlineStr">
        <is>
          <t>poprawnie zrobione, ale ZERO testów przy raw SQL</t>
        </is>
      </c>
    </row>
    <row r="242">
      <c r="A242" s="11" t="inlineStr">
        <is>
          <t>M-03</t>
        </is>
      </c>
      <c r="B242" s="12" t="inlineStr">
        <is>
          <t>M</t>
        </is>
      </c>
      <c r="C242" s="11" t="inlineStr">
        <is>
          <t>Numer nadawany dopiero przy opłaceniu</t>
        </is>
      </c>
      <c r="D242" s="11" t="inlineStr">
        <is>
          <t>NIE</t>
        </is>
      </c>
      <c r="E242" s="11" t="inlineStr">
        <is>
          <t>NIE</t>
        </is>
      </c>
      <c r="F242" s="11" t="inlineStr">
        <is>
          <t>NIE</t>
        </is>
      </c>
      <c r="G242" s="11" t="inlineStr">
        <is>
          <t>b.d.</t>
        </is>
      </c>
      <c r="H242" s="11" t="inlineStr">
        <is>
          <t>b.d.</t>
        </is>
      </c>
      <c r="I242" s="11" t="inlineStr">
        <is>
          <t>DZIAŁA</t>
        </is>
      </c>
      <c r="J242" s="12" t="inlineStr">
        <is>
          <t>invoices.service.ts:183-189</t>
        </is>
      </c>
      <c r="K242" s="11" t="inlineStr">
        <is>
          <t>PRZEWAGA</t>
        </is>
      </c>
      <c r="L242" s="11" t="inlineStr">
        <is>
          <t>—</t>
        </is>
      </c>
      <c r="M242" s="11" t="inlineStr">
        <is>
          <t>—</t>
        </is>
      </c>
      <c r="N242" s="12" t="inlineStr">
        <is>
          <t>nie „pali” sekwencji</t>
        </is>
      </c>
    </row>
    <row r="243">
      <c r="A243" s="11" t="inlineStr">
        <is>
          <t>M-04</t>
        </is>
      </c>
      <c r="B243" s="12" t="inlineStr">
        <is>
          <t>M</t>
        </is>
      </c>
      <c r="C243" s="11" t="inlineStr">
        <is>
          <t>Snapshot danych sprzedawcy i nabywcy (art. 106e)</t>
        </is>
      </c>
      <c r="D243" s="11" t="inlineStr">
        <is>
          <t>NIE</t>
        </is>
      </c>
      <c r="E243" s="11" t="inlineStr">
        <is>
          <t>NIE</t>
        </is>
      </c>
      <c r="F243" s="11" t="inlineStr">
        <is>
          <t>NIE</t>
        </is>
      </c>
      <c r="G243" s="11" t="inlineStr">
        <is>
          <t>TAK</t>
        </is>
      </c>
      <c r="H243" s="11" t="inlineStr">
        <is>
          <t>TAK</t>
        </is>
      </c>
      <c r="I243" s="11" t="inlineStr">
        <is>
          <t>DZIAŁA</t>
        </is>
      </c>
      <c r="J243" s="12" t="inlineStr">
        <is>
          <t>invoices.service.ts:292-300,355-374</t>
        </is>
      </c>
      <c r="K243" s="11" t="inlineStr">
        <is>
          <t>PARYTET</t>
        </is>
      </c>
      <c r="L243" s="11" t="inlineStr">
        <is>
          <t>—</t>
        </is>
      </c>
      <c r="M243" s="11" t="inlineStr">
        <is>
          <t>—</t>
        </is>
      </c>
      <c r="N243" s="12" t="inlineStr"/>
    </row>
    <row r="244">
      <c r="A244" s="11" t="inlineStr">
        <is>
          <t>M-05</t>
        </is>
      </c>
      <c r="B244" s="12" t="inlineStr">
        <is>
          <t>M</t>
        </is>
      </c>
      <c r="C244" s="11" t="inlineStr">
        <is>
          <t>PDF faktury</t>
        </is>
      </c>
      <c r="D244" s="11" t="inlineStr">
        <is>
          <t>NIE</t>
        </is>
      </c>
      <c r="E244" s="11" t="inlineStr">
        <is>
          <t>NIE</t>
        </is>
      </c>
      <c r="F244" s="11" t="inlineStr">
        <is>
          <t>NIE</t>
        </is>
      </c>
      <c r="G244" s="11" t="inlineStr">
        <is>
          <t>TAK</t>
        </is>
      </c>
      <c r="H244" s="11" t="inlineStr">
        <is>
          <t>TAK</t>
        </is>
      </c>
      <c r="I244" s="11" t="inlineStr">
        <is>
          <t>DZIAŁA</t>
        </is>
      </c>
      <c r="J244" s="12" t="inlineStr">
        <is>
          <t>invoice-pdf.service.ts (493 l.)</t>
        </is>
      </c>
      <c r="K244" s="11" t="inlineStr">
        <is>
          <t>PARYTET</t>
        </is>
      </c>
      <c r="L244" s="11" t="inlineStr">
        <is>
          <t>—</t>
        </is>
      </c>
      <c r="M244" s="11" t="inlineStr">
        <is>
          <t>—</t>
        </is>
      </c>
      <c r="N244" s="12" t="inlineStr">
        <is>
          <t>ZERO testów</t>
        </is>
      </c>
    </row>
    <row r="245">
      <c r="A245" s="11" t="inlineStr">
        <is>
          <t>M-06</t>
        </is>
      </c>
      <c r="B245" s="12" t="inlineStr">
        <is>
          <t>M</t>
        </is>
      </c>
      <c r="C245" s="11" t="inlineStr">
        <is>
          <t>FAKTURA KORYGUJĄCA</t>
        </is>
      </c>
      <c r="D245" s="11" t="inlineStr">
        <is>
          <t>NIE</t>
        </is>
      </c>
      <c r="E245" s="11" t="inlineStr">
        <is>
          <t>NIE</t>
        </is>
      </c>
      <c r="F245" s="11" t="inlineStr">
        <is>
          <t>NIE</t>
        </is>
      </c>
      <c r="G245" s="11" t="inlineStr">
        <is>
          <t>TAK</t>
        </is>
      </c>
      <c r="H245" s="11" t="inlineStr">
        <is>
          <t>TAK</t>
        </is>
      </c>
      <c r="I245" s="11" t="inlineStr">
        <is>
          <t>DZIAŁA</t>
        </is>
      </c>
      <c r="J245" s="12" t="inlineStr">
        <is>
          <t>korekta-faktury.ts — bladKorygowalnosci/przeliczKorekte/korektaFormalna/kwotaDoZwrotu; korekty.service.ts — wystawianie ze zwrotem w tej samej transakcji; wallet-ledger.service.ts — zapiszWpis(tx, …) wydzielone, jedno miejsce zmieniające saldo; ksef/fa3-xml.builder.ts — RodzajFaktury KOR + DaneFaKorygowanej + PrzyczynaKorekty; invoice-pdf.service.ts — układ korekty (przed/po/różnica); invoices.admin.controller.ts — POST /:id/korekta i GET /:id/korekty; admin-panel/(dashboard)/invoices/[invoiceId]/korekta — formularz; migracja 20260822220000_faktura_korygujaca (seria VFK + 2 ograniczenia CHECK); korekta-faktury.spec.ts (18) + fa3-xml.builder.spec.ts (+7) + test/integration/korekta.int-spec.ts (13) + asercja SQL M-06</t>
        </is>
      </c>
      <c r="K245" s="11" t="inlineStr">
        <is>
          <t>PARYTET</t>
        </is>
      </c>
      <c r="L245" s="11" t="inlineStr">
        <is>
          <t>—</t>
        </is>
      </c>
      <c r="M245" s="11" t="inlineStr">
        <is>
          <t>L</t>
        </is>
      </c>
      <c r="N245" s="12" t="inlineStr">
        <is>
          <t>Zamknięte 2026-08-22. Macierz wskazywała trzy różne braki i wszystkie były prawdziwe: zero wystąpień korekty w kodzie i schemacie, RodzajFaktury=VAT na sztywno w builderze KSeF-a, brak drogi wewnątrz systemu. | DWA RODZAJE: WARTOŚCIOWA zmienia kwoty (zwrot, rezygnacja, rabat) i przy różnicy ujemnej zwraca do portfela; FORMALNA poprawia dane nabywcy, kwoty bez zmian, różnica zero. | W `amount` korekty siedzi RÓŻNICA ZE ZNAKIEM, nie nowa kwota — to ona wchodzi do rejestru VAT i to ona mówi, ile pieniędzy się rusza. Kwota po korekcie odtwarza się z dwóch pól: correctedAmount + amount. Trzymanie w `amount` nowej kwoty wyglądałoby naturalniej i psuło sumowanie rejestru, asercję netto+VAT=brutto oraz oczywistość kierunku pieniędzy. | ZWROT W TEJ SAMEJ TRANSAKCJI co dokument. Wymagało wydzielenia z applyEntry metody zapiszWpis(tx, …) działającej wewnątrz podanej transakcji — nie da się otworzyć transakcji w transakcji, a druga kopia blokowania wiersza byłaby PIĄTYM wystąpieniem wzorca bliźniaczych miejsc. Miejsce zmieniające saldo nadal jedno. | KOREKTA W GÓRĘ NIE RUSZA PORTFELA — dopłata to zobowiązanie klienta, nie automatyczne pobranie; ściąganie pieniędzy przy korekcie zwiększającej byłoby obciążeniem bez zamówienia. | OSOBNA SERIA VFK: InvoiceCounter dostał kolumnę series i klucz (series, year, month). Test sprawdza, że wystawienie korekty nie rusza licznika faktur. | NAJGROŹNIEJSZE ZNALEZISKO: korekta wysłana do KSeF-a z RodzajFaktury=VAT zostałaby przyjęta jako NOWA SPRZEDAŻ, nie jako zmiana poprzedniej — czyli PODWOIŁABY PRZYCHÓD w rejestrze, milcząco, bo dokument jest formalnie poprawny. Teraz KOR + DaneFaKorygowanej + PrzyczynaKorekty, a builder ODMAWIA zbudowania korekty bez numeru pierwotnej albo bez przyczyny. | REGUŁY W BAZIE: dwa ograniczenia CHECK (korekta musi mieć correctedId/correctionKind/correctionReason; correctedId &lt;&gt; id), bo kod można obejść nowym serwisem, a ograniczeń nie. Bez drugiego jeden błąd w serwisie tworzyłby dokument odsyłający do siebie i pętlę przy liczeniu kwoty po korekcie. | ŚWIADOMIE NIE MA: korekty do korekty (dokument odnosiłby się do dokumentu, który sam już coś zmienia — odmowa jest uczciwsza niż dokument, którego nie umiem policzyć) ani anulowania faktury (w polskim prawie faktury w obrocie się nie anuluje, koryguje do zera — a to ten mechanizm już potrafi). | PRZY OKAZJI ZNALEZIONY BŁĄD: formularz faktury ręcznej z Z-01 wołał /admin/billing/invoices/reczna zamiast /admin/invoices/reczna. Kod się kompilował, testy przechodziły, panel się budował — 404 wyszłoby pod palcem operatora. Stąd X-24. | Czerwieni się na starym kodzie: RodzajFaktury na sztywno → 4 z 20 w builderze; zła ścieżka panelu → 1 z 5 w strażniku; korekta bez faktury pierwotnej → CHECK + asercja SQL. | CZEGO NIE ROBI: brak zmiany stawki VAT na korekcie (wszystko 23%), brak osobnego powiadomienia o zwrocie, brak D3 (wymaga produkcji — PB-12). | Weryfikacja: 546 testów jednostkowych, 53 integracyjne, lint 7/7 (0 błędów), typecheck 8/8. Dokumentacja: docs/archiwum/zadania/M-06-faktura-korygujaca.md</t>
        </is>
      </c>
    </row>
    <row r="246">
      <c r="A246" s="11" t="inlineStr">
        <is>
          <t>M-07</t>
        </is>
      </c>
      <c r="B246" s="12" t="inlineStr">
        <is>
          <t>M</t>
        </is>
      </c>
      <c r="C246" s="11" t="inlineStr">
        <is>
          <t>DUPLIKAT FAKTURY</t>
        </is>
      </c>
      <c r="D246" s="11" t="inlineStr">
        <is>
          <t>NIE</t>
        </is>
      </c>
      <c r="E246" s="11" t="inlineStr">
        <is>
          <t>NIE</t>
        </is>
      </c>
      <c r="F246" s="11" t="inlineStr">
        <is>
          <t>NIE</t>
        </is>
      </c>
      <c r="G246" s="11" t="inlineStr">
        <is>
          <t>TAK</t>
        </is>
      </c>
      <c r="H246" s="11" t="inlineStr">
        <is>
          <t>TAK</t>
        </is>
      </c>
      <c r="I246" s="11" t="inlineStr">
        <is>
          <t>DZIAŁA</t>
        </is>
      </c>
      <c r="J246" s="12" t="inlineStr">
        <is>
          <t>invoices.service.ts renderDuplicate + nadrukDuplikatu (invoice-pdf.service.ts); GET billing/invoices/:id/pdf?duplikat=1; panel: Portfel → Faktury → „Duplikat”; test billing/duplikat.spec.ts</t>
        </is>
      </c>
      <c r="K246" s="11" t="inlineStr">
        <is>
          <t>PARYTET</t>
        </is>
      </c>
      <c r="L246" s="11" t="inlineStr">
        <is>
          <t>ŚREDNIA</t>
        </is>
      </c>
      <c r="M246" s="11" t="inlineStr">
        <is>
          <t>M</t>
        </is>
      </c>
      <c r="N246" s="12" t="inlineStr">
        <is>
          <t>Skorygowane: brak flagi potwierdzony, ale przy fakturze ustrukturyzowanej i PDF wystawianym na żądanie duplikat nie blokuje sprzedaży. | 2026-09-23 DECYZJA WŁAŚCICIELA (2026-09-23, jak KSeF): faktury VAT wystawia program księgowy Firmino (Streamsoft) — duplikaty, stawki VAT i waluty obsługuje on. Wraca do zakresu razem z własną integracją KSeF po starcie. | 2026-09-23 KOREKTA DECYZJI WŁAŚCICIELA: przed startem, w panelu (dotyczy dokumentów pokazywanych w panelu), mimo że fakturę VAT wystawia Firmino — wpis „poza zakresem” z tego samego dnia cofnięty. | 2026-09-23: duplikat = zapisany PDF z nadrukiem „DUPLIKAT z dnia …” na każdej stronie, treść bez zmian, wpis w audycie. PRZY OKAZJI: lista faktur w panelu klienta pokazywała wyłącznie linki Stripe — dokumenty z portfela (storageKey) nie miały ŻADNEGO przycisku pobrania, choć API je serwowało. Teraz InvoiceDto.hasPdf i przycisk PDF przez proxy /api/billing/invoices/:id/pdf.</t>
        </is>
      </c>
    </row>
    <row r="247">
      <c r="A247" s="11" t="inlineStr">
        <is>
          <t>M-08</t>
        </is>
      </c>
      <c r="B247" s="12" t="inlineStr">
        <is>
          <t>M</t>
        </is>
      </c>
      <c r="C247" s="11" t="inlineStr">
        <is>
          <t>Anulowanie faktury (VOID) z panelu</t>
        </is>
      </c>
      <c r="D247" s="11" t="inlineStr">
        <is>
          <t>NIE</t>
        </is>
      </c>
      <c r="E247" s="11" t="inlineStr">
        <is>
          <t>NIE</t>
        </is>
      </c>
      <c r="F247" s="11" t="inlineStr">
        <is>
          <t>NIE</t>
        </is>
      </c>
      <c r="G247" s="11" t="inlineStr">
        <is>
          <t>CZĘŚĆ</t>
        </is>
      </c>
      <c r="H247" s="11" t="inlineStr">
        <is>
          <t>CZĘŚĆ</t>
        </is>
      </c>
      <c r="I247" s="11" t="inlineStr">
        <is>
          <t>DZIAŁA</t>
        </is>
      </c>
      <c r="J247" s="12" t="inlineStr">
        <is>
          <t>billing/anulowanie.service.ts (POST /admin/invoices/:id/anuluj, BILLING_MANAGE); admin: invoices/void-button.tsx; test D2 anulowanie.service.spec.ts</t>
        </is>
      </c>
      <c r="K247" s="11" t="inlineStr">
        <is>
          <t>PARYTET</t>
        </is>
      </c>
      <c r="L247" s="11" t="inlineStr">
        <is>
          <t>WYSOKA</t>
        </is>
      </c>
      <c r="M247" s="11" t="inlineStr">
        <is>
          <t>S</t>
        </is>
      </c>
      <c r="N247" s="12" t="inlineStr">
        <is>
          <t>DECYZJA WŁAŚCICIELA 2026-09-23: anulować wolno tylko dokument nieopłacony (DRAFT/OPEN); opłacony, także z portfela, zmienia się korektą (M-06). Faktura Stripe unieważniana najpierw w Stripe, błąd = brak zmiany lokalnej. Numer zostaje (ciągłość), powód w audycie INVOICE_VOIDED. | 2026-10-10: anulowanie, korekta, PDF i ponowienie KSeF także na nowej stronie faktury w adminie /invoices/[id] (f77359f5), z „Dokończ wystawienie” (POST /admin/invoices/:id/dokoncz) z Fali 1B (3185362e).</t>
        </is>
      </c>
    </row>
    <row r="248">
      <c r="A248" s="11" t="inlineStr">
        <is>
          <t>M-09</t>
        </is>
      </c>
      <c r="B248" s="12" t="inlineStr">
        <is>
          <t>M</t>
        </is>
      </c>
      <c r="C248" s="11" t="inlineStr">
        <is>
          <t>Stawki VAT inne niż 23%</t>
        </is>
      </c>
      <c r="D248" s="11" t="inlineStr">
        <is>
          <t>NIE</t>
        </is>
      </c>
      <c r="E248" s="11" t="inlineStr">
        <is>
          <t>NIE</t>
        </is>
      </c>
      <c r="F248" s="11" t="inlineStr">
        <is>
          <t>NIE</t>
        </is>
      </c>
      <c r="G248" s="11" t="inlineStr">
        <is>
          <t>TAK</t>
        </is>
      </c>
      <c r="H248" s="11" t="inlineStr">
        <is>
          <t>TAK</t>
        </is>
      </c>
      <c r="I248" s="11" t="inlineStr">
        <is>
          <t>DZIAŁA</t>
        </is>
      </c>
      <c r="J248" s="12" t="inlineStr">
        <is>
          <t>billing/vat.ts (reguły + stawki UE), vies.service.ts, vat-nabywcy.service.ts; dokumenty: doladowanie.ts, invoices.service.ts (Stripe), proforma; alarm progu OSS faktury.scheduler.ts; testy vat.spec, doladowanie.service.spec, proforma.service.spec, karta-cena-netto.spec | 2026-10-09: vat.ts:20-21,75 (spoza UE netto tylko po weryfikacji obsługi); vat-weryfikacja.service.ts + vat-weryfikacja.admin.controller.ts:28,39,50 (weryfikacja, cofnięcie, dane nabywcy — BILLING_MANAGE); users.service.ts:548-555 (po 1. płatności klient nie zmienia kraju ani NIP); test vat-weryfikacja-nabywcy.int-spec.ts, vat-weryfikacja.service.spec.ts</t>
        </is>
      </c>
      <c r="K248" s="11" t="inlineStr">
        <is>
          <t>PARYTET</t>
        </is>
      </c>
      <c r="L248" s="11" t="inlineStr">
        <is>
          <t>WYSOKA</t>
        </is>
      </c>
      <c r="M248" s="11" t="inlineStr">
        <is>
          <t>M</t>
        </is>
      </c>
      <c r="N248" s="12" t="inlineStr">
        <is>
          <t>Skorygowane: sztywne 23% dotyczy tylko ścieżki finalizacji (invoices.service.ts:17,296) — model i KSeF obsługują stawki (fa-xml.types.ts:152). Blokerem staje się dopiero przy pierwszym kliencie spoza PL. | 2026-09-23 DECYZJA WŁAŚCICIELA (2026-09-23, jak KSeF): faktury VAT wystawia program księgowy Firmino (Streamsoft) — duplikaty, stawki VAT i waluty obsługuje on. Wraca do zakresu razem z własną integracją KSeF po starcie. | 2026-09-23 KOREKTA DECYZJI WŁAŚCICIELA: przed startem, w panelu (dotyczy dokumentów pokazywanych w panelu), mimo że fakturę VAT wystawia Firmino — wpis „poza zakresem” z tego samego dnia cofnięty. | 2026-09-23 decyzja właściciela i wdrożenie: PL 23%; firma z UE z VAT-UE ważnym w VIES — „np” + „odwrotne obciążenie” (nie 0%); konsument z UE — 23% do progu 42 000 zł (art. 28k), potem OSS po włączeniu vat.ossWlaczone (alarm 80%/100% do adminów); spoza UE — „np”. Wynik VIES zapisany przy dokumencie. Klienci bez polskiego VAT płacą netto (1 zł = 1,23 K), karta dla nich zablokowana z podpowiedzią portfela. KSeF z panelu odmawia dokumentów „np”. DO KSIĘGOWEJ: brzmienie adnotacji dla klientów spoza UE. | 2026-10-10: decyzja właściciela 09.10 — nabywca spoza UE płaci netto („np”) dopiero po ręcznej weryfikacji przez obsługę (kto, kiedy i na jakiej podstawie — w dzienniku); do tego czasu 23% jak w Polsce. Po pierwszej płatności klient nie zmienia sam kraju ani NIP — zmienia obsługa („Dane nabywcy” na karcie klienta, Fala 1B). Status VAT nabywcy na karcie klienta w adminie (status-vat-nabywcy.tsx); hotfix React #441 przy wczytywaniu karty (a0a1420a). Wdrożone 10.10; D3 10.10 ok. 13:00: karta klienta d3 się wczytuje. Weryfikacja nabywcy spoza UE na żywo — przy pierwszym takim kliencie (pieniądze → D3).</t>
        </is>
      </c>
    </row>
    <row r="249">
      <c r="A249" s="11" t="inlineStr">
        <is>
          <t>M-10</t>
        </is>
      </c>
      <c r="B249" s="12" t="inlineStr">
        <is>
          <t>M</t>
        </is>
      </c>
      <c r="C249" s="11" t="inlineStr">
        <is>
          <t>Faktury w walucie obcej z przeliczeniem VAT</t>
        </is>
      </c>
      <c r="D249" s="11" t="inlineStr">
        <is>
          <t>NIE</t>
        </is>
      </c>
      <c r="E249" s="11" t="inlineStr">
        <is>
          <t>NIE</t>
        </is>
      </c>
      <c r="F249" s="11" t="inlineStr">
        <is>
          <t>NIE</t>
        </is>
      </c>
      <c r="G249" s="11" t="inlineStr">
        <is>
          <t>CZĘŚĆ</t>
        </is>
      </c>
      <c r="H249" s="11" t="inlineStr">
        <is>
          <t>TAK</t>
        </is>
      </c>
      <c r="I249" s="11" t="inlineStr">
        <is>
          <t>DZIAŁA</t>
        </is>
      </c>
      <c r="J249" s="12" t="inlineStr">
        <is>
          <t>billing/kurs-nbp.ts, doladowanie.service.ts; panel: Portfel → Doładuj (wybór PLN/EUR/USD, podgląd stawki i K); PDF: kurs i VAT w PLN (invoice-pdf.service.ts)</t>
        </is>
      </c>
      <c r="K249" s="11" t="inlineStr">
        <is>
          <t>PARYTET</t>
        </is>
      </c>
      <c r="L249" s="11" t="inlineStr">
        <is>
          <t>WYSOKA</t>
        </is>
      </c>
      <c r="M249" s="11" t="inlineStr">
        <is>
          <t>M</t>
        </is>
      </c>
      <c r="N249" s="12" t="inlineStr">
        <is>
          <t>KSeF odrzuca wszystko poza PLN (fa3-xml.builder.ts:64-66) | 2026-09-23 DECYZJA WŁAŚCICIELA (2026-09-23, jak KSeF): faktury VAT wystawia program księgowy Firmino (Streamsoft) — duplikaty, stawki VAT i waluty obsługuje on. Wraca do zakresu razem z własną integracją KSeF po starcie. | 2026-09-23 KOREKTA DECYZJI WŁAŚCICIELA: przed startem, w panelu (dotyczy dokumentów pokazywanych w panelu), mimo że fakturę VAT wystawia Firmino — wpis „poza zakresem” z tego samego dnia cofnięty. | 2026-09-23 decyzja właściciela i wdrożenie: wpłata kartą w EUR/USD, portfel w K; kurs średni NBP (tabela A) z ostatniego dnia roboczego przed dniem wpłaty (czas polski); dokument w walucie wpłaty z kwotą VAT w PLN (art. 31a, 106e ust. 11). Bez kursu rezerwowego — brak kursu = ponowienie webhooka. D3: Stripe musi mieć włączone EUR/USD.</t>
        </is>
      </c>
    </row>
    <row r="250">
      <c r="A250" s="11" t="inlineStr">
        <is>
          <t>M-11</t>
        </is>
      </c>
      <c r="B250" s="12" t="inlineStr">
        <is>
          <t>M</t>
        </is>
      </c>
      <c r="C250" s="11" t="inlineStr">
        <is>
          <t>KSeF — wysyłka faktury</t>
        </is>
      </c>
      <c r="D250" s="11" t="inlineStr">
        <is>
          <t>NIE</t>
        </is>
      </c>
      <c r="E250" s="11" t="inlineStr">
        <is>
          <t>NIE</t>
        </is>
      </c>
      <c r="F250" s="11" t="inlineStr">
        <is>
          <t>NIE</t>
        </is>
      </c>
      <c r="G250" s="11" t="inlineStr">
        <is>
          <t>CZĘŚĆ</t>
        </is>
      </c>
      <c r="H250" s="11" t="inlineStr">
        <is>
          <t>NIE</t>
        </is>
      </c>
      <c r="I250" s="11" t="inlineStr">
        <is>
          <t>FLAGA</t>
        </is>
      </c>
      <c r="J250" s="12" t="inlineStr">
        <is>
          <t>ksef-v2.client.ts:138-165; FA(3) 1-0E; API v2</t>
        </is>
      </c>
      <c r="K250" s="11" t="inlineStr">
        <is>
          <t>PRZEWAGA</t>
        </is>
      </c>
      <c r="L250" s="11" t="inlineStr">
        <is>
          <t>ŚREDNIA</t>
        </is>
      </c>
      <c r="M250" s="11" t="inlineStr">
        <is>
          <t>S</t>
        </is>
      </c>
      <c r="N250" s="12" t="inlineStr">
        <is>
          <t>OSŁABIONE: KSEF_ENABLED default '0', KSEF_ENV default 'test' (platform-settings.keys.ts:136-137). Po włączeniu bez zmiany env faktury idą na środowisko testowe MF. | WYCENA 2026-09-19: krytycznosc i naklad uzupelnione przy wznowieniu. Pozycje przepisane 2026-08-28 w ramach X-49 zostaly bez wyceny, przez co nie liczyly sie do budzetu godzin i nie stały w zadnym sprincie. Podstawa wyceny: Domyslna wartosc flagi plus check w live-readiness, zeby flaga nie wylaczyla wysylki po cichu. Zakres zalezy od PB-13. | 2026-09-22: poza planem startowym — ADR-2026-09-22, wlasny modul KSeF zamrozony (nie skasowany), KSeF realizuje program ksiegowy. Wraca w epiku integracji po API.</t>
        </is>
      </c>
    </row>
    <row r="251">
      <c r="A251" s="11" t="inlineStr">
        <is>
          <t>M-12</t>
        </is>
      </c>
      <c r="B251" s="12" t="inlineStr">
        <is>
          <t>M</t>
        </is>
      </c>
      <c r="C251" s="11" t="inlineStr">
        <is>
          <t>KSeF — uwierzytelnianie tokenem</t>
        </is>
      </c>
      <c r="D251" s="11" t="inlineStr">
        <is>
          <t>NIE</t>
        </is>
      </c>
      <c r="E251" s="11" t="inlineStr">
        <is>
          <t>NIE</t>
        </is>
      </c>
      <c r="F251" s="11" t="inlineStr">
        <is>
          <t>NIE</t>
        </is>
      </c>
      <c r="G251" s="11" t="inlineStr">
        <is>
          <t>—</t>
        </is>
      </c>
      <c r="H251" s="11" t="inlineStr">
        <is>
          <t>—</t>
        </is>
      </c>
      <c r="I251" s="11" t="inlineStr">
        <is>
          <t>DZIAŁA</t>
        </is>
      </c>
      <c r="J251" s="12" t="inlineStr">
        <is>
          <t>ksef-v2.client.ts:256-379 (challenge → RSA-OAEP → redeem)</t>
        </is>
      </c>
      <c r="K251" s="11" t="inlineStr">
        <is>
          <t>PARYTET</t>
        </is>
      </c>
      <c r="L251" s="11" t="inlineStr">
        <is>
          <t>—</t>
        </is>
      </c>
      <c r="M251" s="11" t="inlineStr">
        <is>
          <t>—</t>
        </is>
      </c>
      <c r="N251" s="12" t="inlineStr">
        <is>
          <t>ZERO testów na całym kliencie (487 l. kryptografii)</t>
        </is>
      </c>
    </row>
    <row r="252">
      <c r="A252" s="11" t="inlineStr">
        <is>
          <t>M-13</t>
        </is>
      </c>
      <c r="B252" s="12" t="inlineStr">
        <is>
          <t>M</t>
        </is>
      </c>
      <c r="C252" s="11" t="inlineStr">
        <is>
          <t>KSeF — szyfrowanie sesji</t>
        </is>
      </c>
      <c r="D252" s="11" t="inlineStr">
        <is>
          <t>NIE</t>
        </is>
      </c>
      <c r="E252" s="11" t="inlineStr">
        <is>
          <t>NIE</t>
        </is>
      </c>
      <c r="F252" s="11" t="inlineStr">
        <is>
          <t>NIE</t>
        </is>
      </c>
      <c r="G252" s="11" t="inlineStr">
        <is>
          <t>—</t>
        </is>
      </c>
      <c r="H252" s="11" t="inlineStr">
        <is>
          <t>—</t>
        </is>
      </c>
      <c r="I252" s="11" t="inlineStr">
        <is>
          <t>DZIAŁA</t>
        </is>
      </c>
      <c r="J252" s="12" t="inlineStr">
        <is>
          <t>ksef-v2.client.ts:427-441 (RSA-OAEP + AES-256-CBC)</t>
        </is>
      </c>
      <c r="K252" s="11" t="inlineStr">
        <is>
          <t>PARYTET</t>
        </is>
      </c>
      <c r="L252" s="11" t="inlineStr">
        <is>
          <t>—</t>
        </is>
      </c>
      <c r="M252" s="11" t="inlineStr">
        <is>
          <t>—</t>
        </is>
      </c>
      <c r="N252" s="12" t="inlineStr"/>
    </row>
    <row r="253">
      <c r="A253" s="11" t="inlineStr">
        <is>
          <t>M-14</t>
        </is>
      </c>
      <c r="B253" s="12" t="inlineStr">
        <is>
          <t>M</t>
        </is>
      </c>
      <c r="C253" s="11" t="inlineStr">
        <is>
          <t>KSeF — numer i UPO widoczne dla klienta</t>
        </is>
      </c>
      <c r="D253" s="11" t="inlineStr">
        <is>
          <t>NIE</t>
        </is>
      </c>
      <c r="E253" s="11" t="inlineStr">
        <is>
          <t>NIE</t>
        </is>
      </c>
      <c r="F253" s="11" t="inlineStr">
        <is>
          <t>NIE</t>
        </is>
      </c>
      <c r="G253" s="11" t="inlineStr">
        <is>
          <t>TAK</t>
        </is>
      </c>
      <c r="H253" s="11" t="inlineStr">
        <is>
          <t>NIE</t>
        </is>
      </c>
      <c r="I253" s="11" t="inlineStr">
        <is>
          <t>BRAK</t>
        </is>
      </c>
      <c r="J253" s="12" t="inlineStr">
        <is>
          <t>zero wystąpień „ksef” w apps/client-panel</t>
        </is>
      </c>
      <c r="K253" s="11" t="inlineStr">
        <is>
          <t>POZA ZAKRESEM</t>
        </is>
      </c>
      <c r="L253" s="11" t="inlineStr">
        <is>
          <t>WYSOKA</t>
        </is>
      </c>
      <c r="M253" s="11" t="inlineStr">
        <is>
          <t>S</t>
        </is>
      </c>
      <c r="N253" s="12" t="inlineStr">
        <is>
          <t>dhosting pokazuje numer KSeF i QR na fakturze | 2026-09-22: poza planem startowym — ADR-2026-09-22, wlasny modul KSeF zamrozony (nie skasowany), KSeF realizuje program ksiegowy. Wraca w epiku integracji po API.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254">
      <c r="A254" s="11" t="inlineStr">
        <is>
          <t>M-15</t>
        </is>
      </c>
      <c r="B254" s="12" t="inlineStr">
        <is>
          <t>M</t>
        </is>
      </c>
      <c r="C254" s="11" t="inlineStr">
        <is>
          <t>KSeF — pobranie UPO przez operatora</t>
        </is>
      </c>
      <c r="D254" s="11" t="inlineStr">
        <is>
          <t>NIE</t>
        </is>
      </c>
      <c r="E254" s="11" t="inlineStr">
        <is>
          <t>NIE</t>
        </is>
      </c>
      <c r="F254" s="11" t="inlineStr">
        <is>
          <t>NIE</t>
        </is>
      </c>
      <c r="G254" s="11" t="inlineStr">
        <is>
          <t>—</t>
        </is>
      </c>
      <c r="H254" s="11" t="inlineStr">
        <is>
          <t>—</t>
        </is>
      </c>
      <c r="I254" s="11" t="inlineStr">
        <is>
          <t>CZĘŚCIOWE</t>
        </is>
      </c>
      <c r="J254" s="12" t="inlineStr">
        <is>
          <t>ksef.admin.controller.ts:38; zero wystąpień UPO w admin-panel | 2026-10-10: ksef.admin.controller.ts:37-42 (GET /admin/ksef/invoices/:id/upo); admin invoices/[invoiceId]/page.tsx — „Pobierz UPO” przez app/api/invoices-upo/[id]/route.ts:18; test route.spec.ts</t>
        </is>
      </c>
      <c r="K254" s="11" t="inlineStr">
        <is>
          <t>POZA ZAKRESEM</t>
        </is>
      </c>
      <c r="L254" s="11" t="inlineStr">
        <is>
          <t>ŚREDNIA</t>
        </is>
      </c>
      <c r="M254" s="11" t="inlineStr">
        <is>
          <t>S</t>
        </is>
      </c>
      <c r="N254" s="12" t="inlineStr">
        <is>
          <t>Skorygowane: UPO jest dostępne w portalu MF, więc warunek dokumentu księgowego nie jest naruszony. Brakuje wygody. | 2026-09-22: poza planem startowym — ADR-2026-09-22, wlasny modul KSeF zamrozony (nie skasowany), KSeF realizuje program ksiegowy. Wraca w epiku integracji po API. | 2026-09-23 PO STARCIE: decyzja właściciela (PB-13 2026-09-22, potwierdzona 2026-09-23) — faktury VAT wystawia program księgowy Firmino (Streamsoft), który sam obsługuje KSeF; własny moduł KSeF zamrożony, bezpośrednia integracja z KSeF po starcie. Pozycja wraca przy tej integracji. | 2026-10-10: Fala 1B — przycisk „Pobierz UPO” na stronie faktury, stan ENDPOINT BEZ UI → DZIAŁA (kod, D2). Werdykt bez zmian: własny moduł KSeF zamrożony (PB-13), UPO pojawi się dopiero przy integracji po starcie. | 2026-10-10 (przegląd): DZIAŁA → CZĘŚCIOWE. Przycisk „Pobierz UPO” pokazuje się tylko dla faktury ze statusem KSeF ACCEPTED albo nieznanym (admin-panel lib/akcje/faktura.ts:77), a własny moduł KSeF jest zamrożony (PB-13), więc na produkcji ścieżka nie ma na czym zadziałać. Definicja ukończenia dla ENDPOINT BEZ UI wymaga też wpisu w dzienniku i testu guardu API — test route.spec.ts sprawdza proxy Next.js (401 bez sesji, 404 z API), nie guard @Roles(ADMIN) w ksef.admin.controller.ts:20-21; pobranie UPO nie zostawia wpisu. Kod przycisku jest (D2); DZIAŁA dopiero przy integracji KSeF po starcie, z pobraniem UPO prawdziwej faktury (D3). Werdykt bez zmian.</t>
        </is>
      </c>
    </row>
    <row r="255">
      <c r="A255" s="11" t="inlineStr">
        <is>
          <t>M-16</t>
        </is>
      </c>
      <c r="B255" s="12" t="inlineStr">
        <is>
          <t>M</t>
        </is>
      </c>
      <c r="C255" s="11" t="inlineStr">
        <is>
          <t>KSeF — tryb offline/awaryjny</t>
        </is>
      </c>
      <c r="D255" s="11" t="inlineStr">
        <is>
          <t>NIE</t>
        </is>
      </c>
      <c r="E255" s="11" t="inlineStr">
        <is>
          <t>NIE</t>
        </is>
      </c>
      <c r="F255" s="11" t="inlineStr">
        <is>
          <t>NIE</t>
        </is>
      </c>
      <c r="G255" s="11" t="inlineStr">
        <is>
          <t>CZĘŚĆ</t>
        </is>
      </c>
      <c r="H255" s="11" t="inlineStr">
        <is>
          <t>NIE</t>
        </is>
      </c>
      <c r="I255" s="11" t="inlineStr">
        <is>
          <t>BRAK</t>
        </is>
      </c>
      <c r="J255" s="12" t="inlineStr">
        <is>
          <t>KsefStatus.OFFLINE w schema.prisma:1432 nigdy nie ustawiany</t>
        </is>
      </c>
      <c r="K255" s="11" t="inlineStr">
        <is>
          <t>POZA ZAKRESEM</t>
        </is>
      </c>
      <c r="L255" s="11" t="inlineStr">
        <is>
          <t>WYSOKA</t>
        </is>
      </c>
      <c r="M255" s="11" t="inlineStr">
        <is>
          <t>M</t>
        </is>
      </c>
      <c r="N255" s="12" t="inlineStr">
        <is>
          <t>awaria KSeF zostawia fakturę w PENDING, bez kodu QR offline | 2026-09-22 FLAGA BLOKERA ZDJETA WARUNKOWO — ADR-2026-09-22 (faktury w programie ksiegowym). Wlasny modul KSeF zamrozony, obowiazek KSeF realizuje program ksiegowy. Warunek: FAK-01 na produkcji — do tego czasu panel potrafi wystawic fakture VAT poza KSeF. Pozycja schodzi z planu startowego do epiku integracji z programem ksiegowym.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256">
      <c r="A256" s="11" t="inlineStr">
        <is>
          <t>M-17</t>
        </is>
      </c>
      <c r="B256" s="12" t="inlineStr">
        <is>
          <t>M</t>
        </is>
      </c>
      <c r="C256" s="11" t="inlineStr">
        <is>
          <t>KSeF — walidacja XSD przed wysyłką</t>
        </is>
      </c>
      <c r="D256" s="11" t="inlineStr">
        <is>
          <t>NIE</t>
        </is>
      </c>
      <c r="E256" s="11" t="inlineStr">
        <is>
          <t>NIE</t>
        </is>
      </c>
      <c r="F256" s="11" t="inlineStr">
        <is>
          <t>NIE</t>
        </is>
      </c>
      <c r="G256" s="11" t="inlineStr">
        <is>
          <t>—</t>
        </is>
      </c>
      <c r="H256" s="11" t="inlineStr">
        <is>
          <t>—</t>
        </is>
      </c>
      <c r="I256" s="11" t="inlineStr">
        <is>
          <t>BRAK</t>
        </is>
      </c>
      <c r="J256" s="12" t="inlineStr">
        <is>
          <t>fa3-xml.builder.ts składa XML stringowo; komentarz ksef-v2.client.ts:61-62 sam to wskazuje</t>
        </is>
      </c>
      <c r="K256" s="11" t="inlineStr">
        <is>
          <t>POZA ZAKRESEM</t>
        </is>
      </c>
      <c r="L256" s="11" t="inlineStr">
        <is>
          <t>WYSOKA</t>
        </is>
      </c>
      <c r="M256" s="11" t="inlineStr">
        <is>
          <t>S</t>
        </is>
      </c>
      <c r="N256" s="12" t="inlineStr">
        <is>
          <t>smoke na api-test MF nie został wykonany | 2026-09-22 FLAGA BLOKERA ZDJETA WARUNKOWO — ADR-2026-09-22 (faktury w programie ksiegowym). Wlasny modul KSeF zamrozony, obowiazek KSeF realizuje program ksiegowy. Warunek: FAK-01 na produkcji — do tego czasu panel potrafi wystawic fakture VAT poza KSeF. Pozycja schodzi z planu startowego do epiku integracji z programem ksiegowym.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257">
      <c r="A257" s="11" t="inlineStr">
        <is>
          <t>M-18</t>
        </is>
      </c>
      <c r="B257" s="12" t="inlineStr">
        <is>
          <t>M</t>
        </is>
      </c>
      <c r="C257" s="11" t="inlineStr">
        <is>
          <t>Płatności kartą</t>
        </is>
      </c>
      <c r="D257" s="11" t="inlineStr">
        <is>
          <t>NIE</t>
        </is>
      </c>
      <c r="E257" s="11" t="inlineStr">
        <is>
          <t>NIE</t>
        </is>
      </c>
      <c r="F257" s="11" t="inlineStr">
        <is>
          <t>NIE</t>
        </is>
      </c>
      <c r="G257" s="11" t="inlineStr">
        <is>
          <t>TAK</t>
        </is>
      </c>
      <c r="H257" s="11" t="inlineStr">
        <is>
          <t>TAK</t>
        </is>
      </c>
      <c r="I257" s="11" t="inlineStr">
        <is>
          <t>DZIAŁA</t>
        </is>
      </c>
      <c r="J257" s="12" t="inlineStr">
        <is>
          <t>stripe.client.ts:308</t>
        </is>
      </c>
      <c r="K257" s="11" t="inlineStr">
        <is>
          <t>PARYTET</t>
        </is>
      </c>
      <c r="L257" s="11" t="inlineStr">
        <is>
          <t>—</t>
        </is>
      </c>
      <c r="M257" s="11" t="inlineStr">
        <is>
          <t>—</t>
        </is>
      </c>
      <c r="N257" s="12" t="inlineStr"/>
    </row>
    <row r="258">
      <c r="A258" s="11" t="inlineStr">
        <is>
          <t>M-19</t>
        </is>
      </c>
      <c r="B258" s="12" t="inlineStr">
        <is>
          <t>M</t>
        </is>
      </c>
      <c r="C258" s="11" t="inlineStr">
        <is>
          <t>Płatności BLIK / Przelewy24</t>
        </is>
      </c>
      <c r="D258" s="11" t="inlineStr">
        <is>
          <t>NIE</t>
        </is>
      </c>
      <c r="E258" s="11" t="inlineStr">
        <is>
          <t>NIE</t>
        </is>
      </c>
      <c r="F258" s="11" t="inlineStr">
        <is>
          <t>NIE</t>
        </is>
      </c>
      <c r="G258" s="11" t="inlineStr">
        <is>
          <t>TAK</t>
        </is>
      </c>
      <c r="H258" s="11" t="inlineStr">
        <is>
          <t>CZĘŚĆ</t>
        </is>
      </c>
      <c r="I258" s="11" t="inlineStr">
        <is>
          <t>DZIAŁA</t>
        </is>
      </c>
      <c r="J258" s="12" t="inlineStr">
        <is>
          <t>stripe.client.ts:309 (p24); billing/paynow/paynow.client.ts + billing.service.ts (utworzDoladowaniePaynow, handlePaynowNotification, zwrocPlatnoscPaynow)</t>
        </is>
      </c>
      <c r="K258" s="11" t="inlineStr">
        <is>
          <t>PARYTET</t>
        </is>
      </c>
      <c r="L258" s="11" t="inlineStr">
        <is>
          <t>—</t>
        </is>
      </c>
      <c r="M258" s="11" t="inlineStr">
        <is>
          <t>—</t>
        </is>
      </c>
      <c r="N258" s="12" t="inlineStr">
        <is>
          <t>przez Stripe, nie bezpośrednio | 2026-10-05 D3 (sandbox Paynow, konto d3): Paynow (mBank) główną bramką doładowań PLN. BLIK 25 zł → portfel +25 K raz, wpis „Doładowanie — Paynow”, dokument VDR/2026/10/0001 „Opłacona”. Drugie doładowanie 25 zł + „Zwróć” w Verris → −25 K raz, zwrot w Paynow. Zwrot zrobiony w panelu Paynow nie dociera do Verris (brak powiadomień o zwrotach) → przycisk „Zwrot zrobiony w Paynow”. Produkcja: klucze live + umowa mBank (PB-05).</t>
        </is>
      </c>
    </row>
    <row r="259">
      <c r="A259" s="11" t="inlineStr">
        <is>
          <t>M-20</t>
        </is>
      </c>
      <c r="B259" s="12" t="inlineStr">
        <is>
          <t>M</t>
        </is>
      </c>
      <c r="C259" s="11" t="inlineStr">
        <is>
          <t>Płatności cykliczne / automatyczne odnowienia</t>
        </is>
      </c>
      <c r="D259" s="11" t="inlineStr">
        <is>
          <t>NIE</t>
        </is>
      </c>
      <c r="E259" s="11" t="inlineStr">
        <is>
          <t>NIE</t>
        </is>
      </c>
      <c r="F259" s="11" t="inlineStr">
        <is>
          <t>NIE</t>
        </is>
      </c>
      <c r="G259" s="11" t="inlineStr">
        <is>
          <t>TAK</t>
        </is>
      </c>
      <c r="H259" s="11" t="inlineStr">
        <is>
          <t>TAK</t>
        </is>
      </c>
      <c r="I259" s="11" t="inlineStr">
        <is>
          <t>DZIAŁA</t>
        </is>
      </c>
      <c r="J259" s="12" t="inlineStr">
        <is>
          <t>renewal.scheduler.ts:17-29,45 (idempotencja na subscriptionId+period)</t>
        </is>
      </c>
      <c r="K259" s="11" t="inlineStr">
        <is>
          <t>PARYTET</t>
        </is>
      </c>
      <c r="L259" s="11" t="inlineStr">
        <is>
          <t>WYSOKA</t>
        </is>
      </c>
      <c r="M259" s="11" t="inlineStr">
        <is>
          <t>—</t>
        </is>
      </c>
      <c r="N259" s="12" t="inlineStr">
        <is>
          <t>ZERO testów na ścieżce, która sama wyłącza usługę klientowi</t>
        </is>
      </c>
    </row>
    <row r="260">
      <c r="A260" s="11" t="inlineStr">
        <is>
          <t>M-21</t>
        </is>
      </c>
      <c r="B260" s="12" t="inlineStr">
        <is>
          <t>M</t>
        </is>
      </c>
      <c r="C260" s="11" t="inlineStr">
        <is>
          <t>Portfel / przedpłata</t>
        </is>
      </c>
      <c r="D260" s="11" t="inlineStr">
        <is>
          <t>NIE</t>
        </is>
      </c>
      <c r="E260" s="11" t="inlineStr">
        <is>
          <t>NIE</t>
        </is>
      </c>
      <c r="F260" s="11" t="inlineStr">
        <is>
          <t>NIE</t>
        </is>
      </c>
      <c r="G260" s="11" t="inlineStr">
        <is>
          <t>CZĘŚĆ</t>
        </is>
      </c>
      <c r="H260" s="11" t="inlineStr">
        <is>
          <t>CZĘŚĆ</t>
        </is>
      </c>
      <c r="I260" s="11" t="inlineStr">
        <is>
          <t>DZIAŁA</t>
        </is>
      </c>
      <c r="J260" s="12" t="inlineStr">
        <is>
          <t>billing.controller.ts:44; wallet-ledger.service.spec.ts (test D1)</t>
        </is>
      </c>
      <c r="K260" s="11" t="inlineStr">
        <is>
          <t>PRZEWAGA</t>
        </is>
      </c>
      <c r="L260" s="11" t="inlineStr">
        <is>
          <t>—</t>
        </is>
      </c>
      <c r="M260" s="11" t="inlineStr">
        <is>
          <t>—</t>
        </is>
      </c>
      <c r="N260" s="12" t="inlineStr"/>
    </row>
    <row r="261">
      <c r="A261" s="11" t="inlineStr">
        <is>
          <t>M-22</t>
        </is>
      </c>
      <c r="B261" s="12" t="inlineStr">
        <is>
          <t>M</t>
        </is>
      </c>
      <c r="C261" s="11" t="inlineStr">
        <is>
          <t>Auto-doładowanie portfela</t>
        </is>
      </c>
      <c r="D261" s="11" t="inlineStr">
        <is>
          <t>NIE</t>
        </is>
      </c>
      <c r="E261" s="11" t="inlineStr">
        <is>
          <t>NIE</t>
        </is>
      </c>
      <c r="F261" s="11" t="inlineStr">
        <is>
          <t>NIE</t>
        </is>
      </c>
      <c r="G261" s="11" t="inlineStr">
        <is>
          <t>NIE</t>
        </is>
      </c>
      <c r="H261" s="11" t="inlineStr">
        <is>
          <t>CZĘŚĆ</t>
        </is>
      </c>
      <c r="I261" s="11" t="inlineStr">
        <is>
          <t>DZIAŁA</t>
        </is>
      </c>
      <c r="J261" s="12" t="inlineStr">
        <is>
          <t>billing/wallet-auto-topup.service.ts; test wallet-auto-topup.service.spec.ts (16 przypadków); księgowanie: billing.service.ts handlePaymentIntentSucceeded</t>
        </is>
      </c>
      <c r="K261" s="11" t="inlineStr">
        <is>
          <t>PRZEWAGA</t>
        </is>
      </c>
      <c r="L261" s="11" t="inlineStr">
        <is>
          <t>—</t>
        </is>
      </c>
      <c r="M261" s="11" t="inlineStr">
        <is>
          <t>—</t>
        </is>
      </c>
      <c r="N261" s="12" t="inlineStr">
        <is>
          <t>ZERO testów (wallet-auto-topup.service.ts, 258 l.) | 2026-09-25: TESTY (D2) — 16 przypadków: bez Stripe nic nie pobiera; obciążenie tylko poniżej progu, w walucie portfela, na kwotę reguły w groszach z kluczem idempotencji na godzinę; cudza metoda płatności odrzucona (zapis i pobranie); 3DS i odmowa karty → mail, wpis w dzienniku i godzina karencji; błąd jednej reguły nie zatrzymuje kolejnych; saldo dopisuje dopiero webhook (bez podwójnego księgowania).</t>
        </is>
      </c>
    </row>
    <row r="262">
      <c r="A262" s="11" t="inlineStr">
        <is>
          <t>M-23</t>
        </is>
      </c>
      <c r="B262" s="12" t="inlineStr">
        <is>
          <t>M</t>
        </is>
      </c>
      <c r="C262" s="11" t="inlineStr">
        <is>
          <t>Kody promocyjne</t>
        </is>
      </c>
      <c r="D262" s="11" t="inlineStr">
        <is>
          <t>NIE</t>
        </is>
      </c>
      <c r="E262" s="11" t="inlineStr">
        <is>
          <t>NIE</t>
        </is>
      </c>
      <c r="F262" s="11" t="inlineStr">
        <is>
          <t>NIE</t>
        </is>
      </c>
      <c r="G262" s="11" t="inlineStr">
        <is>
          <t>TAK</t>
        </is>
      </c>
      <c r="H262" s="11" t="inlineStr">
        <is>
          <t>TAK</t>
        </is>
      </c>
      <c r="I262" s="11" t="inlineStr">
        <is>
          <t>DZIAŁA</t>
        </is>
      </c>
      <c r="J262" s="12" t="inlineStr">
        <is>
          <t>promo.service.ts (559 l.); billing.controller.ts:91 | 2026-10-10 (B1): PATCH /admin/billing/promo-codes/:id — billing.admin.controller.ts:89 → promo.service.ts:214 updatePromoCode (active, validTo, maxRedemptions, opis; dziennik przed/po); admin promo-codes/akcje-kodu.tsx („Wyłącz”/„Edytuj”); test kody-promocyjne.int-spec.ts:172-252</t>
        </is>
      </c>
      <c r="K262" s="11" t="inlineStr">
        <is>
          <t>PARYTET</t>
        </is>
      </c>
      <c r="L262" s="11" t="inlineStr">
        <is>
          <t>ŚREDNIA</t>
        </is>
      </c>
      <c r="M262" s="11" t="inlineStr">
        <is>
          <t>—</t>
        </is>
      </c>
      <c r="N262" s="12" t="inlineStr">
        <is>
          <t>ZERO testów | 2026-10-10: „ZERO testów” nieaktualne — kody-promocyjne.int-spec.ts pokrywa voucher, limity przy równoległych żądaniach, kod na zakup i odnowienie. Bloker B1 z audytu paneli operatora (OD-20: kodu nie dało się wyłączyć ani skrócić) zamknięty: wyłączony albo przeterminowany kod jest odrzucany przy zakupie i przy odnowieniu (test :209-251). Wdrożone 10.10. D3 10.10 ok. 13:00: kody promocyjne w panelu admina z przyciskami „Wyłącz”/„Edytuj” działają.</t>
        </is>
      </c>
    </row>
    <row r="263">
      <c r="A263" s="11" t="inlineStr">
        <is>
          <t>M-24</t>
        </is>
      </c>
      <c r="B263" s="12" t="inlineStr">
        <is>
          <t>M</t>
        </is>
      </c>
      <c r="C263" s="11" t="inlineStr">
        <is>
          <t>Proforma przed odnowieniem</t>
        </is>
      </c>
      <c r="D263" s="11" t="inlineStr">
        <is>
          <t>NIE</t>
        </is>
      </c>
      <c r="E263" s="11" t="inlineStr">
        <is>
          <t>NIE</t>
        </is>
      </c>
      <c r="F263" s="11" t="inlineStr">
        <is>
          <t>NIE</t>
        </is>
      </c>
      <c r="G263" s="11" t="inlineStr">
        <is>
          <t>TAK</t>
        </is>
      </c>
      <c r="H263" s="11" t="inlineStr">
        <is>
          <t>CZĘŚĆ</t>
        </is>
      </c>
      <c r="I263" s="11" t="inlineStr">
        <is>
          <t>DZIAŁA</t>
        </is>
      </c>
      <c r="J263" s="12" t="inlineStr">
        <is>
          <t>billing/proforma.service.ts + GET billing/invoices/proforma/:subscriptionId; panel: usługa → Subskrypcja → „Proforma na odnowienie” (api/services/[id]/proforma); test proforma.service.spec.ts</t>
        </is>
      </c>
      <c r="K263" s="11" t="inlineStr">
        <is>
          <t>PARYTET</t>
        </is>
      </c>
      <c r="L263" s="11" t="inlineStr">
        <is>
          <t>ŚREDNIA</t>
        </is>
      </c>
      <c r="M263" s="11" t="inlineStr">
        <is>
          <t>S</t>
        </is>
      </c>
      <c r="N263" s="12" t="inlineStr">
        <is>
          <t>wszystkie 5 hostingów PL wystawia proformę | 2026-09-23: proforma PDF na żądanie — kwota z tego samego resolveNextRenewalAmount co obciążenie i mail, numer PRO/… spoza serii VAT, adnotacja „nie jest fakturą VAT”; niczego nie zapisuje. Przy okazji wyszło M-35 (PDF-y w ogóle się nie renderowały) i X-52 (linki w mailach na 404).</t>
        </is>
      </c>
    </row>
    <row r="264">
      <c r="A264" s="11" t="inlineStr">
        <is>
          <t>M-25</t>
        </is>
      </c>
      <c r="B264" s="12" t="inlineStr">
        <is>
          <t>M</t>
        </is>
      </c>
      <c r="C264" s="11" t="inlineStr">
        <is>
          <t>Automatyczne zawieszenie za brak płatności</t>
        </is>
      </c>
      <c r="D264" s="11" t="inlineStr">
        <is>
          <t>TAK</t>
        </is>
      </c>
      <c r="E264" s="11" t="inlineStr">
        <is>
          <t>TAK</t>
        </is>
      </c>
      <c r="F264" s="11" t="inlineStr">
        <is>
          <t>TAK</t>
        </is>
      </c>
      <c r="G264" s="11" t="inlineStr">
        <is>
          <t>TAK</t>
        </is>
      </c>
      <c r="H264" s="11" t="inlineStr">
        <is>
          <t>TAK</t>
        </is>
      </c>
      <c r="I264" s="11" t="inlineStr">
        <is>
          <t>DZIAŁA</t>
        </is>
      </c>
      <c r="J264" s="12" t="inlineStr">
        <is>
          <t>renewal.scheduler.ts:250-303 (grace 3 dni); subscriptions.service.ts:597-645</t>
        </is>
      </c>
      <c r="K264" s="11" t="inlineStr">
        <is>
          <t>PARYTET</t>
        </is>
      </c>
      <c r="L264" s="11" t="inlineStr">
        <is>
          <t>WYSOKA</t>
        </is>
      </c>
      <c r="M264" s="11" t="inlineStr">
        <is>
          <t>—</t>
        </is>
      </c>
      <c r="N264" s="12" t="inlineStr">
        <is>
          <t>ZERO testów</t>
        </is>
      </c>
    </row>
    <row r="265">
      <c r="A265" s="11" t="inlineStr">
        <is>
          <t>M-26</t>
        </is>
      </c>
      <c r="B265" s="12" t="inlineStr">
        <is>
          <t>M</t>
        </is>
      </c>
      <c r="C265" s="11" t="inlineStr">
        <is>
          <t>Usunięcie zapisanej karty przez klienta</t>
        </is>
      </c>
      <c r="D265" s="11" t="inlineStr">
        <is>
          <t>NIE</t>
        </is>
      </c>
      <c r="E265" s="11" t="inlineStr">
        <is>
          <t>NIE</t>
        </is>
      </c>
      <c r="F265" s="11" t="inlineStr">
        <is>
          <t>NIE</t>
        </is>
      </c>
      <c r="G265" s="11" t="inlineStr">
        <is>
          <t>TAK</t>
        </is>
      </c>
      <c r="H265" s="11" t="inlineStr">
        <is>
          <t>TAK</t>
        </is>
      </c>
      <c r="I265" s="11" t="inlineStr">
        <is>
          <t>DZIAŁA</t>
        </is>
      </c>
      <c r="J265" s="12" t="inlineStr">
        <is>
          <t>2026-09-23 D1: DELETE /billing/payment-methods/:id (ParseUUIDPipe) → billing.service deleteMyPaymentMethod: Stripe detach, usunięcie wiersza, zerowanie karty domyślnej i auto-doładowania, audyt PAYMENT_METHOD_REMOVED; UI billing-extras-forms „Zapisane karty”; test usun-karte.spec.ts | 2026-09-23: zapis kart — billing.service handlePaymentMethodAttached/Detached (webhooki payment_method.attached/.detached, upsert po provider+providerRef, pierwsza karta domyślna); test D2 zapis-karty.spec.ts</t>
        </is>
      </c>
      <c r="K265" s="11" t="inlineStr">
        <is>
          <t>PARYTET</t>
        </is>
      </c>
      <c r="L265" s="11" t="inlineStr">
        <is>
          <t>WYSOKA</t>
        </is>
      </c>
      <c r="M265" s="11" t="inlineStr">
        <is>
          <t>S</t>
        </is>
      </c>
      <c r="N265" s="12" t="inlineStr">
        <is>
          <t>wymóg konsumencki | KOD gotowy i przetestowany na atrapach. UWAGA: nic w API nie zapisuje dziś wierszy PaymentMethod (brak create/upsert) — lista kart jest zawsze pusta, więc usuwanie da się sprawdzić dopiero, gdy zapis kart zostanie podpięty (webhook Stripe po płatności kartą). | 2026-09-23: domknięty brakujący zapis — karta zapisana w Stripe (np. przy subskrypcji kartą) pojawia się w panelu, odpięta (także z dashboardu Stripe) znika i odpina się od auto-doładowania. WYMAGA OD WŁAŚCICIELA: dopisać zdarzenia payment_method.attached i payment_method.detached do endpointu webhooka w Stripe (DEPLOY.md, OPERATIONAL_CHECKLIST). Karty zapisane przed tą zmianą nie pojawią się wstecz. D3 przy pierwszej płatności kartą.</t>
        </is>
      </c>
    </row>
    <row r="266">
      <c r="A266" s="11" t="inlineStr">
        <is>
          <t>M-27</t>
        </is>
      </c>
      <c r="B266" s="12" t="inlineStr">
        <is>
          <t>M</t>
        </is>
      </c>
      <c r="C266" s="11" t="inlineStr">
        <is>
          <t>Dodanie karty niezależnie od zakupu</t>
        </is>
      </c>
      <c r="D266" s="11" t="inlineStr">
        <is>
          <t>NIE</t>
        </is>
      </c>
      <c r="E266" s="11" t="inlineStr">
        <is>
          <t>NIE</t>
        </is>
      </c>
      <c r="F266" s="11" t="inlineStr">
        <is>
          <t>NIE</t>
        </is>
      </c>
      <c r="G266" s="11" t="inlineStr">
        <is>
          <t>TAK</t>
        </is>
      </c>
      <c r="H266" s="11" t="inlineStr">
        <is>
          <t>TAK</t>
        </is>
      </c>
      <c r="I266" s="11" t="inlineStr">
        <is>
          <t>DZIAŁA</t>
        </is>
      </c>
      <c r="J266" s="12" t="inlineStr">
        <is>
          <t>POST /billing/payment-methods/setup-session → BillingService.startAddCard (klient Stripe tworzony w razie potrzeby, Checkout mode=setup) → webhook payment_method.attached zapisuje kartę (M-26); panel: Płatności → Zapisane karty → „Dodaj kartę” + baner po powrocie; test D2 zapis-karty.spec.ts</t>
        </is>
      </c>
      <c r="K266" s="11" t="inlineStr">
        <is>
          <t>PARYTET</t>
        </is>
      </c>
      <c r="L266" s="11" t="inlineStr">
        <is>
          <t>ŚREDNIA</t>
        </is>
      </c>
      <c r="M266" s="11" t="inlineStr">
        <is>
          <t>S</t>
        </is>
      </c>
      <c r="N266" s="12" t="inlineStr">
        <is>
          <t>2026-09-23: przy okazji — doładowanie portfela idzie przez Checkout bez klienta Stripe, więc karta z doładowania NIE zapisywała się nigdy; auto-doładowanie miało działać tylko z kartą z subskrypcji. Teraz kartę da się dodać wprost. WYMAGA zdarzeń payment_method.* w webhooku (jak M-26). D3 przy pierwszym dodaniu karty w trybie testowym Stripe.</t>
        </is>
      </c>
    </row>
    <row r="267">
      <c r="A267" s="11" t="inlineStr">
        <is>
          <t>M-28</t>
        </is>
      </c>
      <c r="B267" s="12" t="inlineStr">
        <is>
          <t>M</t>
        </is>
      </c>
      <c r="C267" s="11" t="inlineStr">
        <is>
          <t>Eksport historii transakcji do CSV</t>
        </is>
      </c>
      <c r="D267" s="11" t="inlineStr">
        <is>
          <t>NIE</t>
        </is>
      </c>
      <c r="E267" s="11" t="inlineStr">
        <is>
          <t>NIE</t>
        </is>
      </c>
      <c r="F267" s="11" t="inlineStr">
        <is>
          <t>NIE</t>
        </is>
      </c>
      <c r="G267" s="11" t="inlineStr">
        <is>
          <t>CZĘŚĆ</t>
        </is>
      </c>
      <c r="H267" s="11" t="inlineStr">
        <is>
          <t>CZĘŚĆ</t>
        </is>
      </c>
      <c r="I267" s="11" t="inlineStr">
        <is>
          <t>DZIAŁA</t>
        </is>
      </c>
      <c r="J267" s="12" t="inlineStr">
        <is>
          <t>billing.controller.ts GET billing/wallet/transactions.csv ← panel: Rozliczenia → Historia transakcji → „Pobierz całą historię (CSV)” (app/api/billing/transactions.csv/route.ts, proxy z tokenem sesji); csv.util.ts neutralizuje formuły (OWASP CSV injection); test D2 csv.util.spec.ts</t>
        </is>
      </c>
      <c r="K267" s="11" t="inlineStr">
        <is>
          <t>PARYTET</t>
        </is>
      </c>
      <c r="L267" s="11" t="inlineStr">
        <is>
          <t>NISKA</t>
        </is>
      </c>
      <c r="M267" s="11" t="inlineStr">
        <is>
          <t>S</t>
        </is>
      </c>
      <c r="N267" s="12" t="inlineStr">
        <is>
          <t>2026-09-23: przy okazji — eksporty CSV (także admina) nie wstrzykują już formuł do arkusza: tekst zaczynający się od = + - @ dostaje apostrof, liczby ujemne zostają liczbami.</t>
        </is>
      </c>
    </row>
    <row r="268">
      <c r="A268" s="11" t="inlineStr">
        <is>
          <t>M-29</t>
        </is>
      </c>
      <c r="B268" s="12" t="inlineStr">
        <is>
          <t>M</t>
        </is>
      </c>
      <c r="C268" s="11" t="inlineStr">
        <is>
          <t>Ręczne uznanie portfela klienta przez operatora</t>
        </is>
      </c>
      <c r="D268" s="11" t="inlineStr">
        <is>
          <t>NIE</t>
        </is>
      </c>
      <c r="E268" s="11" t="inlineStr">
        <is>
          <t>NIE</t>
        </is>
      </c>
      <c r="F268" s="11" t="inlineStr">
        <is>
          <t>NIE</t>
        </is>
      </c>
      <c r="G268" s="11" t="inlineStr">
        <is>
          <t>—</t>
        </is>
      </c>
      <c r="H268" s="11" t="inlineStr">
        <is>
          <t>—</t>
        </is>
      </c>
      <c r="I268" s="11" t="inlineStr">
        <is>
          <t>DZIAŁA</t>
        </is>
      </c>
      <c r="J268" s="12" t="inlineStr">
        <is>
          <t>billing.admin.controller.ts:35</t>
        </is>
      </c>
      <c r="K268" s="11" t="inlineStr">
        <is>
          <t>PARYTET</t>
        </is>
      </c>
      <c r="L268" s="11" t="inlineStr">
        <is>
          <t>—</t>
        </is>
      </c>
      <c r="M268" s="11" t="inlineStr">
        <is>
          <t>—</t>
        </is>
      </c>
      <c r="N268" s="12" t="inlineStr"/>
    </row>
    <row r="269">
      <c r="A269" s="11" t="inlineStr">
        <is>
          <t>M-30</t>
        </is>
      </c>
      <c r="B269" s="12" t="inlineStr">
        <is>
          <t>M</t>
        </is>
      </c>
      <c r="C269" s="11" t="inlineStr">
        <is>
          <t>Katalog produktów i cenniki</t>
        </is>
      </c>
      <c r="D269" s="11" t="inlineStr">
        <is>
          <t>NIE</t>
        </is>
      </c>
      <c r="E269" s="11" t="inlineStr">
        <is>
          <t>NIE</t>
        </is>
      </c>
      <c r="F269" s="11" t="inlineStr">
        <is>
          <t>NIE</t>
        </is>
      </c>
      <c r="G269" s="11" t="inlineStr">
        <is>
          <t>TAK</t>
        </is>
      </c>
      <c r="H269" s="11" t="inlineStr">
        <is>
          <t>TAK</t>
        </is>
      </c>
      <c r="I269" s="11" t="inlineStr">
        <is>
          <t>DZIAŁA</t>
        </is>
      </c>
      <c r="J269" s="12" t="inlineStr">
        <is>
          <t>plans.admin.controller.ts:45,51,66</t>
        </is>
      </c>
      <c r="K269" s="11" t="inlineStr">
        <is>
          <t>PARYTET</t>
        </is>
      </c>
      <c r="L269" s="11" t="inlineStr">
        <is>
          <t>—</t>
        </is>
      </c>
      <c r="M269" s="11" t="inlineStr">
        <is>
          <t>—</t>
        </is>
      </c>
      <c r="N269" s="12" t="inlineStr"/>
    </row>
    <row r="270">
      <c r="A270" s="11" t="inlineStr">
        <is>
          <t>M-31</t>
        </is>
      </c>
      <c r="B270" s="12" t="inlineStr">
        <is>
          <t>M</t>
        </is>
      </c>
      <c r="C270" s="11" t="inlineStr">
        <is>
          <t>Prorata przy zmianie planu</t>
        </is>
      </c>
      <c r="D270" s="11" t="inlineStr">
        <is>
          <t>NIE</t>
        </is>
      </c>
      <c r="E270" s="11" t="inlineStr">
        <is>
          <t>NIE</t>
        </is>
      </c>
      <c r="F270" s="11" t="inlineStr">
        <is>
          <t>NIE</t>
        </is>
      </c>
      <c r="G270" s="11" t="inlineStr">
        <is>
          <t>CZĘŚĆ</t>
        </is>
      </c>
      <c r="H270" s="11" t="inlineStr">
        <is>
          <t>TAK</t>
        </is>
      </c>
      <c r="I270" s="11" t="inlineStr">
        <is>
          <t>DZIAŁA</t>
        </is>
      </c>
      <c r="J270" s="12" t="inlineStr">
        <is>
          <t>plan-proration.util.ts:47; test D1 (7 przypadków, cross-interval)</t>
        </is>
      </c>
      <c r="K270" s="11" t="inlineStr">
        <is>
          <t>PRZEWAGA</t>
        </is>
      </c>
      <c r="L270" s="11" t="inlineStr">
        <is>
          <t>—</t>
        </is>
      </c>
      <c r="M270" s="11" t="inlineStr">
        <is>
          <t>—</t>
        </is>
      </c>
      <c r="N270" s="12" t="inlineStr">
        <is>
          <t>jedna z najlepiej pokrytych rzeczy w repo</t>
        </is>
      </c>
    </row>
    <row r="271">
      <c r="A271" s="11" t="inlineStr">
        <is>
          <t>M-32</t>
        </is>
      </c>
      <c r="B271" s="12" t="inlineStr">
        <is>
          <t>M</t>
        </is>
      </c>
      <c r="C271" s="11" t="inlineStr">
        <is>
          <t>Kolejka provisioningu z retry</t>
        </is>
      </c>
      <c r="D271" s="11" t="inlineStr">
        <is>
          <t>TAK</t>
        </is>
      </c>
      <c r="E271" s="11" t="inlineStr">
        <is>
          <t>TAK</t>
        </is>
      </c>
      <c r="F271" s="11" t="inlineStr">
        <is>
          <t>TAK</t>
        </is>
      </c>
      <c r="G271" s="11" t="inlineStr">
        <is>
          <t>—</t>
        </is>
      </c>
      <c r="H271" s="11" t="inlineStr">
        <is>
          <t>—</t>
        </is>
      </c>
      <c r="I271" s="11" t="inlineStr">
        <is>
          <t>DZIAŁA</t>
        </is>
      </c>
      <c r="J271" s="12" t="inlineStr">
        <is>
          <t>provisioning-queue.admin.controller.ts:31,58</t>
        </is>
      </c>
      <c r="K271" s="11" t="inlineStr">
        <is>
          <t>PARYTET</t>
        </is>
      </c>
      <c r="L271" s="11" t="inlineStr">
        <is>
          <t>—</t>
        </is>
      </c>
      <c r="M271" s="11" t="inlineStr">
        <is>
          <t>—</t>
        </is>
      </c>
      <c r="N271" s="12" t="inlineStr"/>
    </row>
    <row r="272">
      <c r="A272" s="11" t="inlineStr">
        <is>
          <t>M-33</t>
        </is>
      </c>
      <c r="B272" s="12" t="inlineStr">
        <is>
          <t>M</t>
        </is>
      </c>
      <c r="C272" s="11" t="inlineStr">
        <is>
          <t>Dodatki płatne (IP, wsparcie priorytetowe)</t>
        </is>
      </c>
      <c r="D272" s="11" t="inlineStr">
        <is>
          <t>TAK</t>
        </is>
      </c>
      <c r="E272" s="11" t="inlineStr">
        <is>
          <t>TAK</t>
        </is>
      </c>
      <c r="F272" s="11" t="inlineStr">
        <is>
          <t>TAK</t>
        </is>
      </c>
      <c r="G272" s="11" t="inlineStr">
        <is>
          <t>TAK</t>
        </is>
      </c>
      <c r="H272" s="11" t="inlineStr">
        <is>
          <t>TAK</t>
        </is>
      </c>
      <c r="I272" s="11" t="inlineStr">
        <is>
          <t>DZIAŁA</t>
        </is>
      </c>
      <c r="J272" s="12" t="inlineStr">
        <is>
          <t>addon.service.ts:120 — 2 z 3 to workorder do BOK; addons/zlecenia-dodatkow (admin/dodatki :id/zrealizowano, :id/odmowa); staff-panel karta „Zlecenie dodatku” na zgłoszeniu; test zlecenia-dodatkow.int-spec.ts</t>
        </is>
      </c>
      <c r="K272" s="11" t="inlineStr">
        <is>
          <t>PARYTET</t>
        </is>
      </c>
      <c r="L272" s="11" t="inlineStr">
        <is>
          <t>NISKA</t>
        </is>
      </c>
      <c r="M272" s="11" t="inlineStr">
        <is>
          <t>M</t>
        </is>
      </c>
      <c r="N272" s="12" t="inlineStr">
        <is>
          <t xml:space="preserve"> | 2026-09-25: automatyzacja dedykowanego IP odłożona — oficjalna dokumentacja DirectAdmina (Managing IPs) opisuje przypisanie IP użytkownikowi wyłącznie z GUI, bez API; do sprawdzenia w swagger API DA na węźle. Do tego czasu zlecenie dla zespołu (widoczne dla klienta w zgłoszeniu). | 2026-09-27 KOD (148af96): zakup zajmowany przed opłatą (jedno zgłoszenie na jedno kliknięcie), zwrot gdy realizacja padnie, dokupienie priorytetu przedłuża okres zamiast liczyć 30 dni od dziś. Test dodatki.int-spec.ts. | 2026-10-12 DECYZJA WŁAŚCICIELA: dedykowany IP jak na rynku PL — zakup dodatku i realizacja przez zespół w zgłoszeniu (t1 ma jeden adres IP; API DA bez opisu swaggera na t1). KOD (23b8b8a1): zespół zamyka zlecenie — „Zrealizowano” (L2+) albo „Odmowa ze zwrotem” (L4, zwrot raz). D3 prod 12.10: zakup „Dedykowane IP” z portfela d3 (25 K, dwa kliknięcia → jedno obciążenie) → zgłoszenie #3034e7af dla zespołu (priorytet Wysoki przy aktywnym wsparciu priorytetowym); L1 widzi „zamyka specjalista (L2+)”; L4: odmowa ze zwrotem → portfel 173,50 → 198,50 K, w Dodatkach „Zwrócony — &lt;powód&gt;”, odpowiedź zespołu w zgłoszeniu. Wsparcie priorytetowe: zakup i przedłużenie działają (d3, do 10.11).</t>
        </is>
      </c>
    </row>
    <row r="273">
      <c r="A273" s="11" t="inlineStr">
        <is>
          <t>Z-01</t>
        </is>
      </c>
      <c r="B273" s="12" t="inlineStr">
        <is>
          <t>M</t>
        </is>
      </c>
      <c r="C273" s="11" t="inlineStr">
        <is>
          <t>Faktura VAT dla płatności portfelem</t>
        </is>
      </c>
      <c r="D273" s="11" t="inlineStr">
        <is>
          <t>NIE</t>
        </is>
      </c>
      <c r="E273" s="11" t="inlineStr">
        <is>
          <t>NIE</t>
        </is>
      </c>
      <c r="F273" s="11" t="inlineStr">
        <is>
          <t>NIE</t>
        </is>
      </c>
      <c r="G273" s="11" t="inlineStr">
        <is>
          <t>TAK</t>
        </is>
      </c>
      <c r="H273" s="11" t="inlineStr">
        <is>
          <t>TAK</t>
        </is>
      </c>
      <c r="I273" s="11" t="inlineStr">
        <is>
          <t>DZIAŁA</t>
        </is>
      </c>
      <c r="J273" s="12" t="inlineStr">
        <is>
          <t>wallet-ledger.service.ts:applyEntry — faktura wystawiana w TEJ SAMEJ transakcji co obciążenie; faktura-za-portfel.ts — trybFaktury/rozbicieVat/pozycjeZbiorcze/pozycjeReczne/nadajNumerFaktury; faktury.scheduler.ts — dokańczanie z ponawianiem, alerty, faktury zbiorcze 1. dnia miesiąca; invoices.service.ts — wystawReczna(), dokonczFakture(), numeracja współdzielona; invoices.admin.controller.ts — POST /reczna i POST /:id/dokoncz; admin-panel/(dashboard)/invoices/reczna — formularz; migracja 20260822200000_faktura_za_portfel; faktura-za-portfel.spec.ts (29) + wallet-ledger.service.spec.ts (+3) + test/integration/faktura-portfel.int-spec.ts (14) + asercja SQL Z-01</t>
        </is>
      </c>
      <c r="K273" s="11" t="inlineStr">
        <is>
          <t>PARYTET</t>
        </is>
      </c>
      <c r="L273" s="11" t="inlineStr">
        <is>
          <t>—</t>
        </is>
      </c>
      <c r="M273" s="11" t="inlineStr">
        <is>
          <t>L</t>
        </is>
      </c>
      <c r="N273" s="12" t="inlineStr">
        <is>
          <t>Zamknięte 2026-08-22. TRZYNAŚCIE MIEJSC, NIE CZTERY: macierz wymieniała cztery wywołania debit(), a jest ich trzynaście (domeny, dodatki, autoskalowanie, VPS ×2, monitoring ×2, trial, subskrypcje ×3, odnowienia). To nie zarzut wobec macierzy, tylko dowód, że lista miejsc, w których rusza się pieniądz, rozjeżdża się z rzeczywistością szybciej, niż ktokolwiek ją aktualizuje — tu o 225% w dwa dni. | ROZWIĄZANIE: reguła w JEDNYM miejscu, w księdze portfela, czyli tam, gdzie i tak jako jedyne miejsce zmienia się saldo. Dopisanie wystawiania faktury w trzynastu miejscach byłoby czwartym wystąpieniem wzorca, który wyprodukował już Z-12, Z-16 i błąd w plan-change: dwie kopie tej samej reguły, jedna poprawiona, druga zapomniana. | MODEL: abonament, zmiana planu, domena, VPS, monitoring od 5 zł → faktura od razu; autoskalowanie (zawsze) i drobne zużycie poniżej 5 zł → jedna faktura zbiorcza 1. dnia następnego miesiąca, z pozycjami. Rozdział jest arytmetyczny: autoskalowanie obciąża co blok kilkunastominutowy, więc faktura za każde obciążenie to kilkadziesiąt dokumentów miesięcznie na klienta. | DOŁADOWANIE nie dostaje faktury — to wpłata na poczet usług, VAT powstaje przy świadczeniu. To DECYZJA, nie fakt: do potwierdzenia z księgową, patrz M-34. | ATOMOWOŚĆ: wiersz faktury powstaje w tej samej transakcji co ruch pieniądza; PDF, MinIO, KSeF i mail dowozi scheduler z ponawianiem (lekcja z Z-05). | TEST, KTÓRY ZA PIERWSZYM RAZEM NIC NIE DOWODZIŁ: pierwsza wersja testu atomowości sprawdzała odrzucone obciążenie i przechodziła RÓWNIEŻ wtedy, gdy faktura powstawała poza transakcją — bo skoro obciążenie rzuciło, do wystawiania i tak nie dochodziło. Sprawdzone realnie: przeniosłem wystawianie za transakcję i zestaw został zielony. Test, który przechodzi na obu wersjach kodu, nie mówi nic o żadnej z nich. Właściwy test wywala SAMO wystawianie (podłożony numer kolidujący) i wtedy widać różnicę: w transakcji saldo wraca do 100,00, poza transakcją spada do 55,00 przy braku dokumentu — czyli Z-01 z powrotem. | NUMERACJA: allocateInvoiceNumber przeniesiony do wspólnego modułu, bo numeru potrzebuje też księga portfela. Druga kopia oznaczałaby dwie serie rozjeżdżające się przy pierwszym równoległym wystawieniu (art. 106e ust. 1 pkt 2). Test integracyjny wystawia osiem faktur równolegle i sprawdza ciągłość numerów. | PRZY OKAZJI NAPRAWIONA STARA DZIURA: finalizeAsVerrisInvoice była wołana raz, z .catch(log) — błąd generowania PDF-u kończył się linijką w logu i fakturą bez pliku, także dla faktur ze Stripe'a. Teraz ponawianie 2→10→30→120 min i alert po 3 próbach. Licznik prób rośnie PRZED wywołaniem, bo rosnąc po błędzie nie rósłby przy awarii ubijającej proces i alert nigdy by nie padł. | FAKTURA RĘCZNA: POST /admin/billing/invoices/reczna + formularz. Kwoty brutto (jak w cenniku), powód wystawienia wymagany i trafia do audytu, nie na fakturę. Zakres: dokument opłacony; faktura z terminem płatności to inna funkcja i celowo jej nie ma. | ARYTMETYKA: VAT jest RESZTĄ po odjęciu netto od brutto, nie osobnym zaokrągleniem — liczony niezależnie potrafi dać sumę różniącą się o grosz, a faktura, która się nie sumuje, jest wadliwa. Niezmiennik sprawdzany na 28 572 kwotach, nie na trzech przykładach; kod produkcyjny faktury zbiorczej RZUCA, gdy pozycje nie sumują się do kwoty. | Czerwieni się na starym kodzie w trzech wariantach: bez wystawiania w księdze 6 z 14, przy wystawianiu poza transakcją 1 z 14, przy niespójnym netto+VAT — asercja SQL. | CZEGO NIE ROBI: brak korekt (M-06), brak faktury z terminem płatności, brak podglądu zbiorczej przed wystawieniem, brak D3 (wymaga produkcji — dopisane do PB-12). | Weryfikacja: 516 testów jednostkowych, 40 integracyjnych, lint 7/7 (0 błędów), typecheck 8/8. Dokumentacja: docs/archiwum/zadania/Z-01-faktura-za-platnosc-portfelem.md</t>
        </is>
      </c>
    </row>
    <row r="274">
      <c r="A274" s="11" t="inlineStr">
        <is>
          <t>Z-02</t>
        </is>
      </c>
      <c r="B274" s="12" t="inlineStr">
        <is>
          <t>M</t>
        </is>
      </c>
      <c r="C274" s="11" t="inlineStr">
        <is>
          <t>Blokada zamówienia usługi bez opłaty przez klienta</t>
        </is>
      </c>
      <c r="D274" s="11" t="inlineStr">
        <is>
          <t>TAK</t>
        </is>
      </c>
      <c r="E274" s="11" t="inlineStr">
        <is>
          <t>TAK</t>
        </is>
      </c>
      <c r="F274" s="11" t="inlineStr">
        <is>
          <t>TAK</t>
        </is>
      </c>
      <c r="G274" s="11" t="inlineStr">
        <is>
          <t>TAK</t>
        </is>
      </c>
      <c r="H274" s="11" t="inlineStr">
        <is>
          <t>TAK</t>
        </is>
      </c>
      <c r="I274" s="11" t="inlineStr">
        <is>
          <t>DZIAŁA</t>
        </is>
      </c>
      <c r="J274" s="12" t="inlineStr">
        <is>
          <t>dto/subscription.dto.ts — @IsIn(CLIENT_PAYMENT_SOURCES); subscriptions.service.ts — ForbiddenException dla MANUAL bez allowManual; test subscriptions.create-guard.spec.ts</t>
        </is>
      </c>
      <c r="K274" s="11" t="inlineStr">
        <is>
          <t>PARYTET</t>
        </is>
      </c>
      <c r="L274" s="11" t="inlineStr">
        <is>
          <t>—</t>
        </is>
      </c>
      <c r="M274" s="11" t="inlineStr">
        <is>
          <t>S</t>
        </is>
      </c>
      <c r="N274" s="12" t="inlineStr">
        <is>
          <t>Zamknięte 2026-08-21 (commit fcf58db). Dwie warstwy: walidacja DTO i twardy warunek w serwisie. Osiem przypadków testowych, sprawdzone też w drugą stronę — na starym kodzie test świeci na czerwono. Dodatkowo @RateLimit 10/h na POST /subscriptions. D2 potwierdzone w CI #18 (2026-08-21): 194 testy zielone, w tym 8 przypadków tego zadania. Dokumentacja: docs/archiwum/zadania/Z-02-blokada-zamowienia-uslugi-bez-oplaty.md</t>
        </is>
      </c>
    </row>
    <row r="275">
      <c r="A275" s="11" t="inlineStr">
        <is>
          <t>Z-05</t>
        </is>
      </c>
      <c r="B275" s="12" t="inlineStr">
        <is>
          <t>M</t>
        </is>
      </c>
      <c r="C275" s="11" t="inlineStr">
        <is>
          <t>Odporność webhooka płatności na błąd w trakcie obsługi</t>
        </is>
      </c>
      <c r="D275" s="11" t="inlineStr">
        <is>
          <t>NIE</t>
        </is>
      </c>
      <c r="E275" s="11" t="inlineStr">
        <is>
          <t>NIE</t>
        </is>
      </c>
      <c r="F275" s="11" t="inlineStr">
        <is>
          <t>NIE</t>
        </is>
      </c>
      <c r="G275" s="11" t="inlineStr">
        <is>
          <t>TAK</t>
        </is>
      </c>
      <c r="H275" s="11" t="inlineStr">
        <is>
          <t>TAK</t>
        </is>
      </c>
      <c r="I275" s="11" t="inlineStr">
        <is>
          <t>DZIAŁA</t>
        </is>
      </c>
      <c r="J275" s="12" t="inlineStr">
        <is>
          <t>billing.service.ts — zajmijZdarzenie/zakonczZdarzenie/oznaczNieudane/przetworzPonownie; libs/database/prisma/schema.prisma — StripeWebhookEventStatus + payload/attempts/claimedAt/nextAttemptAt; migracja 20260822180000_odpornosc_webhooka; stripe-webhook-ponowienia.scheduler.ts — ponowienia, alerty, retencja; stripe-webhook-events.admin.controller.ts + admin-panel/billing/webhooki — lista i „Ponów"; ops/scripts/uzgodnij-platnosci-stripe.mjs; webhook-ewidencja.spec.ts (27) + test/integration/webhook-odpornosc.int-spec.ts (11)</t>
        </is>
      </c>
      <c r="K275" s="11" t="inlineStr">
        <is>
          <t>PARYTET</t>
        </is>
      </c>
      <c r="L275" s="11" t="inlineStr">
        <is>
          <t>—</t>
        </is>
      </c>
      <c r="M275" s="11" t="inlineStr">
        <is>
          <t>M</t>
        </is>
      </c>
      <c r="N275" s="12" t="inlineStr">
        <is>
          <t>Zamknięte 2026-08-22. MECHANIZM BŁĘDU: wiersz stripeWebhookEvent powstawał PRZED handlerem i NIE MIAŁ STANU — jego istnienie znaczyło „widziałem", a kod czytał je jako „obsłużyłem", bo ponowna dostawa trafiała w unikalny indeks i dostawała {duplicate:true} + 200. Handler, który rzucił wyjątkiem (timeout bazy, niedostępny MinIO), zostawiał wiersz na miejscu: Stripe ponawiał, dostawał 200, uznawał zdarzenie za doręczone i kończył. Klient zapłacił, saldo się nie pojawiło, system uważał zdarzenie za obsłużone. Awaria CICHA i JEDNOKIERUNKOWA — żadna z tych rzeczy nie jest błędem z osobna, więc nic nie krzyczało. | ROZWIĄZANIE: wiersz dostaje stan (PENDING → PROCESSED albo → FAILED → ponowienie). PENDING znaczy „zajęte, w trakcie", nie „obsłużone"; dopiero PROCESSED odrzuca ponowienia. | CZTERY DECYZJE: (1) handler, który padł, propaguje wyjątek — endpoint zwraca 5xx i Stripe ponawia; odpowiedź 200 z zapisanym błędem byłaby wygodniejsza w logach i stworzyłaby ten sam błąd od nowa. (2) Dostawa trafiająca na zdarzenie właśnie obsługiwane dostaje 409, nie „duplikat" — tamta dostawa może paść. (3) DZIERŻAWA: proces ubity między zajęciem a zakończeniem zostawia PENDING, którego nikt by nie ruszył — ta sama pułapka co przed Z-05 pod inną nazwą; PENDING starszy niż 5 min wolno przejąć. (4) Treść zdarzenia zapisujemy u siebie, bo pobieranie ze Stripe'a przy ponowieniu wymaga żywego Stripe'a, a Stripe leżący to dokładnie ta sytuacja, w której webhooki padają; retencja czyści treść 90 dni po przetworzeniu, id i status zostają na zawsze. | Ponowienia automatyczne 1→5→15→60 min. Alert do adminów po 3 próbach ALBO 15 minutach — dwa progi, bo handler wywalający się natychmiast daje dużo prób w krótkim czasie, a wiszący na timeoucie mało prób przy upływającym czasie; jeden próg przespałby drugi kształt awarii. | PANEL: lista zaciętych zdarzeń i przycisk „Ponów" (macierz opisała stan sprzed zmiany jako „odzysk wyłącznie ręcznie w bazie"). | CZEGO MIGRACJA NIE ROBI: oznacza wiersze historyczne jako PROCESSED, i to jest ZAŁOŻENIE, nie ustalenie — stary wiersz nie miał ani treści, ani id sesji, więc nie ma jak skorelować go z transakcją portfela. Odpowiedź na przeszłość to ops/scripts/uzgodnij-platnosci-stripe.mjs: pyta Stripe'a o opłacone sesje i sprawdza, czy dla każdej istnieje transakcja z kluczem stripe:checkout:&lt;id&gt;. Świadomie NIE księguje automatycznie — ruch pieniędzy na podstawie skryptu z konsoli powinien mieć po drugiej stronie człowieka i wpis w audycie. Kontrola miesięczna, nie narzędzie awaryjne. | Czerwieni się na starym kodzie: przywrócenie semantyki „istnienie wiersza == obsłużone" daje 3 czerwone z 11 integracyjnych, w tym „PONOWIENIE PO AWARII KSIĘGUJE PORTFEL". | Strażnik po raz PIĄTY trafił nie w to, co trzeba — endsWith('billing.service.ts') łapało autoscaling/autoscaling-billing.service.ts. Po „jest" (X-17), archiver.create (X-21) i --audit-level (X-23) reguła rośnie: strażnik czytający repozytorium dopasowuje DOKŁADNIE — ścieżkę, nie sufiks; kod, nie prozę. | CZEGO NIE ROBI: ponowienie może wysłać drugi mail (księgowanie idempotentne, wysyłka nie — dwa maile tańsze niż nieksięgowana wpłata); nie obejmuje webhooków DirectAdmina i KSeF-a; brak D3, bo wymaga produkcji — dopisane do PB-12. Zgodnie z regułą „pieniądze wymagają D3" pozycja jest domknięta jako BLOKER, nie jako dowód produkcyjny. | Weryfikacja: 484 testy jednostkowe, 26 integracyjnych, lint 7/7 (0 błędów), typecheck 8/8, asercja SQL po migracji. Dokumentacja: docs/archiwum/zadania/Z-05-odpornosc-webhooka-platnosci.md</t>
        </is>
      </c>
    </row>
    <row r="276">
      <c r="A276" s="11" t="inlineStr">
        <is>
          <t>Z-06</t>
        </is>
      </c>
      <c r="B276" s="12" t="inlineStr">
        <is>
          <t>M</t>
        </is>
      </c>
      <c r="C276" s="11" t="inlineStr">
        <is>
          <t>Klucz idempotencji obciążenia za dodatek</t>
        </is>
      </c>
      <c r="D276" s="11" t="inlineStr">
        <is>
          <t>NIE</t>
        </is>
      </c>
      <c r="E276" s="11" t="inlineStr">
        <is>
          <t>NIE</t>
        </is>
      </c>
      <c r="F276" s="11" t="inlineStr">
        <is>
          <t>NIE</t>
        </is>
      </c>
      <c r="G276" s="11" t="inlineStr">
        <is>
          <t>TAK</t>
        </is>
      </c>
      <c r="H276" s="11" t="inlineStr">
        <is>
          <t>TAK</t>
        </is>
      </c>
      <c r="I276" s="11" t="inlineStr">
        <is>
          <t>DZIAŁA</t>
        </is>
      </c>
      <c r="J276" s="12" t="inlineStr">
        <is>
          <t>addon.service.ts — kluczIdempotencji + sprawdzenie duplikatu przed obciążeniem + obsługa P2002; schema.prisma — PurchasedAddon.idempotencyKey @unique; migracja 20260821220000_addon_idempotency</t>
        </is>
      </c>
      <c r="K276" s="11" t="inlineStr">
        <is>
          <t>PARYTET</t>
        </is>
      </c>
      <c r="L276" s="11" t="inlineStr">
        <is>
          <t>—</t>
        </is>
      </c>
      <c r="M276" s="11" t="inlineStr">
        <is>
          <t>S</t>
        </is>
      </c>
      <c r="N276" s="12" t="inlineStr">
        <is>
          <t>Zamknięte 2026-08-21. Mechanizm idempotencji w księdze portfela był poprawny — nie miał czego porównywać, bo Date.now() w kluczu dawał inny klucz przy każdym kliknięciu. Poprawka na dwóch drogach: klucz od klienta (panel, useRef, jeden na decyzję zakupu) i okno czasu jako zapas. Sprawdzenie duplikatu idzie PRZED obciążeniem, więc nie powtarzają się też skutki uboczne — bez tego klient dostawałby dziesięć zgłoszeń do BOK-u przy jednym obciążeniu. Wyścig domyka unikalny indeks w bazie. 20 testów, 10 czerwieniło się na starym kodzie. D3 wymagane po wdrożeniu, bo pozycja dotyczy pieniędzy. Dokumentacja: docs/archiwum/zadania/Z-06-klucz-idempotencji-dodatku.md</t>
        </is>
      </c>
    </row>
    <row r="277">
      <c r="A277" s="11" t="inlineStr">
        <is>
          <t>Z-07</t>
        </is>
      </c>
      <c r="B277" s="12" t="inlineStr">
        <is>
          <t>M</t>
        </is>
      </c>
      <c r="C277" s="11" t="inlineStr">
        <is>
          <t>Ponowienie płatności portfelem w okresie karencji</t>
        </is>
      </c>
      <c r="D277" s="11" t="inlineStr">
        <is>
          <t>NIE</t>
        </is>
      </c>
      <c r="E277" s="11" t="inlineStr">
        <is>
          <t>NIE</t>
        </is>
      </c>
      <c r="F277" s="11" t="inlineStr">
        <is>
          <t>NIE</t>
        </is>
      </c>
      <c r="G277" s="11" t="inlineStr">
        <is>
          <t>TAK</t>
        </is>
      </c>
      <c r="H277" s="11" t="inlineStr">
        <is>
          <t>TAK</t>
        </is>
      </c>
      <c r="I277" s="11" t="inlineStr">
        <is>
          <t>DZIAŁA</t>
        </is>
      </c>
      <c r="J277" s="12" t="inlineStr">
        <is>
          <t>renewal.scheduler.ts — przebieg godzinowy obejmuje ACTIVE i PAST_DUE (portfel); ponowienie w karencji bez nowego PAYMENT_FAILED; retryPastDueNow + POST /subscriptions/:id/pay-from-wallet; klient: UnpaidServiceBanner „Opłać z portfela”; test D2 renewal.scheduler.z07.spec.ts</t>
        </is>
      </c>
      <c r="K277" s="11" t="inlineStr">
        <is>
          <t>PARYTET</t>
        </is>
      </c>
      <c r="L277" s="11" t="inlineStr">
        <is>
          <t>WYSOKA</t>
        </is>
      </c>
      <c r="M277" s="11" t="inlineStr">
        <is>
          <t>M</t>
        </is>
      </c>
      <c r="N277" s="12" t="inlineStr">
        <is>
          <t>Klient płacący portfelem doładowuje saldo w karencji i i tak zostaje zawieszony po 3 dniach. Obejście operatorskie istnieje (subscriptions.admin.controller.ts:210 z chargeRenewal), ale wymaga ręcznej reakcji. | 2026-09-23: doładowanie portfela w karencji jest pobierane w ciągu godziny albo od razu przyciskiem w panelu; usługa wraca do ACTIVE z nowym okresem (ten sam klucz idempotencji — brak podwójnego obciążenia). Karencja liczy się od pierwszej nieudanej płatności, ponowienia jej nie przedłużają. Zawieszonej (SUSPENDED) usługi to nie odwiesza — to osobna ścieżka.</t>
        </is>
      </c>
    </row>
    <row r="278">
      <c r="A278" s="11" t="inlineStr">
        <is>
          <t>Z-08</t>
        </is>
      </c>
      <c r="B278" s="12" t="inlineStr">
        <is>
          <t>M</t>
        </is>
      </c>
      <c r="C278" s="11" t="inlineStr">
        <is>
          <t>Przegląd istniejących subskrypcji MANUAL założonych przez klientów</t>
        </is>
      </c>
      <c r="D278" s="11" t="inlineStr">
        <is>
          <t>—</t>
        </is>
      </c>
      <c r="E278" s="11" t="inlineStr">
        <is>
          <t>—</t>
        </is>
      </c>
      <c r="F278" s="11" t="inlineStr">
        <is>
          <t>—</t>
        </is>
      </c>
      <c r="G278" s="11" t="inlineStr">
        <is>
          <t>—</t>
        </is>
      </c>
      <c r="H278" s="11" t="inlineStr">
        <is>
          <t>—</t>
        </is>
      </c>
      <c r="I278" s="11" t="inlineStr">
        <is>
          <t>DZIAŁA</t>
        </is>
      </c>
      <c r="J278" s="12" t="inlineStr">
        <is>
          <t>ops/sql/z08-subskrypcje-manual.sql uruchomiony na produkcji 2026-09-23: 0 wierszy</t>
        </is>
      </c>
      <c r="K278" s="11" t="inlineStr">
        <is>
          <t>PARYTET</t>
        </is>
      </c>
      <c r="L278" s="11" t="inlineStr">
        <is>
          <t>ŚREDNIA</t>
        </is>
      </c>
      <c r="M278" s="11" t="inlineStr">
        <is>
          <t>S</t>
        </is>
      </c>
      <c r="N278" s="12" t="inlineStr">
        <is>
          <t>Odkryte przy zamykaniu Z-02. Poprawka blokuje nowe nadużycia, ale nie mówi, czy ktoś zdążył skorzystać. Jednorazowe zapytanie: subskrypcje z paymentSource=MANUAL, data utworzenia, właściciel, czy jest faktura. Nie funkcja produktu — pozycja znika po wykonaniu i udokumentowaniu wyniku. | 2026-09-23: zapytanie przygotowane. ZOSTAJE (właściciel, 2 min na serwerze): uruchomić, wpisać tu wynik i decyzję — wtedy pozycja się zamyka. | 2026-09-23 D3: raport na produkcji zwrócił 0 subskrypcji MANUAL założonych przez klienta — nikt nie skorzystał z luki sprzed Z-02. Nic do wyjaśniania, pozycja zamknięta.</t>
        </is>
      </c>
    </row>
    <row r="279">
      <c r="A279" s="11" t="inlineStr">
        <is>
          <t>Z-09</t>
        </is>
      </c>
      <c r="B279" s="12" t="inlineStr">
        <is>
          <t>G</t>
        </is>
      </c>
      <c r="C279" s="11" t="inlineStr">
        <is>
          <t>Ograniczenie hostów, do których łączy się worker migracji (SSRF z węzła)</t>
        </is>
      </c>
      <c r="D279" s="11" t="inlineStr">
        <is>
          <t>—</t>
        </is>
      </c>
      <c r="E279" s="11" t="inlineStr">
        <is>
          <t>—</t>
        </is>
      </c>
      <c r="F279" s="11" t="inlineStr">
        <is>
          <t>—</t>
        </is>
      </c>
      <c r="G279" s="11" t="inlineStr">
        <is>
          <t>—</t>
        </is>
      </c>
      <c r="H279" s="11" t="inlineStr">
        <is>
          <t>—</t>
        </is>
      </c>
      <c r="I279" s="11" t="inlineStr">
        <is>
          <t>DZIAŁA</t>
        </is>
      </c>
      <c r="J279" s="12" t="inlineStr">
        <is>
          <t>node-migration-worker.sh — host źródła pochodzi z formularza i nie jest niczym ograniczony | 2026-09-23: API — migration-orchestrator createBundle/requestExternalMigration: każdy host źródła (FTP/SFTP, MySQL, IMAP) przez resolvePublicHost (odmowa dla 127/8, 10/8, 172.16/12, 192.168/16, 169.254/16, 100.64/10, IPv6 lokalne i ULA); węzeł — migration-input-guard.sh vg_is_public_host (getent + te same zakresy) w vg_check_source i dla sshFallback.host; testy D2 migration-orchestrator.service.spec.ts + migration-input-validation.spec.ts (15 przypadków guarda) | 2026-10-09 (7d5cc87c): jedna lista zastrzeżonych zakresów ops/scripts/lib/zastrzezone-zakresy.txt dla API (migration-net.util.ts:14-24,97 — także adresy control-plane i węzłów z adresy-wezlow.rejestr.ts; webhook-post.ts:78-90) i guarda węzła (migration-input-guard.sh:114-145,290 — m.in. NAT64 64:ff9b::/96, 6to4, Teredo); API w produkcji nie startuje bez VERRIS_CONTROL_PLANE_IPS (podpis-skryptow.ts:77-87); testy zastrzezone-zakresy.spec.ts (rozjazd kopii listy = czerwień), ssrf-adresy-wezlow.int-spec.ts</t>
        </is>
      </c>
      <c r="K279" s="11" t="inlineStr">
        <is>
          <t>PARYTET</t>
        </is>
      </c>
      <c r="L279" s="11" t="inlineStr">
        <is>
          <t>ŚREDNIA</t>
        </is>
      </c>
      <c r="M279" s="11" t="inlineStr">
        <is>
          <t>M</t>
        </is>
      </c>
      <c r="N279" s="12" t="inlineStr">
        <is>
          <t>Odkryte przy zamykaniu Z-03. Walidacja znaków nie mówi nic o tym, DOKĄD worker się łączy. Klient może podać 127.0.0.1 albo adres z sieci wewnętrznej węzła i użyć workera jako sondy. Do zrobienia: odrzucanie adresów prywatnych i loopbacka po rozwiązaniu nazwy, z uwzględnieniem rebindingu DNS (sprawdzenie przy każdym połączeniu, nie tylko przy walidacji formularza). | 2026-09-23: dwie warstwy jak Z-03. ZOSTAJE (ponytail w guardzie): narzędzia rozwiązują nazwę ponownie — okno na DNS-rebinding; przypięcie IP do rsync/mysqldump/imapsync, gdy będzie potrzebne. | 2026-10-07 KOD: okno DNS-rebinding zamknięte — vg_pin_public rozwiązuje host raz, worker łączy się z przypiętym IP (rsync, lftp, mysqldump, ssh, imapsync z SNI). Do D3 na t1 (decyzja właściciela: test 08.10). | 2026-10-08 D3 t1: API odmawia 127.0.0.1, 10.0.0.1 i nazwy z rekordami publicznym+127.0.0.1 (test dostępów i start, bez nowego zlecenia); guard `pin` na t1 odmawia prywatnych, mieszanego i WŁASNYCH adresów węzła (d3.hvln.pl, 2.28.204.249), 8.8.8.8 przechodzi; pozytywny FTP z Pleska (hvln.pl) → z09.d3.hvln.pl: 3864 pliki / 109 MB. Przy teście domknięte: odmowa adresów węzła i control-plane (c6f0eeb4), raport workera z logiem &gt;128 KiB (f5089076), ACL x/rX przy FTP na katalog strony (d53c979b). | 2026-10-10: granica SSRF z audytu bezpieczeństwa 09.10 — wcześniej listy zakresów w API i w guardzie węzła się różniły (adres NAT64 64:ff9b::7f00:1 = 127.0.0.1 przechodził), a adresy control-plane nie były zastrzeżone. Wdrożone 10.10. D3 t1 10.10 00:02 (Onboard LIVE wgrał nowy guard): `64:ff9b::7f00:1` → odmowa, `8.8.8.8` → OK.</t>
        </is>
      </c>
    </row>
    <row r="280">
      <c r="A280" s="11" t="inlineStr">
        <is>
          <t>Z-10</t>
        </is>
      </c>
      <c r="B280" s="12" t="inlineStr">
        <is>
          <t>O</t>
        </is>
      </c>
      <c r="C280" s="11" t="inlineStr">
        <is>
          <t>Izolacja rekordów między kontami klientów + dziennik odmów subkont</t>
        </is>
      </c>
      <c r="D280" s="11" t="inlineStr">
        <is>
          <t>TAK</t>
        </is>
      </c>
      <c r="E280" s="11" t="inlineStr">
        <is>
          <t>TAK</t>
        </is>
      </c>
      <c r="F280" s="11" t="inlineStr">
        <is>
          <t>CZĘŚĆ</t>
        </is>
      </c>
      <c r="G280" s="11" t="inlineStr">
        <is>
          <t>CZĘŚĆ</t>
        </is>
      </c>
      <c r="H280" s="11" t="inlineStr">
        <is>
          <t>TAK</t>
        </is>
      </c>
      <c r="I280" s="11" t="inlineStr">
        <is>
          <t>DZIAŁA</t>
        </is>
      </c>
      <c r="J280" s="12" t="inlineStr">
        <is>
          <t>common/guards/customer-permissions.guard.ts zapiszOdmowe; addons/addon.service.ts purchase; servers/directadmin.service.ts assertDomenaNieJestCudza; testy customer-permissions.guard.spec.ts, addon.service.spec.ts, directadmin.domeny.spec.ts</t>
        </is>
      </c>
      <c r="K280" s="11" t="inlineStr">
        <is>
          <t>PARYTET</t>
        </is>
      </c>
      <c r="L280" s="11" t="inlineStr">
        <is>
          <t>WYSOKA</t>
        </is>
      </c>
      <c r="M280" s="11" t="inlineStr">
        <is>
          <t>L</t>
        </is>
      </c>
      <c r="N280" s="12" t="inlineStr">
        <is>
          <t>Odkryte przy zamykaniu Z-04. Strażnik uprawnień odpowiada na pytanie „czy subkonto może wykonać ten RODZAJ operacji", nie „czy ten konkretny rekord należy do właściciela sesji". To drugie robi każdy serwis po swojemu i nikt tego nie przejrzał całościowo. Przy okazji: odmowa dla subkonta nie trafia do dziennika audytu, a jest sygnałem operacyjnym w obie strony (próba nadużycia albo za ostra klasyfikacja trasy). | 2026-09-25 PRZEGLĄD CAŁOŚCIOWY: 62 kontrolery klienckie, 472 trasy, każda prześledzona do warunku where w serwisie. Hosting (~160 tras services.controller) — subscription.findFirst({id,userId}) i klient DA konta klienta; rekordy z własnym id (zgłoszenia, faktury, VPS, tokeny, webhooki, IAM, migracje, e-mail marketing) — właściciel sprawdzany. Znalezione i naprawione: (1) POST /addons/purchase przyjmował dowolne subscriptionId z ciała → zlecenie dla zespołu i wpis w portfelu/fakturze na cudzą usługę; teraz 404 bez obciążenia. (2) domena dodatkowa/alias: DA blokuje duplikat tylko na tym samym węźle — na innym Exim uznałby cudzą domenę za lokalną (poczta z tego węzła do jej skrzynek trafiałaby do obcego konta); teraz odmowa, gdy domena lub domena nadrzędna jest domeną główną konta albo rejestracją innego klienta (ograniczenie: domeny dodatkowe innych kont żyją tylko w DA węzłów). DZIENNIK ODMÓW: odmowa subkonta → CUSTOMER_IAM_ACCESS_DENIED w dzienniku właściciela (IAM → Audyt, z metodą i trasą), ta sama para subkonto+trasa najwyżej raz na 10 min. D3: odmowa subkonta widoczna w Audycie IAM na produkcji. | 2026-09-26 PRODUKCJA — KRYTYCZNE, NAPRAWIONE (1e10f10): strażnik uprawnień subkont był globalnym APP_GUARD, a globalne strażniki działają w Nest PRZED @UseGuards(JwtAuthGuard) — req.user był pusty, strażnik zwracał true dla każdego żądania. Na produkcji subkonto z samym SERVICES_READ kupiło hosting z portfela właściciela (40,50 K, zwrot po nieudanym zakładaniu). Testy jednostkowe podawały strażnikowi gotowego użytkownika, więc tego nie widziały. Teraz sprawdzenie siedzi w JwtAuthGuard po uwierzytelnieniu; test integracyjny przez HTTP (passport + JWT + baza + dziennik odmów, uprawnienia-subkonta-http.int-spec.ts) pada na starej wersji; test pilnuje, że nikt nie używa gołego AuthGuard('jwt') (domains.controller używał). Przy okazji: rejestracja/transfer/odnowienie domeny wymaga DOMAINS_MANAGE + BILLING_MANAGE; panel chowa zamawianie przed subkontem bez obu uprawnień. | 2026-09-26 D3 PRODUKCJA po wdrożeniu 3a2f4de: subkonto kontakt@hvln.pl (tylko SERVICES_READ) — pulpit pokazuje „brak uprawnień” zamiast domen, portfela i zgłoszeń, /dashboard/services/new przekierowuje na pulpit; w dzienniku właściciela CUSTOMER_IAM_ACCESS_DENIED z trasą i wymaganym uprawnieniem. Zmiana po teście: dziennik zapisuje tylko odmowy ZAPISU — odczyty wywołuje sam panel przy każdym wejściu (5 wpisów „odmowy” na jedno otwarcie pulpitu wyglądało jak próby). ZAMKNIĘTE.</t>
        </is>
      </c>
    </row>
    <row r="281">
      <c r="A281" s="11" t="inlineStr">
        <is>
          <t>Z-11</t>
        </is>
      </c>
      <c r="B281" s="12" t="inlineStr">
        <is>
          <t>M</t>
        </is>
      </c>
      <c r="C281" s="11" t="inlineStr">
        <is>
          <t>Przegląd wszystkich kluczy idempotencji pod kątem poprawności</t>
        </is>
      </c>
      <c r="D281" s="11" t="inlineStr">
        <is>
          <t>—</t>
        </is>
      </c>
      <c r="E281" s="11" t="inlineStr">
        <is>
          <t>—</t>
        </is>
      </c>
      <c r="F281" s="11" t="inlineStr">
        <is>
          <t>—</t>
        </is>
      </c>
      <c r="G281" s="11" t="inlineStr">
        <is>
          <t>—</t>
        </is>
      </c>
      <c r="H281" s="11" t="inlineStr">
        <is>
          <t>—</t>
        </is>
      </c>
      <c r="I281" s="11" t="inlineStr">
        <is>
          <t>DZIAŁA</t>
        </is>
      </c>
      <c r="J281" s="12" t="inlineStr">
        <is>
          <t>przegląd 25 kluczy idempotencji (księga portfela, Stripe, migracje); poprawka subscriptions/plan-change.service.ts; test plan-change.service.spec.ts</t>
        </is>
      </c>
      <c r="K281" s="11" t="inlineStr">
        <is>
          <t>PARYTET</t>
        </is>
      </c>
      <c r="L281" s="11" t="inlineStr">
        <is>
          <t>ŚREDNIA</t>
        </is>
      </c>
      <c r="M281" s="11" t="inlineStr">
        <is>
          <t>M</t>
        </is>
      </c>
      <c r="N281" s="12" t="inlineStr">
        <is>
          <t>Odkryte przy zamykaniu Z-06. Sprawdziłem, że Date.now() w kluczu idempotencji występował tylko w jednym miejscu — ale to sprawdzenie odpowiada wyłącznie na pytanie „czy klucz jest zmienny", nie na pytanie „czy klucz identyfikuje właściwą operację". Klucz może być stabilny i jednocześnie zły: za szeroki (blokuje legalne powtórzenie) albo za wąski (nie łapie duplikatu). Do przejścia po wszystkich wywołaniach wallet.debit/credit i handlerach webhooków. | 2026-09-23 PRZEGLĄD: 1 błąd — klucz zmiany planu nie zawierał planu źródłowego ani stanu subskrypcji: upgrade A→B, downgrade B→A (zwrot), ponowny upgrade A→B w tym samym okresie trafiał w stary wpis księgi → darmowy upgrade przy zachowanym zwrocie; klucz admina nie miał nawet okresu. Teraz klucz = plan źródłowy &gt; docelowy + okres + updatedAt (podwójne kliknięcie dalej jeden wpis). Pozostałe klucze poprawne: odnowienia (okres), autoskalowanie (blok), SLA (okres), domeny/VPS/wypłaty (id zlecenia), Stripe (id sesji/PI), auto-doładowanie (okno cooldownu), monitoring (dzień aktywacji — ponowne włączenie tego samego dnia bez drugiej opłaty, zamierzone).</t>
        </is>
      </c>
    </row>
    <row r="282">
      <c r="A282" s="11" t="inlineStr">
        <is>
          <t>N-01</t>
        </is>
      </c>
      <c r="B282" s="12" t="inlineStr">
        <is>
          <t>N</t>
        </is>
      </c>
      <c r="C282" s="11" t="inlineStr">
        <is>
          <t>System zgłoszeń dla klienta</t>
        </is>
      </c>
      <c r="D282" s="11" t="inlineStr">
        <is>
          <t>NIE</t>
        </is>
      </c>
      <c r="E282" s="11" t="inlineStr">
        <is>
          <t>NIE</t>
        </is>
      </c>
      <c r="F282" s="11" t="inlineStr">
        <is>
          <t>TAK</t>
        </is>
      </c>
      <c r="G282" s="11" t="inlineStr">
        <is>
          <t>TAK</t>
        </is>
      </c>
      <c r="H282" s="11" t="inlineStr">
        <is>
          <t>TAK</t>
        </is>
      </c>
      <c r="I282" s="11" t="inlineStr">
        <is>
          <t>DZIAŁA</t>
        </is>
      </c>
      <c r="J282" s="12" t="inlineStr">
        <is>
          <t>tickets.controller.ts:92,98</t>
        </is>
      </c>
      <c r="K282" s="11" t="inlineStr">
        <is>
          <t>PARYTET</t>
        </is>
      </c>
      <c r="L282" s="11" t="inlineStr">
        <is>
          <t>—</t>
        </is>
      </c>
      <c r="M282" s="11" t="inlineStr">
        <is>
          <t>—</t>
        </is>
      </c>
      <c r="N282" s="12" t="inlineStr">
        <is>
          <t>2026-10-06 D3: zgłoszenie #abecfed1 → potwierdzenie z opiekunem, „zajmuje się”, odpowiedź staff, zamknięcie, podziękowanie z oceną; daty przy wiadomościach automatycznych. Teksty (WAITING_CUSTOMER w temacie maila, „1 godzina robocza”, „najpóźniej jak najszybciej”) poprawione 8ef58bc.</t>
        </is>
      </c>
    </row>
    <row r="283">
      <c r="A283" s="11" t="inlineStr">
        <is>
          <t>N-02</t>
        </is>
      </c>
      <c r="B283" s="12" t="inlineStr">
        <is>
          <t>N</t>
        </is>
      </c>
      <c r="C283" s="11" t="inlineStr">
        <is>
          <t>Załączniki w zgłoszeniu</t>
        </is>
      </c>
      <c r="D283" s="11" t="inlineStr">
        <is>
          <t>NIE</t>
        </is>
      </c>
      <c r="E283" s="11" t="inlineStr">
        <is>
          <t>NIE</t>
        </is>
      </c>
      <c r="F283" s="11" t="inlineStr">
        <is>
          <t>CZĘŚĆ</t>
        </is>
      </c>
      <c r="G283" s="11" t="inlineStr">
        <is>
          <t>TAK</t>
        </is>
      </c>
      <c r="H283" s="11" t="inlineStr">
        <is>
          <t>TAK</t>
        </is>
      </c>
      <c r="I283" s="11" t="inlineStr">
        <is>
          <t>DZIAŁA</t>
        </is>
      </c>
      <c r="J283" s="12" t="inlineStr">
        <is>
          <t>tickets.controller.ts:98,245</t>
        </is>
      </c>
      <c r="K283" s="11" t="inlineStr">
        <is>
          <t>PARYTET</t>
        </is>
      </c>
      <c r="L283" s="11" t="inlineStr">
        <is>
          <t>—</t>
        </is>
      </c>
      <c r="M283" s="11" t="inlineStr">
        <is>
          <t>—</t>
        </is>
      </c>
      <c r="N283" s="12" t="inlineStr"/>
    </row>
    <row r="284">
      <c r="A284" s="11" t="inlineStr">
        <is>
          <t>N-03</t>
        </is>
      </c>
      <c r="B284" s="12" t="inlineStr">
        <is>
          <t>N</t>
        </is>
      </c>
      <c r="C284" s="11" t="inlineStr">
        <is>
          <t>Ocena obsługi (CSAT)</t>
        </is>
      </c>
      <c r="D284" s="11" t="inlineStr">
        <is>
          <t>NIE</t>
        </is>
      </c>
      <c r="E284" s="11" t="inlineStr">
        <is>
          <t>NIE</t>
        </is>
      </c>
      <c r="F284" s="11" t="inlineStr">
        <is>
          <t>NIE</t>
        </is>
      </c>
      <c r="G284" s="11" t="inlineStr">
        <is>
          <t>CZĘŚĆ</t>
        </is>
      </c>
      <c r="H284" s="11" t="inlineStr">
        <is>
          <t>CZĘŚĆ</t>
        </is>
      </c>
      <c r="I284" s="11" t="inlineStr">
        <is>
          <t>DZIAŁA</t>
        </is>
      </c>
      <c r="J284" s="12" t="inlineStr">
        <is>
          <t>tickets.controller.ts:279</t>
        </is>
      </c>
      <c r="K284" s="11" t="inlineStr">
        <is>
          <t>PRZEWAGA</t>
        </is>
      </c>
      <c r="L284" s="11" t="inlineStr">
        <is>
          <t>—</t>
        </is>
      </c>
      <c r="M284" s="11" t="inlineStr">
        <is>
          <t>—</t>
        </is>
      </c>
      <c r="N284" s="12" t="inlineStr"/>
    </row>
    <row r="285">
      <c r="A285" s="11" t="inlineStr">
        <is>
          <t>N-04</t>
        </is>
      </c>
      <c r="B285" s="12" t="inlineStr">
        <is>
          <t>N</t>
        </is>
      </c>
      <c r="C285" s="11" t="inlineStr">
        <is>
          <t>Baza wiedzy po polsku</t>
        </is>
      </c>
      <c r="D285" s="11" t="inlineStr">
        <is>
          <t>NIE</t>
        </is>
      </c>
      <c r="E285" s="11" t="inlineStr">
        <is>
          <t>NIE</t>
        </is>
      </c>
      <c r="F285" s="11" t="inlineStr">
        <is>
          <t>NIE</t>
        </is>
      </c>
      <c r="G285" s="11" t="inlineStr">
        <is>
          <t>TAK</t>
        </is>
      </c>
      <c r="H285" s="11" t="inlineStr">
        <is>
          <t>TAK</t>
        </is>
      </c>
      <c r="I285" s="11" t="inlineStr">
        <is>
          <t>DZIAŁA</t>
        </is>
      </c>
      <c r="J285" s="12" t="inlineStr">
        <is>
          <t>kb.public.controller.ts:226 | 2026-10-10 (B2): zapis tylko z KB_MANAGE — kb.admin.controller.ts:29,52-110 (StaffPermissionsGuard + @StaffPerm), role-systemowe.ts:38,86; test kb.admin.controller.spec.ts</t>
        </is>
      </c>
      <c r="K285" s="11" t="inlineStr">
        <is>
          <t>PARYTET</t>
        </is>
      </c>
      <c r="L285" s="11" t="inlineStr">
        <is>
          <t>—</t>
        </is>
      </c>
      <c r="M285" s="11" t="inlineStr">
        <is>
          <t>—</t>
        </is>
      </c>
      <c r="N285" s="12" t="inlineStr">
        <is>
          <t>2026-10-10: B2 z audytu paneli operatora zamknięty — wcześniej każdy STAFF mógł zmieniać i usuwać artykuły widoczne dla klientów i indeksowane przez asystenta; KB_MANAGE mają L4 i Marketing. Panel obsługi /knowledge pokazuje artykuły bazy wiedzy zamiast pustych szablonów (2df53554). D3 10.10 ok. 13:00: artykuły są, ale Markdown nie jest renderowany (surowe ## i bloki kodu — staff knowledge/page.tsx:82 wypisuje bodyMarkdown jako tekst) — błąd UX do Fali 2 (PB-51). Artykuł „Autoskalowanie” na produkcji nadal obiecuje „rekomendacje zmiany planu” — poprawione teksty (3dcec634) czekają na wklejenie do CMS przez właściciela.</t>
        </is>
      </c>
    </row>
    <row r="286">
      <c r="A286" s="11" t="inlineStr">
        <is>
          <t>N-05</t>
        </is>
      </c>
      <c r="B286" s="12" t="inlineStr">
        <is>
          <t>N</t>
        </is>
      </c>
      <c r="C286" s="11" t="inlineStr">
        <is>
          <t>Podpowiedzi artykułów przy zgłoszeniu</t>
        </is>
      </c>
      <c r="D286" s="11" t="inlineStr">
        <is>
          <t>NIE</t>
        </is>
      </c>
      <c r="E286" s="11" t="inlineStr">
        <is>
          <t>NIE</t>
        </is>
      </c>
      <c r="F286" s="11" t="inlineStr">
        <is>
          <t>NIE</t>
        </is>
      </c>
      <c r="G286" s="11" t="inlineStr">
        <is>
          <t>NIE</t>
        </is>
      </c>
      <c r="H286" s="11" t="inlineStr">
        <is>
          <t>CZĘŚĆ</t>
        </is>
      </c>
      <c r="I286" s="11" t="inlineStr">
        <is>
          <t>DZIAŁA</t>
        </is>
      </c>
      <c r="J286" s="12" t="inlineStr">
        <is>
          <t>ai.controller.ts:53 — AI_API_KEY | D3 2026-09-24: formularz nowego zgłoszenia — temat „Nie działa poczta w Outlooku” podpowiada 3 artykuły, klik otwiera artykuł w Bazie wiedzy (/dashboard/knowledge?article=konfiguracja-poczty-imap-smtp).</t>
        </is>
      </c>
      <c r="K286" s="11" t="inlineStr">
        <is>
          <t>PRZEWAGA</t>
        </is>
      </c>
      <c r="L286" s="11" t="inlineStr">
        <is>
          <t>NISKA</t>
        </is>
      </c>
      <c r="M286" s="11" t="inlineStr">
        <is>
          <t>S</t>
        </is>
      </c>
      <c r="N286" s="12" t="inlineStr">
        <is>
          <t xml:space="preserve">2026-09-24: podpowiedzi działają bez klucza AI (wyszukiwanie słów w indeksie, do którego trafiają artykuły Bazy wiedzy), ale kliknięcie nie otwierało artykułu — panel dostawał wewnętrzne id dokumentu zamiast sluga. Poprawione (ai-chat.service.ts kbSuggest + kb-suggest.spec.ts); podpowiadane są tylko artykuły z pomoc.verris.pl. | </t>
        </is>
      </c>
    </row>
    <row r="287">
      <c r="A287" s="11" t="inlineStr">
        <is>
          <t>N-06</t>
        </is>
      </c>
      <c r="B287" s="12" t="inlineStr">
        <is>
          <t>N</t>
        </is>
      </c>
      <c r="C287" s="11" t="inlineStr">
        <is>
          <t>Publiczna strona statusu usług</t>
        </is>
      </c>
      <c r="D287" s="11" t="inlineStr">
        <is>
          <t>NIE</t>
        </is>
      </c>
      <c r="E287" s="11" t="inlineStr">
        <is>
          <t>NIE</t>
        </is>
      </c>
      <c r="F287" s="11" t="inlineStr">
        <is>
          <t>NIE</t>
        </is>
      </c>
      <c r="G287" s="11" t="inlineStr">
        <is>
          <t>CZĘŚĆ</t>
        </is>
      </c>
      <c r="H287" s="11" t="inlineStr">
        <is>
          <t>TAK</t>
        </is>
      </c>
      <c r="I287" s="11" t="inlineStr">
        <is>
          <t>DZIAŁA</t>
        </is>
      </c>
      <c r="J287" s="12" t="inlineStr">
        <is>
          <t>probes-admin.controller.ts:33; apps/status-page</t>
        </is>
      </c>
      <c r="K287" s="11" t="inlineStr">
        <is>
          <t>PRZEWAGA</t>
        </is>
      </c>
      <c r="L287" s="11" t="inlineStr">
        <is>
          <t>—</t>
        </is>
      </c>
      <c r="M287" s="11" t="inlineStr">
        <is>
          <t>—</t>
        </is>
      </c>
      <c r="N287" s="12" t="inlineStr">
        <is>
          <t>tylko cyber_Folks i dhosting mają na rynku PL | 2026-10-07 KOD + PRODUKCJA: widok „uptime monitor” — paski dni (90/30), dostępność per usługa, czas odpowiedzi 24 h, historia zdarzeń; publiczne /status bez nazw węzłów i adresów sond (984ab00, ce11836, b4755b4, logo 924af52). Pierwsze sondy na t1 (HTTPS d3.hvln.pl, SMTP 587, DNS) — dane na żywo; IMAP na 993 po 48561be (TLS od razu). | 2026-10-07 PRODUKCJA: sondy platformy bez węzła (89343bd) — Panel klienta, Strona verris.pl, API (/readyz); IMAP 993 po TLS. /status pokazuje 6 usług z danymi na żywo (15:25). Kopie zapasowe i płatności jeszcze bez sond.</t>
        </is>
      </c>
    </row>
    <row r="288">
      <c r="A288" s="11" t="inlineStr">
        <is>
          <t>N-07</t>
        </is>
      </c>
      <c r="B288" s="12" t="inlineStr">
        <is>
          <t>N</t>
        </is>
      </c>
      <c r="C288" s="11" t="inlineStr">
        <is>
          <t>Ręczne tworzenie incydentu na status page</t>
        </is>
      </c>
      <c r="D288" s="11" t="inlineStr">
        <is>
          <t>NIE</t>
        </is>
      </c>
      <c r="E288" s="11" t="inlineStr">
        <is>
          <t>NIE</t>
        </is>
      </c>
      <c r="F288" s="11" t="inlineStr">
        <is>
          <t>NIE</t>
        </is>
      </c>
      <c r="G288" s="11" t="inlineStr">
        <is>
          <t>CZĘŚĆ</t>
        </is>
      </c>
      <c r="H288" s="11" t="inlineStr">
        <is>
          <t>TAK</t>
        </is>
      </c>
      <c r="I288" s="11" t="inlineStr">
        <is>
          <t>DZIAŁA</t>
        </is>
      </c>
      <c r="J288" s="12" t="inlineStr">
        <is>
          <t>2026-09-23 D2: admin-panel status/incidents/incident-compose.tsx → POST /admin/product-ops/incidents; przycisk „Rozwiąż” (PATCH incidents/:id status=RESOLVED); probe-ingest.service.ts isManualIncident; test status/incydent-reczny.spec.ts</t>
        </is>
      </c>
      <c r="K288" s="11" t="inlineStr">
        <is>
          <t>PARYTET</t>
        </is>
      </c>
      <c r="L288" s="11" t="inlineStr">
        <is>
          <t>WYSOKA</t>
        </is>
      </c>
      <c r="M288" s="11" t="inlineStr">
        <is>
          <t>S</t>
        </is>
      </c>
      <c r="N288" s="12" t="inlineStr">
        <is>
          <t>w kryzysie nie ma jak zakomunikować awarii | ZNALEZISKO: incydent ogłoszony ręcznie zamykał się sam przy pierwszej udanej próbie monitora (w ciągu minut), więc komunikat o awarii, której monitor nie widzi, znikał ze status page. Teraz zamyka go tylko operator; zamknięcie wysyła webhook INCIDENT_RESOLVED i trafia do audytu.</t>
        </is>
      </c>
    </row>
    <row r="289">
      <c r="A289" s="11" t="inlineStr">
        <is>
          <t>N-08</t>
        </is>
      </c>
      <c r="B289" s="12" t="inlineStr">
        <is>
          <t>N</t>
        </is>
      </c>
      <c r="C289" s="11" t="inlineStr">
        <is>
          <t>Edycja i zamknięcie incydentu</t>
        </is>
      </c>
      <c r="D289" s="11" t="inlineStr">
        <is>
          <t>NIE</t>
        </is>
      </c>
      <c r="E289" s="11" t="inlineStr">
        <is>
          <t>NIE</t>
        </is>
      </c>
      <c r="F289" s="11" t="inlineStr">
        <is>
          <t>NIE</t>
        </is>
      </c>
      <c r="G289" s="11" t="inlineStr">
        <is>
          <t>CZĘŚĆ</t>
        </is>
      </c>
      <c r="H289" s="11" t="inlineStr">
        <is>
          <t>TAK</t>
        </is>
      </c>
      <c r="I289" s="11" t="inlineStr">
        <is>
          <t>DZIAŁA</t>
        </is>
      </c>
      <c r="J289" s="12" t="inlineStr">
        <is>
          <t>status/actions.ts:158,177</t>
        </is>
      </c>
      <c r="K289" s="11" t="inlineStr">
        <is>
          <t>PARYTET</t>
        </is>
      </c>
      <c r="L289" s="11" t="inlineStr">
        <is>
          <t>—</t>
        </is>
      </c>
      <c r="M289" s="11" t="inlineStr">
        <is>
          <t>—</t>
        </is>
      </c>
      <c r="N289" s="12" t="inlineStr"/>
    </row>
    <row r="290">
      <c r="A290" s="11" t="inlineStr">
        <is>
          <t>N-09</t>
        </is>
      </c>
      <c r="B290" s="12" t="inlineStr">
        <is>
          <t>N</t>
        </is>
      </c>
      <c r="C290" s="11" t="inlineStr">
        <is>
          <t>Powiadomienia w panelu (dzwonek)</t>
        </is>
      </c>
      <c r="D290" s="11" t="inlineStr">
        <is>
          <t>NIE</t>
        </is>
      </c>
      <c r="E290" s="11" t="inlineStr">
        <is>
          <t>CZĘŚĆ</t>
        </is>
      </c>
      <c r="F290" s="11" t="inlineStr">
        <is>
          <t>NIE</t>
        </is>
      </c>
      <c r="G290" s="11" t="inlineStr">
        <is>
          <t>CZĘŚĆ</t>
        </is>
      </c>
      <c r="H290" s="11" t="inlineStr">
        <is>
          <t>TAK</t>
        </is>
      </c>
      <c r="I290" s="11" t="inlineStr">
        <is>
          <t>DZIAŁA</t>
        </is>
      </c>
      <c r="J290" s="12" t="inlineStr">
        <is>
          <t>notifications.controller.ts:12,20,26</t>
        </is>
      </c>
      <c r="K290" s="11" t="inlineStr">
        <is>
          <t>PARYTET</t>
        </is>
      </c>
      <c r="L290" s="11" t="inlineStr">
        <is>
          <t>—</t>
        </is>
      </c>
      <c r="M290" s="11" t="inlineStr">
        <is>
          <t>—</t>
        </is>
      </c>
      <c r="N290" s="12" t="inlineStr"/>
    </row>
    <row r="291">
      <c r="A291" s="11" t="inlineStr">
        <is>
          <t>N-10</t>
        </is>
      </c>
      <c r="B291" s="12" t="inlineStr">
        <is>
          <t>N</t>
        </is>
      </c>
      <c r="C291" s="11" t="inlineStr">
        <is>
          <t>Preferencje powiadomień e-mail</t>
        </is>
      </c>
      <c r="D291" s="11" t="inlineStr">
        <is>
          <t>NIE</t>
        </is>
      </c>
      <c r="E291" s="11" t="inlineStr">
        <is>
          <t>CZĘŚĆ</t>
        </is>
      </c>
      <c r="F291" s="11" t="inlineStr">
        <is>
          <t>NIE</t>
        </is>
      </c>
      <c r="G291" s="11" t="inlineStr">
        <is>
          <t>CZĘŚĆ</t>
        </is>
      </c>
      <c r="H291" s="11" t="inlineStr">
        <is>
          <t>TAK</t>
        </is>
      </c>
      <c r="I291" s="11" t="inlineStr">
        <is>
          <t>CZĘŚCIOWE</t>
        </is>
      </c>
      <c r="J291" s="12" t="inlineStr">
        <is>
          <t>mail/mailer.service.ts POWIADOMIENIA_OPCJONALNE (bramka po tagu), MarketingPreferences.autoscalingEmail/quotaAlertsEmail (migracja 20260924170000), settings/notifications-tab.tsx; test mail/powiadomienia-opcjonalne.spec.ts</t>
        </is>
      </c>
      <c r="K291" s="11" t="inlineStr">
        <is>
          <t>PARYTET</t>
        </is>
      </c>
      <c r="L291" s="11" t="inlineStr">
        <is>
          <t>ŚREDNIA</t>
        </is>
      </c>
      <c r="M291" s="11" t="inlineStr">
        <is>
          <t>S</t>
        </is>
      </c>
      <c r="N291" s="12" t="inlineStr">
        <is>
          <t>2026-09-24: KOD (D2) — przełączniki „Autoskalowanie” i „Zbliżanie się do limitów” (domyślnie włączone); bezpieczeństwo, płatności i zatrzymanie autoskalowania przez limit/pusty portfel bez przełącznika. ZNALEZISKO NAPRAWIONE: maile o autoskalowaniu (z kosztem) i potwierdzenie zmiany planu szły jako PRODUCT_UPDATE, więc przy domyślnym productUpdatesEmail=false nie wychodziły wcale. OTWARTE do D3: przełączenie w panelu na produkcji i wpis SUPPRESSED w EmailLog. | sterowalne są tylko zgody marketingowe | 2026-09-24 SKALA DOWODU (decyzja PM): funkcja bez pieniędzy, danych klienta i dostępu — D2 (test w CI) wystarcza do „zrobione”, więc werdykt PARYTET. Stan zostaje CZĘŚCIOWE do testu na węźle (audyt/dane/wezel.csv). | 2026-09-26: przełącznik „Zbliżanie się do limitów” wyłączony na koncie testowym i zapisany (po przeładowaniu wyłączony). Wpis SUPPRESSED pojawi się przy pierwszym alercie limitu — wymaga telemetrii z węzła.</t>
        </is>
      </c>
    </row>
    <row r="292">
      <c r="A292" s="11" t="inlineStr">
        <is>
          <t>N-11</t>
        </is>
      </c>
      <c r="B292" s="12" t="inlineStr">
        <is>
          <t>N</t>
        </is>
      </c>
      <c r="C292" s="11" t="inlineStr">
        <is>
          <t>Ogłoszenia i okna serwisowe</t>
        </is>
      </c>
      <c r="D292" s="11" t="inlineStr">
        <is>
          <t>CZĘŚĆ</t>
        </is>
      </c>
      <c r="E292" s="11" t="inlineStr">
        <is>
          <t>TAK</t>
        </is>
      </c>
      <c r="F292" s="11" t="inlineStr">
        <is>
          <t>CZĘŚĆ</t>
        </is>
      </c>
      <c r="G292" s="11" t="inlineStr">
        <is>
          <t>CZĘŚĆ</t>
        </is>
      </c>
      <c r="H292" s="11" t="inlineStr">
        <is>
          <t>CZĘŚĆ</t>
        </is>
      </c>
      <c r="I292" s="11" t="inlineStr">
        <is>
          <t>DZIAŁA</t>
        </is>
      </c>
      <c r="J292" s="12" t="inlineStr">
        <is>
          <t>admin: Product Ops → Ogłoszenia dla klientów / Prace serwisowe (product-ops/notices.tsx, PATCH announcements/:id i maintenance-windows/:id); klient: baner w panelu (dashboard/notices-banner.tsx ← GET /me/status/notices); status.verris.pl: sekcja „Prace serwisowe” (PublicStatusDto.maintenance); test D2 status/ogloszenia-okna.spec.ts</t>
        </is>
      </c>
      <c r="K292" s="11" t="inlineStr">
        <is>
          <t>PARYTET</t>
        </is>
      </c>
      <c r="L292" s="11" t="inlineStr">
        <is>
          <t>WYSOKA</t>
        </is>
      </c>
      <c r="M292" s="11" t="inlineStr">
        <is>
          <t>M</t>
        </is>
      </c>
      <c r="N292" s="12" t="inlineStr">
        <is>
          <t>cały panel Product Ops/NOC jest read-only | 2026-09-23: ogłoszenia i okna serwisowe wcześniej nie docierały do klienta nigdzie (funkcja widmo). Teraz: tworzenie, publikacja/zdjęcie, start/koniec/odwołanie okna z audytem i webhookiem MAINTENANCE_UPDATED; klient widzi okna swoich węzłów lub całej platformy od 14 dni przed startem (nie da się ich schować), ogłoszenia 30 dni (może schować u siebie). D3 przy pierwszym oknie na węźle.</t>
        </is>
      </c>
    </row>
    <row r="293">
      <c r="A293" s="11" t="inlineStr">
        <is>
          <t>N-12</t>
        </is>
      </c>
      <c r="B293" s="12" t="inlineStr">
        <is>
          <t>N</t>
        </is>
      </c>
      <c r="C293" s="11" t="inlineStr">
        <is>
          <t>Feature flagi z panelu operatora</t>
        </is>
      </c>
      <c r="D293" s="11" t="inlineStr">
        <is>
          <t>NIE</t>
        </is>
      </c>
      <c r="E293" s="11" t="inlineStr">
        <is>
          <t>CZĘŚĆ</t>
        </is>
      </c>
      <c r="F293" s="11" t="inlineStr">
        <is>
          <t>NIE</t>
        </is>
      </c>
      <c r="G293" s="11" t="inlineStr">
        <is>
          <t>—</t>
        </is>
      </c>
      <c r="H293" s="11" t="inlineStr">
        <is>
          <t>—</t>
        </is>
      </c>
      <c r="I293" s="11" t="inlineStr">
        <is>
          <t>DZIAŁA</t>
        </is>
      </c>
      <c r="J293" s="12" t="inlineStr">
        <is>
          <t>api: product-ops/feature-flags.ts (ocena), me-feature-flags.controller.ts (GET me/feature-flags), PATCH admin/product-ops/feature-flags/:id; admin: Operacje produktowe → Feature flags (flags.tsx); klient: lib/feature-flags*.ts(x) — menu, kafelki, strony EKO/partnerski/IAM; test feature-flags.spec.ts</t>
        </is>
      </c>
      <c r="K293" s="11" t="inlineStr">
        <is>
          <t>PARYTET</t>
        </is>
      </c>
      <c r="L293" s="11" t="inlineStr">
        <is>
          <t>ŚREDNIA</t>
        </is>
      </c>
      <c r="M293" s="11" t="inlineStr">
        <is>
          <t>S</t>
        </is>
      </c>
      <c r="N293" s="12" t="inlineStr">
        <is>
          <t xml:space="preserve"> | 2026-09-23: FUNKCJA-WIDMO NAPRAWIONA — flagi dało się zakładać, ale nic ich nie czytało. Teraz flagi modul.eco / modul.referral / modul.iam sterują modułami panelu klienta bez wdrożenia (globalnie, per plan, per klient, rollout % stabilny per klient, okno czasowe); brak flagi = moduł jak dotąd. Inne klucze są w adminie oznaczone „nie steruje niczym”.</t>
        </is>
      </c>
    </row>
    <row r="294">
      <c r="A294" s="11" t="inlineStr">
        <is>
          <t>N-13</t>
        </is>
      </c>
      <c r="B294" s="12" t="inlineStr">
        <is>
          <t>N</t>
        </is>
      </c>
      <c r="C294" s="11" t="inlineStr">
        <is>
          <t>KOLEJKA OBSŁUGI NADUŻYĆ (ABUSE)</t>
        </is>
      </c>
      <c r="D294" s="11" t="inlineStr">
        <is>
          <t>TAK</t>
        </is>
      </c>
      <c r="E294" s="11" t="inlineStr">
        <is>
          <t>TAK</t>
        </is>
      </c>
      <c r="F294" s="11" t="inlineStr">
        <is>
          <t>CZĘŚĆ</t>
        </is>
      </c>
      <c r="G294" s="11" t="inlineStr">
        <is>
          <t>TAK</t>
        </is>
      </c>
      <c r="H294" s="11" t="inlineStr">
        <is>
          <t>TAK</t>
        </is>
      </c>
      <c r="I294" s="11" t="inlineStr">
        <is>
          <t>DZIAŁA</t>
        </is>
      </c>
      <c r="J294" s="12" t="inlineStr">
        <is>
          <t>verris.pl/zglos-naduzycie (AbuseForm, link w stopce) → POST /public/abuse (10/h per IP, pułapka na boty) → AbuseReport (migracja 20260923200000) z dopasowaniem do usługi po domenie; potwierdzenie do zgłaszającego + sygnał do obsługi; panel obsługi → Nadużycia (ABUSE_MANAGE): lista, szczegóły, decyzja z uzasadnieniem → mail do zgłaszającego, przy „Podjęto działania” uzasadnienie do klienta; audyt ABUSE_REPORT_*; test abuse/abuse.service.spec.ts (8)</t>
        </is>
      </c>
      <c r="K294" s="11" t="inlineStr">
        <is>
          <t>PARYTET</t>
        </is>
      </c>
      <c r="L294" s="11" t="inlineStr">
        <is>
          <t>WYSOKA</t>
        </is>
      </c>
      <c r="M294" s="11" t="inlineStr">
        <is>
          <t>L</t>
        </is>
      </c>
      <c r="N294" s="12" t="inlineStr">
        <is>
          <t>Skorygowane: powierzchnia abuse częściowo istnieje — outbound-cordon.admin.controller.ts:25,31, uprawnienie ABUSE_MANAGE (staff-permissions.catalog.ts:21), zarezerwowany adres abuse@, throttling na węźle. Brakuje kolejki i procesu, nie możliwości zatrzymania szkody. | 2026-09-23: kolejka i proces zgodne z DSA art. 16 (zgłoszenie: URL, uzasadnienie, dane, oświadczenie o dobrej wierze; potwierdzenie przyjęcia) i art. 17 (uzasadnienie dla klienta przy ograniczeniu, możliwość odwołania). Samo ograniczenie robi obsługa istniejącymi narzędziami (zawieszenie, kordon wysyłki). OTWARTE: D3 — zgłoszenie testowe na produkcji; nadanie ABUSE_MANAGE roli supportu; wzmianka o formularzu w Regulaminie (dokumenty prawne na końcu planu). | D3 2026-09-24: zgłoszenie testowe z verris.pl/zglos-naduzycie przyjęte (nr fb2fe040, potwierdzenie na dominik@hvln.pl), widoczne w kolejce panelu obsługi jako „Nowe · Phishing · nasza usługa” (dopasowane do test-live-verris.pl). Decyzji nie podjęto — zamknięcie zgłoszenia testowego należy do obsługi. | SPRAWDZONE NA PRODUKCJI 26.09 (21:52): obsługa (Support Verris) widzi „Nadużycia” (ABUSE_MANAGE), zgłoszenie testowe zamknięte decyzją „Odrzuć (bez podstaw)” z uzasadnieniem; decyzja i data zapisane, zgłaszający dostaje ją mailem.</t>
        </is>
      </c>
    </row>
    <row r="295">
      <c r="A295" s="11" t="inlineStr">
        <is>
          <t>N-14</t>
        </is>
      </c>
      <c r="B295" s="12" t="inlineStr">
        <is>
          <t>N</t>
        </is>
      </c>
      <c r="C295" s="11" t="inlineStr">
        <is>
          <t>Cordon wysyłki poczty (auto-blokada spamu)</t>
        </is>
      </c>
      <c r="D295" s="11" t="inlineStr">
        <is>
          <t>CZĘŚĆ</t>
        </is>
      </c>
      <c r="E295" s="11" t="inlineStr">
        <is>
          <t>TAK</t>
        </is>
      </c>
      <c r="F295" s="11" t="inlineStr">
        <is>
          <t>CZĘŚĆ</t>
        </is>
      </c>
      <c r="G295" s="11" t="inlineStr">
        <is>
          <t>—</t>
        </is>
      </c>
      <c r="H295" s="11" t="inlineStr">
        <is>
          <t>—</t>
        </is>
      </c>
      <c r="I295" s="11" t="inlineStr">
        <is>
          <t>DZIAŁA</t>
        </is>
      </c>
      <c r="J295" s="12" t="inlineStr">
        <is>
          <t>2026-09-23: admin-panel /deliverability (Blokady wysyłki poczty, link w menu) → GET/POST /admin/deliverability/cordons; lista z e-mailem i nazwą klienta | 2026-10-10 (audyt paneli operatora, OC-10): kordon sprawdzany wyłącznie w module e-mail marketingu — email-marketing.service.ts:551,642 to jedyne wywołania assertNotCordoned/isCordoned; flaga w Redis (outbound-abuse.guard.ts:73-91) nie trafia do Exima ani do DA | 2026-10-11 D3: poczta-konta-operatora.service.ts:89 (zablokuj), :118 (zwolnij); test int poczta-konta-operatora.int-spec.ts; t1 d3.hvln.pl: mail() z PHP przed blokadą true (15:43:45), po „Zablokuj wysyłkę” false (15:45:24), kolejka konta i węzła 0 (15:46:15), po „Zwolnij” true (15:47:33); dziennik HOSTING_MAIL_SENDING_BLOCKED/UNBLOCKED + OUTBOUND_CORDON_APPLIED</t>
        </is>
      </c>
      <c r="K295" s="11" t="inlineStr">
        <is>
          <t>PARYTET</t>
        </is>
      </c>
      <c r="L295" s="11" t="inlineStr">
        <is>
          <t>WYSOKA</t>
        </is>
      </c>
      <c r="M295" s="11" t="inlineStr">
        <is>
          <t>S</t>
        </is>
      </c>
      <c r="N295" s="12" t="inlineStr">
        <is>
          <t>mechanizm działa, operator nie może go zobaczyć ani zdjąć | Operator widzi kogo i dlaczego zablokowano oraz zdejmuje blokadę (ADMIN, z potwierdzeniem, audyt po stronie API). | 2026-10-10: DEGRADACJA (pass adwersaryjny audytu paneli operatora, OC-10 + OG-01): kordon zatrzymuje tylko kampanie z panelu; mail() z PHP i SMTP konta wysyłają dalej, a to, co już jest w kolejce Exima, i tak wychodzi. Na wspólnym IP węzła jedno konto psuje reputację wszystkim; zatrzymać spam z konta można dziś tylko zawieszeniem całej usługi. DECYZJA WŁAŚCICIELA D4 (10.10): blokada wysyłki konta + kolejka MTA to bloker przed otwartą betą 7.12. Warunek zamknięcia: „Zablokuj wysyłkę konta” / „Zwolnij” (limit DA albo blokada w Eximie per użytkownik) i „Usuń wiadomości konta z kolejki”; test na t1: mail() z PHP zablokowanego konta odrzucony, kolejka czysta. Realizacja: N-14 + PB-52 w sprincie 17. Zwalnianie kordonu zostaje tylko dla ADMIN. | 2026-10-11: warunek zamknięcia z D4 spełniony na t1 (PB-52) — flaga BLOKER STARTU zdjęta. Limit wysyłki 5/dobę i kolejka konta/węzła też sprawdzone na żywo.</t>
        </is>
      </c>
    </row>
    <row r="296">
      <c r="A296" s="11" t="inlineStr">
        <is>
          <t>N-15</t>
        </is>
      </c>
      <c r="B296" s="12" t="inlineStr">
        <is>
          <t>N</t>
        </is>
      </c>
      <c r="C296" s="11" t="inlineStr">
        <is>
          <t>Migracja z innego hostingu wykonywana przez dostawcę</t>
        </is>
      </c>
      <c r="D296" s="11" t="inlineStr">
        <is>
          <t>NIE</t>
        </is>
      </c>
      <c r="E296" s="11" t="inlineStr">
        <is>
          <t>NIE</t>
        </is>
      </c>
      <c r="F296" s="11" t="inlineStr">
        <is>
          <t>NIE</t>
        </is>
      </c>
      <c r="G296" s="11" t="inlineStr">
        <is>
          <t>TAK</t>
        </is>
      </c>
      <c r="H296" s="11" t="inlineStr">
        <is>
          <t>CZĘŚĆ</t>
        </is>
      </c>
      <c r="I296" s="11" t="inlineStr">
        <is>
          <t>DZIAŁA</t>
        </is>
      </c>
      <c r="J296" s="12" t="inlineStr">
        <is>
          <t>cockpit migracji + kreator klienta</t>
        </is>
      </c>
      <c r="K296" s="11" t="inlineStr">
        <is>
          <t>PRZEWAGA</t>
        </is>
      </c>
      <c r="L296" s="11" t="inlineStr">
        <is>
          <t>—</t>
        </is>
      </c>
      <c r="M296" s="11" t="inlineStr">
        <is>
          <t>—</t>
        </is>
      </c>
      <c r="N296" s="12" t="inlineStr">
        <is>
          <t>4 z 5 hostingów PL robi ręcznie; u nas to produkt</t>
        </is>
      </c>
    </row>
    <row r="297">
      <c r="A297" s="11" t="inlineStr">
        <is>
          <t>N-16</t>
        </is>
      </c>
      <c r="B297" s="12" t="inlineStr">
        <is>
          <t>N</t>
        </is>
      </c>
      <c r="C297" s="11" t="inlineStr">
        <is>
          <t>SLA z zapisanymi kredytami</t>
        </is>
      </c>
      <c r="D297" s="11" t="inlineStr">
        <is>
          <t>NIE</t>
        </is>
      </c>
      <c r="E297" s="11" t="inlineStr">
        <is>
          <t>NIE</t>
        </is>
      </c>
      <c r="F297" s="11" t="inlineStr">
        <is>
          <t>NIE</t>
        </is>
      </c>
      <c r="G297" s="11" t="inlineStr">
        <is>
          <t>CZĘŚĆ</t>
        </is>
      </c>
      <c r="H297" s="11" t="inlineStr">
        <is>
          <t>NIE</t>
        </is>
      </c>
      <c r="I297" s="11" t="inlineStr">
        <is>
          <t>DZIAŁA</t>
        </is>
      </c>
      <c r="J297" s="12" t="inlineStr">
        <is>
          <t>sla-credit.scheduler.ts — wylicz() (progi §15, miesiąc kalendarzowy, okna konserwacyjne, 1 wypłata/usługę/miesiąc) + run() za flagą; GET /admin/sla/podglad + admin Ustawienia platformy → Podgląd kredytów SLA; live-readiness sla_credits (fail, gdy wyłączone); testy D2 sla-credit.scheduler.spec.ts + sla-credit.wylicz.spec.ts</t>
        </is>
      </c>
      <c r="K297" s="11" t="inlineStr">
        <is>
          <t>PARYTET</t>
        </is>
      </c>
      <c r="L297" s="11" t="inlineStr">
        <is>
          <t>WYSOKA</t>
        </is>
      </c>
      <c r="M297" s="11" t="inlineStr">
        <is>
          <t>S</t>
        </is>
      </c>
      <c r="N297" s="12" t="inlineStr">
        <is>
          <t>OSŁABIONE: funkcja jest domyślnie martwa, a live-readiness nie ma checka SLA — flaga może zostać wyłączona bez żadnego sygnału. Regulamin obiecuje kredyty, kod ich nie nalicza. | 2026-09-23: kod liczył już według progów §15 (przepisany wcześniej), brakowało sygnału i podglądu. Dodane: podgląd bez zapisu na prawdziwych danych sond (do obejrzenia przed włączeniem) i blokujący check live-readiness — regulamin 1.1.0+ obiecuje rekompensatę automatyczną, więc wyłączona flaga nie może przejść niezauważona. Zostaje: obejrzeć podgląd na danych z działającego węzła i włączyć sla.creditsEnabled (sprint 18). | 2026-09-25: verris.pl w wielu miejscach obiecuje automatyczne rekompensaty — zostaje, ale preflight GO-LIVE blokuje start, dopóki sla.creditsEnabled≠1 (product-ops preflight, test preflight.spec.ts). | DECYZJA WŁAŚCICIELA 2026-09-25: włączamy rekompensaty na start — właściciel ustawia w panelu admina (Ustawienia → Platforma → Kredyty SLA) sla.creditsEnabled=1; preflight wtedy przejdzie. | Zamknięte 2026-09-25: właściciel włączył sla.creditsEnabled; admin → Gotowość do startu LIVE po deployu #160: „Rekompensaty SLA (automatyczne) — Włączone” (D3, produkcja). | 2026-09-27 KOD (31e5b2f): wyłączenie konserwacji tylko dla prac zapowiedzianych ≥48 h wcześniej i tylko w zapowiedzianych godzinach (§15 ust. 7); nieudane uznanie portfela zwalnia miesiąc do ponowienia. Test sla-kredyty.int-spec.ts. Rekompensaty na produkcji nadal wyłączone. | 2026-09-28 DECYZJA WŁAŚCICIELA: rekompensaty „na wniosek” wg regulaminu (bez automatu); tekst na verris.pl, blogu i w kampaniach poprawiony w 14 miejscach (46976c6).</t>
        </is>
      </c>
    </row>
    <row r="298">
      <c r="A298" s="11" t="inlineStr">
        <is>
          <t>N-17</t>
        </is>
      </c>
      <c r="B298" s="12" t="inlineStr">
        <is>
          <t>N</t>
        </is>
      </c>
      <c r="C298" s="11" t="inlineStr">
        <is>
          <t>Szablony odpowiedzi obsługi</t>
        </is>
      </c>
      <c r="D298" s="11" t="inlineStr">
        <is>
          <t>NIE</t>
        </is>
      </c>
      <c r="E298" s="11" t="inlineStr">
        <is>
          <t>NIE</t>
        </is>
      </c>
      <c r="F298" s="11" t="inlineStr">
        <is>
          <t>CZĘŚĆ</t>
        </is>
      </c>
      <c r="G298" s="11" t="inlineStr">
        <is>
          <t>—</t>
        </is>
      </c>
      <c r="H298" s="11" t="inlineStr">
        <is>
          <t>—</t>
        </is>
      </c>
      <c r="I298" s="11" t="inlineStr">
        <is>
          <t>DZIAŁA</t>
        </is>
      </c>
      <c r="J298" s="12" t="inlineStr">
        <is>
          <t>settings/canned-responses/actions.ts:23</t>
        </is>
      </c>
      <c r="K298" s="11" t="inlineStr">
        <is>
          <t>PARYTET</t>
        </is>
      </c>
      <c r="L298" s="11" t="inlineStr">
        <is>
          <t>—</t>
        </is>
      </c>
      <c r="M298" s="11" t="inlineStr">
        <is>
          <t>—</t>
        </is>
      </c>
      <c r="N298" s="12" t="inlineStr"/>
    </row>
    <row r="299">
      <c r="A299" s="11" t="inlineStr">
        <is>
          <t>N-18</t>
        </is>
      </c>
      <c r="B299" s="12" t="inlineStr">
        <is>
          <t>N</t>
        </is>
      </c>
      <c r="C299" s="11" t="inlineStr">
        <is>
          <t>CRM klienta 360 dla obsługi</t>
        </is>
      </c>
      <c r="D299" s="11" t="inlineStr">
        <is>
          <t>NIE</t>
        </is>
      </c>
      <c r="E299" s="11" t="inlineStr">
        <is>
          <t>NIE</t>
        </is>
      </c>
      <c r="F299" s="11" t="inlineStr">
        <is>
          <t>NIE</t>
        </is>
      </c>
      <c r="G299" s="11" t="inlineStr">
        <is>
          <t>—</t>
        </is>
      </c>
      <c r="H299" s="11" t="inlineStr">
        <is>
          <t>—</t>
        </is>
      </c>
      <c r="I299" s="11" t="inlineStr">
        <is>
          <t>DZIAŁA</t>
        </is>
      </c>
      <c r="J299" s="12" t="inlineStr">
        <is>
          <t>crm-profile-data.ts; users.admin.controller.ts:109,120 | 2026-10-10 (Fala 1B): admin customers/[userId]/historia-klienta.tsx — Komunikacja (GET /admin/email-log/user/:id; tokeny i linki jednorazowe maskowane w email-log.service.ts:120-143), historia logowań w Dostępach, „Kto oglądał” w Dzienniku; sekcje wspólne z obsługą (lib/sekcje-karty-klienta.ts:10,30); „Dane nabywcy” (vat-weryfikacja.admin.controller.ts:50); test karta-klienta.spec.tsx</t>
        </is>
      </c>
      <c r="K299" s="11" t="inlineStr">
        <is>
          <t>PRZEWAGA</t>
        </is>
      </c>
      <c r="L299" s="11" t="inlineStr">
        <is>
          <t>—</t>
        </is>
      </c>
      <c r="M299" s="11" t="inlineStr">
        <is>
          <t>—</t>
        </is>
      </c>
      <c r="N299" s="12" t="inlineStr">
        <is>
          <t>2026-10-10: 08.10: spójna karta klienta w panelu obsługi i admina, każde otwarcie karty przez operatora w dzienniku, L1 otwiera kartę usługi w podglądzie (pakiet obsługi). 10.10 Fala 1B: Komunikacja, logowania, „Kto oglądał” i dane nabywcy na karcie klienta — trzy pierwsze na razie tylko dla ADMIN (KARTY_TYLKO_ADMIN), dla L1 w Fali 2 wg decyzji D9. D3 10.10 ok. 13:00: karta klienta d3 — Komunikacja i Dostępy (historia logowań 30 dni) działają. ZNALEZISKO D3: reset hasła klienta w adminie pokazuje operatorowi nowe hasło (operational-forms.tsx:276 → users.admin.controller.ts:207) — sprzeczne z decyzją D3 z 10.10 (operator nie zna haseł) → Fala 2A (PB-51).</t>
        </is>
      </c>
    </row>
    <row r="300">
      <c r="A300" s="11" t="inlineStr">
        <is>
          <t>N-19</t>
        </is>
      </c>
      <c r="B300" s="12" t="inlineStr">
        <is>
          <t>N</t>
        </is>
      </c>
      <c r="C300" s="11" t="inlineStr">
        <is>
          <t>Sugestia AI odpowiedzi na zgłoszenie</t>
        </is>
      </c>
      <c r="D300" s="11" t="inlineStr">
        <is>
          <t>NIE</t>
        </is>
      </c>
      <c r="E300" s="11" t="inlineStr">
        <is>
          <t>NIE</t>
        </is>
      </c>
      <c r="F300" s="11" t="inlineStr">
        <is>
          <t>NIE</t>
        </is>
      </c>
      <c r="G300" s="11" t="inlineStr">
        <is>
          <t>NIE</t>
        </is>
      </c>
      <c r="H300" s="11" t="inlineStr">
        <is>
          <t>CZĘŚĆ</t>
        </is>
      </c>
      <c r="I300" s="11" t="inlineStr">
        <is>
          <t>DZIAŁA</t>
        </is>
      </c>
      <c r="J300" s="12" t="inlineStr">
        <is>
          <t>staff-panel/src/components/ticket-detail-panel.tsx; staff-panel/src/lib/ai-sugestia.ts (test ai-sugestia.spec.ts); ai/ai.service.ts supportSuggestion</t>
        </is>
      </c>
      <c r="K300" s="11" t="inlineStr">
        <is>
          <t>PRZEWAGA</t>
        </is>
      </c>
      <c r="L300" s="11" t="inlineStr">
        <is>
          <t>—</t>
        </is>
      </c>
      <c r="M300" s="11" t="inlineStr">
        <is>
          <t>—</t>
        </is>
      </c>
      <c r="N300" s="12" t="inlineStr">
        <is>
          <t>OSŁABIONE: wynik renderowany jako surowy JSON.stringify w &lt;pre&gt; (ticket-detail-panel.tsx:346-349), bez możliwości wstawienia do odpowiedzi. | 2026-09-25: NAPRAWIONE (D2) — prompt określa kształt {szkic, checklista}; panel obsługi pokazuje szkic jako tekst z przyciskiem „Wstaw do odpowiedzi” i listę „Sprawdź przed wysłaniem”. Gdy model zwróci inne klucze, rozpoznajemy typowe (draft/steps…), a resztę pokazujemy — nic nie ginie. Nic nie wychodzi do klienta bez „Wyślij odpowiedź”. D3: pierwsza sugestia po włączeniu klucza AI.</t>
        </is>
      </c>
    </row>
    <row r="301">
      <c r="A301" s="11" t="inlineStr">
        <is>
          <t>N-20</t>
        </is>
      </c>
      <c r="B301" s="12" t="inlineStr">
        <is>
          <t>N</t>
        </is>
      </c>
      <c r="C301" s="11" t="inlineStr">
        <is>
          <t>Link ze zgłoszenia do szczegółu (admin)</t>
        </is>
      </c>
      <c r="D301" s="11" t="inlineStr">
        <is>
          <t>—</t>
        </is>
      </c>
      <c r="E301" s="11" t="inlineStr">
        <is>
          <t>—</t>
        </is>
      </c>
      <c r="F301" s="11" t="inlineStr">
        <is>
          <t>—</t>
        </is>
      </c>
      <c r="G301" s="11" t="inlineStr">
        <is>
          <t>—</t>
        </is>
      </c>
      <c r="H301" s="11" t="inlineStr">
        <is>
          <t>—</t>
        </is>
      </c>
      <c r="I301" s="11" t="inlineStr">
        <is>
          <t>DZIAŁA</t>
        </is>
      </c>
      <c r="J301" s="12" t="inlineStr">
        <is>
          <t>admin-panel tickets/page.tsx — link do szczegółu w panelu BOK (NEXT_PUBLIC_STAFF_PANEL_URL z docker-compose.prod.yml, awaryjnie https://staff.verris.pl); martwy fallback do nieistniejącej trasy admina usunięty</t>
        </is>
      </c>
      <c r="K301" s="11" t="inlineStr">
        <is>
          <t>PARYTET</t>
        </is>
      </c>
      <c r="L301" s="11" t="inlineStr">
        <is>
          <t>ŚREDNIA</t>
        </is>
      </c>
      <c r="M301" s="11" t="inlineStr">
        <is>
          <t>S</t>
        </is>
      </c>
      <c r="N301" s="12" t="inlineStr"/>
    </row>
    <row r="302">
      <c r="A302" s="11" t="inlineStr">
        <is>
          <t>N-21</t>
        </is>
      </c>
      <c r="B302" s="12" t="inlineStr">
        <is>
          <t>N</t>
        </is>
      </c>
      <c r="C302" s="11" t="inlineStr">
        <is>
          <t>Wsparcie telefoniczne</t>
        </is>
      </c>
      <c r="D302" s="11" t="inlineStr">
        <is>
          <t>NIE</t>
        </is>
      </c>
      <c r="E302" s="11" t="inlineStr">
        <is>
          <t>NIE</t>
        </is>
      </c>
      <c r="F302" s="11" t="inlineStr">
        <is>
          <t>NIE</t>
        </is>
      </c>
      <c r="G302" s="11" t="inlineStr">
        <is>
          <t>TAK</t>
        </is>
      </c>
      <c r="H302" s="11" t="inlineStr">
        <is>
          <t>CZĘŚĆ</t>
        </is>
      </c>
      <c r="I302" s="11" t="inlineStr">
        <is>
          <t>BRAK</t>
        </is>
      </c>
      <c r="J302" s="12" t="inlineStr">
        <is>
          <t>poza produktem</t>
        </is>
      </c>
      <c r="K302" s="11" t="inlineStr">
        <is>
          <t>LUKA</t>
        </is>
      </c>
      <c r="L302" s="11" t="inlineStr">
        <is>
          <t>ŚREDNIA</t>
        </is>
      </c>
      <c r="M302" s="11" t="inlineStr">
        <is>
          <t>S</t>
        </is>
      </c>
      <c r="N302" s="12" t="inlineStr">
        <is>
          <t>home.pl i nazwa.pl mają telefon 24/7 — decyzja operacyjna, nie produktowa | WYCENA 2026-09-19: krytycznosc i naklad uzupelnione przy wznowieniu. Pozycje przepisane 2026-08-28 w ramach X-49 zostaly bez wyceny, przez co nie liczyly sie do budzetu godzin i nie stały w zadnym sprincie. Podstawa wyceny: Wsparcie telefoniczne to decyzja operacyjna i numer, nie kod. Wycena obejmuje uruchomienie i opis w SLA. | DECYZJA WŁAŚCICIELA 2026-09-24: nie na start — czat i zgłoszenia; telefon po starcie, gdy będzie skala.</t>
        </is>
      </c>
    </row>
    <row r="303">
      <c r="A303" s="11" t="inlineStr">
        <is>
          <t>O-01</t>
        </is>
      </c>
      <c r="B303" s="12" t="inlineStr">
        <is>
          <t>O</t>
        </is>
      </c>
      <c r="C303" s="11" t="inlineStr">
        <is>
          <t>Subkonta z uprawnieniami (IAM)</t>
        </is>
      </c>
      <c r="D303" s="11" t="inlineStr">
        <is>
          <t>TAK</t>
        </is>
      </c>
      <c r="E303" s="11" t="inlineStr">
        <is>
          <t>TAK</t>
        </is>
      </c>
      <c r="F303" s="11" t="inlineStr">
        <is>
          <t>CZĘŚĆ</t>
        </is>
      </c>
      <c r="G303" s="11" t="inlineStr">
        <is>
          <t>CZĘŚĆ</t>
        </is>
      </c>
      <c r="H303" s="11" t="inlineStr">
        <is>
          <t>TAK</t>
        </is>
      </c>
      <c r="I303" s="11" t="inlineStr">
        <is>
          <t>DZIAŁA</t>
        </is>
      </c>
      <c r="J303" s="12" t="inlineStr">
        <is>
          <t>customer-iam.controller.ts:42,53,63,69</t>
        </is>
      </c>
      <c r="K303" s="11" t="inlineStr">
        <is>
          <t>PRZEWAGA</t>
        </is>
      </c>
      <c r="L303" s="11" t="inlineStr">
        <is>
          <t>—</t>
        </is>
      </c>
      <c r="M303" s="11" t="inlineStr">
        <is>
          <t>—</t>
        </is>
      </c>
      <c r="N303" s="12" t="inlineStr">
        <is>
          <t>tylko home.pl ma coś podobnego na rynku PL | 2026-09-25 ZNALEZISKO I NAPRAWA (bezpieczeństwo): uprawnienia subkont w API były luźniejsze niż w menu panelu. Menedżer plików API (/services/:id/files/read|download|write|upload…) nie pasował do reguły plików i spadał do reguły ogólnej „usługi” — subkonto z rolą „Podgląd” (SERVICES_READ) mogło czytać i pobierać pliki strony (np. wp-config.php z hasłem bazy), a z SERVICES_MANAGE zapisywać je. To samo dotyczyło tras równoważnych dostępowi do plików: odtworzenie z kopii, cron i deploy (polecenia), FTP, logowanie SSO, bazy i ich użytkownicy, instalatory, staging, narzędzia WWW i ochrona katalogu. Teraz wszystkie wymagają FILES_MANAGE; zlecenie migracji — FILES_MANAGE (podgląd bez zmian); zamówienie usługi, opłacenie z portfela, ponowienie płatności, zmiana planu, przejście z okresu próbnego i płatny monitoring — SERVICES_MANAGE + BILLING_MANAGE (jak /addons). Menu panelu dopasowane (bazy danych i instalator — tylko z FILES_MANAGE). Test: customer-permissions.guard.spec.ts (+24 przypadki), client-nav-access.spec.ts. | 2026-09-25 (2): GET /services/:id/hosting-da-links zwracał login i HASŁO konta hostingowego każdemu z podglądem usługi — subkonto „Podgląd” miało więc pełny dostęp do plików, baz i poczty przez panel hostingu. Teraz linki dostaje każdy z podglądem, a login i hasło tylko właściciel albo subkonto z FILES_MANAGE. Przy okazji GET /subscriptions/:id przestał zwracać zaszyfrowane hasło (daPasswordEnc). Testy directadmin.narzedzia.spec.ts, subscriptions.bez-hasla.spec.ts.</t>
        </is>
      </c>
    </row>
    <row r="304">
      <c r="A304" s="11" t="inlineStr">
        <is>
          <t>O-02</t>
        </is>
      </c>
      <c r="B304" s="12" t="inlineStr">
        <is>
          <t>O</t>
        </is>
      </c>
      <c r="C304" s="11" t="inlineStr">
        <is>
          <t>Aktywacja subkonta z zaproszenia</t>
        </is>
      </c>
      <c r="D304" s="11" t="inlineStr">
        <is>
          <t>TAK</t>
        </is>
      </c>
      <c r="E304" s="11" t="inlineStr">
        <is>
          <t>TAK</t>
        </is>
      </c>
      <c r="F304" s="11" t="inlineStr">
        <is>
          <t>CZĘŚĆ</t>
        </is>
      </c>
      <c r="G304" s="11" t="inlineStr">
        <is>
          <t>CZĘŚĆ</t>
        </is>
      </c>
      <c r="H304" s="11" t="inlineStr">
        <is>
          <t>TAK</t>
        </is>
      </c>
      <c r="I304" s="11" t="inlineStr">
        <is>
          <t>DZIAŁA</t>
        </is>
      </c>
      <c r="J304" s="12" t="inlineStr">
        <is>
          <t>customer-iam.controller.ts:47</t>
        </is>
      </c>
      <c r="K304" s="11" t="inlineStr">
        <is>
          <t>PARYTET</t>
        </is>
      </c>
      <c r="L304" s="11" t="inlineStr">
        <is>
          <t>—</t>
        </is>
      </c>
      <c r="M304" s="11" t="inlineStr">
        <is>
          <t>—</t>
        </is>
      </c>
      <c r="N304" s="12" t="inlineStr"/>
    </row>
    <row r="305">
      <c r="A305" s="11" t="inlineStr">
        <is>
          <t>O-03</t>
        </is>
      </c>
      <c r="B305" s="12" t="inlineStr">
        <is>
          <t>O</t>
        </is>
      </c>
      <c r="C305" s="11" t="inlineStr">
        <is>
          <t>Dziennik audytu działań subkont</t>
        </is>
      </c>
      <c r="D305" s="11" t="inlineStr">
        <is>
          <t>CZĘŚĆ</t>
        </is>
      </c>
      <c r="E305" s="11" t="inlineStr">
        <is>
          <t>TAK</t>
        </is>
      </c>
      <c r="F305" s="11" t="inlineStr">
        <is>
          <t>NIE</t>
        </is>
      </c>
      <c r="G305" s="11" t="inlineStr">
        <is>
          <t>NIE</t>
        </is>
      </c>
      <c r="H305" s="11" t="inlineStr">
        <is>
          <t>CZĘŚĆ</t>
        </is>
      </c>
      <c r="I305" s="11" t="inlineStr">
        <is>
          <t>DZIAŁA</t>
        </is>
      </c>
      <c r="J305" s="12" t="inlineStr">
        <is>
          <t>customer-iam.controller.ts:36; customer-iam.service.ts listAudit; iam/iam-audit-section.tsx; test customer-iam.service.spec.ts</t>
        </is>
      </c>
      <c r="K305" s="11" t="inlineStr">
        <is>
          <t>PARYTET</t>
        </is>
      </c>
      <c r="L305" s="11" t="inlineStr">
        <is>
          <t>ŚREDNIA</t>
        </is>
      </c>
      <c r="M305" s="11" t="inlineStr">
        <is>
          <t>M</t>
        </is>
      </c>
      <c r="N305" s="12" t="inlineStr">
        <is>
          <t>OSŁABIONE: customer-iam.service.ts:72-88 filtruje action startsWith CUSTOMER_IAM_ — istnieje 5 takich akcji. To dziennik zarządzania subkontami, nie ich działań. | 2026-09-25: KOD (D2) — dziennik IAM obejmuje teraz działania subkont (każda akcja z actorUserId należącym do subkont właściciela), nie tylko zmiany dostępu; etykiety wszystkich akcji z lib/etykiety-dziennika.ts. Dostęp — zostaje CZĘŚCIOWY do D3 (akcja subkonta widoczna u właściciela na produkcji). | 2026-09-26: na produkcji zakup wykonany z subkonta zapisał się z autorem = właściciel (serwisy wpisują actorUserId = userId, a subkonto działa jako właściciel), więc dziennik IAM go nie pokazywał. Poprawka w jednym miejscu: kontekst żądania niesie osobę z subkonta, AuditService podmienia autora wpisu na koncie właściciela — dla wszystkich serwisów naraz. D3 do sprawdzenia po wdrożeniu (akcja subkonta w IAM → Audyt). | 2026-09-27 PRODUKCJA (za zgodą właściciela): subkonto kontakt@hvln.pl z nadanym „Tickety: zarządzanie” (przez impersonację z admina) założyło zgłoszenie „TEST O-03” — w IAM → Audyt właściciela NIC, tylko odmowy (w tym fałszywa odmowa zakończenia impersonacji). ZNALEZISKA naprawione d0b7331: udane zapisy subkont nie trafiały do dziennika (tylko część serwisów sama loguje) → teraz CUSTOMER_IAM_SUBACCOUNT_ACTION dla każdego udanego zapisu; *_MANAGE nie obejmowało *_READ (zgłoszenie wysłane, lista „brak uprawnień”); stop impersonacji subkonta odmawiany; imię subkonta = imię właściciela → w audycie teraz też e-mail. D3 po wdrożeniu: powtórzyć zgłoszenie z subkonta. UWAGA UX: formularz uprawnień IAM przy błędzie API pokazuje „Nie udało się wczytać tej strony” zamiast komunikatu (akcje IAM rzucają wyjątek). | 2026-09-27 D3 PRODUKCJA po wdrożeniu d0b7331 (#185): odpowiedź subkonta w zgłoszeniu „TEST O-03” widoczna u właściciela w IAM → Audyt jako „Działanie subkonta — Dominik Kowalski (kontakt@hvln.pl) POST /tickets/:id/replies”; subkonto z „Tickety: zarządzanie” widzi listę zgłoszeń; zakończenie impersonacji bez fałszywej odmowy. Zgłoszenie testowe zamknięte. Do zrobienia przez właściciela: odebrać kontakt@hvln.pl „Tickety: zarządzanie”. | 2026-09-27 UX IAM naprawione (121fc85, wdrożenie #188): błąd formularza wraca na IAM z czerwonym komunikatem nad formularzem (sprawdzone na produkcji: zaproszenie z „Wybrane usługi” bez usługi → „Zaznacz co najmniej jedną usługę…”, bez strony błędu, zaproszenie nie powstało). Przy okazji: komunikaty API z akcji serwera docierają do klienta (e3b6f19 — rejestracja domeny, menedżer plików, domeny).</t>
        </is>
      </c>
    </row>
    <row r="306">
      <c r="A306" s="11" t="inlineStr">
        <is>
          <t>O-04</t>
        </is>
      </c>
      <c r="B306" s="12" t="inlineStr">
        <is>
          <t>O</t>
        </is>
      </c>
      <c r="C306" s="11" t="inlineStr">
        <is>
          <t>Egzekwowanie uprawnień w nawigacji i API</t>
        </is>
      </c>
      <c r="D306" s="11" t="inlineStr">
        <is>
          <t>TAK</t>
        </is>
      </c>
      <c r="E306" s="11" t="inlineStr">
        <is>
          <t>TAK</t>
        </is>
      </c>
      <c r="F306" s="11" t="inlineStr">
        <is>
          <t>CZĘŚĆ</t>
        </is>
      </c>
      <c r="G306" s="11" t="inlineStr">
        <is>
          <t>—</t>
        </is>
      </c>
      <c r="H306" s="11" t="inlineStr">
        <is>
          <t>—</t>
        </is>
      </c>
      <c r="I306" s="11" t="inlineStr">
        <is>
          <t>DZIAŁA</t>
        </is>
      </c>
      <c r="J306" s="12" t="inlineStr">
        <is>
          <t>middleware.ts:39; customer-permissions.guard.ts:9; test D1</t>
        </is>
      </c>
      <c r="K306" s="11" t="inlineStr">
        <is>
          <t>PARYTET</t>
        </is>
      </c>
      <c r="L306" s="11" t="inlineStr">
        <is>
          <t>—</t>
        </is>
      </c>
      <c r="M306" s="11" t="inlineStr">
        <is>
          <t>—</t>
        </is>
      </c>
      <c r="N306" s="12" t="inlineStr"/>
    </row>
    <row r="307">
      <c r="A307" s="11" t="inlineStr">
        <is>
          <t>O-05</t>
        </is>
      </c>
      <c r="B307" s="12" t="inlineStr">
        <is>
          <t>O</t>
        </is>
      </c>
      <c r="C307" s="11" t="inlineStr">
        <is>
          <t>Reseller — przegląd klientów</t>
        </is>
      </c>
      <c r="D307" s="11" t="inlineStr">
        <is>
          <t>TAK</t>
        </is>
      </c>
      <c r="E307" s="11" t="inlineStr">
        <is>
          <t>TAK</t>
        </is>
      </c>
      <c r="F307" s="11" t="inlineStr">
        <is>
          <t>TAK</t>
        </is>
      </c>
      <c r="G307" s="11" t="inlineStr">
        <is>
          <t>CZĘŚĆ</t>
        </is>
      </c>
      <c r="H307" s="11" t="inlineStr">
        <is>
          <t>CZĘŚĆ</t>
        </is>
      </c>
      <c r="I307" s="11" t="inlineStr">
        <is>
          <t>DZIAŁA</t>
        </is>
      </c>
      <c r="J307" s="12" t="inlineStr">
        <is>
          <t>reseller-klienci.service.ts + reseller.controller.ts (5 tras), reseller-klient.tsx; reseller-klienci.int-spec.ts (6 testów na PostgreSQL)</t>
        </is>
      </c>
      <c r="K307" s="11" t="inlineStr">
        <is>
          <t>CZĘŚCIOWY</t>
        </is>
      </c>
      <c r="L307" s="11" t="inlineStr">
        <is>
          <t>ŚREDNIA</t>
        </is>
      </c>
      <c r="M307" s="11" t="inlineStr">
        <is>
          <t>L</t>
        </is>
      </c>
      <c r="N307" s="12" t="inlineStr">
        <is>
          <t>2026-09-25 (decyzje właściciela): szczegóły klienta tylko usługi i stan (bez salda, danych rozliczeniowych, plików, poczty, faktur, logowań; bez wchodzenia na konto — test pilnuje listy pól), ponowny link „ustaw hasło” (raz na 10 min, stare tokeny unieważnione), wstrzymanie/wznowienie usługi (powód RESELLER; reseller zdejmuje tylko własną blokadę, klient dostaje maila i baner w panelu; po 30 dniach przypomnienie dla obsługi), odpięcie klienta (reseller i sam klient w Ustawieniach, DELETE /me/partner tylko właściciel). Zostało: przejście na produkcji. | 2026-09-27 PRODUKCJA (D4): szczegóły klienta testowego i „Wyślij link ustaw hasło” (toast „Link wysłany…”) działają. Zostaje: wstrzymaj/wznów wymaga usługi u klienta; odepnij — na końcu testów. | 2026-09-27 PRODUKCJA (D4) cd.: „Odepnij klienta” — okno potwierdzenia, toast „Klient odpięty.”, lista pusta; klient po odświeżeniu widzi logo Verris zamiast marki resellera. Wstrzymaj/wznów wymaga DZIAŁAJĄCEJ usługi u klienta resellera, a nowa usługa potrzebuje węzła (Node-PL-01 bez sygnału od 75 dni) — przeniesione do testów na węźle; logika pokryta reseller-klienci.int-spec.ts (PostgreSQL). | 2026-10-07 D3 t1: klient resellera (dominik+klient@, konto założone przez resellera) z usługą o05.d3.hvln.pl (założona przez operatora); panel resellera → Wstrzymaj → strona pokazuje „Ta strona jest tymczasowo niedostępna” (Verris), e-mail do klienta; Wznów → strona wraca. ZNALEZISKO: surowe „pending_payment” przy usłudze klienta — poprawione (958100b5).</t>
        </is>
      </c>
    </row>
    <row r="308">
      <c r="A308" s="11" t="inlineStr">
        <is>
          <t>O-06</t>
        </is>
      </c>
      <c r="B308" s="12" t="inlineStr">
        <is>
          <t>O</t>
        </is>
      </c>
      <c r="C308" s="11" t="inlineStr">
        <is>
          <t>Reseller — zakładanie kont klientom</t>
        </is>
      </c>
      <c r="D308" s="11" t="inlineStr">
        <is>
          <t>TAK</t>
        </is>
      </c>
      <c r="E308" s="11" t="inlineStr">
        <is>
          <t>TAK</t>
        </is>
      </c>
      <c r="F308" s="11" t="inlineStr">
        <is>
          <t>TAK</t>
        </is>
      </c>
      <c r="G308" s="11" t="inlineStr">
        <is>
          <t>CZĘŚĆ</t>
        </is>
      </c>
      <c r="H308" s="11" t="inlineStr">
        <is>
          <t>CZĘŚĆ</t>
        </is>
      </c>
      <c r="I308" s="11" t="inlineStr">
        <is>
          <t>DZIAŁA</t>
        </is>
      </c>
      <c r="J308" s="12" t="inlineStr">
        <is>
          <t>reseller.controller.ts POST me/clients → reseller.service.ts createClient; reseller-client.tsx „Załóż konto klientowi”; test reseller.apply.spec.ts</t>
        </is>
      </c>
      <c r="K308" s="11" t="inlineStr">
        <is>
          <t>PARYTET</t>
        </is>
      </c>
      <c r="L308" s="11" t="inlineStr">
        <is>
          <t>ŚREDNIA</t>
        </is>
      </c>
      <c r="M308" s="11" t="inlineStr">
        <is>
          <t>L</t>
        </is>
      </c>
      <c r="N308" s="12" t="inlineStr">
        <is>
          <t>bez tego reseller nie jest produktem | DECYZJA WŁAŚCICIELA 2026-09-24: program resellerski budujemy PRZED startem (zakładanie kont klientom i samodzielne włączenie programu, O-06 + O-08). | 2026-09-24: KOD (D2) — aktywny reseller zakłada konto klientowi: konto USER od razu przypisane (resellerOwnerId), bez hasła — klient ustawia je z linku (72 h, token jak przy A-24). DECYZJE WŁAŚCICIELA 2026-09-24: limit 10 kont/dobę (liczone z dziennika RESELLER_CLIENT_CREATED, 429 z komunikatem) i mail „Verris + nazwa resellera” z informacją, kto założył konto, i drogą zgłoszenia podszycia (verris.pl/zglos-naduzycie). Zajęty adres → 409; program nieaktywny → 403; subkonta: ODMOWA. Dane klienta/dostęp → D3: OTWARTE — pierwszy prawdziwy reseller na produkcji. | 2026-09-27 PRODUKCJA (D4): reseller testowy „Test Verris” (konto właściciela, odblokowane w adminie) założył klienta z panelu; klient dostał mail z marką (logo + nazwa, „na infrastrukturze Verris”), ustawił hasło i się zalogował; licznik „Klienci” 0→1. Przy okazji poprawione (0a90ba7): konto bez żadnej akceptacji widziało modal „Zaktualizowaliśmy dokumenty… brak (legacy)” — teraz pierwsza akceptacja; nazwa marki w mailu nie dubluje się obok logo. ZNALEZISKO (właściciel, przed startem): linki w mailach idą przez śledzenie kliknięć SES (awstrack.me) — także token resetu hasła; wyłączyć Click/Open tracking w configuration secie SES dla verris.pl. | 2026-09-27 ZNALEZISKO ZAMKNIĘTE: właściciel wyłączył w SES → Virtual Deliverability Manager „Engagement tracking” (account level); nowy link „ustaw hasło” w mailu prowadzi wprost na https://panel.verris.pl/reset-password (bez awstrack.me). | 2026-10-08 PRODUKCJA (D3): reseller d3 („Test Verris”) założył z panelu konto dominik+o06@dkowalski.pl o 15:56 → admin: „klient od 08.10.2026 · przez resellera Test Verris”, oś czasu „Konto założone przez resellera”; panel resellera: Klienci 1→2 („0 usług · od 8.10.2026”); mail z marką resellera, link ustawienia hasła 72 h, link do zgłoszenia nadużycia. Poprawione (b5e34fbf, decyzja właściciela): temat i treść „Konto założyła dla Ciebie firma Test Verris” zamiast „Test Verris założył(a) Ci konto”.</t>
        </is>
      </c>
    </row>
    <row r="309">
      <c r="A309" s="11" t="inlineStr">
        <is>
          <t>O-07</t>
        </is>
      </c>
      <c r="B309" s="12" t="inlineStr">
        <is>
          <t>O</t>
        </is>
      </c>
      <c r="C309" s="11" t="inlineStr">
        <is>
          <t>Reseller — ustawianie własnej marży</t>
        </is>
      </c>
      <c r="D309" s="11" t="inlineStr">
        <is>
          <t>TAK</t>
        </is>
      </c>
      <c r="E309" s="11" t="inlineStr">
        <is>
          <t>TAK</t>
        </is>
      </c>
      <c r="F309" s="11" t="inlineStr">
        <is>
          <t>TAK</t>
        </is>
      </c>
      <c r="G309" s="11" t="inlineStr">
        <is>
          <t>CZĘŚĆ</t>
        </is>
      </c>
      <c r="H309" s="11" t="inlineStr">
        <is>
          <t>CZĘŚĆ</t>
        </is>
      </c>
      <c r="I309" s="11" t="inlineStr">
        <is>
          <t>CZĘŚCIOWE</t>
        </is>
      </c>
      <c r="J309" s="12" t="inlineStr">
        <is>
          <t>reseller.controller.ts POST me/markup → reseller.service.ts setMarkup (0–300%, audyt RESELLER_MARKUP_CHANGED); reseller-client.tsx „Twój narzut”; test reseller.apply.spec.ts</t>
        </is>
      </c>
      <c r="K309" s="11" t="inlineStr">
        <is>
          <t>CZĘŚCIOWY</t>
        </is>
      </c>
      <c r="L309" s="11" t="inlineStr">
        <is>
          <t>NISKA</t>
        </is>
      </c>
      <c r="M309" s="11" t="inlineStr">
        <is>
          <t>M</t>
        </is>
      </c>
      <c r="N309" s="12" t="inlineStr">
        <is>
          <t>2026-09-24: KOD (D2) — reseller sam ustawia narzut w panelu (dotąd tylko operator), te same granice co w adminie, zmiana od razu w przeglądzie klientów i przychodu. Bez pieniędzy po stronie Verris (narzut tylko liczy cenę detaliczną w przeglądzie) — PARYTET wg skali. | 2026-09-25 D3 (produkcja): reseller testowy aktywowany w adminie, narzut zmieniony przez klienta 25→30% (kafelek i komunikat „Nowe ceny detaliczne liczą się od razu”), admin widzi zmianę; 301% zablokowane walidacją pola; przywrócone 25% i ZAWIESZONY. | Zamknięte 2026-09-25: D3 na produkcji (wpis wyżej) — stan DZIAŁA. | 2026-09-28 PRZEGLĄD LUK (3.2) + DECYZJA WŁAŚCICIELA: narzut zmieniał tylko liczby w widoku resellera, klienci płacili cenę katalogową (widmo). Ukryte flagą NEXT_PUBLIC_FEATURE_RESELLER_MARKUP (domyślnie off) w panelu, adminie i na verris.pl do czasu wdrożenia rozliczeń narzutu (46976c6). Pole markupPct w API zostaje. | 2026-10-05 KOD (decyzja właściciela — dokończyć przed startem): przy FEATURE_RESELLER_MARKUP=true klient resellera płaci cennik + narzut (zakup, zmiana planu, koniec okresu próbnego, odnowienia ze snapshotu Subscription.resellerMarkupPct); karta cykliczna odmawia — płatność z portfela; część narzutu z każdej opłaty abonamentu = prowizja RESELLER_MARKUP (dedupe rsl:&lt;tx&gt;), wypłata jak w programie partnerskim; odpięcie klienta przywraca cennik. Testy: narzut-resellera.spec.ts (17), narzut-resellera.int-spec.ts (PostgreSQL). Zostaje: D3 na produkcji po włączeniu flag (serwer + NEXT_PUBLIC_FEATURE_RESELLER_MARKUP). | 2026-10-07 D3 (produkcja, flaga tylko dla d3): reseller Test Verris +25%; „Zaloguj jako klient” na dominik+klient → zamówienie Poczty Standard pokazało 12,49 K (9,99 + 25%), portfel pobrał 11,24 K = 12,49 − 10% rabatu na start. Konto nie powstało (t1 wstrzymany do 18.10) → 3 próby → automatyczny zwrot 11,24 K, zamówienie anulowane. Znalezione i poprawione w kodzie: (1) detal resellera bez snapshotu = faktyczna cena (d99e925f), (2) rabat na start niewidoczny przed zapłatą poza hostingiem (7d8178c0, order-flow.spec.tsx), (3) zwrot opłaty nie cofał prowizji — teraz podstawa = opłata − zwroty, w karencji CANCELED/mniejsza kwota (39c68bdf, narzut-resellera.int-spec.ts). Zostaje: zakup z założonym kontem po 18.10, prowizja po karencji, wypłata. | 2026-10-07 DECYZJA WŁAŚCICIELA + KOD: rabat na start i kody rabatowe Verris nie obejmują klientów aktywnego resellera (API odmawia kodu, panel bez rabatu i pola kodu) — b92eb687, zakup-z-portfela.int-spec.ts. Przy okazji: brak węzła → odmowa przed pobraniem (073b9801), cena na liście = kwota odnowienia (8bd1525f). | 2026-10-07 23:45 D3 (produkcja, po deployu): jako dominik+klient (impersonacja) — zamówienie poczty 12,49 K bez „Rabat na start” i bez pola kodu (także z ?promo=START20); „Zamów i opłać” przy wstrzymanym t1 → „Sprzedaż jest chwilowo wstrzymana… Nic nie pobraliśmy”, portfel 25,00 K bez zmian; lista usług: cena = kwota odnowienia. Rozliczenie poza Verris przywrócone; sesja właściciela wróciła po zakończeniu impersonacji. | 2026-10-08 DECYZJA + KOD: także kody promocyjne Verris (kredyt na portfel, bonus do doładowania) poza klientami aktywnego resellera — PromoService we wszystkich wejściach kodu, panel bez pól kodu w Płatnościach (a46a1e17).</t>
        </is>
      </c>
    </row>
    <row r="310">
      <c r="A310" s="11" t="inlineStr">
        <is>
          <t>O-08</t>
        </is>
      </c>
      <c r="B310" s="12" t="inlineStr">
        <is>
          <t>O</t>
        </is>
      </c>
      <c r="C310" s="11" t="inlineStr">
        <is>
          <t>Reseller — samodzielne włączenie programu</t>
        </is>
      </c>
      <c r="D310" s="11" t="inlineStr">
        <is>
          <t>CZĘŚĆ</t>
        </is>
      </c>
      <c r="E310" s="11" t="inlineStr">
        <is>
          <t>CZĘŚĆ</t>
        </is>
      </c>
      <c r="F310" s="11" t="inlineStr">
        <is>
          <t>CZĘŚĆ</t>
        </is>
      </c>
      <c r="G310" s="11" t="inlineStr">
        <is>
          <t>CZĘŚĆ</t>
        </is>
      </c>
      <c r="H310" s="11" t="inlineStr">
        <is>
          <t>CZĘŚĆ</t>
        </is>
      </c>
      <c r="I310" s="11" t="inlineStr">
        <is>
          <t>DZIAŁA</t>
        </is>
      </c>
      <c r="J310" s="12" t="inlineStr">
        <is>
          <t>reseller.controller.ts POST me/apply → reseller.service.ts apply (profil PENDING, kod, audyt RESELLER_APPLIED); reseller-client.tsx „Złóż wniosek” + baner wniosku; test reseller.apply.spec.ts</t>
        </is>
      </c>
      <c r="K310" s="11" t="inlineStr">
        <is>
          <t>PARYTET</t>
        </is>
      </c>
      <c r="L310" s="11" t="inlineStr">
        <is>
          <t>NISKA</t>
        </is>
      </c>
      <c r="M310" s="11" t="inlineStr">
        <is>
          <t>M</t>
        </is>
      </c>
      <c r="N310" s="12" t="inlineStr">
        <is>
          <t>strona sprzedażowa bez operacji zapisu | DECYZJA WŁAŚCICIELA 2026-09-24: budujemy PRZED startem razem z O-06 — do tego czasu strona sprzedażowa bez zapisu zostaje jako znana ATRAPA. | 2026-09-24: KOD (D2) — klient sam składa wniosek w panelu (opcjonalna nazwa marki), powstaje profil PENDING; link zaproszenia nie wiąże klientów do akceptacji (auth.service wymaga ACTIVE); operator włącza program istniejącym „Włącz” w panelu admina. Tylko właściciel konta (subkonta: ODMOWA). Powiadomienie operatora e-mailem o nowym wniosku (RESELLER_APPLY_EMAIL, domyślnie SECURITY_ALERT_EMAIL). Po zatwierdzeniu (PENDING → ACTIVE, także „Włącz” w adminie) klient dostaje e-mail z linkiem zaproszenia i narzutem. ZOSTAJE: O-06 (zakładanie kont klientom przez resellera). | D3 2026-09-24 (produkcja, deploy #149): wniosek „Test Verris” z panelu klienta → w adminie „WNIOSEK” + „Zatwierdź wniosek” → AKTYWNY, baner znika; e-mail „Program resellerski Verris jest aktywny” SENT (dziennik poczty, 22:59); narzut 20→25% z admina widoczny u klienta; zawieszenie → baner „tymczasowo zawieszone”. Konto testowe zostawione jako ZAWIESZONE. ZNALEZISKO: powiadomienie operatora o wniosku nie wyszło (SECURITY_ALERT_EMAIL nieustawiony na produkcji) — poprawione: bez RESELLER_APPLY_EMAIL idzie do wszystkich administratorów, jak alerty operacyjne (czeka na deploy).</t>
        </is>
      </c>
    </row>
    <row r="311">
      <c r="A311" s="11" t="inlineStr">
        <is>
          <t>O-09</t>
        </is>
      </c>
      <c r="B311" s="12" t="inlineStr">
        <is>
          <t>O</t>
        </is>
      </c>
      <c r="C311" s="11" t="inlineStr">
        <is>
          <t>White-label / własna marka resellera</t>
        </is>
      </c>
      <c r="D311" s="11" t="inlineStr">
        <is>
          <t>TAK</t>
        </is>
      </c>
      <c r="E311" s="11" t="inlineStr">
        <is>
          <t>TAK</t>
        </is>
      </c>
      <c r="F311" s="11" t="inlineStr">
        <is>
          <t>TAK</t>
        </is>
      </c>
      <c r="G311" s="11" t="inlineStr">
        <is>
          <t>CZĘŚĆ</t>
        </is>
      </c>
      <c r="H311" s="11" t="inlineStr">
        <is>
          <t>CZĘŚĆ</t>
        </is>
      </c>
      <c r="I311" s="11" t="inlineStr">
        <is>
          <t>DZIAŁA</t>
        </is>
      </c>
      <c r="J311" s="12" t="inlineStr">
        <is>
          <t>reseller-marka.ts, mailer.service.ts applyPartnerBrand, reseller-logo.public.controller.ts, layout.tsx (sidebar), migracja 20260925230000_reseller_logo</t>
        </is>
      </c>
      <c r="K311" s="11" t="inlineStr">
        <is>
          <t>PARYTET</t>
        </is>
      </c>
      <c r="L311" s="11" t="inlineStr">
        <is>
          <t>NISKA</t>
        </is>
      </c>
      <c r="M311" s="11" t="inlineStr">
        <is>
          <t>L</t>
        </is>
      </c>
      <c r="N311" s="12" t="inlineStr">
        <is>
          <t>seohost to reklamuje jako wyróżnik | 2026-09-25 PRZEGLĄD TREŚCI verris.pl: strona obiecywała „własną markę — klient widzi Ciebie, nie nas”, a brandName jest tylko zapisywany (klient loguje się do panelu Verris). Treść zmieniona na „własny narzut”; „własna marka” wraca na stronę po zrobieniu tej pozycji. | 2026-09-25: nazwa i logo resellera (PNG/JPEG/WebP ≤100 KB, typ po sygnaturze, nigdy SVG) w panelu klienta (sidebar, Ustawienia) i w nagłówku każdego maila z email-shell, z dopiskiem „na infrastrukturze Verris”; własna domena panelu po starcie. Zostało: przejście na produkcji, potem decyzja o powrocie „własnej marki” na verris.pl. | 2026-09-27 PRODUKCJA (D4): mail do klienta testowego z logo i nazwą „Test Verris” + „na infrastrukturze Verris” — potwierdzone zrzutem właściciela. Zostaje: marka w panelu klienta. | 2026-09-27 PRODUKCJA (D4): panel klienta testowego pokazuje w menu logo „Test Verris” + „na infrastrukturze Verris”. Poprawione (5d70739): nazwa nie dubluje się obok logo. Mail i panel sprawdzone — zamknięte. | 2026-10-08 PRODUKCJA (D3) ponownie: panel klienta o05 (impersonacja za zgodą właściciela) — menu: logo z api.verris.pl/public/reseller-logo/rsl_e2b216c615 (360×90) + „Test Verris” + „na infrastrukturze Verris”; mail resellera z 08.10 z tą samą marką. Tytuł karty przeglądarki zostaje „Verris — Panel klienta” (własna domena panelu po starcie).</t>
        </is>
      </c>
    </row>
    <row r="312">
      <c r="A312" s="11" t="inlineStr">
        <is>
          <t>O-10</t>
        </is>
      </c>
      <c r="B312" s="12" t="inlineStr">
        <is>
          <t>O</t>
        </is>
      </c>
      <c r="C312" s="11" t="inlineStr">
        <is>
          <t>Role i uprawnienia operatorów</t>
        </is>
      </c>
      <c r="D312" s="11" t="inlineStr">
        <is>
          <t>TAK</t>
        </is>
      </c>
      <c r="E312" s="11" t="inlineStr">
        <is>
          <t>TAK</t>
        </is>
      </c>
      <c r="F312" s="11" t="inlineStr">
        <is>
          <t>TAK</t>
        </is>
      </c>
      <c r="G312" s="11" t="inlineStr">
        <is>
          <t>—</t>
        </is>
      </c>
      <c r="H312" s="11" t="inlineStr">
        <is>
          <t>—</t>
        </is>
      </c>
      <c r="I312" s="11" t="inlineStr">
        <is>
          <t>DZIAŁA</t>
        </is>
      </c>
      <c r="J312" s="12" t="inlineStr">
        <is>
          <t>staff-roles.admin.controller.ts:31,36,41 | 2026-10-10: martwe uprawnienia podpięte — audit.admin.controller.ts:31 (AUDIT_VIEW), compliance.admin.controller.ts:113-143 (COMPLIANCE_MANAGE), plans.admin.controller.ts:36 (PLANS_MANAGE), test martwe-uprawnienia.spec.ts:40-75; front admina fail-closed przy błędzie API uprawnień (admin-panel lib/staff-access.ts:20-21); menu obsługi wg uprawnień (staff-panel lib/menu-obslugi.ts + spec); „Zaloguj jako klient” tylko z CUSTOMERS_IMPERSONATE (staff-panel lib/staff-access.ts:31-35)</t>
        </is>
      </c>
      <c r="K312" s="11" t="inlineStr">
        <is>
          <t>PARYTET</t>
        </is>
      </c>
      <c r="L312" s="11" t="inlineStr">
        <is>
          <t>—</t>
        </is>
      </c>
      <c r="M312" s="11" t="inlineStr">
        <is>
          <t>—</t>
        </is>
      </c>
      <c r="N312" s="12" t="inlineStr">
        <is>
          <t>2026-10-10: 08.10: role L1–L4 i funkcyjne, wnioski o operację (pakiet obsługi). 10.10 Fala 1A: RBAC operatora egzekwowany w API i w obu panelach (D2). ZOSTAJE przed betą: przejście ról L1–L4 na żywo przez przełączenie roli istniejącego konta staff — bez tego RBAC zostaje na D2.</t>
        </is>
      </c>
    </row>
    <row r="313">
      <c r="A313" s="11" t="inlineStr">
        <is>
          <t>O-11</t>
        </is>
      </c>
      <c r="B313" s="12" t="inlineStr">
        <is>
          <t>O</t>
        </is>
      </c>
      <c r="C313" s="11" t="inlineStr">
        <is>
          <t>Zarządzanie operatorami</t>
        </is>
      </c>
      <c r="D313" s="11" t="inlineStr">
        <is>
          <t>TAK</t>
        </is>
      </c>
      <c r="E313" s="11" t="inlineStr">
        <is>
          <t>TAK</t>
        </is>
      </c>
      <c r="F313" s="11" t="inlineStr">
        <is>
          <t>TAK</t>
        </is>
      </c>
      <c r="G313" s="11" t="inlineStr">
        <is>
          <t>—</t>
        </is>
      </c>
      <c r="H313" s="11" t="inlineStr">
        <is>
          <t>—</t>
        </is>
      </c>
      <c r="I313" s="11" t="inlineStr">
        <is>
          <t>DZIAŁA</t>
        </is>
      </c>
      <c r="J313" s="12" t="inlineStr">
        <is>
          <t>staff-roles.admin.controller.ts:51,56,61 | 2026-10-10: karta operatora /operators/[id] (role, blokada, Grafana) i „Twoje konto” (2FA, passkey, break-glass); stan 2FA i passkey zespołu na liście (operators/page.tsx; users.admin.service.ts:54-121; test stan-2fa-zespolu.int-spec.ts); poczta zespołu „Zawieś skrzynkę” (878dcc18)</t>
        </is>
      </c>
      <c r="K313" s="11" t="inlineStr">
        <is>
          <t>PARYTET</t>
        </is>
      </c>
      <c r="L313" s="11" t="inlineStr">
        <is>
          <t>—</t>
        </is>
      </c>
      <c r="M313" s="11" t="inlineStr">
        <is>
          <t>—</t>
        </is>
      </c>
      <c r="N313" s="12" t="inlineStr">
        <is>
          <t>2026-10-10: porządki admina (patch 12) i Fala 1B. Przełącznik wymuszenia 2FA dla zespołu w panelu (decyzja D10, ADMIN) — Fala 2A (PB-51); do tego czasu zmienna REQUIRE_2FA_FOR_STAFF (auth.service.ts:702).</t>
        </is>
      </c>
    </row>
    <row r="314">
      <c r="A314" s="11" t="inlineStr">
        <is>
          <t>O-12</t>
        </is>
      </c>
      <c r="B314" s="12" t="inlineStr">
        <is>
          <t>O</t>
        </is>
      </c>
      <c r="C314" s="11" t="inlineStr">
        <is>
          <t>Program partnerski / afiliacyjny</t>
        </is>
      </c>
      <c r="D314" s="11" t="inlineStr">
        <is>
          <t>NIE</t>
        </is>
      </c>
      <c r="E314" s="11" t="inlineStr">
        <is>
          <t>NIE</t>
        </is>
      </c>
      <c r="F314" s="11" t="inlineStr">
        <is>
          <t>NIE</t>
        </is>
      </c>
      <c r="G314" s="11" t="inlineStr">
        <is>
          <t>CZĘŚĆ</t>
        </is>
      </c>
      <c r="H314" s="11" t="inlineStr">
        <is>
          <t>TAK</t>
        </is>
      </c>
      <c r="I314" s="11" t="inlineStr">
        <is>
          <t>DZIAŁA</t>
        </is>
      </c>
      <c r="J314" s="12" t="inlineStr">
        <is>
          <t>partners.controller.ts:18,28,34</t>
        </is>
      </c>
      <c r="K314" s="11" t="inlineStr">
        <is>
          <t>PARYTET</t>
        </is>
      </c>
      <c r="L314" s="11" t="inlineStr">
        <is>
          <t>—</t>
        </is>
      </c>
      <c r="M314" s="11" t="inlineStr">
        <is>
          <t>—</t>
        </is>
      </c>
      <c r="N314" s="12" t="inlineStr">
        <is>
          <t>wypłata na portfel lub IBAN | 2026-09-27 KOD (c8a4d84): równoległe żądania wypłaty nie tworzą dwóch wypłat z tych samych prowizji. Test partnerzy-wyplaty.int-spec.ts.</t>
        </is>
      </c>
    </row>
    <row r="315">
      <c r="A315" s="11" t="inlineStr">
        <is>
          <t>Z-04</t>
        </is>
      </c>
      <c r="B315" s="12" t="inlineStr">
        <is>
          <t>O</t>
        </is>
      </c>
      <c r="C315" s="11" t="inlineStr">
        <is>
          <t>Guard uprawnień subkont — domyślna odmowa</t>
        </is>
      </c>
      <c r="D315" s="11" t="inlineStr">
        <is>
          <t>TAK</t>
        </is>
      </c>
      <c r="E315" s="11" t="inlineStr">
        <is>
          <t>TAK</t>
        </is>
      </c>
      <c r="F315" s="11" t="inlineStr">
        <is>
          <t>CZĘŚĆ</t>
        </is>
      </c>
      <c r="G315" s="11" t="inlineStr">
        <is>
          <t>CZĘŚĆ</t>
        </is>
      </c>
      <c r="H315" s="11" t="inlineStr">
        <is>
          <t>TAK</t>
        </is>
      </c>
      <c r="I315" s="11" t="inlineStr">
        <is>
          <t>DZIAŁA</t>
        </is>
      </c>
      <c r="J315" s="12" t="inlineStr">
        <is>
          <t>customer-permissions.guard.ts — typ WymogTrasy, REGULY_TRAS, domyślne 'ODMOWA'; customer-permissions-coverage.spec.ts — 55 tras zamkniętych, lista jawna</t>
        </is>
      </c>
      <c r="K315" s="11" t="inlineStr">
        <is>
          <t>PARYTET</t>
        </is>
      </c>
      <c r="L315" s="11" t="inlineStr">
        <is>
          <t>—</t>
        </is>
      </c>
      <c r="M315" s="11" t="inlineStr">
        <is>
          <t>S</t>
        </is>
      </c>
      <c r="N315" s="12" t="inlineStr">
        <is>
          <t>Zamknięte 2026-08-21. Przemiatanie tras pokazało większą skalę niż pierwotny opis: 148 z 347 tras dostępnych dla konta klienckiego nie wymagało żadnego uprawnienia, w tym POST /me/account-deletion (usunięcie konta właściciela), POST /partners/me/payouts/bank (wypłata prowizji na konto bankowe) i POST /users/iam/invites. Domyślna odpowiedź odwrócona na odmowę; rzeczy właściciela zamknięte twardo, niezależnie od nadanych uprawnień. Testy na zachowaniu strażnika, nie na metadanych — 15 z 28 czerwieniło się na starej wersji. Dokumentacja: docs/archiwum/zadania/Z-04-guard-uprawnien-subkont.md</t>
        </is>
      </c>
    </row>
    <row r="316">
      <c r="A316" s="11" t="inlineStr">
        <is>
          <t>P-01</t>
        </is>
      </c>
      <c r="B316" s="12" t="inlineStr">
        <is>
          <t>P</t>
        </is>
      </c>
      <c r="C316" s="11" t="inlineStr">
        <is>
          <t>Eksport danych osobowych (art. 20)</t>
        </is>
      </c>
      <c r="D316" s="11" t="inlineStr">
        <is>
          <t>NIE</t>
        </is>
      </c>
      <c r="E316" s="11" t="inlineStr">
        <is>
          <t>CZĘŚĆ</t>
        </is>
      </c>
      <c r="F316" s="11" t="inlineStr">
        <is>
          <t>NIE</t>
        </is>
      </c>
      <c r="G316" s="11" t="inlineStr">
        <is>
          <t>CZĘŚĆ</t>
        </is>
      </c>
      <c r="H316" s="11" t="inlineStr">
        <is>
          <t>CZĘŚĆ</t>
        </is>
      </c>
      <c r="I316" s="11" t="inlineStr">
        <is>
          <t>DZIAŁA</t>
        </is>
      </c>
      <c r="J316" s="12" t="inlineStr">
        <is>
          <t>compliance/data-export.service.ts; test data-export.zip.spec.ts</t>
        </is>
      </c>
      <c r="K316" s="11" t="inlineStr">
        <is>
          <t>PRZEWAGA</t>
        </is>
      </c>
      <c r="L316" s="11" t="inlineStr">
        <is>
          <t>—</t>
        </is>
      </c>
      <c r="M316" s="11" t="inlineStr">
        <is>
          <t>—</t>
        </is>
      </c>
      <c r="N316" s="12" t="inlineStr">
        <is>
          <t>KOREKTA 2026-09-25: wpis „ZERO testów” był nieaktualny — data-export.zip.spec.ts (X-22) sprawdza archiwum: README, sekcje JSON, załączniki zgłoszeń, zaczernione sekrety, zip slip, brakujący obiekt w magazynie. Dołożone: zaczernienie kodów awaryjnych operatora (staffBreakGlassCodesEnc) — eksport konta operatora wynosił je zaszyfrowane.</t>
        </is>
      </c>
    </row>
    <row r="317">
      <c r="A317" s="11" t="inlineStr">
        <is>
          <t>P-02</t>
        </is>
      </c>
      <c r="B317" s="12" t="inlineStr">
        <is>
          <t>P</t>
        </is>
      </c>
      <c r="C317" s="11" t="inlineStr">
        <is>
          <t>Żądanie usunięcia konta (art. 17)</t>
        </is>
      </c>
      <c r="D317" s="11" t="inlineStr">
        <is>
          <t>NIE</t>
        </is>
      </c>
      <c r="E317" s="11" t="inlineStr">
        <is>
          <t>CZĘŚĆ</t>
        </is>
      </c>
      <c r="F317" s="11" t="inlineStr">
        <is>
          <t>NIE</t>
        </is>
      </c>
      <c r="G317" s="11" t="inlineStr">
        <is>
          <t>CZĘŚĆ</t>
        </is>
      </c>
      <c r="H317" s="11" t="inlineStr">
        <is>
          <t>CZĘŚĆ</t>
        </is>
      </c>
      <c r="I317" s="11" t="inlineStr">
        <is>
          <t>DZIAŁA</t>
        </is>
      </c>
      <c r="J317" s="12" t="inlineStr">
        <is>
          <t>compliance/account-deletion.service.ts; auth/strategies/jwt.strategy.ts; testy account-deletion.anonymizacja.spec.ts, account-deletion.purge.spec.ts</t>
        </is>
      </c>
      <c r="K317" s="11" t="inlineStr">
        <is>
          <t>PRZEWAGA</t>
        </is>
      </c>
      <c r="L317" s="11" t="inlineStr">
        <is>
          <t>WYSOKA</t>
        </is>
      </c>
      <c r="M317" s="11" t="inlineStr">
        <is>
          <t>—</t>
        </is>
      </c>
      <c r="N317" s="12" t="inlineStr">
        <is>
          <t>ZERO testów na operacji NIEODWRACALNEJ (twarde kasowanie konta DA) | 2026-09-25: TESTY + 2 NAPRAWY (D2). (1) Subkonta zanonimizowanego właściciela zachowywały dostęp: JWT subkonta daje userId właściciela, a anonimizacja ich nie ruszała — mogły dalej działać na koncie (np. zamawiać usługi). Teraz subkonta są wyłączane, anonimizowane i wylogowane w tej samej transakcji, a strażnik JWT odrzuca subkonto, gdy właściciel jest zanonimizowany albo zablokowany. (2) Dziennik audytu zapisywał jawny poprzedni e-mail (trzymany 24 mies.) — teraz tylko skrót SHA-256. Testy: co znika, co zostaje (faktury), subkonta, brak e-maila w dzienniku, zawieszenie na serwerze dopiero po zapisie w bazie, idempotencja. Nieodwracalne + dane klienta — zostaje do D3. | 2026-09-25 (2): anonimizacja usuwa też webhooki klienta (adres i sekret) i unieważnia tokeny API.</t>
        </is>
      </c>
    </row>
    <row r="318">
      <c r="A318" s="11" t="inlineStr">
        <is>
          <t>P-03</t>
        </is>
      </c>
      <c r="B318" s="12" t="inlineStr">
        <is>
          <t>P</t>
        </is>
      </c>
      <c r="C318" s="11" t="inlineStr">
        <is>
          <t>Wycofanie żądania usunięcia</t>
        </is>
      </c>
      <c r="D318" s="11" t="inlineStr">
        <is>
          <t>NIE</t>
        </is>
      </c>
      <c r="E318" s="11" t="inlineStr">
        <is>
          <t>NIE</t>
        </is>
      </c>
      <c r="F318" s="11" t="inlineStr">
        <is>
          <t>NIE</t>
        </is>
      </c>
      <c r="G318" s="11" t="inlineStr">
        <is>
          <t>b.d.</t>
        </is>
      </c>
      <c r="H318" s="11" t="inlineStr">
        <is>
          <t>b.d.</t>
        </is>
      </c>
      <c r="I318" s="11" t="inlineStr">
        <is>
          <t>DZIAŁA</t>
        </is>
      </c>
      <c r="J318" s="12" t="inlineStr">
        <is>
          <t>account-deletion.controller.ts:62</t>
        </is>
      </c>
      <c r="K318" s="11" t="inlineStr">
        <is>
          <t>PRZEWAGA</t>
        </is>
      </c>
      <c r="L318" s="11" t="inlineStr">
        <is>
          <t>—</t>
        </is>
      </c>
      <c r="M318" s="11" t="inlineStr">
        <is>
          <t>—</t>
        </is>
      </c>
      <c r="N318" s="12" t="inlineStr">
        <is>
          <t>karencja 14 dni</t>
        </is>
      </c>
    </row>
    <row r="319">
      <c r="A319" s="11" t="inlineStr">
        <is>
          <t>P-04</t>
        </is>
      </c>
      <c r="B319" s="12" t="inlineStr">
        <is>
          <t>P</t>
        </is>
      </c>
      <c r="C319" s="11" t="inlineStr">
        <is>
          <t>Historia zgód klienta</t>
        </is>
      </c>
      <c r="D319" s="11" t="inlineStr">
        <is>
          <t>NIE</t>
        </is>
      </c>
      <c r="E319" s="11" t="inlineStr">
        <is>
          <t>CZĘŚĆ</t>
        </is>
      </c>
      <c r="F319" s="11" t="inlineStr">
        <is>
          <t>NIE</t>
        </is>
      </c>
      <c r="G319" s="11" t="inlineStr">
        <is>
          <t>CZĘŚĆ</t>
        </is>
      </c>
      <c r="H319" s="11" t="inlineStr">
        <is>
          <t>CZĘŚĆ</t>
        </is>
      </c>
      <c r="I319" s="11" t="inlineStr">
        <is>
          <t>DZIAŁA</t>
        </is>
      </c>
      <c r="J319" s="12" t="inlineStr">
        <is>
          <t>consents.controller.ts:70</t>
        </is>
      </c>
      <c r="K319" s="11" t="inlineStr">
        <is>
          <t>PARYTET</t>
        </is>
      </c>
      <c r="L319" s="11" t="inlineStr">
        <is>
          <t>—</t>
        </is>
      </c>
      <c r="M319" s="11" t="inlineStr">
        <is>
          <t>—</t>
        </is>
      </c>
      <c r="N319" s="12" t="inlineStr"/>
    </row>
    <row r="320">
      <c r="A320" s="11" t="inlineStr">
        <is>
          <t>P-05</t>
        </is>
      </c>
      <c r="B320" s="12" t="inlineStr">
        <is>
          <t>P</t>
        </is>
      </c>
      <c r="C320" s="11" t="inlineStr">
        <is>
          <t>Ponowna akceptacja przy zmianie regulaminu</t>
        </is>
      </c>
      <c r="D320" s="11" t="inlineStr">
        <is>
          <t>NIE</t>
        </is>
      </c>
      <c r="E320" s="11" t="inlineStr">
        <is>
          <t>NIE</t>
        </is>
      </c>
      <c r="F320" s="11" t="inlineStr">
        <is>
          <t>NIE</t>
        </is>
      </c>
      <c r="G320" s="11" t="inlineStr">
        <is>
          <t>CZĘŚĆ</t>
        </is>
      </c>
      <c r="H320" s="11" t="inlineStr">
        <is>
          <t>CZĘŚĆ</t>
        </is>
      </c>
      <c r="I320" s="11" t="inlineStr">
        <is>
          <t>DZIAŁA</t>
        </is>
      </c>
      <c r="J320" s="12" t="inlineStr">
        <is>
          <t>reconsent-modal.tsx:169; consents.controller.ts:76</t>
        </is>
      </c>
      <c r="K320" s="11" t="inlineStr">
        <is>
          <t>PRZEWAGA</t>
        </is>
      </c>
      <c r="L320" s="11" t="inlineStr">
        <is>
          <t>—</t>
        </is>
      </c>
      <c r="M320" s="11" t="inlineStr">
        <is>
          <t>—</t>
        </is>
      </c>
      <c r="N320" s="12" t="inlineStr">
        <is>
          <t xml:space="preserve"> | 2026-10-06 D3: po publikacji 1.1.0 panel klienta przy wejściu pokazuje okno „Zaktualizowaliśmy ważne dokumenty prawne” (Regulamin i Polityka 1.1.0, zaakceptowana 1.0.1, link do pełnej treści, checkbox + Akceptuję/Wyloguj).</t>
        </is>
      </c>
    </row>
    <row r="321">
      <c r="A321" s="11" t="inlineStr">
        <is>
          <t>P-06</t>
        </is>
      </c>
      <c r="B321" s="12" t="inlineStr">
        <is>
          <t>P</t>
        </is>
      </c>
      <c r="C321" s="11" t="inlineStr">
        <is>
          <t>Umowa powierzenia (DPA) do pobrania</t>
        </is>
      </c>
      <c r="D321" s="11" t="inlineStr">
        <is>
          <t>NIE</t>
        </is>
      </c>
      <c r="E321" s="11" t="inlineStr">
        <is>
          <t>CZĘŚĆ</t>
        </is>
      </c>
      <c r="F321" s="11" t="inlineStr">
        <is>
          <t>NIE</t>
        </is>
      </c>
      <c r="G321" s="11" t="inlineStr">
        <is>
          <t>CZĘŚĆ</t>
        </is>
      </c>
      <c r="H321" s="11" t="inlineStr">
        <is>
          <t>CZĘŚĆ</t>
        </is>
      </c>
      <c r="I321" s="11" t="inlineStr">
        <is>
          <t>DZIAŁA</t>
        </is>
      </c>
      <c r="J321" s="12" t="inlineStr">
        <is>
          <t>dpa.controller.ts:23; dpa-pdf.service.ts</t>
        </is>
      </c>
      <c r="K321" s="11" t="inlineStr">
        <is>
          <t>PRZEWAGA</t>
        </is>
      </c>
      <c r="L321" s="11" t="inlineStr">
        <is>
          <t>—</t>
        </is>
      </c>
      <c r="M321" s="11" t="inlineStr">
        <is>
          <t>—</t>
        </is>
      </c>
      <c r="N321" s="12" t="inlineStr"/>
    </row>
    <row r="322">
      <c r="A322" s="11" t="inlineStr">
        <is>
          <t>P-07</t>
        </is>
      </c>
      <c r="B322" s="12" t="inlineStr">
        <is>
          <t>P</t>
        </is>
      </c>
      <c r="C322" s="11" t="inlineStr">
        <is>
          <t>Dokumenty prawne z historią wersji</t>
        </is>
      </c>
      <c r="D322" s="11" t="inlineStr">
        <is>
          <t>NIE</t>
        </is>
      </c>
      <c r="E322" s="11" t="inlineStr">
        <is>
          <t>NIE</t>
        </is>
      </c>
      <c r="F322" s="11" t="inlineStr">
        <is>
          <t>NIE</t>
        </is>
      </c>
      <c r="G322" s="11" t="inlineStr">
        <is>
          <t>CZĘŚĆ</t>
        </is>
      </c>
      <c r="H322" s="11" t="inlineStr">
        <is>
          <t>CZĘŚĆ</t>
        </is>
      </c>
      <c r="I322" s="11" t="inlineStr">
        <is>
          <t>DZIAŁA</t>
        </is>
      </c>
      <c r="J322" s="12" t="inlineStr">
        <is>
          <t>legal-documents.controller.ts:36,49</t>
        </is>
      </c>
      <c r="K322" s="11" t="inlineStr">
        <is>
          <t>PRZEWAGA</t>
        </is>
      </c>
      <c r="L322" s="11" t="inlineStr">
        <is>
          <t>—</t>
        </is>
      </c>
      <c r="M322" s="11" t="inlineStr">
        <is>
          <t>—</t>
        </is>
      </c>
      <c r="N322" s="12" t="inlineStr">
        <is>
          <t>brakujący dokument → „Dokument w przygotowaniu”</t>
        </is>
      </c>
    </row>
    <row r="323">
      <c r="A323" s="11" t="inlineStr">
        <is>
          <t>P-08</t>
        </is>
      </c>
      <c r="B323" s="12" t="inlineStr">
        <is>
          <t>P</t>
        </is>
      </c>
      <c r="C323" s="11" t="inlineStr">
        <is>
          <t>Retencja i anonimizacja logów</t>
        </is>
      </c>
      <c r="D323" s="11" t="inlineStr">
        <is>
          <t>NIE</t>
        </is>
      </c>
      <c r="E323" s="11" t="inlineStr">
        <is>
          <t>CZĘŚĆ</t>
        </is>
      </c>
      <c r="F323" s="11" t="inlineStr">
        <is>
          <t>NIE</t>
        </is>
      </c>
      <c r="G323" s="11" t="inlineStr">
        <is>
          <t>b.d.</t>
        </is>
      </c>
      <c r="H323" s="11" t="inlineStr">
        <is>
          <t>b.d.</t>
        </is>
      </c>
      <c r="I323" s="11" t="inlineStr">
        <is>
          <t>DZIAŁA</t>
        </is>
      </c>
      <c r="J323" s="12" t="inlineStr">
        <is>
          <t>compliance/retention.scheduler.ts; test retention.scheduler.spec.ts</t>
        </is>
      </c>
      <c r="K323" s="11" t="inlineStr">
        <is>
          <t>PRZEWAGA</t>
        </is>
      </c>
      <c r="L323" s="11" t="inlineStr">
        <is>
          <t>—</t>
        </is>
      </c>
      <c r="M323" s="11" t="inlineStr">
        <is>
          <t>—</t>
        </is>
      </c>
      <c r="N323" s="12" t="inlineStr">
        <is>
          <t>ZERO testów | 2026-09-25: TESTY (D2) — progi sprawdzone testem: próby logowania 180 dni, IP i user-agent w dzienniku po ~24 mies. (wpis zostaje), zdarzenia Stripe 90 dni, wygasłe eksporty; wpis RETENTION_PURGE tylko gdy coś usunięto. Poprawiony opis w kodzie: obiecywał kasowanie kont DA po anonimizacji, którego ten sweeper nie robi (robi to ścieżka art. 17).</t>
        </is>
      </c>
    </row>
    <row r="324">
      <c r="A324" s="11" t="inlineStr">
        <is>
          <t>P-09</t>
        </is>
      </c>
      <c r="B324" s="12" t="inlineStr">
        <is>
          <t>P</t>
        </is>
      </c>
      <c r="C324" s="11" t="inlineStr">
        <is>
          <t>Zgody marketingowe (opt-in/out)</t>
        </is>
      </c>
      <c r="D324" s="11" t="inlineStr">
        <is>
          <t>NIE</t>
        </is>
      </c>
      <c r="E324" s="11" t="inlineStr">
        <is>
          <t>NIE</t>
        </is>
      </c>
      <c r="F324" s="11" t="inlineStr">
        <is>
          <t>NIE</t>
        </is>
      </c>
      <c r="G324" s="11" t="inlineStr">
        <is>
          <t>TAK</t>
        </is>
      </c>
      <c r="H324" s="11" t="inlineStr">
        <is>
          <t>TAK</t>
        </is>
      </c>
      <c r="I324" s="11" t="inlineStr">
        <is>
          <t>DZIAŁA</t>
        </is>
      </c>
      <c r="J324" s="12" t="inlineStr">
        <is>
          <t>consents.controller.ts:99</t>
        </is>
      </c>
      <c r="K324" s="11" t="inlineStr">
        <is>
          <t>PARYTET</t>
        </is>
      </c>
      <c r="L324" s="11" t="inlineStr">
        <is>
          <t>—</t>
        </is>
      </c>
      <c r="M324" s="11" t="inlineStr">
        <is>
          <t>—</t>
        </is>
      </c>
      <c r="N324" s="12" t="inlineStr"/>
    </row>
    <row r="325">
      <c r="A325" s="11" t="inlineStr">
        <is>
          <t>P-10</t>
        </is>
      </c>
      <c r="B325" s="12" t="inlineStr">
        <is>
          <t>P</t>
        </is>
      </c>
      <c r="C325" s="11" t="inlineStr">
        <is>
          <t>Baner zgody na cookies</t>
        </is>
      </c>
      <c r="D325" s="11" t="inlineStr">
        <is>
          <t>NIE</t>
        </is>
      </c>
      <c r="E325" s="11" t="inlineStr">
        <is>
          <t>NIE</t>
        </is>
      </c>
      <c r="F325" s="11" t="inlineStr">
        <is>
          <t>NIE</t>
        </is>
      </c>
      <c r="G325" s="11" t="inlineStr">
        <is>
          <t>TAK</t>
        </is>
      </c>
      <c r="H325" s="11" t="inlineStr">
        <is>
          <t>TAK</t>
        </is>
      </c>
      <c r="I325" s="11" t="inlineStr">
        <is>
          <t>DZIAŁA</t>
        </is>
      </c>
      <c r="J325" s="12" t="inlineStr">
        <is>
          <t>cookie-consent.tsx</t>
        </is>
      </c>
      <c r="K325" s="11" t="inlineStr">
        <is>
          <t>PARYTET</t>
        </is>
      </c>
      <c r="L325" s="11" t="inlineStr">
        <is>
          <t>—</t>
        </is>
      </c>
      <c r="M325" s="11" t="inlineStr">
        <is>
          <t>—</t>
        </is>
      </c>
      <c r="N325" s="12" t="inlineStr"/>
    </row>
    <row r="326">
      <c r="A326" s="11" t="inlineStr">
        <is>
          <t>P-11</t>
        </is>
      </c>
      <c r="B326" s="12" t="inlineStr">
        <is>
          <t>P</t>
        </is>
      </c>
      <c r="C326" s="11" t="inlineStr">
        <is>
          <t>Rejestr czynności przetwarzania (art. 30)</t>
        </is>
      </c>
      <c r="D326" s="11" t="inlineStr">
        <is>
          <t>NIE</t>
        </is>
      </c>
      <c r="E326" s="11" t="inlineStr">
        <is>
          <t>NIE</t>
        </is>
      </c>
      <c r="F326" s="11" t="inlineStr">
        <is>
          <t>NIE</t>
        </is>
      </c>
      <c r="G326" s="11" t="inlineStr">
        <is>
          <t>b.d.</t>
        </is>
      </c>
      <c r="H326" s="11" t="inlineStr">
        <is>
          <t>b.d.</t>
        </is>
      </c>
      <c r="I326" s="11" t="inlineStr">
        <is>
          <t>DZIAŁA</t>
        </is>
      </c>
      <c r="J326" s="12" t="inlineStr">
        <is>
          <t>docs/legal/rcpd.md — sekcje A (administrator), B (procesor, art. 30 ust. 2), C (art. 32), D (przeglądy)</t>
        </is>
      </c>
      <c r="K326" s="11" t="inlineStr">
        <is>
          <t>PARYTET</t>
        </is>
      </c>
      <c r="L326" s="11" t="inlineStr">
        <is>
          <t>ŚREDNIA</t>
        </is>
      </c>
      <c r="M326" s="11" t="inlineStr">
        <is>
          <t>M</t>
        </is>
      </c>
      <c r="N326" s="12" t="inlineStr">
        <is>
          <t>KOREKTA DOWODU: wcześniejszy zapis „brak encji i widoku” był mylący. Art. 30 wymaga formy pisemnej lub elektronicznej — dokument ją spełnia. Do pilnowania zostaje dyscyplina przeglądów i dat. | 2026-09-25: RCPD 1.1 — A13 asystent AI (OpenAI Ireland Ltd, Anthropic Ireland, Limited; SCC; retencja dziennika AI 12 mies. egzekwowana w RetentionScheduler, test retention.scheduler.spec.ts). Nazwy i warunki dostawców z oficjalnych umów (OpenAI Services Agreement + DPA, Anthropic Commercial Terms + DPA). | 2026-09-26: projekt rytmu przeglądów (co 6 mies. 26.03/26.09 + lista 7 zdarzeń + dziennik, sekcja E) i poprawka sprzeczności w sekcji D (KSC ~3.10 → 6 mies. od DNS/domen) — docs/legal/drafts/DO_ZATWIERDZENIA_P-11_rcpd-przeglady.md (do zatwierdzenia; po akceptacji → rcpd.md 1.2 i DZIAŁA). | 2026-09-27 ZAMKNIĘTE: decyzja właściciela — przeglądy 26.03 i 26.09 + zdarzeniowe; rcpd.md 1.2 (sekcja D: rytm i lista kontrolna, sekcja E: dziennik z pierwszym wpisem); zadanie w panelu admina (PrzegladRcpdScheduler, test przeglad-rcpd.scheduler.spec.ts).</t>
        </is>
      </c>
    </row>
    <row r="327">
      <c r="A327" s="11" t="inlineStr">
        <is>
          <t>P-12</t>
        </is>
      </c>
      <c r="B327" s="12" t="inlineStr">
        <is>
          <t>P</t>
        </is>
      </c>
      <c r="C327" s="11" t="inlineStr">
        <is>
          <t>Dostępność panelu wg WCAG 2.1 AA (EAA)</t>
        </is>
      </c>
      <c r="D327" s="11" t="inlineStr">
        <is>
          <t>NIE</t>
        </is>
      </c>
      <c r="E327" s="11" t="inlineStr">
        <is>
          <t>CZĘŚĆ</t>
        </is>
      </c>
      <c r="F327" s="11" t="inlineStr">
        <is>
          <t>NIE</t>
        </is>
      </c>
      <c r="G327" s="11" t="inlineStr">
        <is>
          <t>b.d.</t>
        </is>
      </c>
      <c r="H327" s="11" t="inlineStr">
        <is>
          <t>b.d.</t>
        </is>
      </c>
      <c r="I327" s="11" t="inlineStr">
        <is>
          <t>DZIAŁA</t>
        </is>
      </c>
      <c r="J327" s="12" t="inlineStr">
        <is>
          <t>eslint.config.mjs w 4 aplikacjach: jsx-a11y recommended jako błędy (34 reguły); 76 → 0 znalezisk (client 52, admin 17, staff 6, www 1); client-panel/src/lib/kontrast-tokenow.spec.ts; ops/qa/a11y-nazwy-kontrolek.js</t>
        </is>
      </c>
      <c r="K327" s="11" t="inlineStr">
        <is>
          <t>CZĘŚCIOWY</t>
        </is>
      </c>
      <c r="L327" s="11" t="inlineStr">
        <is>
          <t>ŚREDNIA</t>
        </is>
      </c>
      <c r="M327" s="11" t="inlineStr">
        <is>
          <t>L</t>
        </is>
      </c>
      <c r="N327" s="12" t="inlineStr">
        <is>
          <t>2026-09-24: etykiety powiązane z polami (htmlFor/useId, aria-labelledby), klikalne div/li → button, okna modalne z role=dialog + Esc (brakowało w 3 oknach admina i 3 kreatora), paleta poleceń z rolami combobox. Wyciszenia tylko z uzasadnieniem (fokus w oknie otwartym przez użytkownika, tabIndex=0 na wykresach — żeby dymki z danymi były dostępne z klawiatury). ZOSTAJE: kontrast kolorów i przejście czytnikiem ekranu — tego lint nie sprawdza. | KOREKTA DOWODU: wcześniejszy zapis „brak audytu w repo” był FAŁSZYWY. Audyt istnieje. Dokument powołuje się na zwolnienie mikroprzedsiębiorcy (art. 4 ust. 2 ustawy z 26.04.2024) — warto potwierdzić z prawnikiem i pilnować progów 10 osób / 2 mln EUR. | 2026-09-25 KONTRAST (panel klienta): policzone wg WCAG dla obu motywów. Jasny: --data 2,5–3,0:1 (wykresy, obramowanie fokusu) → #18935f (≥3,2:1), --data-hi, --warn, --crit poniżej 4,5:1 na --muted, --destructive 4,0–4,2:1 → poprawione; ciemny: tekst przycisku „usuń” 3,6:1 → 5,8:1; linki text-data → text-data-hi. Strażnik kontrast-tokenow.spec.ts (16 testów; sprawdzony: stary kolor --data → czerwony). ZOSTAJE: przejście czytnikiem ekranu i panele admin/obsługa. | 2026-09-25 NAZWY KONTROLEK (produkcja, zalogowane konta): skan HTML wszystkich tras bez parametrów — klient 24, admin 48, obsługa 11 (ops/qa/a11y-nazwy-kontrolek.js). Znalezione i poprawione: pola bez etykiety (plany — Field bez htmlFor obejmuje pole; faktura ręczna, role, VPN, poczta zespołu, wyszukiwarki klientów i dziennika, doładowanie, kody promocyjne, kalkulator, IAM, analityka, baza wiedzy), przełączniki bez nazwy, linki-ikony „wstecz”, przycisk menu konta. Admin i obsługa dostały skip link. Przy okazji: /settings/mail i /referral-enrollments w panelu obsługi dawały błąd serwera (403 z API) — naprawione; panele mają error.tsx zamiast pustej strony błędu. | 2026-09-25 (3): jeden h1 na stronach logowania, rejestracji, resetu hasła i dokumentów prawnych (nagłówki treści dokumentu o poziom niżej); strona i baza wiedzy (verris.pl, pomoc.verris.pl) — skan czysty. Kontrast szarego tekstu w panelach admina i obsługi (neutral-500/600) podniesiony do ≥4,5:1. | 2026-09-25: Stepper kreatorów z aria-current="step"; komunikaty błędów zawsze po polsku (akcje serwera nie dostają już HTML-a 503 z middleware). | 2026-09-26 (noc) SKAN AXE 4.13 (WCAG 2.0/2.1 A+AA), lokalnie na pełnym systemie, oba motywy: panel klienta 35 tras, admin 50, obsługa 11. Znalezione i poprawione: kontrast (etykiety sekcji menu admina 4,1:1 → #8E8E97; przyciski emerald-600/violet-500/cyan-600 z białym tekstem → odcienie ≥4,5:1 w adminie i obsłudze; text-white/40 → /55), linki w tekście bez podkreślenia (19 plików klienta + admin), aria-label na span bez roli (paginacja audytu, onboarding, wczytywanie konta), lista z nieprawidłowymi dziećmi (kreator węzła), pola bez etykiety w Ustawieniach (e-mail, język, kraj). Po poprawkach: admin 0, obsługa 0, klient — tylko meta-refresh strony „chwilowa przerwa” (503 w trakcie wdrożenia, auto-odświeżenie celowe). Przejście prawdziwym czytnikiem ekranu (VoiceOver/NVDA) wymaga człowieka — zostaje jako kontrola ręczna.</t>
        </is>
      </c>
    </row>
    <row r="328">
      <c r="A328" s="11" t="inlineStr">
        <is>
          <t>P-13</t>
        </is>
      </c>
      <c r="B328" s="12" t="inlineStr">
        <is>
          <t>P</t>
        </is>
      </c>
      <c r="C328" s="11" t="inlineStr">
        <is>
          <t>Deklaracja lokalizacji danych</t>
        </is>
      </c>
      <c r="D328" s="11" t="inlineStr">
        <is>
          <t>NIE</t>
        </is>
      </c>
      <c r="E328" s="11" t="inlineStr">
        <is>
          <t>NIE</t>
        </is>
      </c>
      <c r="F328" s="11" t="inlineStr">
        <is>
          <t>NIE</t>
        </is>
      </c>
      <c r="G328" s="11" t="inlineStr">
        <is>
          <t>TAK</t>
        </is>
      </c>
      <c r="H328" s="11" t="inlineStr">
        <is>
          <t>CZĘŚĆ</t>
        </is>
      </c>
      <c r="I328" s="11" t="inlineStr">
        <is>
          <t>DZIAŁA</t>
        </is>
      </c>
      <c r="J328" s="12" t="inlineStr">
        <is>
          <t>libs/contracts lokalizacja.ts; panel: usługa → Przegląd → Dane dostępowe (dopisek o lokalizacji); admin: węzeł → Lokalizacja danych, kreator/init węzła (lista); API: servers/regiony.ts + walidacja DTO; test src/test/regiony-danych.spec.ts</t>
        </is>
      </c>
      <c r="K328" s="11" t="inlineStr">
        <is>
          <t>PARYTET</t>
        </is>
      </c>
      <c r="L328" s="11" t="inlineStr">
        <is>
          <t>ŚREDNIA</t>
        </is>
      </c>
      <c r="M328" s="11" t="inlineStr">
        <is>
          <t>S</t>
        </is>
      </c>
      <c r="N328" s="12" t="inlineStr">
        <is>
          <t>wszystkie 5 hostingów PL to eksponuje | 2026-09-23: klient widzi, gdzie leżą dane usługi (region węzła) albo ogólne „EOG, Hetzner DE/FI”, gdy region nieustalony. Kreator węzła miał domyślnie „PL” w wolnym polu — przy węźle w Niemczech/Finlandii dałoby to fałszywą deklarację; teraz tylko kody centrów danych z listy. D3: po zakupie węzła #1 ustawić jego region w adminie. | 2026-10-06 decyzja właściciela: nazwę dostawcy centrum danych ukrywamy w całym UI (panel klienta, llms.txt) — opisy „Niemcy, Norymberga” itd.; nazwa zostaje w dokumentach prawnych (9327b0e9, test regiony-danych.spec.ts).</t>
        </is>
      </c>
    </row>
    <row r="329">
      <c r="A329" s="11" t="inlineStr">
        <is>
          <t>P-14</t>
        </is>
      </c>
      <c r="B329" s="12" t="inlineStr">
        <is>
          <t>P</t>
        </is>
      </c>
      <c r="C329" s="11" t="inlineStr">
        <is>
          <t>Certyfikacja ISO 27001</t>
        </is>
      </c>
      <c r="D329" s="11" t="inlineStr">
        <is>
          <t>NIE</t>
        </is>
      </c>
      <c r="E329" s="11" t="inlineStr">
        <is>
          <t>NIE</t>
        </is>
      </c>
      <c r="F329" s="11" t="inlineStr">
        <is>
          <t>NIE</t>
        </is>
      </c>
      <c r="G329" s="11" t="inlineStr">
        <is>
          <t>CZĘŚĆ</t>
        </is>
      </c>
      <c r="H329" s="11" t="inlineStr">
        <is>
          <t>CZĘŚĆ</t>
        </is>
      </c>
      <c r="I329" s="11" t="inlineStr">
        <is>
          <t>BRAK</t>
        </is>
      </c>
      <c r="J329" s="12" t="inlineStr">
        <is>
          <t>—</t>
        </is>
      </c>
      <c r="K329" s="11" t="inlineStr">
        <is>
          <t>LUKA</t>
        </is>
      </c>
      <c r="L329" s="11" t="inlineStr">
        <is>
          <t>NISKA</t>
        </is>
      </c>
      <c r="M329" s="11" t="inlineStr">
        <is>
          <t>L</t>
        </is>
      </c>
      <c r="N329" s="12" t="inlineStr">
        <is>
          <t>home.pl i nazwa.pl mają — element przetargowy w B2B</t>
        </is>
      </c>
    </row>
    <row r="330">
      <c r="A330" s="11" t="inlineStr">
        <is>
          <t>P-15</t>
        </is>
      </c>
      <c r="B330" s="12" t="inlineStr">
        <is>
          <t>P</t>
        </is>
      </c>
      <c r="C330" s="11" t="inlineStr">
        <is>
          <t>Podpisane DPA z subprocesorami</t>
        </is>
      </c>
      <c r="D330" s="11" t="inlineStr">
        <is>
          <t>—</t>
        </is>
      </c>
      <c r="E330" s="11" t="inlineStr">
        <is>
          <t>—</t>
        </is>
      </c>
      <c r="F330" s="11" t="inlineStr">
        <is>
          <t>—</t>
        </is>
      </c>
      <c r="G330" s="11" t="inlineStr">
        <is>
          <t>—</t>
        </is>
      </c>
      <c r="H330" s="11" t="inlineStr">
        <is>
          <t>—</t>
        </is>
      </c>
      <c r="I330" s="11" t="inlineStr">
        <is>
          <t>DZIAŁA</t>
        </is>
      </c>
      <c r="J330" s="12" t="inlineStr">
        <is>
          <t>docs/legal/dpa-subprocessors-tracking.md — tabela statusow po korekcie 2026-09-19. Stripe i AWS: DPA obowiazuje z mocy umowy glownej. Hetzner i Openprovider: akceptacja w panelu, jeszcze nie wykonana. Cloudflare: mechanizm do potwierdzenia.</t>
        </is>
      </c>
      <c r="K330" s="11" t="inlineStr">
        <is>
          <t>PARYTET</t>
        </is>
      </c>
      <c r="L330" s="11" t="inlineStr">
        <is>
          <t>BLOKER STARTU</t>
        </is>
      </c>
      <c r="M330" s="11" t="inlineStr">
        <is>
          <t>S</t>
        </is>
      </c>
      <c r="N330" s="12" t="inlineStr">
        <is>
          <t>POTWIERDZONE jako bloker, dowód poprawiony: tracker istnieje (wcześniejszy zapis „brak w repo” był fałszywy), ale ani jedno DPA nie jest podpisane — Stripe, dostawca VPS, dostawca backupu off-site, OpenProvider. Bez tego DPA podpisywane z klientem jest niekompletne. | KOREKTA 2026-09-19: naklad M (16 h) -&gt; S (6 h) i pozycja w calosci w sprincie 4. Zalozenie "zalezy od tempa dostawcow, nie od nas" bylo NIEPRAWDZIWE i kosztowalo cztery tygodnie w planie: P-15 bylo rozbite na sprinty 4 i 10, przez co domkniecie blokerow stalo na 2026-11-02. Sprawdzone u zrodla: u zadnego z pieciu dostawcow nie trzeba nikogo prosic — trzy DPA obowiazuja z mocy umowy glownej (Stripe, AWS, warunkowo Cloudflare), dwa akceptuje sie kliknieciem w panelu (Hetzner accounts.hetzner.com/account/dpa, Openprovider control panel). Jedyna praca wlasna to Zalacznik 1 do DPA Hetznera: kategorie danych i krag osob, w tym UZYTKOWNICY KONCOWI SERWISOW KLIENTOW — najlatwiejsza do pominiecia i najwieksza grupa. Rownolegle poprawiona lista subprocesorow, ktora byla nieaktualna od 2026-07-07: wymieniala "dostawca VPS (OVH/Hetzner)" i "dostawca backupu" jako nierozstrzygniete oraz reCAPTCHA zamiast Turnstile. | 2026-09-23: dopisany Streamsoft Firmino (program księgowy, akceptacja w Ustawienia → RODO → Umowa powierzenia); OpenAI poza listą — AI wyłączone na start; ClouDNS przy zakupie w sprincie 18. | 2026-09-23: właściciel potwierdził akceptację umów powierzenia i uruchomienie skrzynek; dowody (numery umów / zrzuty z paneli) do dopisania w trackerze przy weryfikacji przed startem. | 2026-09-25: doszli OpenAI Ireland Ltd i Anthropic Ireland, Limited (asystent AI) — DPA z SCC obowiązuje z akceptacją umowy przy założeniu konta API; Polityka prywatności 1.0.3 w drafts/privacy.md do publikacji przed wpisaniem kluczy. Do DPA z klientami (Zał. 2) nie wchodzą. | 2026-09-27: właściciel — umowy powierzenia zaakceptowane przy zakładaniu kont (Hetzner, Openprovider, Cloudflare, Firmino; konta używane od wcześniejszego hostingu na Plesku), dokładnych dat nie pamięta. Cloudflare: DPA wchodzi z umową główną. Hetzner: umowę powierzenia zawiera się osobno w accounts.hetzner.com → Data protection — do potwierdzenia jednym spojrzeniem (data zawarcia widoczna na stronie), wtedy ZAMKNIĘTE. | 2026-09-27 ZAMKNIĘTE: Hetzner — DPA v1.2 zawarta 27.09.2026 (klient K0265867421, Załącznik 1 z użytkownikami końcowymi stron i poczty klientów; PDF u właściciela); Openprovider, Cloudflare, Firmino — zaakceptowane przy rejestracji (właściciel); Stripe, AWS — z umowy głównej. Tracker: docs/legal/dpa-subprocessors-tracking.md.</t>
        </is>
      </c>
    </row>
    <row r="331">
      <c r="A331" s="11" t="inlineStr">
        <is>
          <t>Q-01</t>
        </is>
      </c>
      <c r="B331" s="12" t="inlineStr">
        <is>
          <t>Q</t>
        </is>
      </c>
      <c r="C331" s="11" t="inlineStr">
        <is>
          <t>Program eko / punkty za oszczędność</t>
        </is>
      </c>
      <c r="D331" s="11" t="inlineStr">
        <is>
          <t>NIE</t>
        </is>
      </c>
      <c r="E331" s="11" t="inlineStr">
        <is>
          <t>NIE</t>
        </is>
      </c>
      <c r="F331" s="11" t="inlineStr">
        <is>
          <t>NIE</t>
        </is>
      </c>
      <c r="G331" s="11" t="inlineStr">
        <is>
          <t>NIE</t>
        </is>
      </c>
      <c r="H331" s="11" t="inlineStr">
        <is>
          <t>NIE</t>
        </is>
      </c>
      <c r="I331" s="11" t="inlineStr">
        <is>
          <t>FLAGA</t>
        </is>
      </c>
      <c r="J331" s="12" t="inlineStr">
        <is>
          <t>users.controller.ts:58,91; FEATURE_ECO domyślnie true</t>
        </is>
      </c>
      <c r="K331" s="11" t="inlineStr">
        <is>
          <t>PRZEWAGA</t>
        </is>
      </c>
      <c r="L331" s="11" t="inlineStr">
        <is>
          <t>NISKA</t>
        </is>
      </c>
      <c r="M331" s="11" t="inlineStr">
        <is>
          <t>S</t>
        </is>
      </c>
      <c r="N331" s="12" t="inlineStr">
        <is>
          <t>nikt na rynku PL | WYCENA 2026-09-19: krytycznosc i naklad uzupelnione przy wznowieniu. Pozycje przepisane 2026-08-28 w ramach X-49 zostaly bez wyceny, przez co nie liczyly sie do budzetu godzin i nie stały w zadnym sprincie. Podstawa wyceny: Program eko za flaga — roadmapa po starcie. | 2026-10-06 przegląd: wymiana punktów EKO na środki omijała księgę portfela (równoległe żądania = podwójne zasilenie, lost update salda) — 645a250: dekrement warunkowy + WalletLedgerService w jednej transakcji (int-spec eko-wymiana: 5 równoległych → 1 zasilenie). | 2026-10-08 DECYZJA WŁAŚCICIELA: program EKO włączony na becie. FEATURE_ECO domyślnie true — strona Program EKO działa na produkcji (d3: 116 pkt, przelicznik 100 pkt = 10 K, 08.10). Wymiana na portfel do sprawdzenia przez testerów bety.</t>
        </is>
      </c>
    </row>
    <row r="332">
      <c r="A332" s="11" t="inlineStr">
        <is>
          <t>Q-02</t>
        </is>
      </c>
      <c r="B332" s="12" t="inlineStr">
        <is>
          <t>Q</t>
        </is>
      </c>
      <c r="C332" s="11" t="inlineStr">
        <is>
          <t>Raport energetyczny usługi</t>
        </is>
      </c>
      <c r="D332" s="11" t="inlineStr">
        <is>
          <t>NIE</t>
        </is>
      </c>
      <c r="E332" s="11" t="inlineStr">
        <is>
          <t>NIE</t>
        </is>
      </c>
      <c r="F332" s="11" t="inlineStr">
        <is>
          <t>NIE</t>
        </is>
      </c>
      <c r="G332" s="11" t="inlineStr">
        <is>
          <t>NIE</t>
        </is>
      </c>
      <c r="H332" s="11" t="inlineStr">
        <is>
          <t>NIE</t>
        </is>
      </c>
      <c r="I332" s="11" t="inlineStr">
        <is>
          <t>CZĘŚCIOWE</t>
        </is>
      </c>
      <c r="J332" s="12" t="inlineStr">
        <is>
          <t>eco-report.service.ts:9 — jawnie deklarowany jako szacunek</t>
        </is>
      </c>
      <c r="K332" s="11" t="inlineStr">
        <is>
          <t>PRZEWAGA</t>
        </is>
      </c>
      <c r="L332" s="11" t="inlineStr">
        <is>
          <t>NISKA</t>
        </is>
      </c>
      <c r="M332" s="11" t="inlineStr">
        <is>
          <t>M</t>
        </is>
      </c>
      <c r="N332" s="12" t="inlineStr">
        <is>
          <t>metodologia opisana — uczciwe podejście | WYCENA 2026-09-19: krytycznosc i naklad uzupelnione przy wznowieniu. Pozycje przepisane 2026-08-28 w ramach X-49 zostaly bez wyceny, przez co nie liczyly sie do budzetu godzin i nie stały w zadnym sprincie. Podstawa wyceny: Raport energetyczny uslugi — roadmapa po starcie. | 2026-10-10: white label — metodologia raportu EKO bez nazw oprogramowania węzła (eco-report.service.ts; test common/biala-etykieta-teksty-klienta.spec.ts:12; 414d4937).</t>
        </is>
      </c>
    </row>
    <row r="333">
      <c r="A333" s="11" t="inlineStr">
        <is>
          <t>Q-03</t>
        </is>
      </c>
      <c r="B333" s="12" t="inlineStr">
        <is>
          <t>Q</t>
        </is>
      </c>
      <c r="C333" s="11" t="inlineStr">
        <is>
          <t>Badge na stronie klienta: pieczęć zaufania, dostępność na żywo, polecenie z prowizją, EKO</t>
        </is>
      </c>
      <c r="D333" s="11" t="inlineStr">
        <is>
          <t>NIE</t>
        </is>
      </c>
      <c r="E333" s="11" t="inlineStr">
        <is>
          <t>NIE</t>
        </is>
      </c>
      <c r="F333" s="11" t="inlineStr">
        <is>
          <t>NIE</t>
        </is>
      </c>
      <c r="G333" s="11" t="inlineStr">
        <is>
          <t>NIE</t>
        </is>
      </c>
      <c r="H333" s="11" t="inlineStr">
        <is>
          <t>NIE</t>
        </is>
      </c>
      <c r="I333" s="11" t="inlineStr">
        <is>
          <t>DZIAŁA</t>
        </is>
      </c>
      <c r="J333" s="12" t="inlineStr">
        <is>
          <t>badges/public-badges.controller.ts; badges/badge-logic.ts; test D2 (badge-logic.spec, public-badges.controller.spec)</t>
        </is>
      </c>
      <c r="K333" s="11" t="inlineStr">
        <is>
          <t>PRZEWAGA</t>
        </is>
      </c>
      <c r="L333" s="11" t="inlineStr">
        <is>
          <t>—</t>
        </is>
      </c>
      <c r="M333" s="11" t="inlineStr">
        <is>
          <t>—</t>
        </is>
      </c>
      <c r="N333" s="12" t="inlineStr">
        <is>
          <t>Przebudowa 2026-09-23 (PB-22): ramki iframe z sandboxem + loader v1.js, bez ciasteczek; pieczęć tylko na domenie usługi i tylko gdy SSL/monitor/dostępność ≥99,5%. Stare /public/eco zostaje dla zgodności. D3 po deployu.</t>
        </is>
      </c>
    </row>
    <row r="334">
      <c r="A334" s="11" t="inlineStr">
        <is>
          <t>Q-04</t>
        </is>
      </c>
      <c r="B334" s="12" t="inlineStr">
        <is>
          <t>Q</t>
        </is>
      </c>
      <c r="C334" s="11" t="inlineStr">
        <is>
          <t>Tryb eko usługi</t>
        </is>
      </c>
      <c r="D334" s="11" t="inlineStr">
        <is>
          <t>NIE</t>
        </is>
      </c>
      <c r="E334" s="11" t="inlineStr">
        <is>
          <t>NIE</t>
        </is>
      </c>
      <c r="F334" s="11" t="inlineStr">
        <is>
          <t>NIE</t>
        </is>
      </c>
      <c r="G334" s="11" t="inlineStr">
        <is>
          <t>NIE</t>
        </is>
      </c>
      <c r="H334" s="11" t="inlineStr">
        <is>
          <t>NIE</t>
        </is>
      </c>
      <c r="I334" s="11" t="inlineStr">
        <is>
          <t>DZIAŁA</t>
        </is>
      </c>
      <c r="J334" s="12" t="inlineStr">
        <is>
          <t>subscriptions.controller.ts:73</t>
        </is>
      </c>
      <c r="K334" s="11" t="inlineStr">
        <is>
          <t>PRZEWAGA</t>
        </is>
      </c>
      <c r="L334" s="11" t="inlineStr">
        <is>
          <t>—</t>
        </is>
      </c>
      <c r="M334" s="11" t="inlineStr">
        <is>
          <t>—</t>
        </is>
      </c>
      <c r="N334" s="12" t="inlineStr">
        <is>
          <t>wpływa m.in. na politykę backupów</t>
        </is>
      </c>
    </row>
    <row r="335">
      <c r="A335" s="11" t="inlineStr">
        <is>
          <t>Q-05</t>
        </is>
      </c>
      <c r="B335" s="12" t="inlineStr">
        <is>
          <t>Q</t>
        </is>
      </c>
      <c r="C335" s="11" t="inlineStr">
        <is>
          <t>E-mail marketing wbudowany w panel</t>
        </is>
      </c>
      <c r="D335" s="11" t="inlineStr">
        <is>
          <t>NIE</t>
        </is>
      </c>
      <c r="E335" s="11" t="inlineStr">
        <is>
          <t>NIE</t>
        </is>
      </c>
      <c r="F335" s="11" t="inlineStr">
        <is>
          <t>NIE</t>
        </is>
      </c>
      <c r="G335" s="11" t="inlineStr">
        <is>
          <t>CZĘŚĆ</t>
        </is>
      </c>
      <c r="H335" s="11" t="inlineStr">
        <is>
          <t>NIE</t>
        </is>
      </c>
      <c r="I335" s="11" t="inlineStr">
        <is>
          <t>CZĘŚCIOWE</t>
        </is>
      </c>
      <c r="J335" s="12" t="inlineStr">
        <is>
          <t>email-marketing.controller.ts:36,81,119,139</t>
        </is>
      </c>
      <c r="K335" s="11" t="inlineStr">
        <is>
          <t>CZĘŚCIOWY</t>
        </is>
      </c>
      <c r="L335" s="11" t="inlineStr">
        <is>
          <t>—</t>
        </is>
      </c>
      <c r="M335" s="11" t="inlineStr">
        <is>
          <t>—</t>
        </is>
      </c>
      <c r="N335" s="12" t="inlineStr">
        <is>
          <t>double opt-in + cordon antyspamowy | 2026-09-28 PRZEGLĄD LUK (3.1) + DECYZJA WŁAŚCICIELA: usługi nie da się kupić (brak planu EMAIL_MARKETING w zamówieniu). Ukryte flagą NEXT_PUBLIC_FEATURE_EMAIL_MARKETING (domyślnie off): panel (menu, paleta, trasy → 404) i verris.pl (strona, menu, stopka, sitemap, llms.txt) — 46976c6. Wraca po ukończeniu zakupu. | 2026-10-05 KOD (decyzja właściciela; ceny ustalone przez nas na prośbę właściciela): pakiety Newsletter Start 19 zł/mies. lub 190 zł/rok (1 000 kontaktów, 5 000 wysyłek/mies.) i Newsletter Plus 49 zł/mies. lub 490 zł/rok (5 000 kontaktów, 25 000 wysyłek/mies.) — plany w migracji 20261005140000_plany_newsletter, zgodność kodu, migracji i www w teście; zamówienie bez domeny w panelu za flagą; kampanie i potwierdzenia zapisu WYŁĄCZNIE przez osobny transport EMM_SMTP_URL (bez niego odmowa, nigdy przez SMTP poczty transakcyjnej); plany newslettera poza pakietami DA i wyborem węzła; zawieszona usługa nie wysyła. Zostaje: dostawca SMTP dla EMM_SMTP_URL (osobna subdomena nadawcza, podprocesor), Stripe sync planów, regulamin/cennik, D3 po włączeniu flagi. | 2026-10-08 DECYZJA WŁAŚCICIELA: Newsletter po starcie — pakiety zostają za flagą, dostawcę SMTP dla EMM_SMTP_URL wybieramy po starcie (podprocesor do RCPD i polityki).</t>
        </is>
      </c>
    </row>
    <row r="336">
      <c r="A336" s="11" t="inlineStr">
        <is>
          <t>Q-06</t>
        </is>
      </c>
      <c r="B336" s="12" t="inlineStr">
        <is>
          <t>Q</t>
        </is>
      </c>
      <c r="C336" s="11" t="inlineStr">
        <is>
          <t>VPS / cloud w tym samym panelu</t>
        </is>
      </c>
      <c r="D336" s="11" t="inlineStr">
        <is>
          <t>NIE</t>
        </is>
      </c>
      <c r="E336" s="11" t="inlineStr">
        <is>
          <t>NIE</t>
        </is>
      </c>
      <c r="F336" s="11" t="inlineStr">
        <is>
          <t>NIE</t>
        </is>
      </c>
      <c r="G336" s="11" t="inlineStr">
        <is>
          <t>TAK</t>
        </is>
      </c>
      <c r="H336" s="11" t="inlineStr">
        <is>
          <t>TAK</t>
        </is>
      </c>
      <c r="I336" s="11" t="inlineStr">
        <is>
          <t>FLAGA</t>
        </is>
      </c>
      <c r="J336" s="12" t="inlineStr">
        <is>
          <t>vps.controller.ts:53,59,69; HETZNER_API_TOKEN</t>
        </is>
      </c>
      <c r="K336" s="11" t="inlineStr">
        <is>
          <t>PARYTET</t>
        </is>
      </c>
      <c r="L336" s="11" t="inlineStr">
        <is>
          <t>ŚREDNIA</t>
        </is>
      </c>
      <c r="M336" s="11" t="inlineStr">
        <is>
          <t>M</t>
        </is>
      </c>
      <c r="N336" s="12" t="inlineStr">
        <is>
          <t>DECYZJA 2026-09-24: do wejścia VPS do sprzedaży verris.pl go nie reklamuje — /vps → 404, znika z menu, stopki, sitemapy, llms.txt i opisów; wszystko na jednej fladze NEXT_PUBLIC_FEATURE_VPS (ta sama co w panelu, 2026-09-23). | bez tokenu menu prowadzi do pustego stanu | 2026-09-27 KOD (44994e7): VPS wstrzymanego za brak płatności nie da się włączyć z panelu (włączy się sam przy odnowieniu po doładowaniu); zakup bez środków nie zostawia osieroconego rekordu. Test vps.int-spec.ts. | 2026-10-06 D3 NA ŻYWO: token Hetznera w API (9cb384e), plan VPS Start (cx23, nbg1, 44,99 zł brutto), flaga per konto FEATURE_VPS_TYLKO_KONTA (bf7df92) — d3 zamówił test-d3 z portfela, serwer działał po ~10 s (IP, hasło root jednorazowe). Inne konta: API 403. | 2026-10-08: werdykt PARYTET — zakup VPS z portfela działa na produkcji (D3 06.10, serwer po ~10 s); sprzedaż wszystkim klientom za flagą FEATURE_VPS (decyzja biznesowa, nie brak w kodzie) — jak Q-07.</t>
        </is>
      </c>
    </row>
    <row r="337">
      <c r="A337" s="11" t="inlineStr">
        <is>
          <t>Q-07</t>
        </is>
      </c>
      <c r="B337" s="12" t="inlineStr">
        <is>
          <t>Q</t>
        </is>
      </c>
      <c r="C337" s="11" t="inlineStr">
        <is>
          <t>VPS — konsola / VNC</t>
        </is>
      </c>
      <c r="D337" s="11" t="inlineStr">
        <is>
          <t>NIE</t>
        </is>
      </c>
      <c r="E337" s="11" t="inlineStr">
        <is>
          <t>NIE</t>
        </is>
      </c>
      <c r="F337" s="11" t="inlineStr">
        <is>
          <t>NIE</t>
        </is>
      </c>
      <c r="G337" s="11" t="inlineStr">
        <is>
          <t>CZĘŚĆ</t>
        </is>
      </c>
      <c r="H337" s="11" t="inlineStr">
        <is>
          <t>CZĘŚĆ</t>
        </is>
      </c>
      <c r="I337" s="11" t="inlineStr">
        <is>
          <t>DZIAŁA</t>
        </is>
      </c>
      <c r="J337" s="12" t="inlineStr">
        <is>
          <t>hetzner.client.ts request_console; vps.controller (limit 20/h); client vps-konsola.tsx (@novnc/novnc 1.7.0, next build OK)</t>
        </is>
      </c>
      <c r="K337" s="11" t="inlineStr">
        <is>
          <t>PARYTET</t>
        </is>
      </c>
      <c r="L337" s="11" t="inlineStr">
        <is>
          <t>NISKA</t>
        </is>
      </c>
      <c r="M337" s="11" t="inlineStr">
        <is>
          <t>M</t>
        </is>
      </c>
      <c r="N337" s="12" t="inlineStr">
        <is>
          <t>2026-10-05 KOD (D2): konsola VNC w przeglądarce — sesja z API, hasło jednorazowe tylko do noVNC (nie wyświetlane, nie w audycie). Zostaje D3 (CSP na produkcji, przejście end-to-end). | 2026-10-06 D3 NA ŻYWO: konsola wisiała na „łączenie…” — CSP paneli blokował wss://…hetzner.cloud (securitypolicyviolation connect-src). Poprawka 1ab4fcb (CSP + limit 20 s) czeka na wdrożenie i retest. | 2026-10-06 wieczór RETEST po wdrożeniu 1ab4fcb: konsola „połączono”, ekran logowania Ubuntu 24.04 serwera test-d3. DZIAŁA na żywo. Serwer i snapshot usunięte po teście. | 2026-10-07: werdykt PARYTET — konsola w przeglądarce działa na produkcji (D3 06.10 wieczór).</t>
        </is>
      </c>
    </row>
    <row r="338">
      <c r="A338" s="11" t="inlineStr">
        <is>
          <t>Q-08</t>
        </is>
      </c>
      <c r="B338" s="12" t="inlineStr">
        <is>
          <t>Q</t>
        </is>
      </c>
      <c r="C338" s="11" t="inlineStr">
        <is>
          <t>VPS — snapshoty i rebuild</t>
        </is>
      </c>
      <c r="D338" s="11" t="inlineStr">
        <is>
          <t>NIE</t>
        </is>
      </c>
      <c r="E338" s="11" t="inlineStr">
        <is>
          <t>NIE</t>
        </is>
      </c>
      <c r="F338" s="11" t="inlineStr">
        <is>
          <t>NIE</t>
        </is>
      </c>
      <c r="G338" s="11" t="inlineStr">
        <is>
          <t>CZĘŚĆ</t>
        </is>
      </c>
      <c r="H338" s="11" t="inlineStr">
        <is>
          <t>TAK</t>
        </is>
      </c>
      <c r="I338" s="11" t="inlineStr">
        <is>
          <t>DZIAŁA</t>
        </is>
      </c>
      <c r="J338" s="12" t="inlineStr">
        <is>
          <t>apps/api/src/vps/vps-snapshoty.ts, hetzner.client.ts (create_image/rebuild, docs.hetzner.cloud), vps.service/controller; client vps-snapshoty.tsx; admin snapshot-settings-form.tsx; migracja 20261005210000_vps_snapshoty</t>
        </is>
      </c>
      <c r="K338" s="11" t="inlineStr">
        <is>
          <t>PARYTET</t>
        </is>
      </c>
      <c r="L338" s="11" t="inlineStr">
        <is>
          <t>NISKA</t>
        </is>
      </c>
      <c r="M338" s="11" t="inlineStr">
        <is>
          <t>M</t>
        </is>
      </c>
      <c r="N338" s="12" t="inlineStr">
        <is>
          <t>2026-10-05 KOD (D2): snapshoty (utwórz/lista/przywróć/usuń, limit 3 — ustawienie), reinstalacja systemu z listy obrazów, cena K/GB/mies. w Ustawieniach (puste = wyłączone), naliczanie przy odnowieniu VPS z portfela, usunięcie VPS kasuje jego snapshoty. Zostaje D3 na małym VPS. | 2026-10-06 D3 NA ŻYWO: snapshot „test Q-08” utworzony (0,61 GB), przywrócenie ze snapshotu zakończone; pierwsza próba w trakcie wdrożenia API — „API nie przyjmuje połączeń”, ponowienie po wdrożeniu OK. | 2026-10-08: werdykt PARYTET — snapshot i przywrócenie ze snapshotu działają na produkcji (D3 06.10). Reinstalacja z listy obrazów to to samo wywołanie przebudowy z innym obrazem — nie sprawdzana osobno na żywo.</t>
        </is>
      </c>
    </row>
    <row r="339">
      <c r="A339" s="11" t="inlineStr">
        <is>
          <t>Q-09</t>
        </is>
      </c>
      <c r="B339" s="12" t="inlineStr">
        <is>
          <t>Q</t>
        </is>
      </c>
      <c r="C339" s="11" t="inlineStr">
        <is>
          <t>Panel responsywny na telefonie</t>
        </is>
      </c>
      <c r="D339" s="11" t="inlineStr">
        <is>
          <t>CZĘŚĆ</t>
        </is>
      </c>
      <c r="E339" s="11" t="inlineStr">
        <is>
          <t>TAK</t>
        </is>
      </c>
      <c r="F339" s="11" t="inlineStr">
        <is>
          <t>CZĘŚĆ</t>
        </is>
      </c>
      <c r="G339" s="11" t="inlineStr">
        <is>
          <t>CZĘŚĆ</t>
        </is>
      </c>
      <c r="H339" s="11" t="inlineStr">
        <is>
          <t>TAK</t>
        </is>
      </c>
      <c r="I339" s="11" t="inlineStr">
        <is>
          <t>DZIAŁA</t>
        </is>
      </c>
      <c r="J339" s="12" t="inlineStr">
        <is>
          <t>src/test/tabele-na-telefonie.spec.ts — każda tabela panelu klienta ma v2-stack (globals.css @media ≤767px: wiersz → bloki z nazwą kolumny) albo idzie przez ResponsiveDataView; każda komórka ma data-label; zakaz hidden …:table-cell</t>
        </is>
      </c>
      <c r="K339" s="11" t="inlineStr">
        <is>
          <t>PARYTET</t>
        </is>
      </c>
      <c r="L339" s="11" t="inlineStr">
        <is>
          <t>WYSOKA</t>
        </is>
      </c>
      <c r="M339" s="11" t="inlineStr">
        <is>
          <t>M</t>
        </is>
      </c>
      <c r="N339" s="12" t="inlineStr">
        <is>
          <t>twardy wymóg zapisany w decyzji brandingowej DA | 2026-09-23 D1/D2: audyt statyczny. Znalezione i poprawione: 5 tabel bez wzorca (zgody RODO, eksport danych, rekordy DNS migracji, menedżer plików, deploy — ten chował kolumnę „Harmonogram” na telefonie), 4 komórki bez podpisu. Siatki grid-cols-2…5 bez prefiksu sprawdzone ręcznie — mieszczą się w 390 px. OTWARTE (D3): przejście głównych ścieżek na prawdziwym telefonie — okna Chrome nie da się zwęzić z narzędzia (pełny ekran). | 2026-09-25: przegląd zrzutami 390 px (53 trasy panelu klienta, lokalne API + baza) — 0 przewijania w bok; naprawiony tytuł strony chowany pod górnym paskiem na telefonie (Tailwind 4: @utility zamiast @layer utilities dla pt/h/top-mobile-header). Zostaje D3 na prawdziwym telefonie. | 2026-09-27 D3 PRODUKCJA: przejście w emulacji telefonu (wbudowana przeglądarka Claude, 375×812, dotyk, mobilny UA — okno Chrome nie daje się zwęzić), zalogowany właściciel: pulpit, usługi, szczegóły hostingu (+ przewinięcie), nowa usługa, domeny, zakup domeny z wyszukiwaniem, płatności, faktury, centrum pomocy, nowe zgłoszenie, IAM, ustawienia, wysuwane menu — 0 przewijania w bok (automatyczny pomiar elementów poza ekranem, bez kontenerów przewijanych), górny pasek z licznikiem sesji mieści się w 375 px, tytuły nie chowają się pod paskiem. ZNALEZISKA naprawione (fix Q-09): pływający przycisk cookies zasłaniał menu konta i linki stopki; nieudane wyszukiwanie domen pokazywało „wszystko zajęte”. Przy okazji: kilka kliknięć w minutę blokowało klienta (429 → „Panel chwilowo niedostępny”) — fix(limity) fa43fbf. OTWARTE poza Q-09: błędy rzucane z akcji serwera Next ukrywa na produkcji („Minified React error #441”) — komponenty pokazujące err.message z akcji dostają bełkot zamiast komunikatu API. | 2026-09-27 PO WDROŻENIU (#187): 17 ekranów telefonu jeden po drugim bez przerw — żadnej strony „Panel chwilowo niedostępny”; wyszukiwarka domen na telefonie: 32 wolne z 32 dla tej samej nazwy (wcześniejsze „wszystko zajęte” było skutkiem 429); pływający przycisk cookies w panelu zniknął. Przy okazji potwierdzone: bezczynna karta wylogowała się po 60 min.</t>
        </is>
      </c>
    </row>
    <row r="340">
      <c r="A340" s="11" t="inlineStr">
        <is>
          <t>Q-10</t>
        </is>
      </c>
      <c r="B340" s="12" t="inlineStr">
        <is>
          <t>Q</t>
        </is>
      </c>
      <c r="C340" s="11" t="inlineStr">
        <is>
          <t>Natywna aplikacja mobilna</t>
        </is>
      </c>
      <c r="D340" s="11" t="inlineStr">
        <is>
          <t>NIE</t>
        </is>
      </c>
      <c r="E340" s="11" t="inlineStr">
        <is>
          <t>NIE</t>
        </is>
      </c>
      <c r="F340" s="11" t="inlineStr">
        <is>
          <t>NIE</t>
        </is>
      </c>
      <c r="G340" s="11" t="inlineStr">
        <is>
          <t>CZĘŚĆ</t>
        </is>
      </c>
      <c r="H340" s="11" t="inlineStr">
        <is>
          <t>CZĘŚĆ</t>
        </is>
      </c>
      <c r="I340" s="11" t="inlineStr">
        <is>
          <t>BRAK</t>
        </is>
      </c>
      <c r="J340" s="12" t="inlineStr">
        <is>
          <t>—</t>
        </is>
      </c>
      <c r="K340" s="11" t="inlineStr">
        <is>
          <t>POZA ZAKRESEM</t>
        </is>
      </c>
      <c r="L340" s="11" t="inlineStr">
        <is>
          <t>NISKA</t>
        </is>
      </c>
      <c r="M340" s="11" t="inlineStr">
        <is>
          <t>—</t>
        </is>
      </c>
      <c r="N340" s="12" t="inlineStr">
        <is>
          <t>tylko home.pl (iOS)</t>
        </is>
      </c>
    </row>
    <row r="341">
      <c r="A341" s="11" t="inlineStr">
        <is>
          <t>Q-11</t>
        </is>
      </c>
      <c r="B341" s="12" t="inlineStr">
        <is>
          <t>Q</t>
        </is>
      </c>
      <c r="C341" s="11" t="inlineStr">
        <is>
          <t>Tryb prosty / zaawansowany panelu</t>
        </is>
      </c>
      <c r="D341" s="11" t="inlineStr">
        <is>
          <t>NIE</t>
        </is>
      </c>
      <c r="E341" s="11" t="inlineStr">
        <is>
          <t>NIE</t>
        </is>
      </c>
      <c r="F341" s="11" t="inlineStr">
        <is>
          <t>NIE</t>
        </is>
      </c>
      <c r="G341" s="11" t="inlineStr">
        <is>
          <t>NIE</t>
        </is>
      </c>
      <c r="H341" s="11" t="inlineStr">
        <is>
          <t>CZĘŚĆ</t>
        </is>
      </c>
      <c r="I341" s="11" t="inlineStr">
        <is>
          <t>DZIAŁA</t>
        </is>
      </c>
      <c r="J341" s="12" t="inlineStr">
        <is>
          <t>page.tsx:139 — ukrywa 7 zakładek</t>
        </is>
      </c>
      <c r="K341" s="11" t="inlineStr">
        <is>
          <t>PRZEWAGA</t>
        </is>
      </c>
      <c r="L341" s="11" t="inlineStr">
        <is>
          <t>—</t>
        </is>
      </c>
      <c r="M341" s="11" t="inlineStr">
        <is>
          <t>—</t>
        </is>
      </c>
      <c r="N341" s="12" t="inlineStr"/>
    </row>
    <row r="342">
      <c r="A342" s="11" t="inlineStr">
        <is>
          <t>Q-12</t>
        </is>
      </c>
      <c r="B342" s="12" t="inlineStr">
        <is>
          <t>Q</t>
        </is>
      </c>
      <c r="C342" s="11" t="inlineStr">
        <is>
          <t>Kreator pierwszych kroków (onboarding)</t>
        </is>
      </c>
      <c r="D342" s="11" t="inlineStr">
        <is>
          <t>NIE</t>
        </is>
      </c>
      <c r="E342" s="11" t="inlineStr">
        <is>
          <t>CZĘŚĆ</t>
        </is>
      </c>
      <c r="F342" s="11" t="inlineStr">
        <is>
          <t>NIE</t>
        </is>
      </c>
      <c r="G342" s="11" t="inlineStr">
        <is>
          <t>CZĘŚĆ</t>
        </is>
      </c>
      <c r="H342" s="11" t="inlineStr">
        <is>
          <t>TAK</t>
        </is>
      </c>
      <c r="I342" s="11" t="inlineStr">
        <is>
          <t>DZIAŁA</t>
        </is>
      </c>
      <c r="J342" s="12" t="inlineStr">
        <is>
          <t>onboarding-wizard.tsx:52</t>
        </is>
      </c>
      <c r="K342" s="11" t="inlineStr">
        <is>
          <t>PARYTET</t>
        </is>
      </c>
      <c r="L342" s="11" t="inlineStr">
        <is>
          <t>—</t>
        </is>
      </c>
      <c r="M342" s="11" t="inlineStr">
        <is>
          <t>—</t>
        </is>
      </c>
      <c r="N342" s="12" t="inlineStr">
        <is>
          <t>tylko nawigacja</t>
        </is>
      </c>
    </row>
    <row r="343">
      <c r="A343" s="11" t="inlineStr">
        <is>
          <t>Q-13</t>
        </is>
      </c>
      <c r="B343" s="12" t="inlineStr">
        <is>
          <t>Q</t>
        </is>
      </c>
      <c r="C343" s="11" t="inlineStr">
        <is>
          <t>Command palette dla operatora</t>
        </is>
      </c>
      <c r="D343" s="11" t="inlineStr">
        <is>
          <t>NIE</t>
        </is>
      </c>
      <c r="E343" s="11" t="inlineStr">
        <is>
          <t>NIE</t>
        </is>
      </c>
      <c r="F343" s="11" t="inlineStr">
        <is>
          <t>NIE</t>
        </is>
      </c>
      <c r="G343" s="11" t="inlineStr">
        <is>
          <t>—</t>
        </is>
      </c>
      <c r="H343" s="11" t="inlineStr">
        <is>
          <t>—</t>
        </is>
      </c>
      <c r="I343" s="11" t="inlineStr">
        <is>
          <t>DZIAŁA</t>
        </is>
      </c>
      <c r="J343" s="12" t="inlineStr">
        <is>
          <t>command-palette-actions.ts | 2026-10-10: admin components/command-palette.tsx + lib/akcje/{rejestr,wezel,klient,usluga,faktura,globalne,szukaj}.ts — tryb obiekt → działanie; wyszukiwarka API: węzły, zgłoszenia i migracje z uprawnieniami per typ (search.service.ts:69); testy command-palette.spec.tsx, szukaj.spec.ts</t>
        </is>
      </c>
      <c r="K343" s="11" t="inlineStr">
        <is>
          <t>PRZEWAGA</t>
        </is>
      </c>
      <c r="L343" s="11" t="inlineStr">
        <is>
          <t>—</t>
        </is>
      </c>
      <c r="M343" s="11" t="inlineStr">
        <is>
          <t>—</t>
        </is>
      </c>
      <c r="N343" s="12" t="inlineStr">
        <is>
          <t>2026-10-10: porządki admina — Cmd+K ze słowami kluczowymi i stronami spoza menu, skrót ⌘K; „onboard t1” prowadzi do karty i podświetla przycisk; akcja bez uprawnień prowadzi do „Wyślij wniosek”; SSO do DA węzła uruchamia się prosto z palety (d6bb2e88). D2.</t>
        </is>
      </c>
    </row>
    <row r="344">
      <c r="A344" s="11" t="inlineStr">
        <is>
          <t>Q-14</t>
        </is>
      </c>
      <c r="B344" s="12" t="inlineStr">
        <is>
          <t>Q</t>
        </is>
      </c>
      <c r="C344" s="11" t="inlineStr">
        <is>
          <t>Kreator uruchomienia węzła</t>
        </is>
      </c>
      <c r="D344" s="11" t="inlineStr">
        <is>
          <t>TAK</t>
        </is>
      </c>
      <c r="E344" s="11" t="inlineStr">
        <is>
          <t>TAK</t>
        </is>
      </c>
      <c r="F344" s="11" t="inlineStr">
        <is>
          <t>TAK</t>
        </is>
      </c>
      <c r="G344" s="11" t="inlineStr">
        <is>
          <t>—</t>
        </is>
      </c>
      <c r="H344" s="11" t="inlineStr">
        <is>
          <t>—</t>
        </is>
      </c>
      <c r="I344" s="11" t="inlineStr">
        <is>
          <t>DZIAŁA</t>
        </is>
      </c>
      <c r="J344" s="12" t="inlineStr">
        <is>
          <t>node-wizard.tsx:277,288 — realnie tylko init + bootstrap; 7 z 9 kroków to treść runbooka (wizard-content.ts:21-40)</t>
        </is>
      </c>
      <c r="K344" s="11" t="inlineStr">
        <is>
          <t>PARYTET</t>
        </is>
      </c>
      <c r="L344" s="11" t="inlineStr">
        <is>
          <t>WYSOKA</t>
        </is>
      </c>
      <c r="M344" s="11" t="inlineStr">
        <is>
          <t>M</t>
        </is>
      </c>
      <c r="N344" s="12" t="inlineStr">
        <is>
          <t>w tym brakuje kroku konfiguracji backupu — patrz H-19 | 2026-09-23: dodany krok „Backup offsite” (H-19) i poprawione polecenie kopiowania bundle (cały ops/scripts). | 2026-09-25 AUDYT SKRYPTÓW WĘZŁA z oficjalną dokumentacją (DA/CloudLinux/LiteSpeed), test src/test/wezel-zgodnie-z-dokumentacja.spec.ts: onboard: `directadmin ip add` nie istnieje, a `directadmin c` tylko wypisuje konfigurację — log „[OK] dodano IP” bez dodania. Teraz [FAIL] z instrukcją Admin → IP Manager (jedyna metoda w dokumentacji). Profil: default_ttl zamiast dns_ttl (dns_ttl to przełącznik TTL per rekord), usunięty nieistniejący force_hostname_cert, CustomBuild 2: ./build clean / php / litespeed; restart DA przez systemctl zamiast nieistniejącego `directadmin r`. | 2026-09-25 AUDYT (cd.) wg oficjalnej dokumentacji: certyfikat hostname: skrypt HTTP-01 używał certbota i kopiował cert tylko do conf/ DA — `certbot renew` nie kopiował odnowionego (panel :2222 po 90 dniach z wygasłym certem, poczta/FTP bez certu). Teraz oficjalne `/usr/local/directadmin/scripts/letsencrypt.sh server_cert` (DA sam odnawia i rozdaje do WWW/Exim/Dovecot/FTP). Opcje CustomBuild czytane z options.conf zamiast parsowania `./build options`. | 2026-09-25: agent LVE (verris-lve.sh) ustawiał procesy wejściowe opcją --ep — lvectl w dokumentacji CloudLinux ma --maxEntryProcs; poprawione. Upgrade MariaDB węzła: zrzut, mariadb-upgrade i test z --defaults-extra-file=/usr/local/directadmin/conf/my.cnf (dokumentacja DA; wcześniej bez danych logowania, a błąd upgrade tabel był połykany); przy CloudLinux MySQL Governor upgrade przez mysqlgovernor.py --mysql-version/--install, tylko o jedną wersję (oficjalny artykuł CloudLinux) — dodana 10.11 jako krok pośredni z 10.6 (API, panel admina, skrypt). | 01.10 t1: IP węzła w IP Managerze DA, default_ttl=3600, certyfikat serwera DA z Let's Encrypt (letsencrypt.sh server_cert, ważny do 27.12.2026), limity LVE domyślne (EP 20, PMEM 1024M — lvectl), PHP 8.3.33 i LiteSpeed 6.3.7 z CustomBuild, MariaDB 11.4 przez Governor. Pełne przejście od czystego systemu bez SSH — PB-31.</t>
        </is>
      </c>
    </row>
    <row r="345">
      <c r="A345" s="11" t="inlineStr">
        <is>
          <t>Q-15</t>
        </is>
      </c>
      <c r="B345" s="12" t="inlineStr">
        <is>
          <t>Q</t>
        </is>
      </c>
      <c r="C345" s="11" t="inlineStr">
        <is>
          <t>Live-readiness (checklista przed startem)</t>
        </is>
      </c>
      <c r="D345" s="11" t="inlineStr">
        <is>
          <t>NIE</t>
        </is>
      </c>
      <c r="E345" s="11" t="inlineStr">
        <is>
          <t>NIE</t>
        </is>
      </c>
      <c r="F345" s="11" t="inlineStr">
        <is>
          <t>NIE</t>
        </is>
      </c>
      <c r="G345" s="11" t="inlineStr">
        <is>
          <t>—</t>
        </is>
      </c>
      <c r="H345" s="11" t="inlineStr">
        <is>
          <t>—</t>
        </is>
      </c>
      <c r="I345" s="11" t="inlineStr">
        <is>
          <t>DZIAŁA</t>
        </is>
      </c>
      <c r="J345" s="12" t="inlineStr">
        <is>
          <t>live-readiness.service.ts — 14 checków</t>
        </is>
      </c>
      <c r="K345" s="11" t="inlineStr">
        <is>
          <t>PRZEWAGA</t>
        </is>
      </c>
      <c r="L345" s="11" t="inlineStr">
        <is>
          <t>—</t>
        </is>
      </c>
      <c r="M345" s="11" t="inlineStr">
        <is>
          <t>—</t>
        </is>
      </c>
      <c r="N345" s="12" t="inlineStr">
        <is>
          <t>dobre narzędzie; nie sprawdza odtwarzalności kopii</t>
        </is>
      </c>
    </row>
    <row r="346">
      <c r="A346" s="11" t="inlineStr">
        <is>
          <t>Q-16</t>
        </is>
      </c>
      <c r="B346" s="12" t="inlineStr">
        <is>
          <t>Q</t>
        </is>
      </c>
      <c r="C346" s="11" t="inlineStr">
        <is>
          <t>Metryki biznesowe (MRR, churn)</t>
        </is>
      </c>
      <c r="D346" s="11" t="inlineStr">
        <is>
          <t>NIE</t>
        </is>
      </c>
      <c r="E346" s="11" t="inlineStr">
        <is>
          <t>NIE</t>
        </is>
      </c>
      <c r="F346" s="11" t="inlineStr">
        <is>
          <t>NIE</t>
        </is>
      </c>
      <c r="G346" s="11" t="inlineStr">
        <is>
          <t>—</t>
        </is>
      </c>
      <c r="H346" s="11" t="inlineStr">
        <is>
          <t>—</t>
        </is>
      </c>
      <c r="I346" s="11" t="inlineStr">
        <is>
          <t>DZIAŁA</t>
        </is>
      </c>
      <c r="J346" s="12" t="inlineStr">
        <is>
          <t>business-metrics.admin.controller.ts:15; test D1</t>
        </is>
      </c>
      <c r="K346" s="11" t="inlineStr">
        <is>
          <t>PARYTET</t>
        </is>
      </c>
      <c r="L346" s="11" t="inlineStr">
        <is>
          <t>—</t>
        </is>
      </c>
      <c r="M346" s="11" t="inlineStr">
        <is>
          <t>—</t>
        </is>
      </c>
      <c r="N346" s="12" t="inlineStr"/>
    </row>
    <row r="347">
      <c r="A347" s="11" t="inlineStr">
        <is>
          <t>Q-17</t>
        </is>
      </c>
      <c r="B347" s="12" t="inlineStr">
        <is>
          <t>Q</t>
        </is>
      </c>
      <c r="C347" s="11" t="inlineStr">
        <is>
          <t>Grafana SSO dla operatora</t>
        </is>
      </c>
      <c r="D347" s="11" t="inlineStr">
        <is>
          <t>NIE</t>
        </is>
      </c>
      <c r="E347" s="11" t="inlineStr">
        <is>
          <t>CZĘŚĆ</t>
        </is>
      </c>
      <c r="F347" s="11" t="inlineStr">
        <is>
          <t>NIE</t>
        </is>
      </c>
      <c r="G347" s="11" t="inlineStr">
        <is>
          <t>—</t>
        </is>
      </c>
      <c r="H347" s="11" t="inlineStr">
        <is>
          <t>—</t>
        </is>
      </c>
      <c r="I347" s="11" t="inlineStr">
        <is>
          <t>DZIAŁA</t>
        </is>
      </c>
      <c r="J347" s="12" t="inlineStr">
        <is>
          <t>grafana-auth.controller.ts; ops/caddy/Caddyfile /verris-sso</t>
        </is>
      </c>
      <c r="K347" s="11" t="inlineStr">
        <is>
          <t>PRZEWAGA</t>
        </is>
      </c>
      <c r="L347" s="11" t="inlineStr">
        <is>
          <t>—</t>
        </is>
      </c>
      <c r="M347" s="11" t="inlineStr">
        <is>
          <t>—</t>
        </is>
      </c>
      <c r="N347" s="12" t="inlineStr">
        <is>
          <t>2026-09-25: SSO do Grafany sprawdzało tylko podpis tokenu — po „wyloguj wszędzie”, zablokowaniu operatora, anonimizacji albo unieważnieniu sesji urządzenia token nadal otwierał Grafanę do końca ważności. Teraz te same bramki co panel (tokenVersion, loginBlocked, anonymizedAt, sesja). Test grafana-auth.controller.spec.ts. | 2026-09-25 (przegląd adwersaryjny): ciasteczka sesji admin/staff są host-only (admin_session/staff_session; stare na .verris.pl kasowane) — Grafana nie widzi już żadnego tokenu panelu. SSO: panel → POST /auth/grafana-ticket → grafana…/verris-sso (Caddy → API /auth/grafana-sso) → host-only grafana_session 8 h (purpose grafana, tokenVersion+sid). Walidacja czyta tylko bearer albo grafana_session. Dowód: grafana-auth.controller.spec.ts, admin-panel grafana/sso/route.spec.ts, ops/caddy/Caddyfile.</t>
        </is>
      </c>
    </row>
    <row r="348">
      <c r="A348" s="11" t="inlineStr">
        <is>
          <t>Q-18</t>
        </is>
      </c>
      <c r="B348" s="12" t="inlineStr">
        <is>
          <t>Q</t>
        </is>
      </c>
      <c r="C348" s="11" t="inlineStr">
        <is>
          <t>VPN WireGuard dla dostępu operatorskiego</t>
        </is>
      </c>
      <c r="D348" s="11" t="inlineStr">
        <is>
          <t>NIE</t>
        </is>
      </c>
      <c r="E348" s="11" t="inlineStr">
        <is>
          <t>NIE</t>
        </is>
      </c>
      <c r="F348" s="11" t="inlineStr">
        <is>
          <t>NIE</t>
        </is>
      </c>
      <c r="G348" s="11" t="inlineStr">
        <is>
          <t>—</t>
        </is>
      </c>
      <c r="H348" s="11" t="inlineStr">
        <is>
          <t>—</t>
        </is>
      </c>
      <c r="I348" s="11" t="inlineStr">
        <is>
          <t>DZIAŁA</t>
        </is>
      </c>
      <c r="J348" s="12" t="inlineStr">
        <is>
          <t>vpn.admin.controller.ts:29; vpn.service.ts:14-25 | 2026-10-09: ops/caddy/Caddyfile:90-110 (vpn_only: panele obsługi i admina oraz GlitchTip tylko z CADDY_INTERNAL_ALLOW_CIDR; pusta albo zbyt szeroka lista /0–/7 = 403 dla wszystkich), ops/caddy/start.sh:25-28 (zła lista nie kładzie proxy, panele zamknięte); test panele-wewnetrzne-vpn.spec.ts</t>
        </is>
      </c>
      <c r="K348" s="11" t="inlineStr">
        <is>
          <t>PRZEWAGA</t>
        </is>
      </c>
      <c r="L348" s="11" t="inlineStr">
        <is>
          <t>—</t>
        </is>
      </c>
      <c r="M348" s="11" t="inlineStr">
        <is>
          <t>—</t>
        </is>
      </c>
      <c r="N348" s="12" t="inlineStr">
        <is>
          <t>2026-10-10: domknięty fail-open z audytu bezpieczeństwa 09.10 — domyślna wartość w docker-compose.prod.yml była „0.0.0.0/0 ::/0”, czyli panele operatora były osiągalne z internetu mimo VPN. Teraz fail-closed; produkcja CADDY_INTERNAL_ALLOW_CIDR=10.88.0.0/24, rekordy AAAA admin/staff usunięte. D3 10.10 ok. 13:00: bez VPN panel admina i obsługi → 403, przez VPN działają.</t>
        </is>
      </c>
    </row>
    <row r="349">
      <c r="A349" s="11" t="inlineStr">
        <is>
          <t>X-01</t>
        </is>
      </c>
      <c r="B349" s="12" t="inlineStr">
        <is>
          <t>X</t>
        </is>
      </c>
      <c r="C349" s="11" t="inlineStr">
        <is>
          <t>CI uruchamiające testy</t>
        </is>
      </c>
      <c r="D349" s="11" t="inlineStr">
        <is>
          <t>—</t>
        </is>
      </c>
      <c r="E349" s="11" t="inlineStr">
        <is>
          <t>—</t>
        </is>
      </c>
      <c r="F349" s="11" t="inlineStr">
        <is>
          <t>—</t>
        </is>
      </c>
      <c r="G349" s="11" t="inlineStr">
        <is>
          <t>—</t>
        </is>
      </c>
      <c r="H349" s="11" t="inlineStr">
        <is>
          <t>—</t>
        </is>
      </c>
      <c r="I349" s="11" t="inlineStr">
        <is>
          <t>DZIAŁA</t>
        </is>
      </c>
      <c r="J349" s="12" t="inlineStr">
        <is>
          <t>.github/workflows/ci.yml — typecheck, testy API, build, smoke migracji Prisma, gitleaks, pnpm audit, Trivy, dependabot</t>
        </is>
      </c>
      <c r="K349" s="11" t="inlineStr">
        <is>
          <t>PARYTET</t>
        </is>
      </c>
      <c r="L349" s="11" t="inlineStr">
        <is>
          <t>—</t>
        </is>
      </c>
      <c r="M349" s="11" t="inlineStr">
        <is>
          <t>S</t>
        </is>
      </c>
      <c r="N349" s="12" t="inlineStr">
        <is>
          <t>SPROSTOWANIE: pierwotny zapis „katalog .github NIE ISTNIEJE" był mój błąd — .github wypadło z archiwum, na którym pracowałem, i wziąłem to za brak w repo. CI istniało i było sensowne, ale chodziło wyłącznie na main/master, podczas gdy praca toczy się na feature/support-v2 (301 commitów do przodu) — czyli faktycznie nie chodziło nigdzie. Od 2026-08-21 uruchamiane na push do każdej gałęzi, na PR i ręcznie. Pierwszy zielony przebieg: CI #18, commit e122ae4, 2026-08-21, 2m17s — cztery joby zielone, „API unit tests" wykonane: 37 zestawów, 194 testy, wszystkie przeszły. Poziom dowodu D2 osiągnięty. Przebieg #17 (pierwszy w ogóle) był czerwony na dwóch rzeczach zastanych: zły tag akcji Trivy i apps/www niePrzechodzący typechecku — obie naprawione w e122ae4.</t>
        </is>
      </c>
    </row>
    <row r="350">
      <c r="A350" s="11" t="inlineStr">
        <is>
          <t>X-02</t>
        </is>
      </c>
      <c r="B350" s="12" t="inlineStr">
        <is>
          <t>X</t>
        </is>
      </c>
      <c r="C350" s="11" t="inlineStr">
        <is>
          <t>Status wymagany do merge</t>
        </is>
      </c>
      <c r="D350" s="11" t="inlineStr">
        <is>
          <t>—</t>
        </is>
      </c>
      <c r="E350" s="11" t="inlineStr">
        <is>
          <t>—</t>
        </is>
      </c>
      <c r="F350" s="11" t="inlineStr">
        <is>
          <t>—</t>
        </is>
      </c>
      <c r="G350" s="11" t="inlineStr">
        <is>
          <t>—</t>
        </is>
      </c>
      <c r="H350" s="11" t="inlineStr">
        <is>
          <t>—</t>
        </is>
      </c>
      <c r="I350" s="11" t="inlineStr">
        <is>
          <t>DZIAŁA</t>
        </is>
      </c>
      <c r="J350" s="12" t="inlineStr">
        <is>
          <t>ruleset „gałęzie wdrożeniowe — wymagaj zielonego CI" (id 21161479), Active, zakres: gałąź domyślna + live-release-readiness; wymagane 4 checki z ci.yml</t>
        </is>
      </c>
      <c r="K350" s="11" t="inlineStr">
        <is>
          <t>PARYTET</t>
        </is>
      </c>
      <c r="L350" s="11" t="inlineStr">
        <is>
          <t>—</t>
        </is>
      </c>
      <c r="M350" s="11" t="inlineStr">
        <is>
          <t>S</t>
        </is>
      </c>
      <c r="N350" s="12" t="inlineStr">
        <is>
          <t>Wykonane 2026-08-21 w interfejsie GitHuba. Użyty ruleset zamiast klasycznej ochrony gałęzi, bo klasyczny formularz pozwala wybrać wyłącznie checki widziane w ciągu ostatniego tygodnia, a CI nie przebiegło jeszcze ani razu — ruleset przyjmuje check po nazwie. Rozszerzony 2026-08-21 na live-release-readiness — to z niej idą realne wdrożenia, więc ochrona samego main nie pilnowała niczego, co trafia na serwer. Konsekwencja: scalanie na gałąź wdrożeniową przez PR albo fast-forward; lokalny merge commit zostanie zablokowany, bo nie ma własnego przebiegu CI. Obejście: Repository admin (wyjście awaryjne dla jednoosobowego zespołu). Konfiguracja NIE jest w repozytorium — jej jedyny zapis to docs/archiwum/zadania/X-02-status-wymagany-do-merge.md. Poziom dowodu D4.</t>
        </is>
      </c>
    </row>
    <row r="351">
      <c r="A351" s="11" t="inlineStr">
        <is>
          <t>X-03</t>
        </is>
      </c>
      <c r="B351" s="12" t="inlineStr">
        <is>
          <t>X</t>
        </is>
      </c>
      <c r="C351" s="11" t="inlineStr">
        <is>
          <t>Testy uruchamiane przed wdrożeniem</t>
        </is>
      </c>
      <c r="D351" s="11" t="inlineStr">
        <is>
          <t>—</t>
        </is>
      </c>
      <c r="E351" s="11" t="inlineStr">
        <is>
          <t>—</t>
        </is>
      </c>
      <c r="F351" s="11" t="inlineStr">
        <is>
          <t>—</t>
        </is>
      </c>
      <c r="G351" s="11" t="inlineStr">
        <is>
          <t>—</t>
        </is>
      </c>
      <c r="H351" s="11" t="inlineStr">
        <is>
          <t>—</t>
        </is>
      </c>
      <c r="I351" s="11" t="inlineStr">
        <is>
          <t>DZIAŁA</t>
        </is>
      </c>
      <c r="J351" s="12" t="inlineStr">
        <is>
          <t>.github/workflows/deploy.yml — job test-gate (typecheck + pnpm --filter api test), build-push ma needs: test-gate; ops/scripts/lib/bramka-recznego-wdrozenia.sh — poza Actions odmowa (kod 2) bez WDROZENIE_RECZNE_POWOD (min. 15 znakow), wpis jednoliniowy w /var/log/verris/wdrozenia-reczne.log + syslog verris-wdrozenie; prod-deploy-ghcr.sh / prod-deploy-release.sh / prod-deploy-rolling.sh wolaja bramke przed pierwszym git/docker; deploy.yml eksportuje VERRIS_WDROZENIE_Z_ACTIONS=1 + GITHUB_RUN_ID; test: apps/api/src/test/wdrozenie-reczne-jawne.spec.ts (zachowanie biblioteki + kolejnosc w skryptach)</t>
        </is>
      </c>
      <c r="K351" s="11" t="inlineStr">
        <is>
          <t>PARYTET</t>
        </is>
      </c>
      <c r="L351" s="11" t="inlineStr">
        <is>
          <t>WYSOKA</t>
        </is>
      </c>
      <c r="M351" s="11" t="inlineStr">
        <is>
          <t>S</t>
        </is>
      </c>
      <c r="N351" s="12" t="inlineStr">
        <is>
          <t>Ścieżka automatyczna (push → build → deploy) od 2026-08-21 nie przepuszcza czerwonych testów. Ścieżka ręczna ops/scripts/prod-deploy-ghcr.sh nadal nie uruchamia żadnych testów — dlatego CZĘŚCIOWE, nie DZIAŁA. | 2026-09-22: sciezka reczna nie jest juz ukryta — jest jawna decyzja z powodem i sladem. Swiadomie NIE blokujemy jej calkiem: to droga awaryjna (rollback, lezacy GitHub). Reczne ustawienie flagi Actions jest mozliwe, ale jest swiadomym klamstwem w poleceniu, nie przeoczeniem. Przy okazji X-13: domyslna galaz w release/rolling zmieniona z porzuconej live-release-readiness na main. D2 2026-09-22: wdrozenie-reczne-jawne.spec.ts zielony lokalnie i w CI #182. Dokumentacja: docs/archiwum/zadania/X-03-testy-uruchamiane-przed-wdrozeniem.md (sekcja 2026-09-22)</t>
        </is>
      </c>
    </row>
    <row r="352">
      <c r="A352" s="11" t="inlineStr">
        <is>
          <t>X-04</t>
        </is>
      </c>
      <c r="B352" s="12" t="inlineStr">
        <is>
          <t>X</t>
        </is>
      </c>
      <c r="C352" s="11" t="inlineStr">
        <is>
          <t>Testy integracyjne / e2e API</t>
        </is>
      </c>
      <c r="D352" s="11" t="inlineStr">
        <is>
          <t>—</t>
        </is>
      </c>
      <c r="E352" s="11" t="inlineStr">
        <is>
          <t>—</t>
        </is>
      </c>
      <c r="F352" s="11" t="inlineStr">
        <is>
          <t>—</t>
        </is>
      </c>
      <c r="G352" s="11" t="inlineStr">
        <is>
          <t>—</t>
        </is>
      </c>
      <c r="H352" s="11" t="inlineStr">
        <is>
          <t>—</t>
        </is>
      </c>
      <c r="I352" s="11" t="inlineStr">
        <is>
          <t>DZIAŁA</t>
        </is>
      </c>
      <c r="J352" s="12" t="inlineStr">
        <is>
          <t>apps/api/test/integration/ — setup.ts (izolacja przez TRUNCATE CASCADE, fabryki, atrapy DirectAdmina/poczty/audytu), node-selector.int-spec.ts (9 testów placementu na prawdziwych zapytaniach), ksiega.int-spec.ts (6 testów cyklu życia księgi z prawdziwymi transakcjami); apps/api/jest.integration.cjs — maxWorkers 1, bo testy dzielą jedną bazę; .github/workflows/ci.yml — job „API integration tests” z Postgresem 16; kody-promocyjne.int-spec.ts (5: voucher raz, podwójne kliknięcie, limit użyć przy równoczesnych próbach, kody wygasłe/nieaktywne/procentowe, bonus do doładowania przy ponownym webhooku; + 3 kod rabatowy na zakup usługi); zakup-z-portfela.int-spec.ts (5: obciążenie raz + kolejka, rabat startowy, brak środków bez ruchu w portfelu, zwrot przy nieudanym zakładaniu, klient poza Verris)</t>
        </is>
      </c>
      <c r="K352" s="11" t="inlineStr">
        <is>
          <t>PARYTET</t>
        </is>
      </c>
      <c r="L352" s="11" t="inlineStr">
        <is>
          <t>WYSOKA</t>
        </is>
      </c>
      <c r="M352" s="11" t="inlineStr">
        <is>
          <t>L</t>
        </is>
      </c>
      <c r="N352" s="12" t="inlineStr">
        <is>
          <t>CZĘŚCIOWE od 2026-08-22 — pierwsze testy integracyjne w historii tego projektu. Do tej pory WSZYSTKIE testy API podstawiały fałszywą Prismę: dowodziły, że logika jest poprawna, nie że zapytanie zwraca to, czego się po nim spodziewamy. | Uruchomione naprawdę, nie tylko napisane: postawiłem Postgresa 16, zaaplikowałem 100 migracji, wygenerowałem klienta i puściłem pakiet — 15 testów zielonych. Sprawdzone, że czerwienią się na regresji: usunięcie zwolnienia pojemności z account-deletion czerwieni 4 z 6 testów księgi. | Co złapały, czego atrapy nie mogły: że Postgres zwraca Float (overcommit) jako number a nie Decimal, że groupBy z filtrem statusu faktycznie pomija konta DELETED, że okno świeżości telemetrii działa na prawdziwym ORDER BY, że wybór najnowszej próbki na subskrypcję nie sumuje okna. | ZAKRES: pokryty jest placement (NodeSelectorService) i cykl życia księgi pojemności (autoskalowanie, usunięcie konta). NIE są pokryte: ścieżki HTTP przez supertest, provisioning end-to-end, płatności, webhooki, KSeF. Dlatego CZĘŚCIOWE, nie DZIAŁA — pozycja opisuje testy integracyjne CAŁEGO API. | Job w CI celowo NIE jest jeszcze wymagany do scalenia (ruleset z X-02): dokładanie nieprzetestowanego w tym repo checka jako wymaganego zablokowałoby merge na ślepo. Do dopisania po pierwszym zielonym przebiegu na main. Poziom dowodu: D1 do czasu tego przebiegu, potem D2. | Ograniczenie warsztatu, warte zapisania: nie da się ich uruchomić ani na maszynie PM-a (klient Prismy zbudowany pod macOS, sandbox to Linux), ani domyślnie w kontenerze (binaries.prisma.sh poza listą dozwolonych hostów). Wymagało zbudowania środowiska od zera. CI jest jedynym miejscem, gdzie biegną rutynowo. Dokumentacja: docs/archiwum/zadania/X-04-testy-integracyjne-api.md | D2 OSIĄGNIĘTE 2026-08-22: przebieg CI #57 zielony w komplecie — sześć jobów, w tym „API integration tests" z Postgresem 16. | 2026-09-24 ZNALEZISKO: job „API integration tests” (wymagany w rulesecie) był czerwony na każdym pushu na main od 2026-09-23 — M-34 zmieniło domyślny model fakturowania, a testy Z-01/FAK-01 nie; atrapa ustawień w H-20 bez getSlaCreditPolicy. Nikt tego nie zobaczył, bo lokalna bramka tych testów nie uruchamia (Postgres), a push właściciela omija ruleset. Naprawione (3bdc6d5); do potwierdzenia pierwszym zielonym przebiegiem CI po pushu. | D2 2026-09-24: CI #235 (51872e5) — wszystkie joby zielone, w tym „API integration tests”. | 2026-09-26 (noc): nowe testy integracyjne ścieżek zapisu — odnowienia z portfela (odnowienia.int-spec.ts: obciążenie + przedłużenie raz, karencja PAST_DUE z jednym zdarzeniem, „Opłać teraz” po doładowaniu, zawieszenie po 3 dniach, rabat startowy, zaplanowana rezygnacja), reseller (6), IAM/członkostwa (4). Razem 98 testów integracyjnych na PostgreSQL 16, zielone. Nadal bez: supertest HTTP, provisioning end-to-end, KSeF — dlatego CZĘŚCIOWE. | 2026-09-26 (wieczór): ZNALEZISKO i naprawa — kod z limitem użyć (np. 1) realizowany równocześnie przez 4 klientów dawał 4 kredyty (limit sprawdzany odczytem, licznik podbijany na końcu). Teraz miejsce w limicie zajmowane atomowo (UPDATE z warunkiem) przed kredytem, zwracane przy nieudanej próbie. Podwójne kliknięcie tego samego klienta: jeden kredyt, druga próba „Już zrealizowałeś”. Zakup usługi z portfela (5 testów) — bez znalezisk. 2026-09-26 (noc) ZNALEZISKO i naprawa #2 — kod rabatowy na zakup usługi (SERVICE_PERCENT_OFF) zapisywał wykorzystanie dopiero po założeniu usługi (z kolejki, minuty później): kod „raz na klienta” działał na każdej usłudze zamówionej w tym czasie, a limit 1 przy 3 równoczesnych zakupach dawał 3 rabaty. Teraz kod rezerwowany atomowo w chwili zakupu i oddawany przy nieudanym zakupie lub zwrocie. Razem 132 testy integracyjne na PostgreSQL 16, zielone. | 2026-09-27: domeny u rejestratora (domeny-rejestrator.int-spec.ts, 8 testów): obciążenie raz za wycenę, zwrot przy odmowie rejestru, brak środków bez wywołania rejestratora, cena transferu = wycena, cudze odnowienie 404, domknięcie i odrzucenie transferu. ZNALEZISKO #1 (bezpieczeństwo, naprawione 4cbc9d4): cudza niezweryfikowana rezerwacja nazwy (A-16) przejmowała domenę opłaconą przez innego klienta — razem z kodem transferu i blokadą. ZNALEZISKO #2 (naprawione): transfer nigdy się nie domykał — patrz A-09. Razem 146 testów integracyjnych na PostgreSQL 16, zielone. Nadal bez: supertest HTTP szerzej, provisioning end-to-end, KSeF — CZĘŚCIOWE. | 2026-09-27 (2): kolejne ścieżki pieniędzy na PostgreSQL — zmiana planu (8), dodatki (6), rekompensaty SLA (5), VPS (6), wypłaty partnerskie (4). ZNALEZISKA, każde potwierdzone testem na starym kodzie i naprawione: (1) PIENIĄDZE — przejście miesiąc→rok dawało rok hostingu gratis + zwrot ~6 zł, rok→miesiąc kazało dopłacić zamiast zwrócić (c0991f1); (2) równoległe zmiany planu: podwójne przesunięcie księgi węzła, przy dwóch planach podwójna dopłata; (3) dodatki: podwójne zgłoszenie dla zespołu, opłata bez zwrotu przy błędzie, dokupienie priorytetu gubiło dni (148af96); (4) SLA niezgodne z §15 ust. 7 — okno bez 48 h zapowiedzi i przedłużenie prac wyłączały przestój; błąd portfela blokował rekompensatę na zawsze (31e5b2f); (5) VPS: wstrzymany za brak płatności dało się włączyć z panelu, osierocony rekord bez opłaty (44994e7); (6) wypłaty partnerskie: te same prowizje w dwóch wypłatach (c8a4d84). Razem 175 testów integracyjnych, zielone. Nadal bez: supertest HTTP szerzej, provisioning end-to-end, KSeF — CZĘŚCIOWE. | 2026-09-27 (3) ZAMKNIĘTE: brakujące obszary dopisane — zakładanie usługi end-to-end (zakladanie-uslugi, 5), KSeF (ksef-obieg, 5: wysyłka→numer, offline z terminem, odrzucenie/ponowienie, nakładające się cykle — ZNALEZISKO: podwójna wysyłka i „Ponów” na przyjętej fakturze, naprawione 1b34c91), zwroty i chargebacki doładowań przez wejście webhooka (zwroty-platnosci, 4 — ZNALEZISKO: brak obsługi charge.refunded/charge.dispute.created, naprawione aa5be3d; wymaga dodania zdarzeń w Stripe), powierzchnia HTTP: test publiczne-trasy.spec.ts porównuje wszystkie trasy bez strażnika z listą świadomie publicznych (76) + istniejący test HTTP uprawnień subkont. Razem 29 plików / 189 testów integracyjnych na PostgreSQL 16, zielone lokalnie. D2 po pierwszym zielonym przebiegu CI („API integration tests”) po pushu. UWAGI na później: hosting na cudzej domenie bez weryfikacji własności (poczta z innych kont na tym węźle trafia lokalnie); link eksportu RODO opisany jako jednorazowy, a działa 7 dni. | D2 2026-09-27: CI #280 (574d854) — „API integration tests” 29 plików / 189 testów zielone, unit 1940/1940, gitleaks czysto. | 2026-09-27 (wieczór): kolejna ścieżka — rozliczanie autoskalowania blokami 15 min (autoskalowanie-rozliczenie, 5 scenariuszy). ZNALEZISKO naprawione: dwa równoległe przebiegi (silnik + cron) dublowały historię bloków, a przy rozliczeniu poza Verris (MANUAL) zestawienie do faktury właściciela liczyło blok dwa razy — blok zajmowany przed obciążeniem. Dalej: auto-doładowanie z karty (auto-doladowanie, 4) — dwa przebiegi harmonogramu obciążały kartę dwa razy (klucz Stripe scalał tylko w tej samej godzinie) → reguła zajmowana przed obciążeniem; usunięcie konta RODO (usuniecie-konta, 4) — wniosek cofnięty po wybraniu listy o 03:30 i tak kończył się anonimizacją, a podwójne usunięcie z węzła zwalniało pojemność dwa razy → zajęcie wniosku jako pierwszy krok transakcji i warunkowe DELETED. Dalej: kampanie e-mail marketingu klientów (kampanie-email, 2) i newsletter Verris (kampanie-marketingowe, 1) — paczki po offsecie gubiły odbiorców przy wypisach w trakcie wysyłki (105 → 102), a dwa przebiegi dyspozytora EMM wysyłały mail dwa razy → paczki od ostatniego obsłużonego / bez wysyłki, rekord wysyłki przed wysłaniem. Dalej: porzucone zamówienia (porzucone-zamowienia, 2) — sprzątanie nieopłaconych od 48 h anulowało zamówienie opłacone w tej samej chwili → anulowanie warunkowe. Dalej: okres próbny (okres-probny, 2) — wygaszenie i przejście na płatny w tej samej chwili dawały „zapłacone, a wygasłe” albo „aktywne, a zawieszone na serwerze” → warunkowe przejścia, zawieszenie po zapisie, zwrot przy spóźnionej konwersji. Dalej: automatyczne zamykanie zgłoszeń (zgloszenia-autozamkniecie, 2) — zgłoszenie, na które klient odpisał po wybraniu listy, było zamykane z mailem „nie odpowiadasz” → warunkowo. Dalej: odnowienie vs ręczna opłata (odnowienia-wyscig, 1) — opłacona w tej chwili usługa wracała do PAST_DUE z karencją do zawieszenia → warunkowo. Dalej: koniec karencji (odnowienia-wyscig, 2. scenariusz) — usługa opłacona po wybraniu listy do zawieszenia była zawieszana → suspend tylko gdy nadal PAST_DUE. Integracja: 38 plików / 214 testów. | 2026-10-08 KOD: płatny monitoring (MON-3) — rozliczanie nie patrzyło na stan usługi: po anulowaniu hostingu co miesiąc pobierało opłatę za monitoring nieistniejącej strony, po wznowieniu wstrzymanej nadrabiało zaległe miesiące co godzinę → koniec z usługą, bez opłaty dla nieaktywnej, nowy okres od dziś, włączenie tylko dla działającej (monitoring-platny, 4; 4e2fcd73). Kody Verris dla klientów resellera (kody-promocyjne +1). Test strony statusu liczył dni w UTC zamiast w Warszawie (czerwony 00:00–02:00) — poprawiony test. Integracja: 63 pliki / 281 testów.</t>
        </is>
      </c>
    </row>
    <row r="353">
      <c r="A353" s="11" t="inlineStr">
        <is>
          <t>X-05</t>
        </is>
      </c>
      <c r="B353" s="12" t="inlineStr">
        <is>
          <t>X</t>
        </is>
      </c>
      <c r="C353" s="11" t="inlineStr">
        <is>
          <t>Testy paneli frontowych</t>
        </is>
      </c>
      <c r="D353" s="11" t="inlineStr">
        <is>
          <t>—</t>
        </is>
      </c>
      <c r="E353" s="11" t="inlineStr">
        <is>
          <t>—</t>
        </is>
      </c>
      <c r="F353" s="11" t="inlineStr">
        <is>
          <t>—</t>
        </is>
      </c>
      <c r="G353" s="11" t="inlineStr">
        <is>
          <t>—</t>
        </is>
      </c>
      <c r="H353" s="11" t="inlineStr">
        <is>
          <t>—</t>
        </is>
      </c>
      <c r="I353" s="11" t="inlineStr">
        <is>
          <t>DZIAŁA</t>
        </is>
      </c>
      <c r="J353" s="12" t="inlineStr">
        <is>
          <t>apps/client-panel: 28 plików spec / 177 testów (z 7/44) — pieniądze, uprawnienia subkont, flagi modułów, komunikaty błędów, liczniki pulpitu i menu; runner w package.json i w bramce; staff-panel i admin-panel: runner jest (skrypt test, jest.config.cjs, tsconfig.spec.json) + pierwsze specy (dostęp po uprawnieniach, odmiana, ciasteczko sesji, link Grafany) | 2026-09-26: kluczowe ekrany z danymi — admin: pulpit „Stan platformy” (sprawy, odmiana, linki zgłoszeń do panelu obsługi, węzeł bez sygnału) i zgłoszenia (widoki, po terminie na górze, liczniki) — kluczowe-ekrany.spec.tsx; obsługa: szczegół zgłoszenia PB-37 (SLA, „Co widzi klient”, przeczytane po dopisku klienta, zapowiedź „Wciąż nad tym pracujemy”, cykl czekania, oceny) — ticket-detail-panel.spec.tsx; admin: strona węzła (CPU realne, brak próbek, rozjazd manifestu) i karta klienta (awaria usługi przy incydencie węzła, cena indywidualna vs cennik)</t>
        </is>
      </c>
      <c r="K353" s="11" t="inlineStr">
        <is>
          <t>PARYTET</t>
        </is>
      </c>
      <c r="L353" s="11" t="inlineStr">
        <is>
          <t>ŚREDNIA</t>
        </is>
      </c>
      <c r="M353" s="11" t="inlineStr">
        <is>
          <t>L</t>
        </is>
      </c>
      <c r="N353" s="12" t="inlineStr">
        <is>
          <t>2026-09-24 (2): runner w panelu obsługi i admina — dotąd 0 testów i brak miejsca, żeby je uruchomić; pnpm-lock dopisuje wyłącznie jest/ts-jest/@types/jest w tych dwóch pakietach (te same wersje co panel klienta, walidacja --frozen-lockfile). | 2026-09-24: znalezione testami i naprawione: (1) fetchTickets połykał błąd i zwracał [] — pulpit pokazywał „Otwarte zgłoszenia: 0” przy awarii (X-39), a Centrum pomocy „Nie masz zgłoszeń”; teraz „—” i komunikat; (2) licznik otwartych zgłoszeń pomijał WAITING_CUSTOMER (czekamy na klienta); (3) flagi modułów czytane dynamicznie process.env[name] — w komponentach klienckich (menu) zawsze wartość domyślna, flaga operatora nie działała; teraz literalnie + strażnik; (4) punkty EKO i raport energetyczny przy awarii pokazywały 0 / „brak metryk”. ZOSTAJE: staff-panel i admin-panel bez testów; komponenty React (brak jsdom). | 2026-09-25: testy tras serwerowych panelu admina i obsługi — proxy PDF faktury (sesja, walidacja id — dodana: tylko UUID, wcześniej dowolny ciąg szedł do ścieżki API z tokenem admina i do nagłówka pliku), SSO Grafany (bez sesji na logowanie, przekierowanie tylko do Grafany), załącznik zgłoszenia w panelu obsługi (UUID, sesja, nagłówki). Admin 32 testy, obsługa 18. | 2026-09-25 (2): strażnik okien potwierdzenia w async transition (3 panele; znalazł realny błąd — „Oznacz jako offline” węzła kręcił się bez końca, React 19 wstrzymuje aktualizacje z async transition), strony obsługi przy 403/awarii API (brak-uprawnien-bez-bledu.spec.tsx — sprawdzony: stara wersja strony → czerwony), passkey admina (rola z API), kontrast tokenów (klient, admin, obsługa). Admin 43, obsługa 21. | 2026-09-26 (noc): strażnik „strony przy awarii API” w trzech panelach — przemiata WSZYSTKIE strony serwerowe (403 i brak API) i wymaga komunikatu zamiast „This page couldn’t load”; nowa strona wpada pod niego sama. Znalazł 16 stron, które się wywracały: admin 11 (webhooki Stripe, klient, korekta, czeka na fakturę, plan, Product Ops, kolejka provisioningu, program partnerski, ustawienia AI/poczty/platformy), obsługa 3 (zgłoszenie, karta klienta, usługa klienta), klient 2 (EKO, IAM) + 11 tras narzędzi hostingu (jedna poprawka w resolveServiceForHostingPages). Poprawione: BladStrony/wynik() w adminie i obsłudze, PanelFetchError w panelu klienta. Testy: admin 157, obsługa 53, klient 307. | 2026-09-26: ZAMKNIĘTE: +16 testów kluczowych ekranów (10 admin: pulpit, zgłoszenia, strona węzła, karta klienta; 6 obsługa: szczegół zgłoszenia), każdy sprawdzony mutacją (zepsuta logika → test czerwony). Razem z przemiataniem wszystkich stron przy 403/awarii API i testami integracyjnymi danych (pulpit-admina, strona-wezla).</t>
        </is>
      </c>
    </row>
    <row r="354">
      <c r="A354" s="11" t="inlineStr">
        <is>
          <t>X-06</t>
        </is>
      </c>
      <c r="B354" s="12" t="inlineStr">
        <is>
          <t>X</t>
        </is>
      </c>
      <c r="C354" s="11" t="inlineStr">
        <is>
          <t>Pokrycie testami modułu auth</t>
        </is>
      </c>
      <c r="D354" s="11" t="inlineStr">
        <is>
          <t>—</t>
        </is>
      </c>
      <c r="E354" s="11" t="inlineStr">
        <is>
          <t>—</t>
        </is>
      </c>
      <c r="F354" s="11" t="inlineStr">
        <is>
          <t>—</t>
        </is>
      </c>
      <c r="G354" s="11" t="inlineStr">
        <is>
          <t>—</t>
        </is>
      </c>
      <c r="H354" s="11" t="inlineStr">
        <is>
          <t>—</t>
        </is>
      </c>
      <c r="I354" s="11" t="inlineStr">
        <is>
          <t>DZIAŁA</t>
        </is>
      </c>
      <c r="J354" s="12" t="inlineStr">
        <is>
          <t>zero plików .spec w apps/api/src/auth | 2026-09-23: apps/api/src/auth/auth.service.spec.ts (12 testów): ten sam komunikat dla nieznanego konta i złego hasła, blokada po próbach bez sięgania do bazy, niepotwierdzony e-mail i blokada konta, reset bez wyliczania kont (nieznany/operator/zablokowany/zanonimizowany), token zapisany jako skrót i unieważnienie starych, 5 rodzajów złego linku bez zmiany hasła, ważny link: hasło + tokenVersion + potwierdzenie e-maila + spalenie linków, rejestracja na zajęty adres</t>
        </is>
      </c>
      <c r="K354" s="11" t="inlineStr">
        <is>
          <t>PARYTET</t>
        </is>
      </c>
      <c r="L354" s="11" t="inlineStr">
        <is>
          <t>WYSOKA</t>
        </is>
      </c>
      <c r="M354" s="11" t="inlineStr">
        <is>
          <t>M</t>
        </is>
      </c>
      <c r="N354" s="12" t="inlineStr">
        <is>
          <t>Reklasyfikacja jak X-01 — z zastrzeżeniem, że po ustaleniach Z-02 i Z-04 to właśnie moduł auth i guardy są miejscem, gdzie brak testów już zamienił się w realne luki. | 2026-09-23: zakres: login (ścieżki odmowy), reset hasła, rejestracja. Poza zakresem tego pliku: 2FA/passkey (osobne serwisy totp/webauthn) i ścieżka sukcesu z wydaniem JWT.</t>
        </is>
      </c>
    </row>
    <row r="355">
      <c r="A355" s="11" t="inlineStr">
        <is>
          <t>X-07</t>
        </is>
      </c>
      <c r="B355" s="12" t="inlineStr">
        <is>
          <t>X</t>
        </is>
      </c>
      <c r="C355" s="11" t="inlineStr">
        <is>
          <t>Pokrycie testami klienta KSeF</t>
        </is>
      </c>
      <c r="D355" s="11" t="inlineStr">
        <is>
          <t>—</t>
        </is>
      </c>
      <c r="E355" s="11" t="inlineStr">
        <is>
          <t>—</t>
        </is>
      </c>
      <c r="F355" s="11" t="inlineStr">
        <is>
          <t>—</t>
        </is>
      </c>
      <c r="G355" s="11" t="inlineStr">
        <is>
          <t>—</t>
        </is>
      </c>
      <c r="H355" s="11" t="inlineStr">
        <is>
          <t>—</t>
        </is>
      </c>
      <c r="I355" s="11" t="inlineStr">
        <is>
          <t>BRAK</t>
        </is>
      </c>
      <c r="J355" s="12" t="inlineStr">
        <is>
          <t>ksef-v2.client.ts (487 l. kryptografii + API skarbowe) — ZERO testów; testowany jest tylko builder XML</t>
        </is>
      </c>
      <c r="K355" s="11" t="inlineStr">
        <is>
          <t>POZA ZAKRESEM</t>
        </is>
      </c>
      <c r="L355" s="11" t="inlineStr">
        <is>
          <t>WYSOKA</t>
        </is>
      </c>
      <c r="M355" s="11" t="inlineStr">
        <is>
          <t>M</t>
        </is>
      </c>
      <c r="N355" s="12" t="inlineStr">
        <is>
          <t>Reklasyfikacja jak X-01.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356">
      <c r="A356" s="11" t="inlineStr">
        <is>
          <t>X-08</t>
        </is>
      </c>
      <c r="B356" s="12" t="inlineStr">
        <is>
          <t>X</t>
        </is>
      </c>
      <c r="C356" s="11" t="inlineStr">
        <is>
          <t>Pokrycie testami ścieżki backup/restore</t>
        </is>
      </c>
      <c r="D356" s="11" t="inlineStr">
        <is>
          <t>—</t>
        </is>
      </c>
      <c r="E356" s="11" t="inlineStr">
        <is>
          <t>—</t>
        </is>
      </c>
      <c r="F356" s="11" t="inlineStr">
        <is>
          <t>—</t>
        </is>
      </c>
      <c r="G356" s="11" t="inlineStr">
        <is>
          <t>—</t>
        </is>
      </c>
      <c r="H356" s="11" t="inlineStr">
        <is>
          <t>—</t>
        </is>
      </c>
      <c r="I356" s="11" t="inlineStr">
        <is>
          <t>DZIAŁA</t>
        </is>
      </c>
      <c r="J356" s="12" t="inlineStr">
        <is>
          <t>offsite-restore.service.ts (regex chroniący przed path traversal na wejściu od klienta) — ZERO testów | 2026-09-23: subscriptions/offsite-restore.service.spec.ts (17 testów: 9 wrogich nazw archiwum — traversal, ścieżki, średnik, nowa linia, $(…) — odrzucone przed zadaniem węzła; daUser z konta; wersja RRRRMMDD; 404 cudza usługa, 409 równoległe zadanie; parser logu węzła odrzuca złe nazwy; błąd węzła bez surowego logu) + istniejący hosting-restore.safety.spec.ts (kopia bezpieczeństwa przed odtworzeniem)</t>
        </is>
      </c>
      <c r="K356" s="11" t="inlineStr">
        <is>
          <t>PARYTET</t>
        </is>
      </c>
      <c r="L356" s="11" t="inlineStr">
        <is>
          <t>WYSOKA</t>
        </is>
      </c>
      <c r="M356" s="11" t="inlineStr">
        <is>
          <t>M</t>
        </is>
      </c>
      <c r="N356" s="12" t="inlineStr">
        <is>
          <t>Reklasyfikacja jak X-01 — ale patrz Z-03: brak testów walidacji wejścia migracji to nie jest kwestia jakości, tylko przyczyna luki wykonania kodu.</t>
        </is>
      </c>
    </row>
    <row r="357">
      <c r="A357" s="11" t="inlineStr">
        <is>
          <t>X-09</t>
        </is>
      </c>
      <c r="B357" s="12" t="inlineStr">
        <is>
          <t>X</t>
        </is>
      </c>
      <c r="C357" s="11" t="inlineStr">
        <is>
          <t>Pokrycie testami DirectAdminService</t>
        </is>
      </c>
      <c r="D357" s="11" t="inlineStr">
        <is>
          <t>—</t>
        </is>
      </c>
      <c r="E357" s="11" t="inlineStr">
        <is>
          <t>—</t>
        </is>
      </c>
      <c r="F357" s="11" t="inlineStr">
        <is>
          <t>—</t>
        </is>
      </c>
      <c r="G357" s="11" t="inlineStr">
        <is>
          <t>—</t>
        </is>
      </c>
      <c r="H357" s="11" t="inlineStr">
        <is>
          <t>—</t>
        </is>
      </c>
      <c r="I357" s="11" t="inlineStr">
        <is>
          <t>DZIAŁA</t>
        </is>
      </c>
      <c r="J357" s="12" t="inlineStr">
        <is>
          <t>servers/directadmin.{granica,poczta,ssl,kopie,konto,provisioning,domeny}.spec.ts — 181 testów na granicy HTTP (prawdziwy DirectAdminClient, podmieniony axios): dokładne pola wysyłane do DA, sukces / 200+error=1 / błąd sieci; plus zmiana-hasla-ftp, hosting-primary-domain, merge-admin-settings + subscriptions/provisioning.service.spec.ts; directadmin.docroot-staging.spec.ts; directadmin.odczyty.spec.ts</t>
        </is>
      </c>
      <c r="K357" s="11" t="inlineStr">
        <is>
          <t>PARYTET</t>
        </is>
      </c>
      <c r="L357" s="11" t="inlineStr">
        <is>
          <t>—</t>
        </is>
      </c>
      <c r="M357" s="11" t="inlineStr">
        <is>
          <t>L</t>
        </is>
      </c>
      <c r="N357" s="12" t="inlineStr">
        <is>
          <t>2026-09-24 (3): directadmin.domeny.spec.ts — DNS, domeny dodatkowe, aliasy, PHP per domena, poddomeny, deploy (31 testów). ZNALEZISKA NAPRAWIONE: (1) odmowa DA z SDK (np. „domena już istnieje”, błąd bazy, menedżera plików) kończyła się 500 „Wewnętrzny błąd serwera” — klient nie widział powodu; teraz DirectAdminApiError → 400 z tekstem DA w filtrze globalnym (jedno miejsce dla wszystkich wołających); (2) deploy „czyścił” nazwę gałęzi (main; rm → mainrm) i cron ciągnął nieistniejącą gałąź bez słowa; teraz 400, także dla myślnika na początku (opcja gita) i „..”. (4) provisioning.service.spec.ts — zakładanie konta DA (5 testów zachowania): błąd zapisu w bazie PO założeniu konta zostawiał sierotę na węźle (ponowienie → „domain already exists”, klient dostawał zwrot za stojący hosting); teraz wycofanie jak przy limitach LVE (F-11). ZOSTAJE: usuwanie kont DA (terminacja) bez testów zachowania. | 2026-09-24 ZNALEZISKA NAPRAWIONE: (1) SDK createMysqlDatabase i requestLetsEncrypt nie czytały treści odpowiedzi — 200 + error=1 = „sukces”; baza „powstawała” przy instalacji WordPressa, aplikacji 1-click i stagingu, a LE po provisioningu nie widział porażki; poprawione w SDK (u źródła, dla wszystkich wołających); (2) SEC-2 obchodzone: blokada zawieszonego konta działała tylko w daFormForSubscription — bazy, użytkownicy baz, domeny dodatkowe, .htaccess, ochrona katalogów i jednorazowe logowanie do DA szły obok; teraz assertAccountMutable na każdej ścieżce zapisu; (3) tryb EKO kasował cron kopii przed utworzeniem nowego — odrzucone create zostawiało konto bez kopii; teraz najpierw nowy, potem stary; (4) usuwanie poddomeny/stagingu (contents=yes, kasuje pliki) bez walidacji nazwy. ZOSTAJE: DNS, wskaźniki domen, PHP per domena, deploy, zakładanie/usuwanie kont DA (provisioning.service). |  | 2026-09-23 ZNALEZISKA NAPRAWIONE: (1) host z listy dozwolonych hotlinka trafiał do .htaccess bez walidacji — znak nowej linii dopisywał dowolną dyrektywę; teraz walidacja nazwy domeny; (2) AuthUserFile bez cudzysłowu — katalog ze spacją dawał błąd 500 całej strony; (3) body crona było interfejsem (zero walidacji) — nowa linia dopisywała wiersz crontaba; teraz ZadanieCronDto. ZOSTAJE: metody provisioningu, SSL, poczty i kopii bez testów jednostkowych (reszta z ~3,1 tys. linii). | 2026-09-25: +15 testów (directadmin.narzedzia.spec.ts) — ochrona katalogu hasłem (bcrypt $2y$ w .htpasswd, bez jawnego hasła; „..” i znaki powłoki odrzucane przed DA; konto zawieszone bez zapisu; usunięcie wycina tylko blok Verris), usunięcie aliasu domeny, odczyt catch-all i antyspamu (awaria DA = komunikat, nie „wyłączone”), lista skrzynek. Pokrycie linii directadmin.service.ts w testach jednostkowych: 67% przed tą partią. | 2026-09-25 (2): files.service.spec.ts — piaskownica menedżera plików (normalizacja ścieżek, wyjście poza katalog domowy → 403 bez DA, bajt zerowy, cudza usługa 404, konto nieaktywne 400, limit pobrania sprawdzany przed wczytaniem do pamięci). | 2026-09-25: directadmin.cron-ftp.spec.ts (8) — cron (pola 1:1, identyfikator tylko liczbowy także przy usuwaniu — dodane, zmiana = nowy wpis przed usunięciem starego, konto zawieszone bez mutacji), zmiana hasła FTP (konto spoza usługi 404, katalog zachowany, hasło nie w audycie), autorespondery, hosty dostępu do bazy. | 2026-09-25: document root (ścieżka konta w bloku DOCROOT, cudza konfiguracja zostaje; cudza domena, „..”, brak katalogu, konto zawieszone → 400 bez CUSTOM_HTTPD), SSO admina do węzła (link 2 min, bez linku w audycie, 404 dla nieznanego serwera), staging z bazą i walidacją nazwy, deploy (id liczbowy). Test directadmin.docroot-staging.spec.ts (13). | Zamknięte 2026-09-25 (D2): każda z 94 publicznych metod DirectAdminService ma test (sprawdzone skryptem: nazwa metody w co najmniej jednym specu). Ostatnie: odczyty — dane dostępowe i limity, adresy panelu, domeny dodatkowe, autorespondery, hosty i użytkownicy baz, bazy MySQL z wersją silnika, staging, dyrektywy PHP (directadmin.odczyty.spec.ts, 11).</t>
        </is>
      </c>
    </row>
    <row r="358">
      <c r="A358" s="11" t="inlineStr">
        <is>
          <t>X-10</t>
        </is>
      </c>
      <c r="B358" s="12" t="inlineStr">
        <is>
          <t>X</t>
        </is>
      </c>
      <c r="C358" s="11" t="inlineStr">
        <is>
          <t>Testy RBAC sprawdzające zachowanie, nie metadane</t>
        </is>
      </c>
      <c r="D358" s="11" t="inlineStr">
        <is>
          <t>—</t>
        </is>
      </c>
      <c r="E358" s="11" t="inlineStr">
        <is>
          <t>—</t>
        </is>
      </c>
      <c r="F358" s="11" t="inlineStr">
        <is>
          <t>—</t>
        </is>
      </c>
      <c r="G358" s="11" t="inlineStr">
        <is>
          <t>—</t>
        </is>
      </c>
      <c r="H358" s="11" t="inlineStr">
        <is>
          <t>—</t>
        </is>
      </c>
      <c r="I358" s="11" t="inlineStr">
        <is>
          <t>DZIAŁA</t>
        </is>
      </c>
      <c r="J358" s="12" t="inlineStr">
        <is>
          <t>3 pliki spec czytają Reflect.getMetadata(ROLES_KEY) — weryfikują, że dekorator napisano, nie że guard blokuje | 2026-09-23: apps/api/src/test/rbac-zachowanie.spec.ts — 225 tras z 36 kontrolerów admin/* przepuszczanych przez PRAWDZIWE RolesGuard + StaffPermissionsGuard (prawdziwy Reflector): klient odrzucony wszędzie, operator bez uprawnień odrzucony na każdej trasie z @StaffPerm, admin wpuszczony wszędzie, trasy tylko-ADMIN odrzucają operatora z kompletem uprawnień, sąsiednie uprawnienie nie wystarcza</t>
        </is>
      </c>
      <c r="K358" s="11" t="inlineStr">
        <is>
          <t>PARYTET</t>
        </is>
      </c>
      <c r="L358" s="11" t="inlineStr">
        <is>
          <t>WYSOKA</t>
        </is>
      </c>
      <c r="M358" s="11" t="inlineStr">
        <is>
          <t>M</t>
        </is>
      </c>
      <c r="N358" s="12" t="inlineStr">
        <is>
          <t>pokrycie pozorne w najdroższym możliwym miejscu | 2026-09-23: strażnik sam odkrywa nowe kontrolery admin/* — nowa trasa bez strażnika albo z otwartą rolą zatrzyma bramkę.</t>
        </is>
      </c>
    </row>
    <row r="359">
      <c r="A359" s="11" t="inlineStr">
        <is>
          <t>X-11</t>
        </is>
      </c>
      <c r="B359" s="12" t="inlineStr">
        <is>
          <t>X</t>
        </is>
      </c>
      <c r="C359" s="11" t="inlineStr">
        <is>
          <t>Testy API w osobnym jobie CI, nie za typecheckiem</t>
        </is>
      </c>
      <c r="D359" s="11" t="inlineStr">
        <is>
          <t>—</t>
        </is>
      </c>
      <c r="E359" s="11" t="inlineStr">
        <is>
          <t>—</t>
        </is>
      </c>
      <c r="F359" s="11" t="inlineStr">
        <is>
          <t>—</t>
        </is>
      </c>
      <c r="G359" s="11" t="inlineStr">
        <is>
          <t>—</t>
        </is>
      </c>
      <c r="H359" s="11" t="inlineStr">
        <is>
          <t>—</t>
        </is>
      </c>
      <c r="I359" s="11" t="inlineStr">
        <is>
          <t>DZIAŁA</t>
        </is>
      </c>
      <c r="J359" s="12" t="inlineStr">
        <is>
          <t>.github/workflows/ci.yml — osobny job api-tests o nazwie „API unit tests"</t>
        </is>
      </c>
      <c r="K359" s="11" t="inlineStr">
        <is>
          <t>PARYTET</t>
        </is>
      </c>
      <c r="L359" s="11" t="inlineStr">
        <is>
          <t>—</t>
        </is>
      </c>
      <c r="M359" s="11" t="inlineStr">
        <is>
          <t>S</t>
        </is>
      </c>
      <c r="N359" s="12" t="inlineStr">
        <is>
          <t>Zamknięte 2026-08-21. Zasada: krok, który DOWODZI, nie może stać za krokiem, który tylko sprawdza higienę. Przy przebiegu #17 typecheck wywalił się na apps/www — panelu niezwiązanym z tamtą pracą — i 194 testy nie uruchomiły się ani razu. Koszt rozdzielenia: jeden dodatkowy pnpm install, joby i tak biegną równolegle. deploy.yml celowo zostaje z testami w jednym jobie z typecheckiem, bo zadaniem bramki jest zablokować wdrożenie, a nie dostarczyć dowód. Check „API unit tests" dopisany do rulesetu z X-02 tego samego dnia — bez tego rozdzielenie jobów otwierałoby dziurę: testy widoczne, ale niewymagane do scalenia. Dokumentacja: docs/archiwum/zadania/X-11-testy-api-w-osobnym-jobie.md | KOREKTA 2026-08-22: podział jobów zabrał testom budowanie bibliotek, które wcześniej działo się przy okazji przez pnpm typecheck (Turbo, dependsOn ^build). Job „API unit tests” był przez to CZERWONY od tego commita aż do X-17, mimo że zgłosiłem pozycję jako zamkniętą na podstawie zielonych testów lokalnych. Sam przebieg CI sprawdziłem dopiero przy #56. Wniosek zapisany w X-17: pozycja dotycząca CI nie może być zamknięta bez obejrzenia przebiegu, którego dotyczy.</t>
        </is>
      </c>
    </row>
    <row r="360">
      <c r="A360" s="11" t="inlineStr">
        <is>
          <t>X-12</t>
        </is>
      </c>
      <c r="B360" s="12" t="inlineStr">
        <is>
          <t>X</t>
        </is>
      </c>
      <c r="C360" s="11" t="inlineStr">
        <is>
          <t>Skrypty węzła serwowane przez API obecne w obrazie produkcyjnym</t>
        </is>
      </c>
      <c r="D360" s="11" t="inlineStr">
        <is>
          <t>—</t>
        </is>
      </c>
      <c r="E360" s="11" t="inlineStr">
        <is>
          <t>—</t>
        </is>
      </c>
      <c r="F360" s="11" t="inlineStr">
        <is>
          <t>—</t>
        </is>
      </c>
      <c r="G360" s="11" t="inlineStr">
        <is>
          <t>—</t>
        </is>
      </c>
      <c r="H360" s="11" t="inlineStr">
        <is>
          <t>—</t>
        </is>
      </c>
      <c r="I360" s="11" t="inlineStr">
        <is>
          <t>DZIAŁA</t>
        </is>
      </c>
      <c r="J360" s="12" t="inlineStr">
        <is>
          <t>Dockerfile.api — COPY dla 10 skryptów; apps/api/src/test/dockerfile-scripts.spec.ts; D3: 2026-08-21 21:57 — `docker exec &lt;api&gt; ls -la ops/scripts/` na control-plane pokazuje 10 plików, w tym node-php-apply.sh, node-app-install.sh i node-account-restore.sh; D3 na węźle: 2026-09-28 — t1.verris.pl (AlmaLinux/CloudLinux 10, DA 1.710): /agent/tasks/{php-apply,app-install,offsite-restore}/script → 3× 200 z tożsamością węzła (X-Server-Id/X-Server-Token)</t>
        </is>
      </c>
      <c r="K360" s="11" t="inlineStr">
        <is>
          <t>PARYTET</t>
        </is>
      </c>
      <c r="L360" s="11" t="inlineStr">
        <is>
          <t>—</t>
        </is>
      </c>
      <c r="M360" s="11" t="inlineStr">
        <is>
          <t>S</t>
        </is>
      </c>
      <c r="N360" s="12" t="inlineStr">
        <is>
          <t>Nowa klasa błędu, której audyt nie widział: „skrypt jest w repozytorium, ale nie ma go w obrazie". Lokalnie wszystko działa, bo monorepo leży obok; w kontenerze jest tylko to, co wymienia Dockerfile. Brakowały trzy: node-account-restore.sh, node-app-install.sh, node-php-apply.sh. Skutek: trzy rodzaje zadań agenta nie wykonywały się na produkcji, przy zielonych testach i zielonym buildzie. Test statyczny wyciąga ścieżki z loaderów i porównuje z COPY — kosztuje milisekundy, zamyka całą klasę. | D3 OSIĄGNIĘTE 2026-08-21 21:57 po wdrożeniu #62: wszystkie dziesięć skryptów obecne w obrazie na serwerze. To pierwsza pozycja w tym audycie z dowodem poziomu D3.</t>
        </is>
      </c>
    </row>
    <row r="361">
      <c r="A361" s="11" t="inlineStr">
        <is>
          <t>X-13</t>
        </is>
      </c>
      <c r="B361" s="12" t="inlineStr">
        <is>
          <t>X</t>
        </is>
      </c>
      <c r="C361" s="11" t="inlineStr">
        <is>
          <t>Jedna gałąź wdrożeniowa — main</t>
        </is>
      </c>
      <c r="D361" s="11" t="inlineStr">
        <is>
          <t>—</t>
        </is>
      </c>
      <c r="E361" s="11" t="inlineStr">
        <is>
          <t>—</t>
        </is>
      </c>
      <c r="F361" s="11" t="inlineStr">
        <is>
          <t>—</t>
        </is>
      </c>
      <c r="G361" s="11" t="inlineStr">
        <is>
          <t>—</t>
        </is>
      </c>
      <c r="H361" s="11" t="inlineStr">
        <is>
          <t>—</t>
        </is>
      </c>
      <c r="I361" s="11" t="inlineStr">
        <is>
          <t>DZIAŁA</t>
        </is>
      </c>
      <c r="J361" s="12" t="inlineStr">
        <is>
          <t>.github/workflows/deploy.yml — on.push.branches: [main]</t>
        </is>
      </c>
      <c r="K361" s="11" t="inlineStr">
        <is>
          <t>PARYTET</t>
        </is>
      </c>
      <c r="L361" s="11" t="inlineStr">
        <is>
          <t>—</t>
        </is>
      </c>
      <c r="M361" s="11" t="inlineStr">
        <is>
          <t>S</t>
        </is>
      </c>
      <c r="N361" s="12" t="inlineStr">
        <is>
          <t>Do 2026-08-21 wdrożenie wyzwalały trzy gałęzie: main, master i live-release-readiness. Realne wdrożenia szły z live-release-readiness, master w repozytorium nie istniał, a main stał od czerwca. Trzy wyzwalacze to trzy odpowiedzi na pytanie „co jest na produkcji" — czyli brak odpowiedzi. Decyzja PM-a: zostaje sam main, chroniony rulesetem z X-02 i bramką testową z X-03. Konsekwencja: live-release-readiness przestaje być gałęzią wdrożeniową i zostaje jako zapis historii do czasu wycofania.</t>
        </is>
      </c>
    </row>
    <row r="362">
      <c r="A362" s="11" t="inlineStr">
        <is>
          <t>Z-12</t>
        </is>
      </c>
      <c r="B362" s="12" t="inlineStr">
        <is>
          <t>K</t>
        </is>
      </c>
      <c r="C362" s="11" t="inlineStr">
        <is>
          <t>Placement kont nadsubskrybuje zasoby węzła zamiast rezerwować pełne limity planu</t>
        </is>
      </c>
      <c r="D362" s="11" t="inlineStr">
        <is>
          <t>TAK</t>
        </is>
      </c>
      <c r="E362" s="11" t="inlineStr">
        <is>
          <t>TAK</t>
        </is>
      </c>
      <c r="F362" s="11" t="inlineStr">
        <is>
          <t>TAK</t>
        </is>
      </c>
      <c r="G362" s="11" t="inlineStr">
        <is>
          <t>TAK</t>
        </is>
      </c>
      <c r="H362" s="11" t="inlineStr">
        <is>
          <t>TAK</t>
        </is>
      </c>
      <c r="I362" s="11" t="inlineStr">
        <is>
          <t>DZIAŁA</t>
        </is>
      </c>
      <c r="J362" s="12" t="inlineStr">
        <is>
          <t>node-capacity.ts — czyZmiesciSie z dwiema bramkami (handlową: sprzedane + limit planu ≤ pojemność × overcommit; fizyczną: realne zużycie ≤ pojemność × (1 − headroom)); node-selector.service.ts — realneZuzycieWezlow z okna 30 min, jedna najnowsza próbka na subskrypcję; schema.prisma — Server.overcommitCpu/Ram/Disk Float @default(1); migracja 20260822090000_node_overcommit; node-capacity.spec.ts (21 testów) + node-selector.service.spec.ts (9 testów)</t>
        </is>
      </c>
      <c r="K362" s="11" t="inlineStr">
        <is>
          <t>PARYTET</t>
        </is>
      </c>
      <c r="L362" s="11" t="inlineStr">
        <is>
          <t>—</t>
        </is>
      </c>
      <c r="M362" s="11" t="inlineStr">
        <is>
          <t>M</t>
        </is>
      </c>
      <c r="N362" s="12" t="inlineStr">
        <is>
          <t>Zamknięte 2026-08-22, D3 wymagane po wdrożeniu (pozycja dotyczy pojemności produkcyjnej i pieniędzy). Błąd był kategorii, nie arytmetyki: allocated* to suma limitów planów, czyli ZOBOWIĄZANIE HANDLOWE, a kod porównywał je z pojemnością fizyczną tak, jakby były zajętością maszyny. W LVE MemoryMax i SPEED są sufitami burst — rezerwowanie sufitu to to samo, co trzymanie stolika dla każdego, kto MÓGŁBY przyjść. | Rozwiązanie ma dwie bramki, nie jedną: sama handlowa to hazard, sama fizyczna to stan sprzed poprawki z inną etykietą. | Zmiana semantyki headroomu: wcześniej pomniejszał księgę handlową (mieszanie jednostek), teraz chroni realne zużycie. Arkusz PB-01 podaje przez to 51 kont tam, gdzie kod daje 64 — model jest zachowawczy wobec implementacji, nie sprzeczny; uwaga dopisana w zakładce Gestosc. | Dysk ma osobny, niższy limit overcommitu (3× wobec 8×), bo quota dyskowa jest realnie egzekwowana i klient MOŻE ją wypełnić w całości. | Domyślne 1,0 celowo: migracja nie zmienia zachowania placementu, nadsubskrypcję włącza admin świadomie per węzeł. Wycofanie = przestawienie pola w panelu, bez rollbacku. | Brak telemetrii degraduje overcommit do 1,0 zamiast blokować sprzedaż — awaria agenta nie ma zatrzymywać firmy. Węzeł z zerem kont traktowany jako zużycie ZNANE i zerowe, nie nieznane. | Przy okazji naprawiony planer drenażu (OPS-4) w servers.service.ts, który miał DOKŁADNIE tę samą arytmetykę — plan ewakuacji mówiłby „nie ma dokąd przenieść kont” w chwili, gdy miejsce jest. Drugi raz w tym audycie poprawka miała bliźniaka; stąd wyniesienie arytmetyki do osobnego modułu. | 6 z 30 testów czerwieniło się na kodzie sprzed zmiany. Dokumentacja: docs/archiwum/zadania/Z-12-nadsubskrypcja-pojemnosci-wezla.md | 2026-10-10: D3 (karta węzła t1, 10.10 ok. 13:00): pula sprzedażowa TEST-NRB-01 wyczerpana przez dysk — przydzielone kontom 100 GB na 75 GB, zapas 0 kont. Bramka handlowa działa zgodnie z kodem, ale po wznowieniu nowych kont 18.10 testerzy bety nie kupią hostingu, dopóki nie zmieni się nadsubskrypcja dysku albo przydziały — decyzja właściciela: PB-55.</t>
        </is>
      </c>
    </row>
    <row r="363">
      <c r="A363" s="11" t="inlineStr">
        <is>
          <t>Z-13</t>
        </is>
      </c>
      <c r="B363" s="12" t="inlineStr">
        <is>
          <t>M</t>
        </is>
      </c>
      <c r="C363" s="11" t="inlineStr">
        <is>
          <t>Pakiet sprzedawany na stronie istnieje jako plan w bazie</t>
        </is>
      </c>
      <c r="D363" s="11" t="inlineStr">
        <is>
          <t>TAK</t>
        </is>
      </c>
      <c r="E363" s="11" t="inlineStr">
        <is>
          <t>TAK</t>
        </is>
      </c>
      <c r="F363" s="11" t="inlineStr">
        <is>
          <t>TAK</t>
        </is>
      </c>
      <c r="G363" s="11" t="inlineStr">
        <is>
          <t>TAK</t>
        </is>
      </c>
      <c r="H363" s="11" t="inlineStr">
        <is>
          <t>TAK</t>
        </is>
      </c>
      <c r="I363" s="11" t="inlineStr">
        <is>
          <t>DZIAŁA</t>
        </is>
      </c>
      <c r="J363" s="12" t="inlineStr">
        <is>
          <t>apps/api/src/plans/plan-produkcyjny.ts — PLAN_PRODUKCYJNY jako źródło prawdy; migracja 20260822120000_plan_produkcyjny (INSERT ... ON CONFLICT DO UPDATE, wycofanie planów prototypowych z isPublic); seed.ts — starter/pro/business isPublic: false; plan-produkcyjny.spec.ts — 20 testów uzgadniających treść strony, definicję w kodzie i migrację SQL</t>
        </is>
      </c>
      <c r="K363" s="11" t="inlineStr">
        <is>
          <t>PARYTET</t>
        </is>
      </c>
      <c r="L363" s="11" t="inlineStr">
        <is>
          <t>—</t>
        </is>
      </c>
      <c r="M363" s="11" t="inlineStr">
        <is>
          <t>S</t>
        </is>
      </c>
      <c r="N363" s="12" t="inlineStr">
        <is>
          <t>Zamknięte 2026-08-22. Strona sprzedawała pakiet, którego nie było gdzie kupić: w bazie istniały wyłącznie trzy plany z czasów prototypu (19,99/49,99/99,99 zł) o innych limitach, i to one były jedynymi publicznymi. | Sprawa nie kończyła się na cenniku — z rekordu Plan czyta wycena zamówienia i odnowienia, placement konta na węźle (limity bazowe), synchronizacja pakietów DirectAdmina (prod-sync-server-da-packages.sh) i sufity autoskalowania. | Ceny są BRUTTO: invoices.service.ts:293 traktuje kwotę obciążenia jako brutto i rozbija ją na netto + VAT 23%. Wpisanie netto zawyżyłoby każdą fakturę o 23%. Sprawdzone w kodzie, nie założone. | Plan powstaje w MIGRACJI, nie w seedzie — dzięki temu istnieje na każdym środowisku bez uruchamiania seeda, a ON CONFLICT DO UPDATE sprawia, że migracja jest źródłem prawdy także przy zmianie ceny. | Plany prototypowe wycofane przez isPublic=false, a NIE isActive=false: dezaktywacja planu wywróciłaby odnowienie ewentualnej subskrypcji na nim założonej. | Test uzgadnia TRZY warstwy, które mówiły trzy różne rzeczy: treść strony, definicję w kodzie i migrację SQL. Sprawdzone przez podmianę ceny w SQL — test zapala się na czerwono. | Przy okazji odkryte Z-16: sufit autoskalowania z oferty (24 vCPU, 1000 GB) jest nieosiągalny, bo silnik przycina krotność do 10×. Dokumentacja: docs/archiwum/zadania/Z-13-plan-produkcyjny-w-bazie.md | 2026-09-25: plan verris-hosting miał w pakiecie DA domyślną politykę (1 domena, 25 skrzynek, 5 baz) wbrew ofercie „bez limitu stron i skrzynek”; dodana polityka bez limitu liczbowego (sufitem są zasoby) + test.</t>
        </is>
      </c>
    </row>
    <row r="364">
      <c r="A364" s="11" t="inlineStr">
        <is>
          <t>Z-14</t>
        </is>
      </c>
      <c r="B364" s="12" t="inlineStr">
        <is>
          <t>P</t>
        </is>
      </c>
      <c r="C364" s="11" t="inlineStr">
        <is>
          <t>Treść oferty nie obiecuje zasobów, których nie da się dotrzymać jednocześnie</t>
        </is>
      </c>
      <c r="D364" s="11" t="inlineStr">
        <is>
          <t>TAK</t>
        </is>
      </c>
      <c r="E364" s="11" t="inlineStr">
        <is>
          <t>TAK</t>
        </is>
      </c>
      <c r="F364" s="11" t="inlineStr">
        <is>
          <t>TAK</t>
        </is>
      </c>
      <c r="G364" s="11" t="inlineStr">
        <is>
          <t>TAK</t>
        </is>
      </c>
      <c r="H364" s="11" t="inlineStr">
        <is>
          <t>TAK</t>
        </is>
      </c>
      <c r="I364" s="11" t="inlineStr">
        <is>
          <t>DZIAŁA</t>
        </is>
      </c>
      <c r="J364" s="12" t="inlineStr">
        <is>
          <t>apps/www/src/app/(frontend)/hosting/page.tsx — „do 8 GB RAM, do 2 vCPU”; apps/www/src/app/(frontend)/components/Pricing.tsx — ta sama zmiana w karcie pakietu</t>
        </is>
      </c>
      <c r="K364" s="11" t="inlineStr">
        <is>
          <t>PARYTET</t>
        </is>
      </c>
      <c r="L364" s="11" t="inlineStr">
        <is>
          <t>—</t>
        </is>
      </c>
      <c r="M364" s="11" t="inlineStr">
        <is>
          <t>S</t>
        </is>
      </c>
      <c r="N364" s="12" t="inlineStr">
        <is>
          <t>Zamknięte 2026-08-22. Strona pisała „Baza w cenie: 50 GB NVMe, 8 GB RAM, 2 vCPU”. Przy gęstości, przy której węzeł w ogóle się domyka (51 kont), oznaczałoby to 408 GB RAM obiecane na maszynie ze 128 GB. Sformułowanie „w cenie” to obietnica rezerwacji; RAM i CPU są w LVE sufitami burst, więc poprawne jest „do”. Dysk zostaje bez zmiany — quota dyskowa jest realnie egzekwowana i 50 GB to faktyczna alokacja. To ten sam typ błędu, który audyt wychwycił w oferta.md: zdanie prawdziwe dla jednego klienta i nieprawdziwe dla wszystkich naraz. Decyzja PM-a z 2026-08-22. Dokumentacja: docs/archiwum/strategy/DECYZJA_CENOWA_2026-08.md</t>
        </is>
      </c>
    </row>
    <row r="365">
      <c r="A365" s="11" t="inlineStr">
        <is>
          <t>Z-15</t>
        </is>
      </c>
      <c r="B365" s="12" t="inlineStr">
        <is>
          <t>K</t>
        </is>
      </c>
      <c r="C365" s="11" t="inlineStr">
        <is>
          <t>Alert wyprzedzający, gdy realne zużycie węzła zbliża się do progu</t>
        </is>
      </c>
      <c r="D365" s="11" t="inlineStr">
        <is>
          <t>TAK</t>
        </is>
      </c>
      <c r="E365" s="11" t="inlineStr">
        <is>
          <t>TAK</t>
        </is>
      </c>
      <c r="F365" s="11" t="inlineStr">
        <is>
          <t>CZĘŚĆ</t>
        </is>
      </c>
      <c r="G365" s="11" t="inlineStr">
        <is>
          <t>CZĘŚĆ</t>
        </is>
      </c>
      <c r="H365" s="11" t="inlineStr">
        <is>
          <t>TAK</t>
        </is>
      </c>
      <c r="I365" s="11" t="inlineStr">
        <is>
          <t>DZIAŁA</t>
        </is>
      </c>
      <c r="J365" s="12" t="inlineStr">
        <is>
          <t>node-capacity.ts — bramka fizyczna odmawia po przekroczeniu progu, nie przed | 2026-09-23: node-capacity.ts oblozenieWezla (dwie księgi: sprzedaż względem pojemności z nadsubskrypcją, realne zużycie względem fizycznej po headroomie) + zuzycieZProbek (wspólne z placementem); ops-watchdog.scheduler checkCapacity — alert przy sprzedaży ≥85% LUB realnym zużyciu ≥80% (bramka fizyczna odmawia przy 100%); mail pokazuje obie księgi; test D2 oblozenie-wezla.spec.ts</t>
        </is>
      </c>
      <c r="K365" s="11" t="inlineStr">
        <is>
          <t>PARYTET</t>
        </is>
      </c>
      <c r="L365" s="11" t="inlineStr">
        <is>
          <t>ŚREDNIA</t>
        </is>
      </c>
      <c r="M365" s="11" t="inlineStr">
        <is>
          <t>S</t>
        </is>
      </c>
      <c r="N365" s="12" t="inlineStr">
        <is>
          <t>Odkryte przy zamykaniu Z-12. Bramka realnego zużycia działa poprawnie, ale odzywa się dopiero wtedy, gdy węzeł jest już pełny — a operator dowiaduje się o tym z nieudanej sprzedaży. To jest ten sam wzorzec co przy X-12: mechanizm działa, tylko informacja dociera po fakcie. Do zrobienia: próg ostrzegawczy (np. 70% pojemności fizycznej) podpięty pod istniejący ops-watchdog.scheduler.ts, który już liczy procenty wykorzystania i wysyła alerty. Przy okazji: nikt nie liczy sumy nadsubskrypcji po całej flocie — przy jednym węźle bez znaczenia, przy pięciu już nie. | 2026-09-23 ZNALEZISKO NAPRAWIONE: watchdog porównywał SPRZEDANE z samą pojemnością fizyczną — przy overcommicie (do 8× CPU/RAM) każdy normalnie sprzedany węzeł dawał alarm „blisko zapełnienia” (a przy OPS_AUTO_CORDON=1 auto-cordon), a realnego zapełnienia nie widział wcale. ZOSTAJE: suma nadsubskrypcji po całej flocie (bez znaczenia przy jednym węźle).</t>
        </is>
      </c>
    </row>
    <row r="366">
      <c r="A366" s="11" t="inlineStr">
        <is>
          <t>Z-16</t>
        </is>
      </c>
      <c r="B366" s="12" t="inlineStr">
        <is>
          <t>J</t>
        </is>
      </c>
      <c r="C366" s="11" t="inlineStr">
        <is>
          <t>Autoskalowanie pyta węzeł o pojemność i dowozi sufit obiecany w ofercie</t>
        </is>
      </c>
      <c r="D366" s="11" t="inlineStr">
        <is>
          <t>TAK</t>
        </is>
      </c>
      <c r="E366" s="11" t="inlineStr">
        <is>
          <t>TAK</t>
        </is>
      </c>
      <c r="F366" s="11" t="inlineStr">
        <is>
          <t>CZĘŚĆ</t>
        </is>
      </c>
      <c r="G366" s="11" t="inlineStr">
        <is>
          <t>CZĘŚĆ</t>
        </is>
      </c>
      <c r="H366" s="11" t="inlineStr">
        <is>
          <t>TAK</t>
        </is>
      </c>
      <c r="I366" s="11" t="inlineStr">
        <is>
          <t>DZIAŁA</t>
        </is>
      </c>
      <c r="J366" s="12" t="inlineStr">
        <is>
          <t>node-capacity.ts — wolneDoZadysponowania + krotnoscAutoskalowania (MAKS 32×, koniec zaszytego sufitu 10×); autoscaling-engine.service.ts — ogranicznikPojemnosciWezla przed guardScaleUp, realneZuzycieWezla, allocated* incrementowane w tej samej transakcji co zapis konta; account-deletion.service.ts — zwolnienie limitów efektywnych przy DELETED; node-selector.service.ts — maxAccounts pomija DELETED; plan-change.service.ts — delta od limitów efektywnych; migracja 20260822150000_uzgodnienie_ksiegi_wezla; node-capacity-z16.spec.ts + ksiega-wezla.spec.ts + przepisany blok w plan-produkcyjny.spec.ts</t>
        </is>
      </c>
      <c r="K366" s="11" t="inlineStr">
        <is>
          <t>PARYTET</t>
        </is>
      </c>
      <c r="L366" s="11" t="inlineStr">
        <is>
          <t>—</t>
        </is>
      </c>
      <c r="M366" s="11" t="inlineStr">
        <is>
          <t>M</t>
        </is>
      </c>
      <c r="N366" s="12" t="inlineStr">
        <is>
          <t>Zamknięte 2026-08-22, D3 wymagane. Silnik autoskalowania nie miał w całym pliku ani jednego odwołania do Server ani do allocated*. Dwa skutki, jedna przyczyna. | PIERWSZY: sufit 10× zaszyty w silniku niezależnie od planu sprawiał, że oferta (24 vCPU, 1000 GB) była nieosiągalna — realnie 20 vCPU i 500 GB. Klient płacił godzinowo za nadwyżkę, której nie dostawał. | DRUGI: silnik podnosił limity w DirectAdminie bez pytania węzła o pojemność i bez zapisu w księdze. Po Z-12 znaczyło to dwie warstwy nadsubskrybujące ten sam węzeł bez wiedzy o sobie; jedno konto mogło urosnąć do 1000 GB na węźle 1,92 TB. | KOLEJNOŚĆ MIAŁA ZNACZENIE: przy Z-13 świadomie NIE podniosłem sufitu i utrwaliłem rozbieżność testem, bo wyższy sufit bez zabezpieczenia pojemności powiększyłby promień rażenia. Ten test zapalił się przy zmianie progu dokładnie tak, jak miał — ratchet zadziałał. | Przycinanie zamiast odmowy: brak pojemności węzła nie jest winą klienta i nie może mu wyłączać autoskalowania. Konto dostaje mniej, nie traci usługi; każde obcięcie zostawia wpis AUTOSCALING_OGRANICZONE_POJEMNOSCIA_WEZLA — to sygnał do dołożenia węzła. | Zmiana znaczenia księgi allocated* wymusiła przegląd wszystkich jej pisarzy i wyszły CZTERY przecieki: (1) autoskalowanie nie dopisywało nadwyżki, (2) usunięcie konta nigdy nie zwalniało limitów — węzeł z czasem przestawał przyjmować konta mając miejsce, (3) maxAccounts liczył konta DELETED, (4) zmiana planu liczyła deltę od baz planów, co było poprawne PRZED Z-16 i stałoby się błędem PO. Czwarty nie istniał — powstałby przez tę poprawkę. | Migracja PRZELICZA księgę z limitów efektywnych kont żywych, więc prostuje też przeszłość; LEFT JOIN, bo węzeł bez kont też mógł mieć allocated* &gt; 0. | 27 nowych testów, czerwień na starym kodzie zebrana trzykrotnie (1/20, 3/21, 4/11). Dokumentacja: docs/archiwum/zadania/Z-16-autoskalowanie-pyta-wezel.md</t>
        </is>
      </c>
    </row>
    <row r="367">
      <c r="A367" s="11" t="inlineStr">
        <is>
          <t>Z-17</t>
        </is>
      </c>
      <c r="B367" s="12" t="inlineStr">
        <is>
          <t>J</t>
        </is>
      </c>
      <c r="C367" s="11" t="inlineStr">
        <is>
          <t>Klient widzi, że autoskalowanie dało mu mniej, niż potrzebował</t>
        </is>
      </c>
      <c r="D367" s="11" t="inlineStr">
        <is>
          <t>NIE</t>
        </is>
      </c>
      <c r="E367" s="11" t="inlineStr">
        <is>
          <t>NIE</t>
        </is>
      </c>
      <c r="F367" s="11" t="inlineStr">
        <is>
          <t>NIE</t>
        </is>
      </c>
      <c r="G367" s="11" t="inlineStr">
        <is>
          <t>CZĘŚĆ</t>
        </is>
      </c>
      <c r="H367" s="11" t="inlineStr">
        <is>
          <t>TAK</t>
        </is>
      </c>
      <c r="I367" s="11" t="inlineStr">
        <is>
          <t>DZIAŁA</t>
        </is>
      </c>
      <c r="J367" s="12" t="inlineStr">
        <is>
          <t>autoscaling-engine.service.ts — obcięcie zostawia wpis w dzienniku audytu i warn w logu, ale panel klienta nie pokazuje niczego | 2026-09-23: autoscaling-engine.service.ts — przy obcięciu zapis AutoscalingEvent (reason node_capacity_limited|cpu:przyznane/chciane|ram:…|disk:…); panel klienta autoscaling/timeline.tsx — pozycja „Serwer dał mniej zasobów, niż potrzebowała strona” z przyznanymi wartościami i wyjaśnieniem, że to brak miejsca po naszej stronie</t>
        </is>
      </c>
      <c r="K367" s="11" t="inlineStr">
        <is>
          <t>PARYTET</t>
        </is>
      </c>
      <c r="L367" s="11" t="inlineStr">
        <is>
          <t>ŚREDNIA</t>
        </is>
      </c>
      <c r="M367" s="11" t="inlineStr">
        <is>
          <t>S</t>
        </is>
      </c>
      <c r="N367" s="12" t="inlineStr">
        <is>
          <t>Odkryte przy zamykaniu Z-16. Gdy węzeł nie ma pełnej nadwyżki, konto dostaje tyle, ile się da — i to jest właściwe zachowanie. Ale klient płaci za autoskalowanie godzinowo i nie dowiaduje się, że w szczycie dostał połowę tego, czego strona potrzebowała. Widzi wolną stronę i nie wie dlaczego. | To nie jest kosmetyka interfejsu: przy usłudze rozliczanej za realne użycie informacja o tym, że usługa nie dowiozła, jest częścią usługi. Bez niej pierwsze zgłoszenie do BOK-u brzmi „strona muliła w Black Friday”, a odpowiedź wymaga grzebania w dzienniku audytu. | Do zrobienia: wpis w historii autoskalowania widoczny w panelu klienta plus, przy powtarzających się obcięciach, sygnał od nas — bo to my mamy za mało węzłów, nie on za mały pakiet. | 2026-09-23: widoczne w historii autoskalowania. ZOSTAJE: sygnał od nas przy powtarzających się obcięciach (dziś widzi to operator w alertach pojemności Z-15). Bez testu jednostkowego ścieżki obcięcia — D3 przy pierwszym szczycie na węźle.</t>
        </is>
      </c>
    </row>
    <row r="368">
      <c r="A368" s="11" t="inlineStr">
        <is>
          <t>Z-18</t>
        </is>
      </c>
      <c r="B368" s="12" t="inlineStr">
        <is>
          <t>Z</t>
        </is>
      </c>
      <c r="C368" s="11" t="inlineStr">
        <is>
          <t>Prawdziwa przyczyna błędu provisioningu nie ginie po drodze</t>
        </is>
      </c>
      <c r="D368" s="11" t="inlineStr">
        <is>
          <t>—</t>
        </is>
      </c>
      <c r="E368" s="11" t="inlineStr">
        <is>
          <t>—</t>
        </is>
      </c>
      <c r="F368" s="11" t="inlineStr">
        <is>
          <t>—</t>
        </is>
      </c>
      <c r="G368" s="11" t="inlineStr">
        <is>
          <t>—</t>
        </is>
      </c>
      <c r="H368" s="11" t="inlineStr">
        <is>
          <t>—</t>
        </is>
      </c>
      <c r="I368" s="11" t="inlineStr">
        <is>
          <t>DZIAŁA</t>
        </is>
      </c>
      <c r="J368" s="12" t="inlineStr">
        <is>
          <t>apps/api/src/subscriptions/provisioning-error.ts — BladEtapuProvisioningu (etap, przyczyna, message z doklejoną przyczyną); provisioning-queue.service.ts — kategoriaBledu(err), klasyfikacja obiektu zamiast napisu, pole przyczyna w audycie ponowienia i twardej porażki; provisioning.service.ts — trzy etapy DA (ensureUserPackage, createAccount, setAccountLimits) bez prania przyczyny; apps/api/src/test/blad-provisioningu-nie-klamie.spec.ts (18). BRAK: dowodu D3 — nie ma węzła obliczeniowego, więc ścieżki provisioningu nie da się dziś przejść na produkcji.</t>
        </is>
      </c>
      <c r="K368" s="11" t="inlineStr">
        <is>
          <t>PARYTET</t>
        </is>
      </c>
      <c r="L368" s="11" t="inlineStr">
        <is>
          <t>BLOKER STARTU</t>
        </is>
      </c>
      <c r="M368" s="11" t="inlineStr">
        <is>
          <t>S</t>
        </is>
      </c>
      <c r="N368" s="12" t="inlineStr">
        <is>
          <t>2026-09-24 PRZEGLĄD „CZEGO NIE OBEJMUJE” (Stripe, migracje, autoskalowanie + sąsiednie ścieżki pieniędzy): (1) twarda porażka provisioningu kończyła się zwykłym throw — BullMQ ponawiał i zakładał konto po zwrocie środków; teraz UnrecoverableError; (2) 503 z wyboru węzła (polski komunikat) był „trwały” → zwrot przy pierwszej próbie; teraz status HTTP przed prozą; (3) odnowienie portfelem: błąd bazy = PAST_DUE + mail „płatność nieudana”; teraz tylko ConflictException; (4) odnowienie VPS: catch {} + po karencji deleteServer — błąd bazy mógł skasować serwer klienta; (5) usunięcie konta DA (RODO): „Server not found”/„brak …” uznawane za „użytkownika nie ma”; (6) autoskalowanie: brak środków po typie. Stripe (webhooki z ewidencją i ponowieniami) bez zastrzeżeń. 18 testów zachowania. Pozycja nadal czeka na D3 na węźle #1. | Stan 2026-08-23: NAPRAWIONE W KODZIE (D2), POZYCJA OTWARTA — bloker startu do czasu dowodu D3 na węźle #1 (sprint 8). Krytyczność nadana decyzją właściciela produktu 2026-08-23. | JAK TO WYSZŁO: X-30 naprawiło alerting i w ciągu dziesięciu minut zapaliła się pierwsza reguła z PRAWDZIWEGO powodu — VerrisProvisioningQueueFailed. W kolejce leżały cztery martwe joby, a w panelu operatora stało przy nich „DirectAdmin package "starter" is missing on the node and could not be created automatically". W audycie stało co innego: ensureUserPackage / connect ECONNREFUSED 62.238.0.223:2222 (2026-07-07 i 07-10) oraz createAccount / „DirectAdmin API Error: Unable to Create User — A valid IP was not provided" (2026-05-30). Węzeł nie przyjmował połączeń; z pakietem nie było nic nie tak. Same joby są nieszkodliwe — konto testowe właściciela, domeny test.pl/testowa.pl/hvln.pl, sprzed trzech miesięcy, z czasów gdy węzeł testowy jeszcze istniał (dziś nie ma go wcale). Ale komunikat doprowadził mnie do hipotezy o złym mapowaniu planów na pakiety DA — całkowicie chybionej. Na tym polega koszt takiego błędu: nie na tym, że coś nie działa, tylko że wszyscy patrzą nie tam. | MECHANIZM: provisioning.service.ts łapał prawdziwy błąd, zapisywał go do audytu i rzucał dalej STAŁY NAPIS. Prawda zostawała w bazie, w górę szła zmyślona przyczyna. A wyżej: const errCategory = categorizeProvisioningError(msg) — klasyfikator dostawał ten wyprany napis. Jest napisany POPRAWNIE, ma econnrefused na liście błędów przejściowych; tylko nigdy nie widzi tego słowa. | DLACZEGO DOTYKA PIENIĘDZY: przy kliencie i chwilowym zerwaniu sieci — próba 1 → ECONNREFUSED przebrany za brak pakietu → permanent → ścieżka twardej porażki JUŻ PRZY PIERWSZEJ PRÓBIE: subskrypcja na FAILED, ZWROT ŚRODKÓW do portfela, status PENDING_PAYMENT; potem throw err i BullMQ i tak ponawia (attempts: 3, backoff wykładniczy); próba 2 przechodzi, konto powstaje, provisioning.service.ts:299 ustawia subskrypcję na ACTIVE. Klient ma działający hosting i odzyskane pieniądze, a zwrot jest idempotentny (sub-{id}-initial-refund), więc nic go nie cofnie. Wada uśpiona — nie ma dowodu, że się zdarzyła (te joby padły do końca, węzeł był wyłączony na dobre) — ale leży dokładnie na ścieżce pierwszego płacącego klienta. | RODZINA, NOWY WARIANT: to NIE jest „kontrola, która melduje zamiast zatrzymywać" (X-14, X-23, H-19, X-27), gdzie mechanizm istniał i niczego nie bramkował. To POPRAWNA KONTROLA, KTÓREJ SIĘ KŁAMIE: guard dobry, decyzja dobra, lista wyjątków kompletna — a wejście wyprane po drodze. Blisko też rodzinie „strażnik dopasowuje własną prozę" (dziesiąte wystąpienie): jeden z trzech komunikatów był ułożony tak, żeby TRAFIĆ w listę przejściowych — 'CloudLinux LVE limits could not be applied on this node.' kontra lower.includes('cloudlinux lve limits could not be applied'). Działało przypadkiem, dopóki ktoś nie poprawiłby zdania. | POPRAWKA: BladEtapuProvisioningu(etap, przyczyna, komunikatDlaCzlowieka) — klasa niosąca ORYGINALNĄ treść błędu; kategoriaBledu(err) pyta obiekt o przyczynę i dopiero na niej odpala istniejący klasyfikator, a napis zostaje ścieżką zapasową. Przyczyna jest DOKLEJONA także do message, bo panel pokazuje job.failedReason z BullMQ (czyli Error.message), a failedCategory liczy się z tego samego napisu — gdyby przyczyna została tylko we właściwości, panel dalej opowiadałby zmyśloną historię. Audyt dostał osobne pole przyczyna obok error. | Czerwieni się na starym kodzie: 4 z 18. Czternaście przechodziło, bo dotyczą zachowania kategoriaBledu, której przed poprawką nie było — redness siedzi w asercjach strukturalnych. Mówię o tym wprost, żeby „4 z 18" nie wyglądało słabiej, niż jest. | CZEGO NIE OBEJMUJE: innych miejsc, gdzie prawdziwy błąd może być prany (Stripe, migracje, autoskalowanie mają własne bloki catch i nie były przeglądane pod tym kątem — warte osobnego przejścia); sensowności samego zwrotu przy twardej porażce (zwrot jest właściwy, gdy błąd NAPRAWDĘ jest trwały — ta pozycja naprawia rozpoznanie, nie decyzję); czterech martwych jobów w kolejce (sprzątane po tej poprawce, decyzją właściciela produktu, żeby czyścić już na kodzie zapisującym prawdziwą przyczynę). | JAK ZAMKNĄĆ: na węźle #1 uruchomić provisioning, przerwać połączenie do DA w trakcie i pokazać w audycie PONOWIENIE zamiast zwrotu środków, a potem konto założone przy drugiej próbie. Dokumentacja: docs/archiwum/zadania/Z-18-blad-provisioningu-nie-klamie.md | 2026-10-03: D3 na t1 — zerwane połączenie z DA przy zakładaniu (REJECT na :2222 do pierwszej odmowy): przed poprawką jedna odmowa spalała 3 próby w 15 s na otwartym bezpieczniku węzła → twarda porażka (przy portfelu zwrot+FAILED); po 80ef14a (opóźnienie ponowienia &gt; okno bezpiecznika) próba 1 RETRYING, próba 2 po ~2,5 min zakłada konto (z18b.d3.hvln.pl). Admin „Ponów” zeruje teraz licznik prób.</t>
        </is>
      </c>
    </row>
    <row r="369">
      <c r="A369" s="11" t="inlineStr">
        <is>
          <t>X-14</t>
        </is>
      </c>
      <c r="B369" s="12" t="inlineStr">
        <is>
          <t>X</t>
        </is>
      </c>
      <c r="C369" s="11" t="inlineStr">
        <is>
          <t>CI sprawdza DANE po migracji, nie tylko czy migracja się wykonała</t>
        </is>
      </c>
      <c r="D369" s="11" t="inlineStr">
        <is>
          <t>—</t>
        </is>
      </c>
      <c r="E369" s="11" t="inlineStr">
        <is>
          <t>—</t>
        </is>
      </c>
      <c r="F369" s="11" t="inlineStr">
        <is>
          <t>—</t>
        </is>
      </c>
      <c r="G369" s="11" t="inlineStr">
        <is>
          <t>—</t>
        </is>
      </c>
      <c r="H369" s="11" t="inlineStr">
        <is>
          <t>—</t>
        </is>
      </c>
      <c r="I369" s="11" t="inlineStr">
        <is>
          <t>DZIAŁA</t>
        </is>
      </c>
      <c r="J369" s="12" t="inlineStr">
        <is>
          <t>.github/workflows/ci.yml — job migrations: kroki „Seed reference data” i „Verify migrated data (Z-12, Z-13, Z-16)”; ops/sql/sprawdz-baze-po-migracji.sql — 5 bloków asercji kończących się RAISE EXCEPTION</t>
        </is>
      </c>
      <c r="K369" s="11" t="inlineStr">
        <is>
          <t>PARYTET</t>
        </is>
      </c>
      <c r="L369" s="11" t="inlineStr">
        <is>
          <t>—</t>
        </is>
      </c>
      <c r="M369" s="11" t="inlineStr">
        <is>
          <t>S</t>
        </is>
      </c>
      <c r="N369" s="12" t="inlineStr">
        <is>
          <t>Zamknięte 2026-08-22. Job migrations sprawdzał wyłącznie, czy migracje dają się zastosować i czy schemat nie ma dryfu. Nie sprawdzał, czy DANE, które migracje wstawiają, tam są i mają właściwe wartości — a Z-12 i Z-13 to migracje danych, których poprawność testy jednostkowe potwierdzały wyłącznie przez czytanie SQL-a jako TEKSTU. | Teraz CI odpytuje bazę: czy plan verris-hosting istnieje z ceną 45,00 brutto i limitami 200/8192/51200, czy publiczny pakiet hostingowy jest dokładnie jeden, czy prototypy są wycofane ale nie zdezaktywowane, czy kolumny overcommit mają NEUTRALNĄ domyślną 1, czy księga pojemności zgadza się z sumą limitów kont żywych. | Sprawdzone na prawdziwym Postgresie 16 ze wszystkimi 100 migracjami: komplet przechodzi, a podmiana ceny na 49,00 i podniesienie domyślnej nadsubskrypcji do 4 wywalają job z kodem 3. | ODKRYTE PRZY TESTOWANIU: na bazie z samych migracji plany prototypowe w ogóle nie istnieją (tworzy je seed), więc asercja o ich wycofaniu przechodziła TRYWIALNIE — w logu CI wygląda to identycznie jak prawdziwe „wszystko w porządku”. Stąd krok seeda przed asercjami plus jawny warunek: zero znalezionych prototypów to błąd, nie sukces. Przy okazji CI po raz pierwszy weryfikuje, że seed w ogóle wykonuje się na świeżej bazie. | Dokumentacja: docs/archiwum/zadania/X-14-asercje-danych-po-migracji.md</t>
        </is>
      </c>
    </row>
    <row r="370">
      <c r="A370" s="11" t="inlineStr">
        <is>
          <t>X-15</t>
        </is>
      </c>
      <c r="B370" s="12" t="inlineStr">
        <is>
          <t>X</t>
        </is>
      </c>
      <c r="C370" s="11" t="inlineStr">
        <is>
          <t>Niezmiennik księgi pojemności sprawdzany liczbowo, nie tekstowo</t>
        </is>
      </c>
      <c r="D370" s="11" t="inlineStr">
        <is>
          <t>—</t>
        </is>
      </c>
      <c r="E370" s="11" t="inlineStr">
        <is>
          <t>—</t>
        </is>
      </c>
      <c r="F370" s="11" t="inlineStr">
        <is>
          <t>—</t>
        </is>
      </c>
      <c r="G370" s="11" t="inlineStr">
        <is>
          <t>—</t>
        </is>
      </c>
      <c r="H370" s="11" t="inlineStr">
        <is>
          <t>—</t>
        </is>
      </c>
      <c r="I370" s="11" t="inlineStr">
        <is>
          <t>DZIAŁA</t>
        </is>
      </c>
      <c r="J370" s="12" t="inlineStr">
        <is>
          <t>apps/api/src/subscriptions/ksiega-niezmiennik.spec.ts — 15 testów: losowe ciągi operacji (założenie konta, skalowanie w górę i w dół, zmiana planu, usunięcie) z porównaniem księgi z prawdą po KAŻDYM kroku; node-capacity.ts — deltaKsiegi/limityEfektywne/ksiegaUpdateData jako jedyna arytmetyka księgi w projekcie</t>
        </is>
      </c>
      <c r="K370" s="11" t="inlineStr">
        <is>
          <t>PARYTET</t>
        </is>
      </c>
      <c r="L370" s="11" t="inlineStr">
        <is>
          <t>—</t>
        </is>
      </c>
      <c r="M370" s="11" t="inlineStr">
        <is>
          <t>S</t>
        </is>
      </c>
      <c r="N370" s="12" t="inlineStr">
        <is>
          <t>Zamknięte 2026-08-22. Strażniki z Z-16 były statyczne — czytały tekst źródłowy. Złapią usunięcie linii (i złapały, gdy arytmetyka poszła do wspólnych funkcji), ale nie złapią błędu w ZNAKU delty ani pomylonych argumentów: deltaKsiegi(po, przed) zamiast deltaKsiegi(przed, po) przechodzi każdy test tekstowy i rozjeżdża księgę przy pierwszej operacji. | Test sprawdza jedyną rzecz, która musi być prawdziwa: allocated* równa się sumie limitów efektywnych kont żywych po dowolnym ciągu operacji. Deterministyczny generator, sześć ziaren, sprawdzenie po każdym kroku — żeby dwa błędy nie zniosły się nawzajem. | Uczciwość testu polega na tym, że symulator używa DOKŁADNIE tych samych funkcji co produkcja; gdyby liczył po swojemu, sprawdzałby siebie. Warunkiem było wyciągnięcie arytmetyki z czterech serwisów do node-capacity.ts — przy okazji piąty rozjazd nie ma już gdzie powstać. | Zweryfikowane: odwrócenie znaku w JEDNYM zasobie czerwieni 10 z 15 testów niezmiennika. Test statyczny tego nie widzi. | Czego to nie sprawdza: czy serwisy wołają te funkcje w odpowiednim momencie i z odpowiednimi argumentami — to jest rola X-04. Tu weryfikowana jest arytmetyka, tam okablowanie.</t>
        </is>
      </c>
    </row>
    <row r="371">
      <c r="A371" s="11" t="inlineStr">
        <is>
          <t>X-17</t>
        </is>
      </c>
      <c r="B371" s="12" t="inlineStr">
        <is>
          <t>X</t>
        </is>
      </c>
      <c r="C371" s="11" t="inlineStr">
        <is>
          <t>Joby CI budują zależności workspace'u zanim uruchomią testy</t>
        </is>
      </c>
      <c r="D371" s="11" t="inlineStr">
        <is>
          <t>—</t>
        </is>
      </c>
      <c r="E371" s="11" t="inlineStr">
        <is>
          <t>—</t>
        </is>
      </c>
      <c r="F371" s="11" t="inlineStr">
        <is>
          <t>—</t>
        </is>
      </c>
      <c r="G371" s="11" t="inlineStr">
        <is>
          <t>—</t>
        </is>
      </c>
      <c r="H371" s="11" t="inlineStr">
        <is>
          <t>—</t>
        </is>
      </c>
      <c r="I371" s="11" t="inlineStr">
        <is>
          <t>DZIAŁA</t>
        </is>
      </c>
      <c r="J371" s="12" t="inlineStr">
        <is>
          <t>.github/workflows/ci.yml — krok „Build workspace libraries” w jobie api-tests, „Generate Prisma client” w jobie migrations; turbo.json — zadanie test dostaje dependsOn ^build; apps/api/src/test/ci-joby.spec.ts — 6 testów strażnika</t>
        </is>
      </c>
      <c r="K371" s="11" t="inlineStr">
        <is>
          <t>PARYTET</t>
        </is>
      </c>
      <c r="L371" s="11" t="inlineStr">
        <is>
          <t>—</t>
        </is>
      </c>
      <c r="M371" s="11" t="inlineStr">
        <is>
          <t>S</t>
        </is>
      </c>
      <c r="N371" s="12" t="inlineStr">
        <is>
          <t>Zamknięte 2026-08-22 po przejrzeniu przebiegu CI #56. To jest MÓJ błąd i dokładnie ten wzorzec, który X-11 miał naprawiać. | @verris/database ma main: dist/index.js. Bez zbudowanego dist/ jest nie rozwiąże modułu i 32 z 48 zestawów NIE STARTUJĄ — nie failują, tylko się nie uruchamiają. W logu wygląda to jak awaria testów, a jest awarią konfiguracji. | Przed X-11 testy biegły wewnątrz joba static-checks, którego krok pnpm typecheck idzie przez Turbo, a typecheck ma dependsOn ^build. Biblioteki budowały się PRZY OKAZJI — nikt tego nie zaprojektował, więc nikt nie zauważył, gdy zniknęło. X-11 wydzieliło testy do własnego joba, który nie budował niczego; pnpm --filter api test omija Turbo, a zadanie test nie miało dependsOn. | Job był czerwony przez trzy wdrożenia (CI #54, #55, #56) przy 415 zielonych testach na maszynie, gdzie dist/ leżało zbudowane z dawnych uruchomień. Zgłosiłem X-11 jako zamknięte, nie sprawdziwszy przebiegu CI — „zielono lokalnie” potraktowałem jako dowód, a to jest dokładnie ten skrót, przed którym skala dowodowa tego audytu ma chronić. | Drugi błąd, świeższy: krok „Seed reference data” dodany do joba migrations w commicie d381a64 wołał seed importujący @verris/database, a ten job nigdy nie generował klienta. Job przeszedł z zielonego na czerwony. | Poprawka na trzech poziomach: jawne kroki w obu jobach, dependsOn ^build w turbo.json (żeby pnpm test był poprawny też lokalnie i w każdym przyszłym jobie) oraz strażnik, który przemiata ci.yml i zapala się, gdy job uruchamia testy bez zbudowania bibliotek. | Strażnik w pierwszej wersji dał FAŁSZYWY ALARM — wzorzec \bjest\b trafiał w polskie słowo „jest” w moich własnych komentarzach. Zawężony do faktycznych wywołań komend, komentarze odfiltrowane przed dopasowaniem. Narzędzie, którego jedynym zadaniem jest nie kłamać, samo skłamało za pierwszym razem. | Dokumentacja: docs/archiwum/zadania/X-17-joby-ci-buduja-zaleznosci.md | D2 OSIĄGNIĘTE 2026-08-22: przebieg CI #57 zielony w komplecie — sześć jobów, w tym „API integration tests" z Postgresem 16.</t>
        </is>
      </c>
    </row>
    <row r="372">
      <c r="A372" s="11" t="inlineStr">
        <is>
          <t>X-18</t>
        </is>
      </c>
      <c r="B372" s="12" t="inlineStr">
        <is>
          <t>X</t>
        </is>
      </c>
      <c r="C372" s="11" t="inlineStr">
        <is>
          <t>Zależności podniesione do najnowszych bezpiecznych wersji</t>
        </is>
      </c>
      <c r="D372" s="11" t="inlineStr">
        <is>
          <t>—</t>
        </is>
      </c>
      <c r="E372" s="11" t="inlineStr">
        <is>
          <t>—</t>
        </is>
      </c>
      <c r="F372" s="11" t="inlineStr">
        <is>
          <t>—</t>
        </is>
      </c>
      <c r="G372" s="11" t="inlineStr">
        <is>
          <t>—</t>
        </is>
      </c>
      <c r="H372" s="11" t="inlineStr">
        <is>
          <t>—</t>
        </is>
      </c>
      <c r="I372" s="11" t="inlineStr">
        <is>
          <t>DZIAŁA</t>
        </is>
      </c>
      <c r="J372" s="12" t="inlineStr">
        <is>
          <t>package.json — 16 pnpm.overrides na zależności przechodnie; apps/www next 15.4.4 → 16.3.2; wszystkie panele next 16.3.2; NestJS 11.2.1; React 19.2.8; Payload 3.88.0; recharts 3; @types/node 26; ioredis 6; bullmq 6; graphql 17; sharp 0.35.3; libs/typescript-config/nestjs.json target ES2022 + lib ES2023</t>
        </is>
      </c>
      <c r="K372" s="11" t="inlineStr">
        <is>
          <t>PARYTET</t>
        </is>
      </c>
      <c r="L372" s="11" t="inlineStr">
        <is>
          <t>—</t>
        </is>
      </c>
      <c r="M372" s="11" t="inlineStr">
        <is>
          <t>M</t>
        </is>
      </c>
      <c r="N372" s="12" t="inlineStr">
        <is>
          <t>Zamknięte 2026-08-22. Podatności: 142 → 2 (krytyczne 2 → 0, wysokie 61 → 1, średnie 69 → 0). | NAJWAŻNIEJSZE: apps/www stało na next 15.4.4 z krytycznym RCE w protokole React flight (łatka od 15.4.8) i wysokim DoS przez Server Components (od 15.4.9). To jest PUBLICZNA strona verris.pl. Panele były na 16.2.7 i ich to nie dotyczyło. Podniesione do 16.3.2 — Payload 3.88 deklaruje wsparcie dla &gt;=16.2.6, więc to ścieżka sankcjonowana przez dostawcę, nie obejście. Build www przechodzi. | Zależności PRZECHODNIE, których nie da się podnieść przez rodzica, domknięte przez pnpm.overrides. Przy pierwszym podejściu użyłem zakresów bez górnej granicy ("&gt;=1.1.18") — pnpm podstawił NAJWYŻSZĄ pasującą wersję, dla brace-expansion@1 było to 5.0.9 o innym kształcie eksportu, co wywaliło minimatch@3 komunikatem „expand is not a function". Każdy override jest teraz ograniczony do linii majora. | CZEGO NIE PODNIOSŁEM I DLACZEGO — trzy rzeczy, w których ekosystem nie nadąża: (1) Prisma 6.19.3 → 7.x to NIE jest podniesienie wersji, tylko zmiana architektury warstwy danych: `url` znika ze schematu na rzecz prisma.config.ts, a PrismaClient wymaga driver adaptera; dotyka każdego wywołania bazy, seeda, CI i wdrożenia produkcyjnego. Osobna pozycja: X-20. (2) TypeScript 5.9.3 → 7.0.2 — ts-jest ma peer &gt;=4.3 &lt;7, typescript-eslint &gt;=4.8.4 &lt;6.1.0; podniesienie wyłączyłoby jednocześnie testy i linter. Dodany override pinujący, bo TS 7 wchodził do drzewa jako zależność przechodnia mimo "^5" wszędzie. (3) ESLint 9.39.5 → 10.9.0 — eslint-plugin-react 7.37.5 wywala się w runtime („contextOrFilename.getFilename is not a function"), a to on stoi za konfiguracją Next. | Zostały 2 podatności: deepmerge-ts (wysoka, tylko przez Prismę 6 — znika z X-20) i jedna niska. | Wymuszone zmiany w kodzie: recharts 3 usunęło prop activeIndex z &lt;Pie&gt; (podświetlenie przepisane na przezroczystość &lt;Cell&gt;); @types/node 26 zawęziło typ chunka w zdarzeniu 'data' i zmieniło response.json() z any na unknown; bullmq 6 usunęło 'paused' z JobType; Array.prototype.at wymusiło lib ES2023. | Weryfikacja: lint 7/7, typecheck 8/8, 421 testów jednostkowych, 15 integracyjnych, build www — wszystko na prawdziwym Postgresie w kontenerze. Dokumentacja: docs/archiwum/zadania/X-18-podniesienie-zaleznosci.md | KOREKTA 2026-08-22 (X-21): graphql cofnięty z ^17.0.2 do ^16.14.2 — jedynym konsumentem jest Payload 3.88, który deklaruje peera ^16.8.1, a nasz kod nie importuje graphql ani razu. Podniosłem major pod biblioteką, która go nie wspiera, bo wersja była wyższa — na PUBLICZNEJ stronie. Build www przechodzi na 16, ostrzeżenie o peerze znikło. | Domknięty body-parser override'em ^2.3.0: podatności 2 → 1 (została deepmerge-ts, wysoka, tylko przez Prismę 6 — znika z X-20). | engines.node podniesione z "&gt;=22" do "&gt;=22.12" — patrz X-21.</t>
        </is>
      </c>
    </row>
    <row r="373">
      <c r="A373" s="11" t="inlineStr">
        <is>
          <t>X-19</t>
        </is>
      </c>
      <c r="B373" s="12" t="inlineStr">
        <is>
          <t>X</t>
        </is>
      </c>
      <c r="C373" s="11" t="inlineStr">
        <is>
          <t>Dług lintera odsłonięty przez Next 16 i włączenie ESLinta w API</t>
        </is>
      </c>
      <c r="D373" s="11" t="inlineStr">
        <is>
          <t>—</t>
        </is>
      </c>
      <c r="E373" s="11" t="inlineStr">
        <is>
          <t>—</t>
        </is>
      </c>
      <c r="F373" s="11" t="inlineStr">
        <is>
          <t>—</t>
        </is>
      </c>
      <c r="G373" s="11" t="inlineStr">
        <is>
          <t>—</t>
        </is>
      </c>
      <c r="H373" s="11" t="inlineStr">
        <is>
          <t>—</t>
        </is>
      </c>
      <c r="I373" s="11" t="inlineStr">
        <is>
          <t>DZIAŁA</t>
        </is>
      </c>
      <c r="J373" s="12" t="inlineStr">
        <is>
          <t>API/SDK: libs/eslint-config/node.mjs — wszystko error; panele (client/staff/admin/www): eslint.config.mjs — wszystko error; eslint 0 znalezisk w 6 pakietach, tsc 0 (2026-09-24)</t>
        </is>
      </c>
      <c r="K373" s="11" t="inlineStr">
        <is>
          <t>PARYTET</t>
        </is>
      </c>
      <c r="L373" s="11" t="inlineStr">
        <is>
          <t>ŚREDNIA</t>
        </is>
      </c>
      <c r="M373" s="11" t="inlineStr">
        <is>
          <t>M</t>
        </is>
      </c>
      <c r="N373" s="12" t="inlineStr">
        <is>
          <t>2026-09-24 PANELE: 194 → 0 (client 127, admin 41, www 21, staff 5), reguły przełączone na error. react-hooks/set-state-in-effect naprawiane u źródła (stan pochodny w renderze, useSyncExternalStore dla localStorage, ładowanie w handlerach); wyciszenia tylko z uzasadnieniem w kodzie (ciasteczko zgody nieczytelne w SSR, jednorazowa migracja klucza, QR). Znalezione przy sprzątaniu: (1) BEZPIECZEŃSTWO — 2FA wysyłało sekret TOTP do api.qrserver.com (naprawione osobnym commitem, QR z API); (2) kalkulator ignorował ?cpu/ramGb/diskGb z linku autoskalowania — przekazane, z granicami suwaków. | 2026-09-24 API + directadmin-sdk: 0 ostrzeżeń, wszystkie reguły node.mjs przełączone na error (69 → 0). Delegaty Prismy „as unknown as” w analityce stron, email marketingu i bootstrapie węzła zastąpione prawdziwymi typami modeli (pełny tsc z SDK: 0 błędów); `Function` → sygnatura surowego klienta DA; 5 regexów walidacyjnych bez zbędnych `\` — równoważność sprawdzona na 12 tys. znaków; martwy kod (label health, maildir, root, importy). Przy okazji: komentarz kontrolera obiecywał, że naprawy `danger` węzła wymagają nazwy serwera „enforced in the service” — serwis parametru nie czytał; dziś nie ma napraw danger, więc zapisane jako twardy warunek dla pierwszej takiej naprawy. ZOSTAJE: panele (~209 ostrzeżeń, głównie react-hooks). | Odkryte przy X-18. Next 16 usunęło komendę `next lint`, więc panele przeszły na płaską konfigurację i eslint wołany wprost. Nowszy eslint-config-next włącza reguły, których poprzednia konfiguracja nie egzekwowała — przede wszystkim rodzinę react-hooks z React Compilera. W panelu klienta odsłoniło to 105 znalezisk. | Osobno: apps/api i libs/directadmin-sdk wołały `eslint` BEZ ŻADNEJ konfiguracji w repozytorium — jedyny plik, libs/eslint-config/base.js, jest w starym formacie eslintrc i nic go nie importowało. Krok lintowania tych pakietów nie sprawdzał niczego. Dodana płaska konfiguracja node.mjs. | NAJWAŻNIEJSZE: nowe reguły wyłapały REALNY BUG. W admin-panel/autoscaling/pricing-table.tsx useMemo stał PO wczesnym return — przy pustej liście reguł hook nie wykonywał się wcale, a po dodaniu pierwszej stawki React widział inną liczbę hooków i komponent się wywalał. Czyli: panel cennika autoskalowania psuł się dokładnie w momencie dodania pierwszej reguły. Naprawione. Drugi: JSX konstruowany w try/catch w pulpicie admina — try nie chronił przed niczym, bo React renderuje zwrócony element po wyjściu z funkcji. | Reguły NIE są wyłączone, tylko obniżone do ostrzeżeń, z komentarzem wskazującym tę pozycję. Wracają na 'error' przy jej zamykaniu. | Wyjątek trwały: no-control-regex zostaje wyłączone — znaki sterujące w regexach walidacyjnych są zamierzone. no-useless-escape zostaje ostrzeżeniem świadomie: cztery wystąpienia siedzą w regexach walidujących wejście (kody promocyjne, ścieżki plików, załączniki), a zmiana regexa walidacyjnego przy okazji podnoszenia zależności to dokładnie ten rodzaj zmiany, który Z-03 kazał robić z testem na każdy przypadek.</t>
        </is>
      </c>
    </row>
    <row r="374">
      <c r="A374" s="11" t="inlineStr">
        <is>
          <t>X-20</t>
        </is>
      </c>
      <c r="B374" s="12" t="inlineStr">
        <is>
          <t>X</t>
        </is>
      </c>
      <c r="C374" s="11" t="inlineStr">
        <is>
          <t>Decyzja i migracja na Prismę 7</t>
        </is>
      </c>
      <c r="D374" s="11" t="inlineStr">
        <is>
          <t>—</t>
        </is>
      </c>
      <c r="E374" s="11" t="inlineStr">
        <is>
          <t>—</t>
        </is>
      </c>
      <c r="F374" s="11" t="inlineStr">
        <is>
          <t>—</t>
        </is>
      </c>
      <c r="G374" s="11" t="inlineStr">
        <is>
          <t>—</t>
        </is>
      </c>
      <c r="H374" s="11" t="inlineStr">
        <is>
          <t>—</t>
        </is>
      </c>
      <c r="I374" s="11" t="inlineStr">
        <is>
          <t>DZIAŁA</t>
        </is>
      </c>
      <c r="J374" s="12" t="inlineStr">
        <is>
          <t>libs/database/package.json — prisma/@prisma/client 7.10.0 + @prisma/adapter-pg; libs/database/prisma.config.ts — url dla CLI; libs/database/src/index.ts — PrismaClient z adapterem PrismaPg; ops/ci/podatnosci-dopuszczone.json — 0 zgód</t>
        </is>
      </c>
      <c r="K374" s="11" t="inlineStr">
        <is>
          <t>PARYTET</t>
        </is>
      </c>
      <c r="L374" s="11" t="inlineStr">
        <is>
          <t>ŚREDNIA</t>
        </is>
      </c>
      <c r="M374" s="11" t="inlineStr">
        <is>
          <t>L</t>
        </is>
      </c>
      <c r="N374" s="12" t="inlineStr">
        <is>
          <t>Odkryte przy X-18, świadomie odłożone. Prisma 7 nie jest podniesieniem wersji, tylko zmianą architektury dostępu do bazy: właściwość `url` znika z datasource w schemacie i przenosi się do prisma.config.ts, a PrismaClient wymaga przekazania driver adaptera (@prisma/adapter-pg) albo adresu Accelerate. Sprawdzone realnie — `prisma generate` na 7.9.1 kończy się błędem P1012. | Dotyka: prisma.service.ts, libs/database/src/index.ts, seed, jobów CI, testów integracyjnych i sposobu, w jaki produkcja dostaje DATABASE_URL. Czyli każdej ścieżki do bazy naraz. | Argument za zrobieniem: zamyka ostatnią wysoką podatność (deepmerge-ts). Argument za odłożeniem: zmiana w warstwie danych na dwa sprinty przed startem sprzedaży, przy siedmiu otwartych blokerach, której nie da się w pełni zweryfikować lokalnie — binaries.prisma.sh jest poza listą dozwolonych hostów w obu moich środowiskach, więc jedyną weryfikacją byłoby CI. | Do zrobienia po starcie, z własnym sprintem i testem integracyjnym na każdej ścieżce zapisu. | DECYZJA WŁAŚCICIELA 2026-09-25: migracja na Prismę 7 PRZED startem (świadomie wbrew rekomendacji „po starcie”) — weryfikacja przez CI. | ZROBIONE 2026-09-25: Prisma 7.10.0 (klient bez silnika w Ruście, driver adapter pg), prisma.config.ts, seed w migrations.seed, Dockerfile.api bez generate w obrazie runtime, prod-migrate-deploy.sh z --config. Zweryfikowane: pełna bramka (lint, typecheck, 1862 testy API + panele) i 83 testy integracyjne na prawdziwym PostgreSQL 16. Override deepmerge-ts ^8.0.2 i mysql2 ^3.24.4 — bramka podatności 0 high/critical, zgoda na deepmerge-ts usunięta. `prisma migrate deploy` na Prismie 7 potwierdza dopiero CI (job migracji) — silnik schematu jest poza listą hostów w moich środowiskach.</t>
        </is>
      </c>
    </row>
    <row r="375">
      <c r="A375" s="11" t="inlineStr">
        <is>
          <t>X-21</t>
        </is>
      </c>
      <c r="B375" s="12" t="inlineStr">
        <is>
          <t>X</t>
        </is>
      </c>
      <c r="C375" s="11" t="inlineStr">
        <is>
          <t>Deklaracje typów opisują tę wersję biblioteki, która jest zainstalowana</t>
        </is>
      </c>
      <c r="D375" s="11" t="inlineStr">
        <is>
          <t>—</t>
        </is>
      </c>
      <c r="E375" s="11" t="inlineStr">
        <is>
          <t>—</t>
        </is>
      </c>
      <c r="F375" s="11" t="inlineStr">
        <is>
          <t>—</t>
        </is>
      </c>
      <c r="G375" s="11" t="inlineStr">
        <is>
          <t>—</t>
        </is>
      </c>
      <c r="H375" s="11" t="inlineStr">
        <is>
          <t>—</t>
        </is>
      </c>
      <c r="I375" s="11" t="inlineStr">
        <is>
          <t>DZIAŁA</t>
        </is>
      </c>
      <c r="J375" s="12" t="inlineStr">
        <is>
          <t>apps/api/package.json — @types/archiver ^8.0.0 przy archiver ^8.0.0; apps/api/src/test/typy-zgodne-z-runtime.spec.ts — 12 testów; package.json — engines.node "&gt;=22.12"</t>
        </is>
      </c>
      <c r="K375" s="11" t="inlineStr">
        <is>
          <t>PARYTET</t>
        </is>
      </c>
      <c r="L375" s="11" t="inlineStr">
        <is>
          <t>—</t>
        </is>
      </c>
      <c r="M375" s="11" t="inlineStr">
        <is>
          <t>S</t>
        </is>
      </c>
      <c r="N375" s="12" t="inlineStr">
        <is>
          <t>Zamknięte 2026-08-22. BŁĄD PRODUKCYJNY znaleziony przy X-18, siedzący w kodzie PRZED podniesieniem. apps/api/package.json deklarował jednocześnie archiver ^8.0.0 i @types/archiver ^7.0.0. Archiver 8 usunął fabrykę create() na rzecz klas per format — kod wołał archiver.create('zip'/'tar'), typecheck był ZIELONY, bo typy z linii 7 tę funkcję opisywały, a w runtime jej nie było. Sprawdzone realnie: Object.keys(require('archiver')) = ['Archiver','JsonArchive','TarArchive','ZipArchive'], create === undefined. | CO TO PSUŁO: (1) data-export.service.ts → buildZipToFile — eksport danych osobowych (RODO art. 20, prawo do przenoszenia) wywalał się przy KAŻDYM żądaniu; (2) default-hosting-page.assets.ts → buildDefaultHostingPageBundle — budowa paczki domyślnej strony wywalała się przy KAŻDYM provisioningu konta. Nie „czasem" — zawsze, od momentu podniesienia archivera. | DLACZEGO NIKT TEGO NIE ZOBACZYŁ: typecheck czytał typy opisujące nieistniejącą wersję, żaden test nie dotykał tych dwóch funkcji, lint nie ma reguły na „ta metoda nie istnieje w runtime". Typecheck jest bramką wdrożenia — jeżeli typy opisują inną wersję niż zainstalowana, bramka przepuszcza kod, który się nie uruchomi, i robi to cicho, na zielono. | DRUGIE DNO: archiver 8 jest czystym ESM-em ("type": "module", brak wejścia CJS), a API kompiluje się do CommonJS-a. Node obsługuje require(esm) bez flagi dopiero od 22.12, a engines.node stał na "&gt;=22". Obrazy używają taga node:22 (dziś 22.22), więc realnie nic się nie paliło, ale deklaracja pozwalała na konfigurację, która by się paliła — ERR_REQUIRE_ESM w tych samych dwóch ścieżkach. Podniesione do "&gt;=22.12". | STRAŻNIK NA CAŁĄ KLASĘ, nie na sam archiver: żadne @types/X w monorepo nie może opisywać innego majora niż zainstalowany X. Test runtime'u wywołuje osobny proces Node'a (execFileSync), bo transformacja jesta nie ładuje zależności ESM i sprawdzałaby ładowarkę jesta zamiast produkcji. | Czerwieni się na starym kodzie: cofnięcie wszystkich trzech rzeczy daje 3 czerwone z 12, każdy z wykonalnym komunikatem. | Strażnik po raz TRZECI w tym projekcie trafił sam w siebie — szukana fraza padała w treści jego własnego komunikatu błędu (ta sama pułapka co polskie „jest" w X-17). Pominięty __filename + osobny test na spreparowanym wejściu. | PRZY OKAZJI: body-parser (niska, DoS przy cichym wyłączeniu limitu rozmiaru) domknięty override'em ^2.3.0 — podatności 2 → 1; graphql cofnięty z ^17.0.2 do ^16.14.2, bo jedynym konsumentem jest Payload 3.88 deklarujący peera ^16.8.1, a nasz kod nie importuje graphql ani razu — to korekta mojego własnego błędu z X-18: podniosłem wersję, bo była wyższa, nie sprawdzając, kto z niej korzysta. | Weryfikacja: 433 testy jednostkowe, 15 integracyjnych, lint 7/7, typecheck 8/8, build www. Dokumentacja: docs/archiwum/zadania/X-21-typy-klamaly-o-runtime.md</t>
        </is>
      </c>
    </row>
    <row r="376">
      <c r="A376" s="11" t="inlineStr">
        <is>
          <t>X-22</t>
        </is>
      </c>
      <c r="B376" s="12" t="inlineStr">
        <is>
          <t>X</t>
        </is>
      </c>
      <c r="C376" s="11" t="inlineStr">
        <is>
          <t>Eksport danych osobowych (RODO art. 20) sprawdzany testem end-to-end</t>
        </is>
      </c>
      <c r="D376" s="11" t="inlineStr">
        <is>
          <t>—</t>
        </is>
      </c>
      <c r="E376" s="11" t="inlineStr">
        <is>
          <t>—</t>
        </is>
      </c>
      <c r="F376" s="11" t="inlineStr">
        <is>
          <t>—</t>
        </is>
      </c>
      <c r="G376" s="11" t="inlineStr">
        <is>
          <t>—</t>
        </is>
      </c>
      <c r="H376" s="11" t="inlineStr">
        <is>
          <t>—</t>
        </is>
      </c>
      <c r="I376" s="11" t="inlineStr">
        <is>
          <t>DZIAŁA</t>
        </is>
      </c>
      <c r="J376" s="12" t="inlineStr">
        <is>
          <t>apps/api/src/compliance/data-export.service.ts — buildZipToFile bez żadnego testu; apps/api/src/compliance/*.spec.ts — brak pokrycia tej ścieżki | 2026-09-23: apps/api/src/compliance/data-export.zip.spec.ts — prawdziwy archiver 8 buduje ZIP na dysku, test go rozpakowuje (własny czytnik katalogu centralnego, bez nowej zależności): README + 8 sekcji JSON + załączniki (duplikaty nazw), sekrety zaczernione (hash hasła, TOTP, kody, hasło DA), BigInt/daty, zip slip w nazwie załącznika, brakujący obiekt w magazynie nie psuje eksportu; jest.config.cjs tłumaczy na CJS paczki ESM z łańcucha archivera (archiver, crc32-stream, zip-stream, compress-commons, is-stream)</t>
        </is>
      </c>
      <c r="K376" s="11" t="inlineStr">
        <is>
          <t>PARYTET</t>
        </is>
      </c>
      <c r="L376" s="11" t="inlineStr">
        <is>
          <t>WYSOKA</t>
        </is>
      </c>
      <c r="M376" s="11" t="inlineStr">
        <is>
          <t>M</t>
        </is>
      </c>
      <c r="N376" s="12" t="inlineStr">
        <is>
          <t>Odkryte przy X-21. Eksport danych osobowych wywalał się w runtime przy każdym żądaniu przez cały okres między podniesieniem archivera a 2026-08-22 i NIC tego nie zgłosiło — bo tej ścieżki nie dotyka żaden test. Strażnik z X-21 pilnuje teraz zgodności typów z runtime'em, ale to jest obejście od strony zależności, nie dowód, że eksport działa. | To jest OBOWIĄZEK USTAWOWY (RODO art. 20 — prawo do przenoszenia danych), z terminem miesiąca na odpowiedź. Ścieżka, której nie sprawdza nic, a której awaria jest naruszeniem, nie sprawdzeniem. | DO ZROBIENIA: test integracyjny, który zakłada konto z danymi w każdej sekcji (profil, subskrypcje, faktury, zgłoszenia, załączniki), wywołuje eksport, rozpakowuje wynikowy ZIP i sprawdza, że każda sekcja jest w środku i daje się sparsować. Plus ten sam wzorzec dla buildDefaultHostingPageBundle (tar.gz rozpakowany, index.html obecny). | Dopiero taki test daje D2. D3 wymaga wywołania eksportu na produkcji i obejrzenia pliku.</t>
        </is>
      </c>
    </row>
    <row r="377">
      <c r="A377" s="11" t="inlineStr">
        <is>
          <t>X-23</t>
        </is>
      </c>
      <c r="B377" s="12" t="inlineStr">
        <is>
          <t>X</t>
        </is>
      </c>
      <c r="C377" s="11" t="inlineStr">
        <is>
          <t>Bramka podatności zatrzymuje wdrożenie, a nie tylko dopisuje adnotację</t>
        </is>
      </c>
      <c r="D377" s="11" t="inlineStr">
        <is>
          <t>—</t>
        </is>
      </c>
      <c r="E377" s="11" t="inlineStr">
        <is>
          <t>—</t>
        </is>
      </c>
      <c r="F377" s="11" t="inlineStr">
        <is>
          <t>—</t>
        </is>
      </c>
      <c r="G377" s="11" t="inlineStr">
        <is>
          <t>—</t>
        </is>
      </c>
      <c r="H377" s="11" t="inlineStr">
        <is>
          <t>—</t>
        </is>
      </c>
      <c r="I377" s="11" t="inlineStr">
        <is>
          <t>DZIAŁA</t>
        </is>
      </c>
      <c r="J377" s="12" t="inlineStr">
        <is>
          <t>.github/workflows/ci.yml:388 — jedyne wywolanie ops/ci/audyt-bramka.cjs, w jobie security-scans (ci.yml:349). .github/workflows/deploy.yml — job test-gate robi typecheck, lint i testy, NIE wola bramki podatnosci (zero trafien na audyt-bramka/trivy/gitleaks/audit). Ruleset 21161479 "galezie wdrozeniowe — wymagaj zielonego CI": wymagane checki to Static checks, Build, Prisma migrate deploy, API unit tests, API integration tests — security-scans NIE JEST na liscie. Obserwacja 2026-09-19: PR #37 ma czerwone "Security scans" i jednoczesnie badge "Able to merge".</t>
        </is>
      </c>
      <c r="K377" s="11" t="inlineStr">
        <is>
          <t>PARYTET</t>
        </is>
      </c>
      <c r="L377" s="11" t="inlineStr">
        <is>
          <t>WYSOKA</t>
        </is>
      </c>
      <c r="M377" s="11" t="inlineStr">
        <is>
          <t>S</t>
        </is>
      </c>
      <c r="N377" s="12" t="inlineStr">
        <is>
          <t>Zamknięte w kodzie 2026-08-22, D1 do czasu obejrzenia przebiegu CI. Znalezione przy oglądaniu przebiegu CI #58, który zakończył się statusem Success — a w adnotacjach miał „Security scans: Process completed with exit code 1". Krok `pnpm audit --prod --audit-level high` wychodził z kodem 1 i nie zatrzymywał niczego, bo miał continue-on-error: true. | Powód był prawdziwy: w drzewie siedzi jedna wysoka podatność (deepmerge-ts przez Prismę 6, GHSA-ggr8-5vv4-36mx), której nie da się domknąć bez migracji na Prismę 7 — czyli X-20, świadomie odłożone. Bez continue-on-error każdy przebieg byłby czerwony. SKUTEK: nowa KRYTYCZNA podatność też by nie zatrzymała wdrożenia; job świeciłby na zielono z adnotacją, która przez kilkanaście przebiegów znaczyła „to ta znana". | Ta sama klasa błędu co X-17 — bramka, która nie bramkuje. Wzorzec wart nazwania, bo wraca: kiedy alarm dzwoni na coś, czego nie da się dziś naprawić, odruchem jest wyłączenie alarmu — i to działa, do pierwszej rzeczy, którą dałoby się naprawić, gdyby ktoś o niej usłyszał. | ROZWIĄZANIE: lista świadomych zgód z terminem ważności. Czerwone gdy: (a) nowa high/critical spoza listy, (b) zgoda po terminie, (c) zgoda na podatność, której już nie ma. Punkt (c) jest najłatwiejszy do uznania za przesadę i najważniejszy w dłuższym horyzoncie — lista wyjątków, z której nic nigdy nie znika, po pół roku przestaje cokolwiek znaczyć. Termin dalszy niż 90 dni odrzucany: „zgoda do 2030" to usunięcie bramki pod inną nazwą. Zgoda wymaga powodu min. 80 znaków i wskazania istniejącej pozycji macierzy. | STAN: 1 zgoda (deepmerge-ts, termin 2026-11-15 — mniej więcej wtedy X-20 i tak musi zostać rozstrzygnięte; jeśli nie zostanie, CI o tym przypomni, zatrzymując wdrożenie). | CZEGO TO NIE ROBI: gitleaks nadal ma continue-on-error (fałszywe trafienia na przykładowych konfiguracjach w ops/, wyciszanie to osobna robota z .gitleaksignore — zaostrzenie dziś skończyłoby się ponownym wyłączeniem alarmu); pnpm audit --prod pomija zależności deweloperskie; Trivy zostaje raportujący, bo dubluje zakres pnpm audit. | Strażnik po raz CZWARTY trafił we własny komentarz (fraza --audit-level w wyjaśnieniu, dlaczego tego kroku już nie ma) — po „jest" z X-17 i archiver.create z X-21. Reguła do zapamiętania: strażnik czytający treść pliku patrzy na kod, nie na prozę; komentarze wypadają przed dopasowaniem domyślnie, nie po pierwszym fałszywym alarmie. | Czerwieni się na starym kodzie: przywrócenie kroku z continue-on-error daje 2 czerwone z 15, a przywrócenie continue-on-error na kroku Lint — kolejne 2. | DRUGIE ZNALEZISKO w tym samym pliku: krok Lint miał continue-on-error z komentarzem „lint jest miękki, bramką jest typecheck". Komentarz był kiedyś prawdziwy — dziś pnpm lint wychodzi z zerem we wszystkich siedmiu pakietach (0 błędów, 270 ostrzeżeń — dług z X-19), więc miękkość nie chroniła już przed niczym poza NOWYM błędem lintera. Zdjęta; ostrzeżenia nadal przechodzą. Do tego biała lista MIEKKIE_DOZWOLONE: dołożenie miękkiego kroku ma być widoczną decyzją, a nie linijką dopisaną, bo się świeciło na czerwono. | Pierwsza wersja strażnika miękkich kroków używała jednego wyrażenia regularnego przez cały plik i przeciekała na następny krok — meldowała „Install pnpm jest miękki", choć miękki był krok obok. Przepisane na rozkład po wcięciu myślnika: strażnik, który wskazuje nie ten element, kosztuje tyle samo co brak strażnika. Dokumentacja: docs/archiwum/zadania/X-23-bramka-podatnosci.md | TRZECIE ZNALEZISKO — wyciszenia Dependabota. PR-y #15 (Prisma 7) i #16 (TypeScript 7) wracałyby co tydzień, bo świadomie zostajemy na 6.x i 5.x. Naturalnym ruchem jest reguła ignore w .github/dependabot.yml — i naturalnym skutkiem, że po pół roku nikt nie pamięta, dlaczego tam jest ani czy powód nadal obowiązuje. Każde wyciszenie ma więc obowiązkowo dwa komentarze: „# pozycja: X-nn" (kto odpowiada) i „# przegląd: RRRR-MM-DD" (do kiedy). apps/api/src/test/dependabot-wyciszenia.spec.ts — 6 testów — czerwieni CI, gdy termin minie, gdy brakuje któregoś komentarza albo gdy wskazana pozycja nie istnieje w macierzy. Parser czyta komentarze, bo parser YAML-a ich nie widzi, a to w nich siedzi odpowiedzialność. | Termin 2026-11-15 jest TEN SAM co zgoda na deepmerge-ts w liście bramki — jeden termin do pilnowania zamiast trzech, wszystkie prowadzą do X-20. | PR-y Dependabota: #15 i #16 zamknie sam Dependabot jako objęte ignore; pozostałych 11 (#4–#14, #17, #18) zamknie się samo po scaleniu feat/sprint-2 do main, bo Dependabot zamyka własne PR-y, gdy gałąź bazowa dogoni wersję. Żadnego nie zamykam ręcznie. | Weryfikacja: 457 testów jednostkowych, 15 integracyjnych, lint 7/7 (0 błędów), typecheck 8/8. | D2 OSIĄGNIĘTE 2026-08-22: przebieg CI #59 zielony w komplecie, sześć jobów, ZERO adnotacji błędu — krok „Bramka podatności" przeszedł bez continue-on-error, a adnotacja „Process completed with exit code 1", która towarzyszyła każdemu wcześniejszemu przebiegowi, zniknęła. | KOREKTA 2026-09-19: DZIALA -&gt; CZESCIOWE. Pozycja twierdzila, ze bramka "zatrzymuje wdrozenie, a nie tylko dopisuje adnotacje". Bramka jest zbudowana dobrze i dziala — ale nie jest podlaczona do niczego, co moze cokolwiek zatrzymac. Trzy niezalezne drogi obok niej: (1) deploy.yml w ogole jej nie wola, a wdrozenie wyzwala push na main, nie zielony ci.yml; (2) security-scans nie jest checkiem wymaganym w rulesecie, wiec merge przechodzi mimo czerwieni; (3) repository admin ma bypass na wszystko, co i tak bylo zapisane przy X-02. To ta sama rodzina co X-42, tylko o poziom wyzej: tam bramka wdrozenia byla SLABSZA od ci.yml i dolozylismy lint. Nikt wtedy nie sprawdzil, czy brakuje jeszcze czegos — brakowalo bramki podatnosci. Naprawa: X-50. | 2026-09-22 ZAMKNIETE przez X-50 (D2): bramka podatnosci wolana w test-gate deploy.yml oraz 'Security scans' w wymaganych checkach rulesetu. Obie sciezki z korekty 2026-09-19 zamkniete; trzecia (bypass admina) zostaje swiadomie i jest opisana w X-50.</t>
        </is>
      </c>
    </row>
    <row r="378">
      <c r="A378" s="11" t="inlineStr">
        <is>
          <t>M-34</t>
        </is>
      </c>
      <c r="B378" s="12" t="inlineStr">
        <is>
          <t>M</t>
        </is>
      </c>
      <c r="C378" s="11" t="inlineStr">
        <is>
          <t>Model prepaid potwierdzony z księgową — doładowanie bez faktury zaliczkowej</t>
        </is>
      </c>
      <c r="D378" s="11" t="inlineStr">
        <is>
          <t>—</t>
        </is>
      </c>
      <c r="E378" s="11" t="inlineStr">
        <is>
          <t>—</t>
        </is>
      </c>
      <c r="F378" s="11" t="inlineStr">
        <is>
          <t>—</t>
        </is>
      </c>
      <c r="G378" s="11" t="inlineStr">
        <is>
          <t>TAK</t>
        </is>
      </c>
      <c r="H378" s="11" t="inlineStr">
        <is>
          <t>TAK</t>
        </is>
      </c>
      <c r="I378" s="11" t="inlineStr">
        <is>
          <t>DZIAŁA</t>
        </is>
      </c>
      <c r="J378" s="12" t="inlineStr">
        <is>
          <t>billing/doladowanie.ts + doladowanie.service.ts (dokument przy wpłacie, atomowo z księgą); wallet-ledger.service.ts (obciążenia bez dokumentu, znacznik m34); faktury.scheduler.ts (zbiorcza pomija m34); tryb-fakturowania.ts faktury.model; ops/sql/m34-saldo-bez-dokumentu.sql</t>
        </is>
      </c>
      <c r="K378" s="11" t="inlineStr">
        <is>
          <t>PARYTET</t>
        </is>
      </c>
      <c r="L378" s="11" t="inlineStr">
        <is>
          <t>WYSOKA</t>
        </is>
      </c>
      <c r="M378" s="11" t="inlineStr">
        <is>
          <t>S</t>
        </is>
      </c>
      <c r="N378" s="12" t="inlineStr">
        <is>
          <t>Odkryte przy Z-01, decyzja podjęta 2026-08-22 i WYMAGA POTWIERDZENIA. Przyjęliśmy model prepaid: doładowanie portfela nie jest sprzedażą, tylko wpłatą na poczet usług, więc nie generuje faktury; VAT powstaje przy świadczeniu usługi, czyli przy obciążeniu portfela, i tam idzie dokument. Klient dostaje potwierdzenie wpłaty mailem, nie fakturę. | RYZYKO: jeżeli środki z portfela dałoby się wydać wyłącznie na konkretną, z góry określoną usługę, organ podatkowy może uznać wpłatę za zaliczkę wymagającą faktury zaliczkowej (art. 106b ust. 1 pkt 4 ustawy o VAT). U nas środki są uniwersalne — idą na abonament, domeny, VPS, autoskalowanie i monitoring — co przemawia za modelem prepaid, ale to jest argument, nie rozstrzygnięcie. | DO ZROBIENIA PRZED STARTEM SPRZEDAŻY: potwierdzić model z księgową na piśmie i zapisać decyzję w repo z datą. Jeżeli wyjdzie, że potrzebne są faktury zaliczkowe, to osobny sprint: faktura końcowa musi odwoływać się do zaliczkowej i odejmować rozliczoną kwotę, a KSeF ma na to osobny typ dokumentu. | NIE jest to bloker w sensie kodu — mechanizm działa i jest spójny. Jest to bloker w sensie decyzji: sprzedaż ruszająca przy nierozstrzygniętym modelu podatkowym generuje dług, który rośnie z każdą wpłatą. | 2026-09-23 decyzja właściciela i wdrożenie: dokument przy realnej wpłacie (Checkout i auto-doładowanie), wydawanie K bez dokumentów; bonusy (promo, SLA, prowizje) bez dokumentu. Przełącznik faktury.model (przy_doladowaniu domyślnie / przy_obciazeniu = stary model Z-01). Saldo sprzed przełączenia: raport SQL, decyzja operatora. DO KSIĘGOWEJ: kwalifikacja K jako bonu jednego przeznaczenia; przy odwrotnym obciążeniu i klientach spoza UE obowiązek podatkowy zwykle przy wykonaniu usługi. | 2026-09-23 raport m34-saldo-bez-dokumentu.sql na produkcji: 1 konto, 550,00 K wpłacone bez dokumentu, 382,09 K niewydane. Decyzja co do tego salda — właściciel z księgową. | 2026-09-23 DECYZJA: to konto testowe operatora — dokument nie jest potrzebny, sprawa zamknięta. Prawdziwych klientów z saldem bez dokumentu: 0.</t>
        </is>
      </c>
    </row>
    <row r="379">
      <c r="A379" s="11" t="inlineStr">
        <is>
          <t>X-24</t>
        </is>
      </c>
      <c r="B379" s="12" t="inlineStr">
        <is>
          <t>X</t>
        </is>
      </c>
      <c r="C379" s="11" t="inlineStr">
        <is>
          <t>Panel admina woła ścieżki, które API naprawdę wystawia</t>
        </is>
      </c>
      <c r="D379" s="11" t="inlineStr">
        <is>
          <t>—</t>
        </is>
      </c>
      <c r="E379" s="11" t="inlineStr">
        <is>
          <t>—</t>
        </is>
      </c>
      <c r="F379" s="11" t="inlineStr">
        <is>
          <t>—</t>
        </is>
      </c>
      <c r="G379" s="11" t="inlineStr">
        <is>
          <t>—</t>
        </is>
      </c>
      <c r="H379" s="11" t="inlineStr">
        <is>
          <t>—</t>
        </is>
      </c>
      <c r="I379" s="11" t="inlineStr">
        <is>
          <t>DZIAŁA</t>
        </is>
      </c>
      <c r="J379" s="12" t="inlineStr">
        <is>
          <t>apps/api/src/test/sciezki-panelu.spec.ts — 5 testów; porównuje wywołania adminApi() z panelu z trasami zadeklarowanymi w kontrolerach API</t>
        </is>
      </c>
      <c r="K379" s="11" t="inlineStr">
        <is>
          <t>PARYTET</t>
        </is>
      </c>
      <c r="L379" s="11" t="inlineStr">
        <is>
          <t>—</t>
        </is>
      </c>
      <c r="M379" s="11" t="inlineStr">
        <is>
          <t>S</t>
        </is>
      </c>
      <c r="N379" s="12" t="inlineStr">
        <is>
          <t>Odkryte przy M-06. Formularz faktury ręcznej z Z-01 wołał /admin/billing/invoices/reczna, a kontroler wystawia /admin/invoices/reczna. Kod się kompilował, testy jednostkowe przechodziły, panel się budował — 404 wyszłoby dopiero pod palcem operatora. | To ta sama rodzina co „bliźniacze miejsca", rozciągnięta na dwa pakiety: ścieżka zapisana dwa razy, w panelu i w kontrolerze, a nic ich nie łączy. Kompilator nie pomoże, bo po obu stronach to zwykły napis. | Strażnik wyciąga wywołania adminApi() z panelu i trasy z kontrolerów, porównuje kształt ścieżki i metodę HTTP. Segmenty dynamiczne (${id} w panelu, :id w kontrolerze) pasują do wszystkiego. | STRAŻNIK ZACZĄŁ OD JEDENASTU FAŁSZYWYCH ALARMÓW: (1) czytał 220 znaków po wywołaniu szukając `method:` i łapał metodę z NASTĘPNEGO wywołania — zwykły GET raportowany jako POST; (2) zamieniał wstawkę ${qs} na gwiazdkę w miejscu, produkując segment „webhooki*", który nie pasował do niczego; (3) grupował warianty ścieżki po wartości pochodnej zamiast po oryginale, więc wariant pełny zawsze zostawał sam i zawsze wyglądał na niepokryty. Jedenaście fałszywych alarmów przy dwóch prawdziwych znaleziskach. Strażnik, który tonie we własnym szumie, zostanie wyciszony — doprowadzenie do zera fałszywych alarmów było warunkiem działania, nie dopieszczaniem. | PIĄTE wystąpienie tej rodziny: „jest" (X-17), archiver.create (X-21), --audit-level (X-23), endsWith('billing.service.ts') (Z-05), teraz ścieżki panelu. | Czerwieni się na starym kodzie: przywrócenie błędnej ścieżki daje 1 czerwony z 5. | CZEGO NIE ROBI: nie sprawdza kształtu ciała żądania ani odpowiedzi — tylko ścieżkę i metodę; nie obejmuje panelu klienta ani panelu staff (te wołają inne bazowe adresy).</t>
        </is>
      </c>
    </row>
    <row r="380">
      <c r="A380" s="11" t="inlineStr">
        <is>
          <t>X-25</t>
        </is>
      </c>
      <c r="B380" s="12" t="inlineStr">
        <is>
          <t>X</t>
        </is>
      </c>
      <c r="C380" s="11" t="inlineStr">
        <is>
          <t>Asercje po migracji biegną także na produkcji, z rollbackiem przy naruszeniu</t>
        </is>
      </c>
      <c r="D380" s="11" t="inlineStr">
        <is>
          <t>—</t>
        </is>
      </c>
      <c r="E380" s="11" t="inlineStr">
        <is>
          <t>—</t>
        </is>
      </c>
      <c r="F380" s="11" t="inlineStr">
        <is>
          <t>—</t>
        </is>
      </c>
      <c r="G380" s="11" t="inlineStr">
        <is>
          <t>—</t>
        </is>
      </c>
      <c r="H380" s="11" t="inlineStr">
        <is>
          <t>—</t>
        </is>
      </c>
      <c r="I380" s="11" t="inlineStr">
        <is>
          <t>DZIAŁA</t>
        </is>
      </c>
      <c r="J380" s="12" t="inlineStr">
        <is>
          <t>ops/sql/po-migracji-niezmienniki.sql — CI I PRODUKCJA, 14 RAISE EXCEPTION (Z-01, Z-05, Z-12, Z-13, Z-16, M-06); ops/sql/po-migracji-katalog.sql — tylko CI, wartości z oferty; ops/sql/po-migracji-historia.sql — raport, ZERO RAISE EXCEPTION w kodzie; ops/scripts/prod-deploy-ghcr.sh:79-133 — krok 3.5 (bramka + rollback) i 3.6 (raport); .github/workflows/ci.yml — cztery kroki po seedzie; ops/scripts/asercje-czerwienia-sie.sh — 10 naruszeń, każde na właściwej asercji; apps/api/src/test/asercje-po-migracji.spec.ts (36). Usunięte: ops/sql/sprawdz-baze-po-migracji.sql</t>
        </is>
      </c>
      <c r="K380" s="11" t="inlineStr">
        <is>
          <t>PARYTET</t>
        </is>
      </c>
      <c r="L380" s="11" t="inlineStr">
        <is>
          <t>—</t>
        </is>
      </c>
      <c r="M380" s="11" t="inlineStr">
        <is>
          <t>S</t>
        </is>
      </c>
      <c r="N380" s="12" t="inlineStr">
        <is>
          <t>Stan 2026-08-22: ZAMKNIĘTE. Sześć zamkniętych blokerów zostawiło plik asercji o stanie bazy po migracjach. Plik był porządny i biegł w JEDNYM miejscu: w CI, na świeżej bazie testowej — czyli dokładnie tam, gdzie nie ma prawdziwych danych. Produkcja po `prisma migrate deploy` nie była sprawdzana NICZYM; `migrate deploy` kończy się zerem, gdy pliki SQL się wykonały, i nie mówi nic o tym, czy baza jest po nich w stanie, w którym kod policzy dobrze. | DLACZEGO NIE DAŁO SIĘ PO PROSTU DOPISAĆ TEGO PLIKU DO DEPLOYU: część twierdzeń wywaliłaby wdrożenie bez powodu. Asercja „są plany prototypowe" dotyczy rzeczy, które tworzy SEED, a seed na produkcji nie biegnie. Gorsza była druga: pilnowała, żeby verris-hosting kosztował dokładnie 45,00 — a cenę WOLNO zmienić z panelu (plans.service.ts, updatePlan). Pierwsza legalna podwyżka zamieniłaby każde kolejne wdrożenie w rollback, a wtedy ktoś słusznie wyłączyłby całe sprawdzanie. Tego nie zauważyłem od razu — zobaczyłem dopiero, gdy własny strażnik zapalił się na isPublic i zamiast go poluzować sprawdziłem, czy cena jest edytowalna. Była. | TRZY PLIKI, TRZY RÓŻNE ŻYCIA: niezmienniki (CI i produkcja, blokują) — twierdzenia, których nie unieważni żadna legalna zmiana biznesowa; katalog (TYLKO CI) — dzisiejsza decyzja handlowa, w CI zmienia się w jednym commicie razem z PLAN_PRODUKCYJNY i treścią strony; historia (CI i produkcja, tylko raport) — dane sprzed migracji, których migracja nie naprawia i nie miała naprawiać; wycofanie wdrożenia z tego powodu byłoby karą za przeszłość, nie ochroną przed błędem. | Z Z-13 do niezmienników przeszły dwa twierdzenia, których panel nie może naruszyć: istnienie wiersza o slugu verris-hosting (slug stoi na sztywno w plan-produkcyjny.ts) oraz reguła cennika, którą API wymusza przy zapisie (ceny dodatnie, rok &gt;= 6x miesiąc) — API pilnuje jej przy zapisie, baza nie pilnuje wcale, a migracja danych zapisuje Z POMINIĘCIEM API. | JEDNA REGUŁA, JEDNO MIEJSCE: blok M-06 sprawdzał sumy korekty, które obejmuje już Z-01 (korekta to wiersz w Invoice) — druga kopia nigdy by nie wystartowała, a przy zmianie zasad ktoś poprawiłby jedną z dwóch. Usunięta. | DWIE CICHE PUŁAPKI W SAMYM WYWOŁANIU: `psql -U "${POSTGRES_USER:?}"` — przy pustej zmiennej psql połączyłby się z bazą o nazwie użytkownika i asercje przeszłyby na PUSTEJ, NIEWŁAŚCIWEJ bazie; `sh -c` zamiast `sh -lc` — skrypt profilu czytający stdin zjadłby SQL i psql dostałby pusty plik. | ASERCJA, KTÓRA SIĘ NIE CZERWIENI, NIE JEST BRAMKĄ: ops/scripts/asercje-czerwienia-sie.sh psuje po jednym niezmienniku naraz w transakcji z ROLLBACK-iem i sprawdza DWIE rzeczy — kod wyjścia różny od zera ORAZ że powodem jest TA asercja. Drugi warunek nie jest ozdobą: w pierwszym przebiegu trzy przypadki M-06 świeciły na czerwono, a naprawdę odbijał je CHECK w bazie, zanim asercja zdążyła cokolwiek zobaczyć (ta sama lekcja co Z-01 i H-20). | Czerwieni się na starym kodzie: jeden plik + brak asercji w deployu → 11 z 36; `|| true` zamiast bramki → 1; RAISE EXCEPTION w pliku historii → 1; katalog wpuszczony na produkcję → 1. | CZEGO NIE ROBI: nie cofa schematu (rollback wraca do poprzedniego obrazu, migracje zostają); nie sprawdza katalogu na produkcji — cena może się tam rozjechać z PLAN_PRODUKCYJNY i deploy tego nie zauważy (to bliżej monitoringu niż bramki); asercje-czerwienia-sie.sh NIE WOLNO uruchamiać na produkcji, bo zdejmuje ograniczenia CHECK wewnątrz transakcji. | D3 powstanie przy pierwszym deployu na main, w logu wdrożenia, z datą. Dokumentacja: docs/archiwum/zadania/X-25-asercje-po-migracji.md</t>
        </is>
      </c>
    </row>
    <row r="381">
      <c r="A381" s="11" t="inlineStr">
        <is>
          <t>X-26</t>
        </is>
      </c>
      <c r="B381" s="12" t="inlineStr">
        <is>
          <t>X</t>
        </is>
      </c>
      <c r="C381" s="11" t="inlineStr">
        <is>
          <t>Skrypty powłoki mają bit wykonywalności — także po świeżym git clone</t>
        </is>
      </c>
      <c r="D381" s="11" t="inlineStr">
        <is>
          <t>—</t>
        </is>
      </c>
      <c r="E381" s="11" t="inlineStr">
        <is>
          <t>—</t>
        </is>
      </c>
      <c r="F381" s="11" t="inlineStr">
        <is>
          <t>—</t>
        </is>
      </c>
      <c r="G381" s="11" t="inlineStr">
        <is>
          <t>—</t>
        </is>
      </c>
      <c r="H381" s="11" t="inlineStr">
        <is>
          <t>—</t>
        </is>
      </c>
      <c r="I381" s="11" t="inlineStr">
        <is>
          <t>DZIAŁA</t>
        </is>
      </c>
      <c r="J381" s="12" t="inlineStr">
        <is>
          <t>apps/api/src/test/skrypty-wykonywalne.spec.ts (3) — żaden .sh w repozytorium bez bitu wykonywalności; 82 skrypty przestawione na tryb 100755 (16 z nich miało 100644, w tym restore-drill-isolated.sh z bramki startu i pięć uruchamianych na węzłach produkcyjnych); docs/ops/RESTORE_TEST.md — usunięte obejście `chmod +x` sprzed uruchomienia</t>
        </is>
      </c>
      <c r="K381" s="11" t="inlineStr">
        <is>
          <t>PARYTET</t>
        </is>
      </c>
      <c r="L381" s="11" t="inlineStr">
        <is>
          <t>—</t>
        </is>
      </c>
      <c r="M381" s="11" t="inlineStr">
        <is>
          <t>S</t>
        </is>
      </c>
      <c r="N381" s="12" t="inlineStr">
        <is>
          <t>Odkryte przy X-25, dzień po zamknięciu mechanizmu H-20. Runbook, dokumentacja zadania i MAIL PRZYPOMINAJĄCY do administratora mówią jednym głosem: `cd /opt/verris &amp;&amp; ./ops/scripts/restore-drill-isolated.sh --owner "…"` — a plik miał w gicie tryb 100644. Na świeżym `git clone` to polecenie kończy się „Permission denied". Czyli procedura, którą właśnie zamieniliśmy w bramkę startu sprzedaży, nie dawała się wykonać w sposób, w jaki sama każe siebie wykonywać. | Szesnaście skryptów miało ten sam problem, w tym pięć uruchamianych na węzłach produkcyjnych (node-app-install, node-db-upgrade, node-offsite-backup, node-php-apply, node-wp-install). | ŚLAD PO TYM BŁĘDZIE LEŻAŁ W REPOZYTORIUM OD DAWNA: docs/ops/RESTORE_TEST.md kazał wpisać `chmod +x` PRZED uruchomieniem, a Dockerfile.api robi `chmod +x` na entrypoincie. Obejścia działały, więc nikt nie naprawił przyczyny — a każde z nich było zapisanym w repozytorium dowodem, że przyczyna istnieje. To jest ten sam kształt co „bramka, która raportuje zamiast bramkować": objaw obsłużony, przyczyna zostaje. | REGUŁA JEST BEZWYJĄTKOWA i to jest jej najważniejsza cecha. Lista „te skrypty wolno mieć nieuruchamialne, bo woła je bash" musiałaby być utrzymywana obok prawdziwych wywołań, czyli byłaby kolejnym wystąpieniem bliźniaczych miejsc (Z-12, Z-16, M-06, X-24). Skrypt wykonywalny działa pod `bash x.sh` tak samo dobrze, więc reguła bez wyjątków nic nie kosztuje. | Strażnik czyta TRYB Z DYSKU, nie z indeksu gita: liczy się to, co dostaje maszyna po `git clone`, a actions/checkout wypisuje pliki dokładnie z trybami z indeksu. Czytanie dysku działa też tam, gdzie kopia robocza nie jest repozytorium, i nie wymaga drugiej ścieżki kodu na wypadek braku gita. | Ma też kontrolę „strażnik w ogóle coś widzi" (ponad 50 skryptów, w tym ten z bramki startu) — bez niej cała reszta przechodziłaby trywialnie na pustej liście, gdyby `find` przestał trafiać. | Czerwieni się na starym kodzie: 1 z 3 testów, z wypisaną listą wszystkich szesnastu plików. | CZEGO NIE ROBI: nie sprawdza shebangów ani tego, czy skrypt w ogóle da się uruchomić — tylko bit wykonywalności.</t>
        </is>
      </c>
    </row>
    <row r="382">
      <c r="A382" s="11" t="inlineStr">
        <is>
          <t>X-27</t>
        </is>
      </c>
      <c r="B382" s="12" t="inlineStr">
        <is>
          <t>X</t>
        </is>
      </c>
      <c r="C382" s="11" t="inlineStr">
        <is>
          <t>Obraz, który trafia na serwer, buduje się przed scaleniem</t>
        </is>
      </c>
      <c r="D382" s="11" t="inlineStr">
        <is>
          <t>—</t>
        </is>
      </c>
      <c r="E382" s="11" t="inlineStr">
        <is>
          <t>—</t>
        </is>
      </c>
      <c r="F382" s="11" t="inlineStr">
        <is>
          <t>—</t>
        </is>
      </c>
      <c r="G382" s="11" t="inlineStr">
        <is>
          <t>—</t>
        </is>
      </c>
      <c r="H382" s="11" t="inlineStr">
        <is>
          <t>—</t>
        </is>
      </c>
      <c r="I382" s="11" t="inlineStr">
        <is>
          <t>DZIAŁA</t>
        </is>
      </c>
      <c r="J382" s="12" t="inlineStr">
        <is>
          <t>Dockerfile.api / Dockerfile.panel — ponowna instalacja PO `COPY libs libs`; package.json — pnpm.overrides @prisma/client 6.19.3 (drzewo znów ma jedną wersję); .github/workflows/ci.yml — job `Obraz API (build bez push)`; apps/api/src/test/obrazy-dockera.spec.ts (14). Przyczyna deployu #63: „Could not resolve @prisma/client"</t>
        </is>
      </c>
      <c r="K382" s="11" t="inlineStr">
        <is>
          <t>PARYTET</t>
        </is>
      </c>
      <c r="L382" s="11" t="inlineStr">
        <is>
          <t>—</t>
        </is>
      </c>
      <c r="M382" s="11" t="inlineStr">
        <is>
          <t>S</t>
        </is>
      </c>
      <c r="N382" s="12" t="inlineStr">
        <is>
          <t>Zamknięte 2026-08-22, wykryte przez wdrożenie #63 — pierwsze po scaleniu sprintu 2. Wysypał się build obrazu verris-api, czyli krok PRZED dotknięciem serwera: produkcja została nietknięta, migracje nie poszły. | DWIE PRZYCZYNY, NIE JEDNA. (1) `COPY libs libs` w etapie budowania kładzie katalogi pakietów na te, które zostawił etap `deps`, i pakiet traci WŁASNE node_modules. Dopóki każda zależność lądowała w node_modules katalogu głównego (linker hoisted), nie było tego widać — założenie trzymało się PRZYPADKIEM. (2) Przestało być prawdą przy X-18: apps/www podniosło Payloada, jego adapter postgresowy ciągnie drizzle-orm, a to ma @prisma/client jako peer OPCJONALNY; pnpm dociąga takie peery samo (autoInstallPeers), więc w drzewie stanęły DWIE wersje — 7.9.1 na górze i nasza 6.19.3 w libs/database. Po COPY zostawała tylko ta z góry, a `prisma generate` z CLI 6.19.3 nie umie pracować z klientem 7.x. | Poprawki są dwie, bo błędy są dwa: pnpm.overrides sprowadza drzewo do jednej wersji klienta (to naprawia TEN przypadek i chroni też obraz runtime, który kopiuje node_modules katalogu głównego), a ponowna instalacja w obrazach znosi założenie o hoistowaniu (to chroni przed następnym pakietem w dwóch wersjach). Dockerfile.panel dostał tę samą poprawkę mimo że jeszcze nie wybuchł — naprawiona jedna kopia i zostawiona druga to wzorzec, który dał Z-12, Z-16 i X-24. | NAJWAŻNIEJSZE ZNALEZISKO STRUKTURALNE: obraz, który JAKO JEDYNY trafia na serwer, powstawał wyłącznie w workflow wdrożeniowym — czyli PO scaleniu do main. Bramka scalenia sprawdzała lint, typy, 605 testów, migracje i asercje bazy, i nie sprawdzała tej jednej rzeczy. `pnpm build` w repozytorium przechodzi, bo tam node_modules są kompletne; rozjeżdżało się wyłącznie w układzie plików wewnątrz obrazu. Dlatego CI dostało job budujący Dockerfile.api bez pushowania. | DWA RAZY UWIERZYŁEM W WYNIK, KTÓRY NICZEGO NIE DOWODZIŁ: raz pnpm nie przeliczył lockfile'a i override wyglądał na nieskuteczny; raz uproszczone repozytorium testowe nie zawierało package.json apps/www, czyli pakietu ciągnącego 7.9.1 — więc wynik wyglądał dobrze z niewłaściwego powodu. Rozstrzygnięte dopiero na pełnym drzewie zależności. Ta sama rodzina co Z-01 i H-20. | Czerwieni się na starym kodzie: 7 z 14. | CZEGO NIE ROBI: CI nie buduje obrazów paneli (własny Dockerfile, ~2,5 min każdy, bez Prismy) — jeżeli kiedyś wywali się panel, job dostanie drugą pozycję w macierzy, a nie listę wyjątków. Dokumentacja: docs/archiwum/zadania/X-27-obraz-api-w-ci.md</t>
        </is>
      </c>
    </row>
    <row r="383">
      <c r="A383" s="11" t="inlineStr">
        <is>
          <t>X-28</t>
        </is>
      </c>
      <c r="B383" s="12" t="inlineStr">
        <is>
          <t>X</t>
        </is>
      </c>
      <c r="C383" s="11" t="inlineStr">
        <is>
          <t>Reguła alertowa ma odbiorcę, a nie tylko próg</t>
        </is>
      </c>
      <c r="D383" s="11" t="inlineStr">
        <is>
          <t>—</t>
        </is>
      </c>
      <c r="E383" s="11" t="inlineStr">
        <is>
          <t>—</t>
        </is>
      </c>
      <c r="F383" s="11" t="inlineStr">
        <is>
          <t>—</t>
        </is>
      </c>
      <c r="G383" s="11" t="inlineStr">
        <is>
          <t>—</t>
        </is>
      </c>
      <c r="H383" s="11" t="inlineStr">
        <is>
          <t>—</t>
        </is>
      </c>
      <c r="I383" s="11" t="inlineStr">
        <is>
          <t>DZIAŁA</t>
        </is>
      </c>
      <c r="J383" s="12" t="inlineStr">
        <is>
          <t>ops/observability/grafana/provisioning/alerting/rules.yaml — 13 reguł, 2 grupy, provisionowane z repo; ops/observability/prometheus.yml — bez rule_files, z opisem dlaczego; ops/observability/grafana/provisioning/datasources/datasources.yml — uid: Prometheus; docker-compose.prod.yml — bez montowania usuniętego alerts.yml; ops/observability/grafana/migracja-regul-do-grafany.py — zapis, jak powstał wynik; apps/api/src/test/routing-alertow.spec.ts (31); docs/ops/GRAFANA_ALERTING.md</t>
        </is>
      </c>
      <c r="K383" s="11" t="inlineStr">
        <is>
          <t>PARYTET</t>
        </is>
      </c>
      <c r="L383" s="11" t="inlineStr">
        <is>
          <t>—</t>
        </is>
      </c>
      <c r="M383" s="11" t="inlineStr">
        <is>
          <t>S</t>
        </is>
      </c>
      <c r="N383" s="12" t="inlineStr">
        <is>
          <t>Zamknięte 2026-08-22. Wykryte przy zamykaniu H-23: kopia bazy nie wykonała się ani razu przez ponad miesiąc, a reguła VerrisPostgresBackupStale z severity: critical i progiem 25 h zapaliła się POPRAWNIE — tylko nie miała dokąd. | DWIE POŁOWY JEDNEGO MECHANIZMU, ŻADNA NIE DZIAŁA BEZ DRUGIEJ. Prometheus miał trzynaście reguł (pięć krytycznych) ładowanych przez rule_files i NIE MIAŁ sekcji `alerting:`; w całym repozytorium nie było usługi alertmanager. Grafana miała punkt kontaktowy (dominik@hvln.pl), politykę powiadomień i działający SMTP — i ZERO reguł. | DOKUMENT BYŁ CZĘŚCIĄ PROBLEMU: docs/ops/GRAFANA_ALERTING.md kazał „ręcznie odzwierciedlić progi z pliku YAML". Instrukcja ręcznego przepisania trzynastu progów przez człowieka to opis długu, nie procedura; nikt tego nie zrobił i nie było jak zauważyć, że nie zrobił. | RODZINA: ta sama co X-14, X-23, H-19, H-20, X-27 — kontrola, która melduje zamiast zatrzymywać — tylko o krok dalej. Tam mechanizm istniał i niczego nie bramkował; tu alarm istnieje, działa i nie ma odbiorcy. Sygnał bez odbiorcy jest gorszy od braku sygnału, bo wygląda jak zabezpieczenie. | PRZENIESIONE, NIE SKOPIOWANE. Reguły stoją teraz po stronie Grafany, alerts.yml usunięty, rule_files wycięte, montowanie wyjęte z compose. Skopiowanie dałoby SZÓSTE wystąpienie „bliźniaczych miejsc" (Z-12, Z-16, M-06, X-24, H-24): dwa egzemplarze jednej reguły, jeden poprawiony przy zmianie progu, drugi zapomniany. | UID ŹRÓDŁA DANYCH wpisany wprost — bez niego Grafana nadaje go losowo, a odwołanie do nieistniejącego źródła nie rzuca błędem: panel jest pusty, reguła nie ma czego policzyć. Ten sam cichy tryb awarii co reszta pozycji. | JEDNA REGUŁA INNA OD POZOSTAŁYCH: VerrisPostgresBackupStale ma noDataState: Alerting, reszta OK. Dla dwunastu reguł brak serii poprawnie znaczy „warunek niespełniony"; dla kopii bazy „metryka zniknęła" i „kopia jest świeża" wyglądałyby identycznie — a to jest dokładnie ten przypadek, który kosztował miesiąc. `for: 30m` chroni przed alarmem przy restarcie API. | PRZEPISYWANIE SKRYPTOWE, nie ręczne: trzynaście progów przepisanych palcami to trzynaście okazji na literówkę, której nikt nie sprawdzi. | Czerwieni się na starym kodzie: 26 z 31. Pięć asercji przechodziło i przed poprawką (punkt kontaktowy, polityka) — bo ta połowa naprawdę była w porządku; strażnik, który czerwieni się cały, zwykle sprawdza własną tezę zamiast kodu. | CZEGO NIE DOWODZI: że mail DOCHODZI. To dowód D3 — wymaga zapalonego alertu na produkcji i listu w skrzynce, z datą. Otwarty punkt w docs/ops/GRAFANA_ALERTING.md §3; najtaniej sprawdzić na VerrisSecurityWatchStale (zatrzymać timer na 20 minut). Uznanie pozycji za domkniętą na podstawie samego provisioningu byłoby rozumowaniem zakazanym w tym projekcie. | CZEGO NIE OBEJMUJE: eskalacji i dyżurów (jeden odbiorca, jeden adres — przy jednoosobowym zespole to właściwa wielkość), Slacka (wyłączony do czasu kanału), wyciszeń. Dokumentacja: docs/archiwum/zadania/X-28-alert-bez-adresata.md | DOWÓD D3 DOSTARCZALNOŚCI — 2026-08-23, dostarczony przez awarię, nie przez test. Przy X-30 reguły z execErrState: Alerting zapaliły się na błędzie ewaluacji i DZIESIĘĆ maili dotarło na dominik@hvln.pl z tematami [FIRING:1] &lt;alertname&gt; &lt;severity&gt; (Verris). Droga Grafana → SMTP → Postfix na panelu → mail.hvln.pl → skrzynka jest potwierdzona na całej długości. | TEN PRZYPADEK POTWIERDZIŁ TRZY RZECZY, KTÓRYCH PLANOWANY TEST JEDNEGO ALERTU BY NIE POTWIERDZIŁ: (1) droga do skrzynki działa; (2) migracja nie pogubiła nazw ani wag — tematy pokazały critical przy VerrisRuntimeErrorsHigh, VerrisOpenMajorIncident, VerrisSecurityWatchFindings i VerrisProvisioningQueueFailed oraz warning przy pozostałych, dokładnie jak w usuniętym alerts.yml; (3) progi `for:` przetrwały migrację — zapaliło się DZIESIĘĆ z trzynastu, a nie zapaliły się dokładnie te trzy z najdłuższym for: VerrisPostgresBackupStale (30 m), VerrisStatusWebhookFailed (30 m) i VerrisSecurityWatchStale (20 m), bo od restartu nie minęło tyle czasu. Skrypt migracyjny mógł te wartości po cichu przekręcić i żaden test w CI by tego nie zobaczył — zobaczyła to skrzynka.</t>
        </is>
      </c>
    </row>
    <row r="384">
      <c r="A384" s="11" t="inlineStr">
        <is>
          <t>X-29</t>
        </is>
      </c>
      <c r="B384" s="12" t="inlineStr">
        <is>
          <t>X</t>
        </is>
      </c>
      <c r="C384" s="11" t="inlineStr">
        <is>
          <t>Wdrożenie dowozi konfigurację obserwowalności na serwer</t>
        </is>
      </c>
      <c r="D384" s="11" t="inlineStr">
        <is>
          <t>—</t>
        </is>
      </c>
      <c r="E384" s="11" t="inlineStr">
        <is>
          <t>—</t>
        </is>
      </c>
      <c r="F384" s="11" t="inlineStr">
        <is>
          <t>—</t>
        </is>
      </c>
      <c r="G384" s="11" t="inlineStr">
        <is>
          <t>—</t>
        </is>
      </c>
      <c r="H384" s="11" t="inlineStr">
        <is>
          <t>—</t>
        </is>
      </c>
      <c r="I384" s="11" t="inlineStr">
        <is>
          <t>DZIAŁA</t>
        </is>
      </c>
      <c r="J384" s="12" t="inlineStr">
        <is>
          <t>ops/scripts/prod-deploy-ghcr.sh — krok 4.5: OBS_SERVICES, promtool check config przed restartem, compose up -d + compose restart, sprawdzenie /api/health i /-/healthy po restarcie, exit 1 gdy nie wrócą; apps/api/src/test/wdrozenie-obserwowalnosci.spec.ts (8)</t>
        </is>
      </c>
      <c r="K384" s="11" t="inlineStr">
        <is>
          <t>PARYTET</t>
        </is>
      </c>
      <c r="L384" s="11" t="inlineStr">
        <is>
          <t>—</t>
        </is>
      </c>
      <c r="M384" s="11" t="inlineStr">
        <is>
          <t>S</t>
        </is>
      </c>
      <c r="N384" s="12" t="inlineStr">
        <is>
          <t>Zamknięte 2026-08-23. Wykryte przy X-28, pytaniem kontrolnym: co się właściwie stanie po wdrożeniu poprawki, która przenosi reguły alertowe do Grafany? Odpowiedź: NIC. | MECHANIZM: prod-deploy-ghcr.sh robi na serwerze checkout repozytorium do wdrażanego SHA, więc nowe pliki lądują na dysku — po czym restartuje wyłącznie APP_SERVICES="api client-panel staff-panel admin-panel status-page www". Prometheusa i Grafany na tej liście nie ma, a oba czytają konfigurację TYLKO przy starcie kontenera i oba mają ją podmontowaną z repozytorium. | ZASIĘG SZERSZY NIŻ ALERTY: tą samą drogą nie docierało na produkcję wszystko pod ops/observability/ — cele scrapowania i retencja w prometheus.yml, źródła danych, dwadzieścia kilka dashboardów Grafany, punkty kontaktowe i polityki. Każda zmiana w tych plikach od ostatniego RĘCZNEGO restartu Grafany istniała wyłącznie w repozytorium. | RODZINA: ten sam kształt co X-28 (alarm bez odbiorcy), X-14 i X-23 (kontrola, która melduje zamiast zatrzymywać) i H-20 (procedura bez dowodu wykonania) — COŚ WYGLĄDA NA ZROBIONE, BO ISTNIEJE. Zielone CI, zielony deploy, plik na dysku, pozycja zamknięta — i zero zmiany w działającym systemie. Różnica: tu zawodziło ostatnie ogniwo, nie budowa ani test, tylko DOSTARCZENIE. | POPRAWKA: krok 4.5, dwa polecenia zamiast jednego. `up -d` odtwarza kontener, gdy zmieniła się DEFINICJA usługi (X-28 usunęło montowanie alerts.yml); `restart` wymusza ponowne wczytanie, gdy zmieniła się tylko TREŚĆ podmontowanego pliku — tego compose nie widzi. | BEZWARUNKOWO, nie „gdy się zmieniło": porównanie z poprzednim SHA wymagałoby obu wersji w repozytorium na serwerze, a fetch jest tam płytki (--depth 1); nieudane porównanie skończyłoby się cichym „brak zmian → nie restartuj", czyli dokładnie tym błędem, który ta pozycja naprawia. Kilkanaście sekund przerwy w metrykach kontra miesiąc bez kopii bazy. | SPRAWDZENIE PRZED: promtool check config przez `compose run --rm --no-deps --entrypoint promtool`, a nie `exec` — świeży kontener z tą samą definicją, więc sprawdzenie działa także wtedy, gdy Prometheus akurat leży; przy `exec` padałoby w jedynym momencie, w którym naprawdę zależy nam na restarcie. Restart na zepsutej konfiguracji zdejmuje monitoring, a zauważyć to miał właśnie monitoring. | SPRAWDZENIE PO: „wydałem polecenie restartu" to nie to samo co „wróciły" — /api/health Grafany i /-/healthy Prometheusa (pytany Z KONTENERA Grafany, bo obraz Prometheusa nie ma czym wykonać zapytania HTTP), 20 prób co 3 s, potem exit 1. | KOLEJNOŚĆ W DWIE STRONY: krok jest PO bramce zdrowia i PO zapisaniu .last-good-image-tag, żeby awaria monitoringu nie wywróciła sprawnego wdrożenia; kończy się exit 1, a nie ostrzeżeniem, żeby wdrożenie nie uchodziło za skończone, zanim monitoring dostanie nową konfigurację. | Czerwieni się na starym kodzie: 6 z 8. Dwie przechodziły i przedtem — w tym ta o APP_SERVICES, bo Prometheusa i Grafany naprawdę tam nie było (tyle że nie było ich też nigdzie indziej). | CZEGO NIE DOWODZI: że po najbliższym wdrożeniu Grafana MA reguły — to obserwacja na produkcji (D3): Alerting → Alert rules powinno pokazać trzynaście reguł w folderze Verris. | Deploy #66 (scalenie X-28) poszedł jeszcze STARYM skryptem, więc pliki wjechały na serwer, a monitoring został z poprzednią konfiguracją; naprawia się to samo przy pierwszym wdrożeniu z tą zmianą. Dokumentacja: docs/archiwum/zadania/X-29-obserwowalnosc-nie-docierala-na-produkcje.md</t>
        </is>
      </c>
    </row>
    <row r="385">
      <c r="A385" s="11" t="inlineStr">
        <is>
          <t>X-30</t>
        </is>
      </c>
      <c r="B385" s="12" t="inlineStr">
        <is>
          <t>X</t>
        </is>
      </c>
      <c r="C385" s="11" t="inlineStr">
        <is>
          <t>Reguły alertowe nie tylko są wczytane, ale się liczą</t>
        </is>
      </c>
      <c r="D385" s="11" t="inlineStr">
        <is>
          <t>—</t>
        </is>
      </c>
      <c r="E385" s="11" t="inlineStr">
        <is>
          <t>—</t>
        </is>
      </c>
      <c r="F385" s="11" t="inlineStr">
        <is>
          <t>—</t>
        </is>
      </c>
      <c r="G385" s="11" t="inlineStr">
        <is>
          <t>—</t>
        </is>
      </c>
      <c r="H385" s="11" t="inlineStr">
        <is>
          <t>—</t>
        </is>
      </c>
      <c r="I385" s="11" t="inlineStr">
        <is>
          <t>DZIAŁA</t>
        </is>
      </c>
      <c r="J385" s="12" t="inlineStr">
        <is>
          <t>ops/observability/grafana/provisioning/datasources/datasources.yml — deleteDatasources przed deklaracją, uid: Prometheus; ops/scripts/prod-deploy-ghcr.sh — krok 4.6: grafana_alerting_rule_group_rules &gt; 0 oraz podwójny odczyt grafana_alerting_rule_evaluation_failures_total w odstępie 75 s, exit 1 przy przyroście; apps/api/src/test/reguly-alertowe-licza-sie.spec.ts (11). DOWÓD D3: wdrożenie #68 zielone przez krok 4.6; log Grafany po restarcie 11:01:46 bez „Failed to build rule evaluator" (wszystkie wystąpienia 10:58–11:01:39, czyli sprzed restartu); „inserting datasource from configuration" name=Prometheus uid=Prometheus.</t>
        </is>
      </c>
      <c r="K385" s="11" t="inlineStr">
        <is>
          <t>PARYTET</t>
        </is>
      </c>
      <c r="L385" s="11" t="inlineStr">
        <is>
          <t>—</t>
        </is>
      </c>
      <c r="M385" s="11" t="inlineStr">
        <is>
          <t>S</t>
        </is>
      </c>
      <c r="N385" s="12" t="inlineStr">
        <is>
          <t>ZAMKNIĘTE 2026-08-23. | CO SIĘ STAŁO: wdrożenie #67 przeszło na zielono, krok X-29 zrobił swoje (promtool przyjął konfigurację, oba kontenery wstały, oba odpowiedziały na health-check), Grafana zalogowała „starting to provision alerting" i „finished", trzynaście reguł stanęło w jej bazie — i wszystkie trzynaście waliło się co trzydzieści sekund: „Failed to build rule evaluator / failed to build query 'A': data source not found". Łącznie z VerrisPostgresBackupStale, czyli tą jedyną, dla której to wszystko było robione. | PRZYCZYNA: reguły odwołują się do źródła danych po uid. X-28 dopisało uid: Prometheus do datasources.yml i to NIE WYSTARCZYŁO — Grafana przy provisioningu aktualizuje istniejące źródło po NAZWIE i zostawia mu uid nadany przy pierwszym utworzeniu, czyli losowy. Dashboardy tego nie zauważyły, bo mają starą, nazwową ścieżkę zgodności; reguły alertowe takiej nie mają. | MÓJ BŁĄD, NAZWANY WPROST: strażnik X-28 sprawdzał, że datasourceUid użyty w regułach WYSTĘPUJE w datasources.yml. Występował. Plik był spójny z plikiem — i to nie dowodziło niczego o działającym systemie, bo pytanie nie brzmiało „czy napis się zgadza", tylko „czy Grafana rozwiąże to odwołanie". Test zgodności plików nie widzi semantyki upsertu Grafany. Ta sama pułapka co Z-01, H-20 i dwa razy przy diagnozie @prisma/client: test przechodzi, system nie działa. Napisałem o niej w komentarzu do X-28 i wpadłem w nią godzinę później. | POPRAWKA 1 — źródło danych jest ODTWARZANE, nie aktualizowane: deleteDatasources wykonuje się PRZED wstawieniem, więc źródło powstaje od nowa z uid-em z repozytorium. Rekord jest w całości zadeklarowany w pliku, więc nie ma czego stracić. Przy okazji naprawia dashboardy: przestają zależeć od ścieżki zgodności. | POPRAWKA 2 — krok 4.6 pyta DZIAŁAJĄCĄ Grafanę: grafana_alerting_rule_group_rules musi być &gt; 0 (pusty provisioning wygląda identycznie jak zdrowa Grafana), a grafana_alerting_rule_evaluation_failures_total odczytywany DWA RAZY w odstępie 75 s — liczy się PRZYROST, nie wartość, bo pojedyncze niepowodzenie tuż po restarcie jest normalne, a odstęp musi być dłuższy niż cykl najkrótszej grupy (30 s), inaczej zero błędów znaczy tylko „nic się jeszcze nie policzyło". | CZEGO SIĘ NIE DA ZROBIĆ INACZEJ: naturalny odruch to „alarm o niedziałających alarmach", czyli reguła na increase(...failures_total). NIE ZADZIAŁA w tym przypadku — meta-reguła jest regułą Grafany i liczy się z tego samego źródła danych; gdy źródło jest zepsute, ona też milczy. Łapie pojedynczą regułę z błędnym wyrażeniem, nie łapie złamanego źródła. Ten przypadek łapie WYŁĄCZNIE bramka we wdrożeniu, bo pyta z zewnątrz. Nie dokładam meta-reguły, bo dałaby poczucie pokrycia, którego nie ma. | Czerwieni się na starym kodzie: 7 z 11. routing-alertow.spec.ts zostaje bez zmian — sprawdzanie zgodności plików jest POTRZEBNE, okazało się tylko NIEWYSTARCZAJĄCE. | JAK ZAMKNĄĆ: zielony deploy + brak „Failed to build rule evaluator" w logu Grafany. Dokumentacja: docs/archiwum/zadania/X-30-reguly-wczytane-ale-nieliczace-sie.md | ZAMKNIĘTE 2026-08-23 — DOWÓD D3 Z LOGU PRODUKCYJNEJ GRAFANY. Wdrożenie #68 (2788011) przeszło przez nowy krok 4.6 i trwało 9m54s, czyli o te 75 sekund dłużej — krok przechodzi tylko wtedy, gdy Grafana ma reguły I licznik nieudanych ewaluacji nie urósł. W logu: 11:01:46 „deleted datasource based on configuration" name=Prometheus, zaraz po tym „inserting datasource from configuration" name=Prometheus uid=Prometheus. Wszystkie wpisy „Failed to build rule evaluator" mają znacznik 10:58–11:01:39, czyli SPRZED restartu; po 11:01:46 nie ma ANI JEDNEGO. Wpisy „Detected stale state entry ... reason=Error" o 11:02–11:03 to Grafana sprzątająca stare wpisy w stanie Alerting-z-powodu-błędu, stąd wiadomości [RESOLVED]. | POTWIERDZENIE UBOCZNE, MOCNIEJSZE OD SAMEGO LOGU: reguła VerrisProvisioningQueueFailed NIE ucichła po naprawie — wysyła alarm co minutę od 11:12, a ma for: 10m przy restarcie 11:01:46, więc pierwsze zapalenie o 11:12 zgadza się co do sekundy. To znaczy, że warunek verris_provisioning_queue_depth{state="failed"} &gt; 0 jest PRAWDZIWIE spełniony: alerting zaczął działać i w ciągu dziesięciu minut znalazł na produkcji coś realnego. Reguła, która zapala się z właściwego powodu, dowodzi więcej niż cisza. Osobna pozycja.</t>
        </is>
      </c>
    </row>
    <row r="386">
      <c r="A386" s="11" t="inlineStr">
        <is>
          <t>X-31</t>
        </is>
      </c>
      <c r="B386" s="12" t="inlineStr">
        <is>
          <t>X</t>
        </is>
      </c>
      <c r="C386" s="11" t="inlineStr">
        <is>
          <t>Kanał alertów daje znak życia (dead man's switch)</t>
        </is>
      </c>
      <c r="D386" s="11" t="inlineStr">
        <is>
          <t>—</t>
        </is>
      </c>
      <c r="E386" s="11" t="inlineStr">
        <is>
          <t>—</t>
        </is>
      </c>
      <c r="F386" s="11" t="inlineStr">
        <is>
          <t>—</t>
        </is>
      </c>
      <c r="G386" s="11" t="inlineStr">
        <is>
          <t>—</t>
        </is>
      </c>
      <c r="H386" s="11" t="inlineStr">
        <is>
          <t>—</t>
        </is>
      </c>
      <c r="I386" s="11" t="inlineStr">
        <is>
          <t>DZIAŁA</t>
        </is>
      </c>
      <c r="J386" s="12" t="inlineStr">
        <is>
          <t>ops/observability/grafana/provisioning/alerting/rules.yaml — grupa verris_kanal_alertow, reguła VerrisKanalAlertowZyje (vector(1), for: 0s, oba stany awaryjne na Alerting, etykieta kanal: heartbeat); policies.yaml — gałąź object_matchers kanal=heartbeat, repeat_interval 24h; apps/api/src/test/routing-alertow.spec.ts (5 asercji X-31); docs/ops/GRAFANA_ALERTING.md §4. BRAK: pierwszego maila [FIRING:1] VerrisKanalAlertowZyje — dowód D3 jeszcze nie powstał.</t>
        </is>
      </c>
      <c r="K386" s="11" t="inlineStr">
        <is>
          <t>PARYTET</t>
        </is>
      </c>
      <c r="L386" s="11" t="inlineStr">
        <is>
          <t>—</t>
        </is>
      </c>
      <c r="M386" s="11" t="inlineStr">
        <is>
          <t>S</t>
        </is>
      </c>
      <c r="N386" s="12" t="inlineStr">
        <is>
          <t>Stan 2026-08-23: ZROBIONE W KODZIE (D2), D3 powstanie przy pierwszym mailu. Decyzja właściciela produktu: wariant „jeden mail na dobę". | PROBLEM: po naprawie X-30 alerty ucichną, a cisza będzie znaczyła „nic się nie pali" — i będzie wyglądała IDENTYCZNIE jak: Grafana padła, Postfix przestał przyjmować, mail.hvln.pl zaczął odrzucać albo wrzucać do spamu, ktoś zmienił adres w punkcie kontaktowym, polityka przestała pasować do etykiet. To dokładnie ta sama cisza, która przez miesiąc znaczyła „kopia bazy jest w porządku" (H-23) i kosztowała wszystkie kopie zapasowe. | ROZWIĄZANIE: VerrisKanalAlertowZyje — reguła vector(1), pali się ZAWSZE, jej BRAK jest sygnałem. for: 0s, noDataState: Alerting, execErrState: Alerting — nie da się jej „nie zapalić": normalnie warunek jest spełniony, a gdyby źródło danych przestało odpowiadać, oba stany awaryjne też prowadzą do Alerting. Milczenie ma znaczyć awarię, nigdy spokój. | JEDEN MAIL NA DOBĘ, NIE SZEŚĆ: osobna gałąź polityki na etykiecie kanal: heartbeat z repeat_interval 24h. Na domyślnej (4h) byłoby sześć dziennie, a alert przychodzący sześć razy dziennie przestaje być czytany po tygodniu — wtedy przestaje cokolwiek dawać, bo jego BRAK jest jedyną informacją, jaką niesie. Strażnik pilnuje osobno, że polityka domyślna NIE została przy okazji przestawiona na dobę: prawdziwy alarm ma się przypominać co cztery godziny. | HACZYK, KTÓRY TRZEBA NAZWAĆ: mail, którego się nie czyta, wraca do punktu wyjścia. Jeśli po tygodniu przestanie być zauważany, reguła przestaje działać — nie dlatego, że jest zepsuta, tylko dlatego, że przestała być czytana. Tego nie da się naprawić kodem. | CZEGO NIE OBEJMUJE: awarii całego serwera (heartbeat mieszka na tej samej maszynie co Grafana i milczy razem z nią — odporny byłby watchdog SPOZA naszej infrastruktury, pukany cronem; nie ma go i to świadoma decyzja, nie przeoczenie) ani poprawności pozostałych reguł (tego pilnuje bramka z X-30). | Czerwieni się na starym kodzie: 5 z 36. | Doszła lista DOPISANE_POZNIEJ, trzymana osobno od ALERTY: tamta odpowiada na pytanie „czy migracja czegoś nie zgubiła" i ma zostać zamrożona, ta na „czy ktoś czegoś po cichu nie dołożył". Dokumentacja: docs/archiwum/zadania/X-31-znak-zycia-kanalu-alertow.md | 2026-09-22 D3: wlasciciel potwierdza, ze mail [FIRING:1] VerrisKanalAlertowZyje przychodzi codziennie. Kanal alertow dziala koniec-do-konca.</t>
        </is>
      </c>
    </row>
    <row r="387">
      <c r="A387" s="11" t="inlineStr">
        <is>
          <t>X-32</t>
        </is>
      </c>
      <c r="B387" s="12" t="inlineStr">
        <is>
          <t>X</t>
        </is>
      </c>
      <c r="C387" s="11" t="inlineStr">
        <is>
          <t>Martwy job da się odrzucić z panelu, ze śladem w audycie</t>
        </is>
      </c>
      <c r="D387" s="11" t="inlineStr">
        <is>
          <t>—</t>
        </is>
      </c>
      <c r="E387" s="11" t="inlineStr">
        <is>
          <t>—</t>
        </is>
      </c>
      <c r="F387" s="11" t="inlineStr">
        <is>
          <t>—</t>
        </is>
      </c>
      <c r="G387" s="11" t="inlineStr">
        <is>
          <t>—</t>
        </is>
      </c>
      <c r="H387" s="11" t="inlineStr">
        <is>
          <t>—</t>
        </is>
      </c>
      <c r="I387" s="11" t="inlineStr">
        <is>
          <t>DZIAŁA</t>
        </is>
      </c>
      <c r="J387" s="12" t="inlineStr">
        <is>
          <t>apps/api/src/common/audit/audit.actions.ts — PROVISIONING_JOB_DISCARDED_BY_ADMIN; provisioning-queue.service.ts — odrzucJob (getState() === failed, ślad przed job.remove(), audyt z subskrypcją, typem, liczbą prób, failedReason i powodem); provisioning-queue.admin.controller.ts — POST :id/odrzuc za @StaffPerm('PROVISIONING_MANAGE'); apps/admin-panel/.../provisioning-queue/ — actions.ts, odrzuc-button.tsx (dwa kliknięcia, powód ≥5 znaków, zdanie o nietkniętej subskrypcji), page.tsx; apps/api/src/test/odrzucenie-martwego-joba.spec.ts (13). BRAK: pierwszego odrzucenia na produkcji — dowód D3 jeszcze nie powstał.</t>
        </is>
      </c>
      <c r="K387" s="11" t="inlineStr">
        <is>
          <t>PARYTET</t>
        </is>
      </c>
      <c r="L387" s="11" t="inlineStr">
        <is>
          <t>—</t>
        </is>
      </c>
      <c r="M387" s="11" t="inlineStr">
        <is>
          <t>S</t>
        </is>
      </c>
      <c r="N387" s="12" t="inlineStr">
        <is>
          <t>Stan 2026-08-23: ZROBIONE W KODZIE (D2), D3 przy pierwszym odrzuceniu na produkcji — a to da się zrobić od razu po wdrożeniu, w odróżnieniu od Z-18, który czeka na węzeł. Decyzja właściciela produktu: dorobić akcję w panelu zamiast jednorazowego czyszczenia Redisa. | JAK TO WYSZŁO: X-30 naprawiło alerting, VerrisProvisioningQueueFailed zapalił się z prawdziwego powodu i wskazał cztery martwe joby (to z nich wyszło Z-18). Naturalny następny ruch — usunąć je — okazał się NIEWYKONALNY: panel ma przy nich wyłącznie „Retry", a kontroler administracyjny dokładnie dwa endpointy, listowanie i ponowienie. Retry nic nie daje, bo węzła nie ma: job padnie ponownie, podbije licznik prób i dołoży wpisy do audytu — cztery martwe joby zamieniają się w cztery martwe joby z dłuższą historią. Zostawało grzebanie w Redisie ręcznie, czyli zmiana stanu produkcyjnego dotyczącego subskrypcji klientów BEZ ŚLADU W AUDYCIE. | TO NIE JEST USTERKA TYCH CZTERECH JOBÓW, tylko luka w warstwie operatorskiej, która ujawni się ponownie przy pierwszym prawdziwym niepowodzeniu provisioningu — z tą różnicą, że wtedy po drugiej stronie będzie klient. | ROZWIĄZANIE: POST /admin/provisioning-queue/:id/odrzuc + przycisk „Odrzuć" obok Retry. TRZY REGUŁY: (1) TYLKO STAN failed — usunięcie joba aktywnego albo czekającego osierociłoby provisioning w trakcie, konto na węźle mogłoby powstać, a system przestałby o nim wiedzieć; ograniczenie siedzi w usłudze, nie w kontrolerze, bo to reguła o kolejce, nie o HTTP; (2) POWÓD WYMAGANY, tak samo jak przy retry — operacja bez powodu to operacja, której za pół roku nikt nie wyjaśni; (3) NAJPIERW ODCZYT, POTEM USUNIĘCIE — ślad zbierany PRZED job.remove(), bo po usunięciu nie ma już czego odczytać; zapisujemy subskrypcję, joba, typ, liczbę prób, ostatni błąd i powód. Po Z-18 ten ostatni błąd niesie PRAWDZIWĄ przyczynę, więc wpis ma realną wartość dowodową — jeszcze wczoraj zapisałby zdanie o brakującym pakiecie DirectAdmina, którego nigdy nie brakowało. | OSOBNA AKCJA AUDYTU (PROVISIONING_JOB_DISCARDED_BY_ADMIN), nie wariant retry: w raportach odrzucenie i ponowienie to dwie różne decyzje i nie wolno im się zlewać. | DWA KLIKNIĘCIA, NIE JEDNO: retry można cofnąć następnym retry, odrzucenia nie da się cofnąć wcale. Potwierdzenie jest po to, żeby ta różnica była wyczuwalna w palcach. | ZDANIE PRZY PRZYCISKU: „Usuwa wpis z kolejki bez możliwości cofnięcia. Subskrypcja zostaje nietknięta." Operator ma prawo założyć, że „odrzuć" anuluje zamówienie — nie anuluje. Musi to być napisane tam, gdzie się klika, a nie w dokumentacji, której nikt nie otworzy w trakcie incydentu. | Czerwieni się na starym kodzie: 11 z 13. | DWIE UWAGI O SAMYCH TESTACH: odczyty plików panelu są LENIWE, bo odczyt na poziomie describe wywalał cały plik testowy, zanim cokolwiek się policzyło — a wtedy nie wiadomo, ILE asercji się czerwieni, tylko że „nie skompilowało się"; asercja o warunku row.failedReason nie mierzy odległości w znakach, tylko relację między warunkiem a przyciskiem, bo wersja licząca znaki zepsuła się od dopisania komentarza i kusiło, żeby poszerzyć okno zamiast poprawić asercję — to byłoby naprawianie testu zamiast kodu. | CZEGO NIE OBEJMUJE: losu czterech subskrypcji, które dostały zwrot i status PENDING_PAYMENT (odrzucenie joba ich nie dotyka — osobne sprzątanie po stronie bazy); odrzucania hurtem — świadomie, bo przycisk „odrzuć wszystkie" jest wygodny dokładnie do momentu, w którym ktoś kliknie go na kolejce z prawdziwym zamówieniem. | JAK ZAMKNĄĆ: odrzucić jeden z czterech martwych jobów, obejrzeć wpis PROVISIONING_JOB_DISCARDED_BY_ADMIN w audycie i sprawdzić, że verris_provisioning_queue_depth{state="failed"} spadło o jeden. Dokumentacja: docs/archiwum/zadania/X-32-odrzucenie-martwego-joba.md | 2026-09-22 D3: wlasciciel odrzucil martwy job przyciskiem 'Odrzuc' w panelu admina na produkcji (potwierdzenie wlasciciela; wpis PROVISIONING_JOB_DISCARDED_BY_ADMIN w audycie).</t>
        </is>
      </c>
    </row>
    <row r="388">
      <c r="A388" s="11" t="inlineStr">
        <is>
          <t>X-33</t>
        </is>
      </c>
      <c r="B388" s="12" t="inlineStr">
        <is>
          <t>X</t>
        </is>
      </c>
      <c r="C388" s="11" t="inlineStr">
        <is>
          <t>Bramka alertów odróżnia „nie ma" od „jeszcze nie ma"</t>
        </is>
      </c>
      <c r="D388" s="11" t="inlineStr">
        <is>
          <t>—</t>
        </is>
      </c>
      <c r="E388" s="11" t="inlineStr">
        <is>
          <t>—</t>
        </is>
      </c>
      <c r="F388" s="11" t="inlineStr">
        <is>
          <t>—</t>
        </is>
      </c>
      <c r="G388" s="11" t="inlineStr">
        <is>
          <t>—</t>
        </is>
      </c>
      <c r="H388" s="11" t="inlineStr">
        <is>
          <t>—</t>
        </is>
      </c>
      <c r="I388" s="11" t="inlineStr">
        <is>
          <t>DZIAŁA</t>
        </is>
      </c>
      <c r="J388" s="12" t="inlineStr">
        <is>
          <t>ops/scripts/lib/bramka-regul-alertowych.sh — czekaj_na_reguly (do 20 prób co 3 s, warunek: aktywne == oczekiwane i paused == 0), policz_reguly_w_pliku (liczba odniesienia z rules.yaml), regul_w_stanie, metryka_istnieje (rozróżnienie braku linii od linii z zerem); ops/scripts/prod-deploy-ghcr.sh — krok 4.6a; apps/api/src/test/bramka-regul-nie-myli-braku-z-oczekiwaniem.spec.ts (9 asercji, uruchamia prawdziwą funkcję bashową z atrapą Grafany); apps/api/src/test/reguly-alertowe-licza-sie.spec.ts — kodZBibliotekami(). D3: wdrożenie #73 (2026-08-24) — „OK: 14/14 reguł aktywnych (próba 4)" (dowód z #71 unieważniony przez X-34). ops/scripts/lib/bramka-regul-alertowych.sh — okno_bramki_sekundy (jedno źródło okna, 180 s).</t>
        </is>
      </c>
      <c r="K388" s="11" t="inlineStr">
        <is>
          <t>PARYTET</t>
        </is>
      </c>
      <c r="L388" s="11" t="inlineStr">
        <is>
          <t>—</t>
        </is>
      </c>
      <c r="M388" s="11" t="inlineStr">
        <is>
          <t>S</t>
        </is>
      </c>
      <c r="N388" s="12" t="inlineStr">
        <is>
          <t>Stan 2026-08-23: ZROBIONE W KODZIE (D2), D3 przy pierwszym ZIELONYM wdrożeniu. | CO SIĘ STAŁO: wdrożenie #70 (b64db02, scalenie X-32) padło na bramce X-30 z komunikatem „Grafana nie ma ANI JEDNEJ reguły alertowej", podczas gdy Grafana miała w tej samej chwili CZTERNAŚCIE aktywnych reguł (grafana_alerting_rule_group_rules{state="active"}=14, paused=0). Oś czasu z logu: 15:43:09 restart, 15:43:15 /api/health OK, 15:43:16 odczyt metryki → zero → FAIL. Siedem sekund od restartu. | DLACZEGO ZERO NIE ZNACZYŁO ZERA: w Grafanie 10.4.2 grafana_alerting_rule_group_rules to GaugeVec z etykietami org i state, ustawiany w processTick() — na pierwszym takcie schedulera alertów (domyślnie 10 s), nie przy starcie procesu. Do tego momentu metryka NIE MA W /metrics ANI JEDNEJ LINII; suma z pustki przez awk daje zero i wygląda identycznie jak katastrofa. /api/health odpowiada dużo wcześniej. Wdrożenia #68 i #69 wygrały ten wyścig, #70 przegrało — o werdykcie bramki decydowała szybkość startu, nie stan systemu. | DLACZEGO TO POWAŻNIEJSZE NIŻ JEDEN CZERWONY DEPLOY: bramka, która potrafi zapalić się na zdrowym systemie, uczy człowieka klikać „re-run" — od tej chwili nie chroni już niczego, a nadal figuruje w audycie jako dowód D2. | NOWY TYP W KOLEKCJI: „kontrola, która nie odróżnia NIE MA od JESZCZE NIE MA". Mieliśmy bramki meldujące zamiast bramkować (X-14, X-23, H-19, H-20, X-27, X-28), testy niczego niedowodzące (Z-01, H-20, M-06, X-28) i poprawną kontrolę, której się kłamie (Z-18). Pytanie do każdej przyszłej bramki: CZY BRAK DANYCH I ZŁA WARTOŚĆ DAJĄ W NIEJ TEN SAM WYNIK? Jeśli tak — bramka mierzy czas, a nie stan. | ROZWIĄZANIE: logika w osobnym pliku ops/scripts/lib/bramka-regul-alertowych.sh, wczytywanym przez skrypt wdrożeniowy. czekaj_na_reguly odpytuje Grafanę do 20 razy co 3 s i przechodzi dopiero, gdy liczba reguł aktywnych zgadza się z oczekiwaną i żadna nie wisi w stanie paused. TO NIE JEST POLUZOWANIE: stara wersja przepuszczała 9 reguł z 14 (bo 9 &gt; 0) i odrzucała 14 z 14 (bo mierzyła za wcześnie) — nowa robi odwrotnie w obu przypadkach. | TRZY RÓŻNE NIEPOWODZENIA, TRZY RÓŻNE KOMUNIKATY: brak metryki → „scheduler nie wystartował" (naprawiaj Grafanę); za mało reguł → „prowizjonowanie CZĘŚCIOWE: 9 z 14" (naprawiaj rules.yaml); reguły paused → „wczytane, ale NIE LICZĄ SIĘ". Bramka mówiąca jedno zdanie na trzy awarie każe diagnozować od zera — ta sama lekcja co Z-18. | LICZBA ODNIESIENIA Z PLIKU: policz_reguly_w_pliku liczy wpisy „- uid:" w rules.yaml w chwili wdrożenia. Wpisanie „14" do skryptu byłoby SZÓSTYM BLIŹNIACZYM MIEJSCEM (Z-12, Z-16, M-06, X-24, H-24). | CZEGO ŚWIADOMIE NIE ZROBILIŚMY: nie skróciliśmy taktu schedulera Grafany — zmiana ustawienia produkcyjnego po to, żeby zadowolić bramkę, odwraca zależność. | STRAŻNIK WYGLĄDA INACZEJ NIŻ POPRZEDNIE i to jest jego sedno: ani jednej asercji typu „w skrypcie występuje słowo sleep". Test URUCHAMIA PRAWDZIWĄ FUNKCJĘ BASHOWĄ i podstawia jej atrapę Grafany zachowującą się dokładnie tak, jak Grafana o 15:43:16 (trzy odpowiedzi bez metryki, potem czternaście reguł). Właśnie po to logika trafiła do osobnego pliku — dopóki siedziała w skrypcie, jedyną możliwą asercją było czytanie tekstu skryptu, czyli błąd X-28. | Czerwieni się na starym kodzie: 9 z 9 — ale ta liczba jest mało pouczająca, bo na starym stanie repozytorium biblioteki nie ma wcale i wszystko wysypuje się na braku pliku. Zmierzone drugi raz, ze STARĄ SEMANTYKĄ podstawioną pod ten sam interfejs (jeden odczyt, warunek „&gt; 0"): 7 z 9. To uczciwsza liczba — oddziela zmianę zachowania od zniknięcia pliku. | CO ZŁAPALI STRAŻNICY, KTÓRZY JUŻ BYLI (oba miały rację): (1) skrypty-wykonywalne.spec.ts — nowa biblioteka nie miała bitu wykonywalności; kusiło dopisać wyjątek „to plik wczytywany", ale komentarz tego strażnika mówi wprost, że reguła jest bezwyjątkowa właśnie dlatego, że lista wyjątków byłaby kolejnym bliźniaczym miejscem — chmod +x, strażnik bez zmian; poluzowanie go byłoby JEDENASTYM wystąpieniem rodziny „strażnik dopasowuje własną prozę"; (2) reguly-alertowe-licza-sie.spec.ts (strażnik X-30) — sprawdzał treść prod-deploy-ghcr.sh, a logika przeniosła się do biblioteki; samo usunięcie asercji sprawiłoby, że X-30 pilnuje mniej niż wcześniej nie mówiąc o tym ani słowem, więc strażnik czyta teraz skrypt RAZEM Z BIBLIOTEKAMI, które sam wczytuje, a asercja o pustym provisioningu została WZMOCNIONA z „więcej niż zero" do „komplet reguł". | STAN PRODUKCJI PO #70: exit 1 w tym miejscu kończy skrypt PRZED sekcją rollbacku, więc nic się nie cofnęło — na produkcji stoi b64db02, /healthz przeszedł, .last-good-image-tag zapisany, przycisk „Odrzuć" z X-32 jest live, czternaście reguł się liczy. Wdrożenie było UDANE; nieudana była bramka. | JAK ZAMKNĄĆ: pierwsze zielone wdrożenie z linią „[deploy] OK: 14/14 reguł aktywnych (próba N)" w logu. Jeżeli N &gt; 1, mamy w logu bezpośredni dowód, że wyścig był prawdziwy. | DOWÓD D3 — WDROŻENIE #71 (2026-08-24, zielone, wszystkie 8 zadań): „09:30:43 czekam na scheduler alertów (oczekuję 14 reguł); 09:31:37 OK: 14/14 reguł aktywnych (PRÓBA 17); 09:32:52 reguły liczą się bez błędów (0 → 0)". PRÓBA SIEDEMNASTA, nie pierwsza: metryka pojawiła się 54 SEKUNDY po restarcie, nie siedem i nie dziesięć. To nie jest dowód „bramka przeszła", tylko dowód, że w tym samym miejscu poprzednia wersja padłaby PO RAZ DRUGI na zdrowym systemie. Wdrożenie trwało 3 m 58 s zamiast ~3 m — cała różnica to te 54 sekundy czekania. | TEN SAM LOG WYKRYŁ BŁĄD W MOJEJ WŁASNEJ LICZBIE: zakładałem takt schedulera ~10 s i ustawiłem okno na 60 s (20 prób); zużyliśmy 17, czyli zapas wynosił TRZY PRÓBY — dziewięć sekund. Przy odrobinę wolniejszym starcie Grafany kolejne wdrożenie padłoby dokładnie tak jak #70 i z dokładnie tego samego nie-powodu. Mechanizm był dobry, liczba dobrana na wyczucie, a wyczucie o 80% za optymistyczne. OKNO PODNIESIONE DO 180 s (60 prób co 3 s) — decyzja właściciela produktu: trzykrotny zapas, nie dwukrotny, bo 54 s to JEDNA OBSERWACJA, nie rozkład. Dłuższe okno NIE SPOWALNIA zdrowego wdrożenia ani o sekundę: pętla kończy się w chwili, w której reguły się zgadzają; płacimy wyłącznie przy prawdziwej awarii prowizjonowania — błąd po trzech minutach zamiast po jednej. Dobry kurs wymiany: fałszywy alarm uczy klikać „re-run", a dwie minuty dłuższego czekania na prawdziwą awarię nie uczą niczego. | I OD RAZU BLIŹNIACZE MIEJSCE, KTÓREGO OMAL NIE ZROBIŁEM: pierwsza wersja poprawki wpisywała 180 do komunikatu w skrypcie, a 60 prób do biblioteki — log mówiłby „do 180 s" niezależnie od tego, ile bramka naprawdę czeka, i okłamałby pierwszą osobę czytającą go w trakcie awarii. Okno podaje teraz okno_bramki_sekundy i tylko ona. Dwie dodatkowe asercje (razem 11), obie czerwone na kodzie sprzed #71. | DOWÓD D3 COFNIĘTY 2026-08-24: wdrożenie #71 przeszło PRZYPADKIEM, nie dlatego, że bramka działała. „Próba 17" nie była czasem startu Grafany, tylko czasem, przez który kłamał odczyt (X-34: SIGPIPE + pipefail; metryka zdążyła się pojawić, zanim odpowiedź /metrics przekroczyła 64 KB). Uzasadnienie okna 180 s oparte na tych 54 sekundach było fałszywe. D3 wróci przy zielonym wdrożeniu z biblioteką po X-34. | D3 PRZYWRÓCONE 2026-08-24 na wdrożeniu #73 („próba 4", 10 s) — tym razem na ZROZUMIANYM mechanizmie, po naprawie X-34. Bramka przeszła dlatego, że działa, a nie dlatego, że miała szczęście. Dokumentacja: docs/archiwum/zadania/X-33-bramka-mierzyla-szybkosc-startu.md</t>
        </is>
      </c>
    </row>
    <row r="389">
      <c r="A389" s="11" t="inlineStr">
        <is>
          <t>X-34</t>
        </is>
      </c>
      <c r="B389" s="12" t="inlineStr">
        <is>
          <t>X</t>
        </is>
      </c>
      <c r="C389" s="11" t="inlineStr">
        <is>
          <t>Bramka alertów czyta metryki bez potoku (SIGPIPE + pipefail)</t>
        </is>
      </c>
      <c r="D389" s="11" t="inlineStr">
        <is>
          <t>—</t>
        </is>
      </c>
      <c r="E389" s="11" t="inlineStr">
        <is>
          <t>—</t>
        </is>
      </c>
      <c r="F389" s="11" t="inlineStr">
        <is>
          <t>—</t>
        </is>
      </c>
      <c r="G389" s="11" t="inlineStr">
        <is>
          <t>—</t>
        </is>
      </c>
      <c r="H389" s="11" t="inlineStr">
        <is>
          <t>—</t>
        </is>
      </c>
      <c r="I389" s="11" t="inlineStr">
        <is>
          <t>DZIAŁA</t>
        </is>
      </c>
      <c r="J389" s="12" t="inlineStr">
        <is>
          <t>ops/scripts/lib/bramka-regul-alertowych.sh — metryka_istnieje bez potoku (dopasowanie wzorcem w powłoce), regul_w_stanie przez &lt;&lt;&lt; zamiast |; apps/api/src/test/bramka-regul-nie-myli-braku-z-oczekiwaniem.spec.ts (13 asercji, atrapa &gt; 64 KB, harness z set -Eeuo pipefail). D3: wdrożenie #73 (2026-08-24) — „OK: 14/14 reguł aktywnych (próba 4)", 10 sekund.</t>
        </is>
      </c>
      <c r="K389" s="11" t="inlineStr">
        <is>
          <t>PARYTET</t>
        </is>
      </c>
      <c r="L389" s="11" t="inlineStr">
        <is>
          <t>—</t>
        </is>
      </c>
      <c r="M389" s="11" t="inlineStr">
        <is>
          <t>S</t>
        </is>
      </c>
      <c r="N389" s="12" t="inlineStr">
        <is>
          <t>Stan 2026-08-24: ZROBIONE W KODZIE (D2), D3 przy pierwszym zielonym wdrożeniu. | CO SIĘ STAŁO: wdrożenie #72 padło z komunikatem „Grafana nie opublikowała metryki grafana_alerting_rule_group_rules w ciągu 60 prób co 3s. Scheduler alertów nie wystartował" — 193 sekundy bez ani jednej linii. Log SAMEJ GRAFANY z tej samej minuty mówi coś przeciwnego: 09:53:15.845 ngalert.scheduler „Starting scheduler" tickInterval=10s; 09:53:15.845 ngalert.state.manager „State cache has been initialized" states=14; 09:53:31.549 pierwsze alerty. Scheduler wystartował CZTERY SEKUNDY po restarcie. GRAFANA BYŁA ZDROWA — KŁAMAŁ MÓJ ODCZYT. | PRZYCZYNA, jedna linijka: printf '%s\n' "$metryki" | grep -q '^grafana_alerting_rule_group_rules{' przy set -Eeuo pipefail. grep -q kończy się NATYCHMIAST po dopasowaniu, printf wciąż pisze resztę; gdy odpowiedź nie mieści się w buforze potoku, printf dostaje SIGPIPE (141), a pipefail przepisuje ten status na cały potok — sprawdzenie zwraca BŁĄD DOKŁADNIE WTEDY, GDY METRYKA JEST. Zmierzone, deterministyczne, próg na buforze potoku: 16 KB → znaleziono, 32 KB → znaleziono, 63 KB → znaleziono, 64 KB → BRAK, 80 KB → BRAK, 128 KB → BRAK. | TO WYJAŚNIA WSZYSTKO, CZEGO NIE UMIAŁEM WYJAŚNIĆ: /metrics Grafany ROŚNIE w miarę rejestrowania kolektorów, więc wyścig toczył się nie między bramką a schedulerem, tylko między POJAWIENIEM SIĘ METRYKI a PRZEKROCZENIEM 64 KB. #71: metryka zdążyła, gdy odpowiedź była jeszcze &lt; 64 KB → odczyt udał się na 17. próbie, a ja odczytałem to jako „scheduler potrzebuje 54 sekund". #72: odpowiedź przekroczyła 64 KB pierwsza → 60 odczytów z rzędu skłamało, a ja odczytałem to jako „scheduler nie wystartował". OBIE INTERPRETACJE BYŁY FAŁSZYWE, a na podstawie pierwszej zdążyłem podnieść okno i napisać uzasadnienie, które brzmiało solidnie. Ten sam mechanizm prawdopodobnie stoi za #70. | DLACZEGO STARA BRAMKA TEGO NIE MIAŁA: czytała przez „| awk", a AWK CZYTA WEJŚCIE DO KOŃCA — nie zamyka potoku wcześniej, więc SIGPIPE nie powstaje. Wdrożenia #68 i #69 działały nie ze szczęścia, tylko dlatego, że nie miały tej usterki. TEN BŁĄD WPROWADZIŁEM JA, RAZEM Z grep -q. | ROZWIĄZANIE: w bibliotece NIE MA JUŻ ANI JEDNEGO POTOKU — obecność metryki dopasowuje sama powłoka wzorcem na zmiennej (case), a awk dostaje wejście przez &lt;&lt;&lt; (here-string to przekierowanie, nie potok, więc pipefail nie ma czego zepsuć). | OKNO ZOSTAJE 180 s, ALE Z INNEGO POWODU: stare uzasadnienie („zmierzone 54 s × 3") było nieprawdziwe i zostało w komentarzu przekreślone, żeby nikt go nie odtworzył. Prawdziwy pomiar z logu Grafany: scheduler startuje ~4 s po restarcie. 60 s by wystarczyło; 180 s zostaje, bo CZEKANIE JEST DARMOWE (pętla kończy się w chwili zgodności), a nie dlatego, że tyle zmierzono. Ta liczba NIE MA maskować usterki odczytu — gdyby bramka znów czekała minutami, odpowiedzią jest diagnoza, nie 300 s. | DLACZEGO STRAŻNIK Z X-33 TEGO NIE ZŁAPAŁ — NAJWAŻNIEJSZA CZĘŚĆ: test był ZIELONY, a kod kłamał 60 razy z rzędu. Nie dlatego, że sprawdzał złą rzecz — dlatego, że JEGO ŚRODOWISKO RÓŻNIŁO SIĘ OD PRODUKCYJNEGO W DWÓCH WYMIARACH, KTÓRE DECYDOWAŁY O WYNIKU: (1) atrapa ważyła 200 bajtów, a prawdziwe /metrics setki kilobajtów — przy 200 bajtach printf zdąży zapisać wszystko do bufora, zanim grep się zamknie, więc SIGPIPE nigdy nie powstanie; (2) harness ustawiał set -u, a produkcja set -Eeuo pipefail — BEZ PIPEFAIL TA USTERKA NIE ISTNIEJE. Testowałem inną powłokę niż ta, która to uruchamia. To NOWA ODMIANA rodziny „test, który niczego nie dowodzi" (Z-01, H-20, M-06, X-28): nie fałszywa asercja, tylko FAŁSZYWE ŚRODOWISKO. Asercje były dobre, kłamały dane wejściowe. PYTANIE DO KAŻDEGO PRZYSZŁEGO HARNESSU: czym moja atrapa różni się od produkcji i czy któraś z tych różnic może decydować o wyniku? Rozmiar wejścia i flagi powłoki to nie szczegóły techniczne, tylko warunki, w których kod działa albo nie. | STRAŻNIK (13 asercji, było 11): atrapa waży ponad 64 KB i test to ASERTUJE, żeby nikt jej nie „uprościł"; harness ustawia dokładnie te flagi co skrypt wdrożeniowy; osobna asercja, że odpowiedź większa niż bufor potoku nie zamienia się w „brak metryki"; asercja o treści biblioteki (żadnego | grep, żadnego printf |) stojąca OBOK zachowaniowej, nie zamiast niej — tamta łapie usterkę, ta pilnuje, żeby nie wróciła tą samą drogą. | Czerwieni się na kodzie sprzed X-34: 7 z 13. | JAK ZAMKNĄĆ: zielone wdrożenie z tą biblioteką, z NISKIM numerem próby (kilkanaście sekund, nie pięćdziesiąt cztery). Dwucyfrowy numer oznaczałby, że nadal czegoś nie rozumiem. | DOWÓD D3 — WDROŻENIE #73 (2026-08-24, zielone, 3 m 08 s): „10:45:36 restart obserwowalności; 10:45:43 czekam na scheduler alertów (oczekuję 14 reguł, do 180 s); 10:45:53 OK: 14/14 reguł aktywnych (PRÓBA 4); 10:47:08 reguły liczą się bez błędów (0 → 0)". PRÓBA 4 — DZIESIĘĆ SEKUND. Przed wdrożeniem zapisałem FALSYFIKOWALNĄ PRZEPOWIEDNIĘ: jeśli diagnoza jest trafna, numer próby będzie NISKI, a dwucyfrowy oznaczałby, że nadal czegoś nie rozumiem. Wyszła czwarta próba i zgadza się co do rzędu wielkości z logiem samej Grafany (scheduler ~4 s po restarcie, takt 10 s) — czyli z jedynym pomiarem w całej tej historii, który nie pochodził z zepsutego odczytu. Porównanie czasów: #71 — 3 m 58 s (54 s czekania na własne kłamstwo), #72 — 4 m 54 s zakończone błędem, #73 — 3 m 08 s. Dokumentacja: docs/archiwum/zadania/X-34-bramka-klamala-o-wlasnym-odczycie.md</t>
        </is>
      </c>
    </row>
    <row r="390">
      <c r="A390" s="11" t="inlineStr">
        <is>
          <t>DEP-02</t>
        </is>
      </c>
      <c r="B390" s="12" t="inlineStr">
        <is>
          <t>X</t>
        </is>
      </c>
      <c r="C390" s="11" t="inlineStr">
        <is>
          <t>W drzewie stoją dwa majory ESLinta naraz</t>
        </is>
      </c>
      <c r="D390" s="11" t="inlineStr">
        <is>
          <t>—</t>
        </is>
      </c>
      <c r="E390" s="11" t="inlineStr">
        <is>
          <t>—</t>
        </is>
      </c>
      <c r="F390" s="11" t="inlineStr">
        <is>
          <t>—</t>
        </is>
      </c>
      <c r="G390" s="11" t="inlineStr">
        <is>
          <t>—</t>
        </is>
      </c>
      <c r="H390" s="11" t="inlineStr">
        <is>
          <t>—</t>
        </is>
      </c>
      <c r="I390" s="11" t="inlineStr">
        <is>
          <t>DZIAŁA</t>
        </is>
      </c>
      <c r="J390" s="12" t="inlineStr">
        <is>
          <t>package.json (korzeń) — @eslint/js ^10.0.1 przy braku jakiegokolwiek eslint.config.* w korzeniu; libs/eslint-config/node_modules: eslint 10.9.0 obok @eslint/js 9.39.5; apps/api, apps/www, apps/client-panel, apps/status-page, libs/directadmin-sdk — eslint 9.39.5 | 2026-09-23: z korzenia zdjęte nieużywane @eslint/js ^10 i typescript-eslint; libs/eslint-config peer eslint ^9.39.5 (było &gt;=9 → auto-install dociągał 10.9.0); lockfile bez eslint 10; strażnik apps/api/src/test/eslint-jeden-major.spec.ts (deklaracje + peer + lockfile)</t>
        </is>
      </c>
      <c r="K390" s="11" t="inlineStr">
        <is>
          <t>PARYTET</t>
        </is>
      </c>
      <c r="L390" s="11" t="inlineStr">
        <is>
          <t>ŚREDNIA</t>
        </is>
      </c>
      <c r="M390" s="11" t="inlineStr">
        <is>
          <t>S</t>
        </is>
      </c>
      <c r="N390" s="12" t="inlineStr">
        <is>
          <t>Odkryte 2026-08-28 przy DEP-01. Korzeń deklaruje @eslint/js ^10.0.1, którego peer to eslint ^10.0.0 — i to on wciąga eslint@10.9.0 do drzewa. Tymczasem KAŻDY pakiet, który realnie lintuje, ma 9.39.5. Najostrzej widać to wewnątrz libs/eslint-config, czyli wspólnej konfiguracji: node_modules/eslint = 10.9.0, node_modules/@eslint/js = 9.39.5 — dwie połowy jednego narzędzia z różnych majorów w jednym katalogu. | Korzeń NIE MA żadnego eslint.config.* i nie odpala lintera (pnpm lint = turbo run lint), więc te zależności nie robią nic poza wciąganiem majora, którego nikt nie używa. | To nie awaria — bramka jest zielona, 0 błędów. To BRAK KONTROLI: żaden strażnik nie sprawdza, czy major ESLinta jest jeden, tak jak do ENV-01 nic nie sprawdzało wersji Node. | DO ZROBIENIA: zdjąć z korzenia nieużywane @eslint/js i typescript-eslint albo cofnąć je do dziewiątki (rusza lockfile — osobny commit z pełną bramką), plus strażnik spójności majora na wzór wersja-node.spec.ts. | 2026-09-23: zrobione zgodnie z DO ZROBIENIA; lockfile zmieniony wyłącznie o usunięcie gałęzi eslint 10 (pnpm 9.5.0 --lockfile-only). Przed bramką lokalną: pnpm install.</t>
        </is>
      </c>
    </row>
    <row r="391">
      <c r="A391" s="11" t="inlineStr">
        <is>
          <t>DEP-03</t>
        </is>
      </c>
      <c r="B391" s="12" t="inlineStr">
        <is>
          <t>X</t>
        </is>
      </c>
      <c r="C391" s="11" t="inlineStr">
        <is>
          <t>Majory ESLinta wyciszone z terminem, nie zamknięte po cichu</t>
        </is>
      </c>
      <c r="D391" s="11" t="inlineStr">
        <is>
          <t>—</t>
        </is>
      </c>
      <c r="E391" s="11" t="inlineStr">
        <is>
          <t>—</t>
        </is>
      </c>
      <c r="F391" s="11" t="inlineStr">
        <is>
          <t>—</t>
        </is>
      </c>
      <c r="G391" s="11" t="inlineStr">
        <is>
          <t>—</t>
        </is>
      </c>
      <c r="H391" s="11" t="inlineStr">
        <is>
          <t>—</t>
        </is>
      </c>
      <c r="I391" s="11" t="inlineStr">
        <is>
          <t>DZIAŁA</t>
        </is>
      </c>
      <c r="J391" s="12" t="inlineStr">
        <is>
          <t>.github/dependabot.yml — reguły ignore na eslint i @eslint/js (semver-major), obie z „# pozycja: DEP-03” i „# przegląd: 2026-11-15”; apps/api/src/test/dependabot-wyciszenia.spec.ts pilnuje terminu</t>
        </is>
      </c>
      <c r="K391" s="11" t="inlineStr">
        <is>
          <t>PARYTET</t>
        </is>
      </c>
      <c r="L391" s="11" t="inlineStr">
        <is>
          <t>—</t>
        </is>
      </c>
      <c r="M391" s="11" t="inlineStr">
        <is>
          <t>S</t>
        </is>
      </c>
      <c r="N391" s="12" t="inlineStr">
        <is>
          <t>Zamknięte 2026-08-28. PR #27 (eslint 9.39.5 → 10.9.1) wywraca się na apps/www z kodem wyjścia 2, czyli FATALNYM BŁĘDEM STARTU, nie błędami w kodzie: TypeError: Error while loading rule 'react/display-name': contextOrFilename.getFilename is not a function, w eslint-plugin-react@7.37.5 (lib/util/version.js:31). ESLint 10 zmienił API kontekstu reguły, wtyczka za tym nie nadążyła. Wtyczka przychodzi tranzytywnie z eslint-config-next@16.3.2. | PR #29 (@eslint/js 9.39.5 → 10.0.1) osobno daje 12 błędów no-useless-assignment w api i pogłębia rozjazd z DEP-02 — preset recommended dziesiątki podnosi tę regułę do rangi błędu. Oba pakiety wracają RAZEM, nigdy osobno. | UWAGA PRZY PRZEGLĄDZIE: eslint-config-next deklaruje peer 'eslint: &gt;=9.0.0', czyli OBIECUJE zgodność, której jego własne zależności nie mają. Peer range nie jest tu dowodem — dowodem jest zielony przebieg lintera na dziesiątce. Sam się na tym nabrałem: odczytałem peer jako „nic nie blokuje przejścia na 10”. | TO SAMO BYŁO JUŻ ZAPISANE W X-18 (2026-08-22, punkt 3 listy „czego nie podniosłem”). Odkryłem to dziś ponownie, z logów CI, bo nie zajrzałem najpierw do macierzy. Wyciszenie z terminem jest tym, czego X-18 nie miało: tam był akapit, tu jest reguła, która o sobie przypomni 2026-11-15.</t>
        </is>
      </c>
    </row>
    <row r="392">
      <c r="A392" s="11" t="inlineStr">
        <is>
          <t>X-49</t>
        </is>
      </c>
      <c r="B392" s="12" t="inlineStr">
        <is>
          <t>X</t>
        </is>
      </c>
      <c r="C392" s="11" t="inlineStr">
        <is>
          <t>Znaleziska trafiają do macierzy, nie tylko do dashboardów</t>
        </is>
      </c>
      <c r="D392" s="11" t="inlineStr">
        <is>
          <t>—</t>
        </is>
      </c>
      <c r="E392" s="11" t="inlineStr">
        <is>
          <t>—</t>
        </is>
      </c>
      <c r="F392" s="11" t="inlineStr">
        <is>
          <t>—</t>
        </is>
      </c>
      <c r="G392" s="11" t="inlineStr">
        <is>
          <t>—</t>
        </is>
      </c>
      <c r="H392" s="11" t="inlineStr">
        <is>
          <t>—</t>
        </is>
      </c>
      <c r="I392" s="11" t="inlineStr">
        <is>
          <t>DZIAŁA</t>
        </is>
      </c>
      <c r="J392" s="12" t="inlineStr">
        <is>
          <t>kierunek: tablice generowane z audyt/dane/*.csv (generate.py); strażnik src/test/znaleziska-w-macierzy.spec.ts</t>
        </is>
      </c>
      <c r="K392" s="11" t="inlineStr">
        <is>
          <t>PARYTET</t>
        </is>
      </c>
      <c r="L392" s="11" t="inlineStr">
        <is>
          <t>ŚREDNIA</t>
        </is>
      </c>
      <c r="M392" s="11" t="inlineStr">
        <is>
          <t>M</t>
        </is>
      </c>
      <c r="N392" s="12" t="inlineStr">
        <is>
          <t>Odkryte 2026-08-28, gdy strażnik X-23 odrzucił wyciszenie Dependabota wskazujące pozycję DEP-03, której w macierzy nie było. | MECHANIZM: znaleziska z ostatniego tygodnia zapisywane były w dashboardach HTML (VERRIS_LUKI_DASHBOARD, VERRIS_PLAN_DASHBOARD), czyli w WIDOKU, a nie w macierzy, czyli w REJESTRZE. Strażniki repozytorium czytają macierz. Wszystko, co istnieje tylko w widoku, jest dla nich niewidzialne — i przez tydzień nikt tego nie zauważył, bo dopiero DEP-03 jako pierwsze dotknęło czegoś sprawdzanego automatycznie. | DRUGI, DROŻSZY SKUTEK: X-18 opisuje blokadę ESLinta 10 przez eslint-plugin-react od 2026-08-22 (contextOrFilename.getFilename). 2026-08-28 odkryłem to samo od zera, czytając logi CI — bo poszedłem do dashboardów i do GitHuba, nie do macierzy. Praca wykonana drugi raz. | TO NIE JEST PROBLEM NARZĘDZIA, tylko kierunku zapisu: dashboard ma być generowany Z macierzy, a nie prowadzony obok niej. Dopóki jest odwrotnie, każdy strażnik odwołujący się do pozycji audytu może odrzucić prawdziwe znalezisko za to, że nie zostało zapisane tam, gdzie trzeba. | DO ZROBIENIA: przepisac 32 brakujace pozycje do macierzy — WYKONANE 2026-08-28 (z rozmysłem, nie hurtem — każda ma mieć dowód i werdykt), a potem ustalić kierunek: macierz jest źródłem, dashboard widokiem. | KOREKTA WLASNEGO POMIARU, tego samego dnia: najpierw podalem PIETNASCIE brakujacych pozycji. Ta liczba byla dlugoscia recznie wybranej listy, ktora sprawdzilem, a nie wynikiem porownania — pelne porownanie identyfikatorow dalo 32. Podanie dlugosci wlasnej probki jako wyniku to ten sam blad, ktory ta pozycja opisuje, tylko na poziomie pomiaru. | PRZY PRZEPISYWANIU: OPS-01 istnialo w dashboardzie w DWOCH egzemplarzach o roznych statusach (ZAMKNIETE i OTWARTE); do macierzy trafil jeden wiersz, tresc drugiego zachowana w Uwagach. Krytycznosc i naklad przepisanych pozycji zostaly PUSTE — dashboard ich nie niosl, a wpisanie ich teraz byloby zgadywaniem. | CO ZOSTAJE: ustalic kierunek zapisu — macierz zrodlem, dashboard widokiem generowanym z niej. Dopoki dashboard jest prowadzony recznie obok macierzy, ten rozjazd wroci. | 2026-09-23: kierunek ustalony — obie tablice powstają z CSV (generate.py), nie są prowadzone ręcznie. Strażnik: każda pozycja z docs/zadania i docs/archiwum/zadania musi być w macierzy albo zadaniach PB, a każde ID z prefiksem macierzy widoczne na tablicach musi istnieć w rejestrze. Pierwsze uruchomienie znalazło 4 pozycje spoza macierzy: X-35, X-36 (zamknięte) oraz PROD-01, PROD-02 (rozpisane i zapomniane) — przepisane.</t>
        </is>
      </c>
    </row>
    <row r="393">
      <c r="A393" s="11" t="inlineStr">
        <is>
          <t>DEP-01</t>
        </is>
      </c>
      <c r="B393" s="12" t="inlineStr">
        <is>
          <t>X</t>
        </is>
      </c>
      <c r="C393" s="11" t="inlineStr">
        <is>
          <t>Osiem otwartych pull requestów Dependabota, żaden niescalony</t>
        </is>
      </c>
      <c r="D393" s="11" t="inlineStr">
        <is>
          <t>—</t>
        </is>
      </c>
      <c r="E393" s="11" t="inlineStr">
        <is>
          <t>—</t>
        </is>
      </c>
      <c r="F393" s="11" t="inlineStr">
        <is>
          <t>—</t>
        </is>
      </c>
      <c r="G393" s="11" t="inlineStr">
        <is>
          <t>—</t>
        </is>
      </c>
      <c r="H393" s="11" t="inlineStr">
        <is>
          <t>—</t>
        </is>
      </c>
      <c r="I393" s="11" t="inlineStr">
        <is>
          <t>DZIAŁA</t>
        </is>
      </c>
      <c r="J393" s="12" t="inlineStr">
        <is>
          <t>2026-09-24: #39 (22 × minor/patch, lockfile wprost z PR), #30–#33 (akcje GitHuba) wciągnięte na main lokalnie; #28 (graphql 17) wyciszony w .github/dependabot.yml z pozycją X-21 i przeglądem 2026-12-15</t>
        </is>
      </c>
      <c r="K393" s="11" t="inlineStr">
        <is>
          <t>PARYTET</t>
        </is>
      </c>
      <c r="L393" s="11" t="inlineStr">
        <is>
          <t>WYSOKA</t>
        </is>
      </c>
      <c r="M393" s="11" t="inlineStr">
        <is>
          <t>S</t>
        </is>
      </c>
      <c r="N393" s="12" t="inlineStr">
        <is>
          <t>Przepisane do macierzy 2026-08-28 w ramach X-49 — pozycja powstala 2026-08-28 i do tego dnia istniala WYLACZNIE w dashboardzie, poza zasiegiem straznikow repozytorium. Obszar: zależności / bezpieczeństwo. Krytycznosc i naklad zostaly puste SWIADOMIE: dashboard ich nie niosl, a wpisanie ich teraz byloby zgadywaniem. Do uzupelnienia przy najblizszym przegladzie tej pozycji. | TRESC ZE ZRODLA: Osiem otwartych pull requestów Dependabota, żaden niescalony. Kolejka CI zapchana przebiegami #147–#150 (numeracja `ci.yml` przeskoczyła z #127 na #136 właśnie przez nie). Sam zator jest kosmetyczny — problemem jest to, że job `Security scans` skanuje CVE w zależnościach, a poprawki tych zależności leżą niescalone. Skan wykrywa i nikt nie działa — ta sama rodzina co SEC-01 i NODE-02. | WYCENA 2026-09-19: krytycznosc i naklad uzupelnione przy wznowieniu. Pozycje przepisane 2026-08-28 w ramach X-49 zostaly bez wyceny, przez co nie liczyly sie do budzetu godzin i nie stały w zadnym sprincie. Podstawa wyceny: Przeglad i scalenie kolejki PR-ow Dependabota jednym wsadem z pelna bramka. Security scans wykrywa CVE, a poprawki leza niescalone. | 2026-09-24: PR-y Dependabota nie były „do scalenia” — ich jedyny czerwony check (API integration tests) był czerwony też na main (X-04). Po pushu Dependabot sam zamknie #30–#33 i #39; #28 po wyciszeniu. OTWARTE: potwierdzić zamknięcie PR-ów i zielony CI; #2 (AGENTS.md z Cloud Agenta) — decyzja właściciela, zamknąć ręcznie. | D3 2026-09-24: po pushu Dependabot sam zamknął #28, #30–#33 i #39; otwarty został tylko #2 (AGENTS.md — do decyzji właściciela, nie zależność).</t>
        </is>
      </c>
    </row>
    <row r="394">
      <c r="A394" s="11" t="inlineStr">
        <is>
          <t>ENV-01</t>
        </is>
      </c>
      <c r="B394" s="12" t="inlineStr">
        <is>
          <t>X</t>
        </is>
      </c>
      <c r="C394" s="11" t="inlineStr">
        <is>
          <t>Bramka lokalna biegnie na Node 20, CI na Node 22</t>
        </is>
      </c>
      <c r="D394" s="11" t="inlineStr">
        <is>
          <t>—</t>
        </is>
      </c>
      <c r="E394" s="11" t="inlineStr">
        <is>
          <t>—</t>
        </is>
      </c>
      <c r="F394" s="11" t="inlineStr">
        <is>
          <t>—</t>
        </is>
      </c>
      <c r="G394" s="11" t="inlineStr">
        <is>
          <t>—</t>
        </is>
      </c>
      <c r="H394" s="11" t="inlineStr">
        <is>
          <t>—</t>
        </is>
      </c>
      <c r="I394" s="11" t="inlineStr">
        <is>
          <t>DZIAŁA</t>
        </is>
      </c>
      <c r="J394" s="12" t="inlineStr">
        <is>
          <t>D3: ostrzeżenie `pnpm` przy każdym `pnpm test` wobec `node-version: 22` w `ci.yml`. Zamknięte częściowo 2026-08-28: `.nvmrc` = 22, strażnik `wersja-node.spec.ts` (4 testy) wyprowadza wymagany major z `engines.node` i sprawdza `.nvmrc`, wszystkie 7 kroków `node-version:` w `ci.yml`+`deploy.yml` oraz oba `ARG NODE_VERSION` w Dockerfile’ach. Bramka lokalna potwierdzona na v22.23.2 (841 testów jednostkowych, 78 integracyjnych). Świadomie odłożone: `engine-strict=true` w `.npmrc` — włączone wcześniej zablokowałoby Twój `pnpm install` bez Twojej zgody.</t>
        </is>
      </c>
      <c r="K394" s="11" t="inlineStr">
        <is>
          <t>PARYTET</t>
        </is>
      </c>
      <c r="L394" s="11" t="inlineStr">
        <is>
          <t>ŚREDNIA</t>
        </is>
      </c>
      <c r="M394" s="11" t="inlineStr">
        <is>
          <t>S</t>
        </is>
      </c>
      <c r="N394" s="12" t="inlineStr">
        <is>
          <t>Przepisane do macierzy 2026-08-28 w ramach X-49 — pozycja powstala 2026-08-28 i do tego dnia istniala WYLACZNIE w dashboardzie, poza zasiegiem straznikow repozytorium. Obszar: bramki / środowisko. Krytycznosc i naklad zostaly puste SWIADOMIE: dashboard ich nie niosl, a wpisanie ich teraz byloby zgadywaniem. Do uzupelnienia przy najblizszym przegladzie tej pozycji. | TRESC ZE ZRODLA: Bramka lokalna biegnie na Node 20, CI na Node 22. `pnpm` ostrzega o tym przy każdym uruchomieniu (`Unsupported engine: wanted &gt;=22.12, current v20.19.2`), a `ci.yml` ma `node-version: 22`. Samo w sobie kosmetyczne — przestaje takie być po decyzji z 28.08, która ustala, że jedyną realną bramką przed `main` jest bramka uruchamiana lokalnie (push admina omija wszystkie wymagane checki). „Zielone u mnie” jest wtedy słabszym dowodem, niż wygląda, i to dokładnie w miejscu, na którym oparliśmy proces. | WYCENA 2026-09-19: krytycznosc i naklad uzupelnione przy wznowieniu. Pozycje przepisane 2026-08-28 w ramach X-49 zostaly bez wyceny, przez co nie liczyly sie do budzetu godzin i nie stały w zadnym sprincie. Podstawa wyceny: Zostaje engine-strict=true w .npmrc, swiadomie odlozone 2026-08-28. Reszta pozycji zamknieta strazniekiem wersja-node.spec.ts. | 2026-09-22 ZAMKNIETE (D2): engine-strict=true w .npmrc od 2026-09-19 (zgoda wlasciciela), pelna bramka lokalna 2026-09-22 zielona na Node 22 z engine-strict (lint, typecheck 8/8, 878 testow jednostkowych) — to byl ostatni brakujacy element.</t>
        </is>
      </c>
    </row>
    <row r="395">
      <c r="A395" s="11" t="inlineStr">
        <is>
          <t>ENV-02</t>
        </is>
      </c>
      <c r="B395" s="12" t="inlineStr">
        <is>
          <t>X</t>
        </is>
      </c>
      <c r="C395" s="11" t="inlineStr">
        <is>
          <t>Cache turbo kluczowany wersją Node — zmiana silnika nie udaje zieleni</t>
        </is>
      </c>
      <c r="D395" s="11" t="inlineStr">
        <is>
          <t>—</t>
        </is>
      </c>
      <c r="E395" s="11" t="inlineStr">
        <is>
          <t>—</t>
        </is>
      </c>
      <c r="F395" s="11" t="inlineStr">
        <is>
          <t>—</t>
        </is>
      </c>
      <c r="G395" s="11" t="inlineStr">
        <is>
          <t>—</t>
        </is>
      </c>
      <c r="H395" s="11" t="inlineStr">
        <is>
          <t>—</t>
        </is>
      </c>
      <c r="I395" s="11" t="inlineStr">
        <is>
          <t>DZIAŁA</t>
        </is>
      </c>
      <c r="J395" s="12" t="inlineStr">
        <is>
          <t>D1: `pnpm test` po `nvm use` → `&gt;&gt;&gt; FULL TURBO`; `pnpm test -- --force` → `cache bypass, force executing` i realne wykonanie. Naprawione: `"globalDependencies": [".nvmrc"]` w `turbo.json` — zmiana wersji Node unieważnia teraz cały cache.</t>
        </is>
      </c>
      <c r="K395" s="11" t="inlineStr">
        <is>
          <t>PARYTET</t>
        </is>
      </c>
      <c r="L395" s="11" t="inlineStr">
        <is>
          <t>—</t>
        </is>
      </c>
      <c r="M395" s="11" t="inlineStr">
        <is>
          <t>—</t>
        </is>
      </c>
      <c r="N395" s="12" t="inlineStr">
        <is>
          <t>Przepisane do macierzy 2026-08-28 w ramach X-49 — pozycja powstala 2026-08-28 i do tego dnia istniala WYLACZNIE w dashboardzie, poza zasiegiem straznikow repozytorium. Obszar: bramki / narzędzia. Krytycznosc i naklad zostaly puste SWIADOMIE: dashboard ich nie niosl, a wpisanie ich teraz byloby zgadywaniem. Do uzupelnienia przy najblizszym przegladzie tej pozycji. | TRESC ZE ZRODLA: Cache turbo nie był kluczowany wersją Node — bramka po zmianie silnika pokazywała zieleń bez uruchomienia czegokolwiek. Po przejściu na Node 22 (`nvm use`) `pnpm test` wypisał `&gt;&gt;&gt; FULL TURBO` i `Cached: 8 cached` — czyli odtworzył logi z Node 20 i zameldował sukces. To groźniejsze niż zwykły fałszywy zielony: bramka nie kłamie o wyniku testu, tylko o tym, jakiego świata ten wynik dotyczy. Gdyby Node 22 psuł cokolwiek w tym repo, ta weryfikacja by tego nie pokazała — a była to jedyna weryfikacja, jaką zaplanowaliśmy dla ENV-01.</t>
        </is>
      </c>
    </row>
    <row r="396">
      <c r="A396" s="11" t="inlineStr">
        <is>
          <t>X-46</t>
        </is>
      </c>
      <c r="B396" s="12" t="inlineStr">
        <is>
          <t>X</t>
        </is>
      </c>
      <c r="C396" s="11" t="inlineStr">
        <is>
          <t>`turbo.json` może być JSONC, ale własny strażnik repo czyta go przez `JSON.parse`</t>
        </is>
      </c>
      <c r="D396" s="11" t="inlineStr">
        <is>
          <t>—</t>
        </is>
      </c>
      <c r="E396" s="11" t="inlineStr">
        <is>
          <t>—</t>
        </is>
      </c>
      <c r="F396" s="11" t="inlineStr">
        <is>
          <t>—</t>
        </is>
      </c>
      <c r="G396" s="11" t="inlineStr">
        <is>
          <t>—</t>
        </is>
      </c>
      <c r="H396" s="11" t="inlineStr">
        <is>
          <t>—</t>
        </is>
      </c>
      <c r="I396" s="11" t="inlineStr">
        <is>
          <t>DZIAŁA</t>
        </is>
      </c>
      <c r="J396" s="12" t="inlineStr">
        <is>
          <t>D1: `pnpm test -- --force` → `FAIL src/test/ci-joby.spec.ts`, 1 failed / 840 passed. Komentarze usunięte, `JSON.parse` przechodzi.</t>
        </is>
      </c>
      <c r="K396" s="11" t="inlineStr">
        <is>
          <t>PARYTET</t>
        </is>
      </c>
      <c r="L396" s="11" t="inlineStr">
        <is>
          <t>—</t>
        </is>
      </c>
      <c r="M396" s="11" t="inlineStr">
        <is>
          <t>—</t>
        </is>
      </c>
      <c r="N396" s="12" t="inlineStr">
        <is>
          <t>Przepisane do macierzy 2026-08-28 w ramach X-49 — pozycja powstala 2026-08-28 i do tego dnia istniala WYLACZNIE w dashboardzie, poza zasiegiem straznikow repozytorium. Obszar: bramki / narzędzia. Krytycznosc i naklad zostaly puste SWIADOMIE: dashboard ich nie niosl, a wpisanie ich teraz byloby zgadywaniem. Do uzupelnienia przy najblizszym przegladzie tej pozycji. | TRESC ZE ZRODLA: `turbo.json` może być JSONC, ale własny strażnik repo czyta go przez `JSON.parse`. Dopisałem `globalDependencies` razem z komentarzami `//` — turbo to przyjmuje, `ci-joby.spec.ts:135` nie. Cała bramka padła na `SyntaxError: Expected property name or '}' in JSON at position 4`. Poprawiony został plik, nie strażnik: skoro standardowy parser go nie czyta, problem jest w pliku — strażnik był tylko pierwszym narzędziem, które to zauważyło; następne byłoby czyjeś.</t>
        </is>
      </c>
    </row>
    <row r="397">
      <c r="A397" s="11" t="inlineStr">
        <is>
          <t>X-47</t>
        </is>
      </c>
      <c r="B397" s="12" t="inlineStr">
        <is>
          <t>X</t>
        </is>
      </c>
      <c r="C397" s="11" t="inlineStr">
        <is>
          <t>Nieosiągalnego kodu w `apps/api` nie sprawdzało NIC — bo dwa narzędzia ustąpiły sobie nawzajem miejsca</t>
        </is>
      </c>
      <c r="D397" s="11" t="inlineStr">
        <is>
          <t>—</t>
        </is>
      </c>
      <c r="E397" s="11" t="inlineStr">
        <is>
          <t>—</t>
        </is>
      </c>
      <c r="F397" s="11" t="inlineStr">
        <is>
          <t>—</t>
        </is>
      </c>
      <c r="G397" s="11" t="inlineStr">
        <is>
          <t>—</t>
        </is>
      </c>
      <c r="H397" s="11" t="inlineStr">
        <is>
          <t>—</t>
        </is>
      </c>
      <c r="I397" s="11" t="inlineStr">
        <is>
          <t>DZIAŁA</t>
        </is>
      </c>
      <c r="J397" s="12" t="inlineStr">
        <is>
          <t>D1: `eslint --rule '{"no-unreachable":"error"}'` zgłasza `765:5 Unreachable code`, a ta sama bramka bez tej flagi jest zielona. Źródło wyłączenia: `@typescript-eslint/eslint-plugin/dist/configs/eslint-recommended-raw.js:37`. Naprawione 2026-08-28: `allowUnreachableCode: false` w `libs/typescript-config/base.json` — świadomie w bazie, nie tylko w profilu Nest, bo luka dotyczy każdego pakietu TS, nie samego API. Pomiar po włączeniu flagi: w całym monorepo wyszło dokładnie jedno miejsce — to samo `void where;` (`TS7027`, 7 z 8 pakietów czysto). Czyli flaga nie odsłoniła ukrytego długu; odsłoniła tę jedną linię, która powstała po to, żeby uciszyć strażnika. Linia usunięta, `where` zniknęło z destrukturyzacji.</t>
        </is>
      </c>
      <c r="K397" s="11" t="inlineStr">
        <is>
          <t>PARYTET</t>
        </is>
      </c>
      <c r="L397" s="11" t="inlineStr">
        <is>
          <t>—</t>
        </is>
      </c>
      <c r="M397" s="11" t="inlineStr">
        <is>
          <t>—</t>
        </is>
      </c>
      <c r="N397" s="12" t="inlineStr">
        <is>
          <t>Przepisane do macierzy 2026-08-28 w ramach X-49 — pozycja powstala 2026-08-28 i do tego dnia istniala WYLACZNIE w dashboardzie, poza zasiegiem straznikow repozytorium. Obszar: bramki / typy. Krytycznosc i naklad zostaly puste SWIADOMIE: dashboard ich nie niosl, a wpisanie ich teraz byloby zgadywaniem. Do uzupelnienia przy najblizszym przegladzie tej pozycji. | TRESC ZE ZRODLA: Nieosiągalnego kodu w `apps/api` nie sprawdzało NIC — bo dwa narzędzia ustąpiły sobie nawzajem miejsca. `js.configs.recommended` ustawia `no-unreachable: error`. Rozwijane linijkę niżej `tseslint.configs.recommended` gasi tę regułę: `'no-unreachable': 'off', // ts(7027)` — z uzasadnieniem „to sprawdza TypeScript". A TypeScript zgłasza ts(7027) jako błąd wyłącznie przy `allowUnreachableCode: false`, którego nigdzie nie ustawiliśmy — domyślnie to tylko podpowiedź dla edytora, więc `tsc --noEmit` przechodzi. Żadne z tych narzędzi nie działa źle. Zawiodło przekazanie: każde założyło, że robi to drugie. Koszt widać na przykładzie: w `invoices.service.ts` stoi `void where;` za `return` — linia dopisana po to, by uciszyć ostrzeżenie o nieużywanej zmiennej, i robiąca to skutecznie, choć nigdy się nie wykonuje. Kontrola spełniona co do litery, nie co do treści.</t>
        </is>
      </c>
    </row>
    <row r="398">
      <c r="A398" s="11" t="inlineStr">
        <is>
          <t>X-48</t>
        </is>
      </c>
      <c r="B398" s="12" t="inlineStr">
        <is>
          <t>X</t>
        </is>
      </c>
      <c r="C398" s="11" t="inlineStr">
        <is>
          <t>`strict: true` w API jest w dużej mierze dekoracją — profil Nest wyłącza jego najważniejsze składniki</t>
        </is>
      </c>
      <c r="D398" s="11" t="inlineStr">
        <is>
          <t>—</t>
        </is>
      </c>
      <c r="E398" s="11" t="inlineStr">
        <is>
          <t>—</t>
        </is>
      </c>
      <c r="F398" s="11" t="inlineStr">
        <is>
          <t>—</t>
        </is>
      </c>
      <c r="G398" s="11" t="inlineStr">
        <is>
          <t>—</t>
        </is>
      </c>
      <c r="H398" s="11" t="inlineStr">
        <is>
          <t>—</t>
        </is>
      </c>
      <c r="I398" s="11" t="inlineStr">
        <is>
          <t>DZIAŁA</t>
        </is>
      </c>
      <c r="J398" s="12" t="inlineStr">
        <is>
          <t>libs/typescript-config/nestjs.json dziedziczy pełne `strict` z base.json — żaden składnik nie jest wyłączany (2026-09-24); strażnik apps/api/src/test/api-naprawde-strict.spec.ts; tsc API z SDK + libs/database: 0 błędów</t>
        </is>
      </c>
      <c r="K398" s="11" t="inlineStr">
        <is>
          <t>PARYTET</t>
        </is>
      </c>
      <c r="L398" s="11" t="inlineStr">
        <is>
          <t>WYSOKA</t>
        </is>
      </c>
      <c r="M398" s="11" t="inlineStr">
        <is>
          <t>L</t>
        </is>
      </c>
      <c r="N398" s="12" t="inlineStr">
        <is>
          <t>KOREKTA 2026-09-24: hipoteza OBALONA — logi verris-api-1 z 72 h nie mają ani jednego „must not be null”, więc Prisma przyjmowała `not: null` w działaniu (tylko typ tego nie dopuszczał). Ponawianie webhooków i kredyty SLA nie były zepsute. Poprawki zostają, bo są zgodne z typami i intencją. | 2026-09-24 ETAP 2: noImplicitAny włączone. Zapisane wcześniej „221 miejsc” było artefaktem pomiaru — w środowisku bez zbudowanego SDK DirectAdmina każdy typ z SDK stawał się `any` i ciągnął kaskadę; z rozwiązanym SDK: 27. Naprawione: `@Req() req` bez typu w kontrolerach domen i AI → `@CurrentUser()` z typem (wzorzec reszty API), iterator incydentów sond, samoodwołujący się mock w specu. | 2026-09-24 ETAP 1: pomiar zamiast zgadywania — strictNullChecks dał 28 błędów (nie setki), pozostałe trzy flagi 0. Znalezione przy okazji, realne: (1) sla-credit.scheduler: `account.serverId: { not: null }` na polu NOT NULL — typ Prismy tego nie dopuszcza; teraz `account: { isNot: null }`; (2) stripe-webhook-ponowienia: `payload: { not: null }` na polu Json (2×) — typ Prismy wymaga `Prisma.DbNull`; teraz `Prisma.DbNull` (ponawianie i czyszczenie treści webhooków); (3) mail-settings: relay zewnętrzny bez portu zapisywał port „undefined”; teraz 400 + test. Reszta: DTO bez `!`, tablica never[] w KSeF, typy zwrotne maili. ZOSTAJE (etap 2): noImplicitAny — 221 miejsc. | Przepisane do macierzy 2026-08-28 w ramach X-49 — pozycja powstala 2026-08-28 i do tego dnia istniala WYLACZNIE w dashboardzie, poza zasiegiem straznikow repozytorium. Obszar: bramki / typy. Krytycznosc i naklad zostaly puste SWIADOMIE: dashboard ich nie niosl, a wpisanie ich teraz byloby zgadywaniem. Do uzupelnienia przy najblizszym przegladzie tej pozycji. | TRESC ZE ZRODLA: `strict: true` w API jest w dużej mierze dekoracją — profil Nest wyłącza jego najważniejsze składniki. `libs/typescript-config/base.json` ustawia `"strict": true`, a dziedziczący z niego `nestjs.json` zaraz potem gasi: `strictNullChecks: false`, `noImplicitAny: false`, `strictBindCallApply: false`, `noFallthroughCasesInSwitch: false`, `forceConsistentCasingInFileNames: false`. Najcięższy jest pierwszy: `strictNullChecks` to kontrola, która łapie najwięcej błędów „undefined w czasie działania" — a API to warstwa, która dotyka bazy, płatności i DirectAdmina. Kto czyta `base.json`, widzi projekt w trybie ścisłym. Kto czyta `nestjs.json`, widzi coś innego. | WYCENA 2026-09-19: krytycznosc i naklad uzupelnione przy wznowieniu. Pozycje przepisane 2026-08-28 w ramach X-49 zostaly bez wyceny, przez co nie liczyly sie do budzetu godzin i nie stały w zadnym sprincie. Podstawa wyceny: Wlaczenie strictNullChecks w API tej wielkosci to osobna duza praca z wlasnym planem — tak zapisano 2026-08-28. API dotyka bazy, platnosci i DirectAdmina.</t>
        </is>
      </c>
    </row>
    <row r="399">
      <c r="A399" s="11" t="inlineStr">
        <is>
          <t>DEV-01</t>
        </is>
      </c>
      <c r="B399" s="12" t="inlineStr">
        <is>
          <t>X</t>
        </is>
      </c>
      <c r="C399" s="11" t="inlineStr">
        <is>
          <t>Baza deweloperska jest nieosiągalna, a `docker-compose.yml` opisuje stan, którego nie ma</t>
        </is>
      </c>
      <c r="D399" s="11" t="inlineStr">
        <is>
          <t>—</t>
        </is>
      </c>
      <c r="E399" s="11" t="inlineStr">
        <is>
          <t>—</t>
        </is>
      </c>
      <c r="F399" s="11" t="inlineStr">
        <is>
          <t>—</t>
        </is>
      </c>
      <c r="G399" s="11" t="inlineStr">
        <is>
          <t>—</t>
        </is>
      </c>
      <c r="H399" s="11" t="inlineStr">
        <is>
          <t>—</t>
        </is>
      </c>
      <c r="I399" s="11" t="inlineStr">
        <is>
          <t>DZIAŁA</t>
        </is>
      </c>
      <c r="J399" s="12" t="inlineStr">
        <is>
          <t>docker-compose.yml — wolumen postgres_data_v2 + healthcheck logujący się jako verris (psql select 1); LOCAL_DEV.md — sekcja o starym wolumenie</t>
        </is>
      </c>
      <c r="K399" s="11" t="inlineStr">
        <is>
          <t>PARYTET</t>
        </is>
      </c>
      <c r="L399" s="11" t="inlineStr">
        <is>
          <t>WYSOKA</t>
        </is>
      </c>
      <c r="M399" s="11" t="inlineStr">
        <is>
          <t>S</t>
        </is>
      </c>
      <c r="N399" s="12" t="inlineStr">
        <is>
          <t>2026-09-24: ZAMKNIĘTE (D1 — do potwierdzenia przy najbliższym docker compose up na Macu): nowy wolumen zamiast ręcznego naprawiania starego (stary zostaje nietknięty), healthcheck sprawdza logowanie, więc zły stan jest widoczny jako „unhealthy”, a nie „zielony kontener bez roli”. | Przepisane do macierzy 2026-08-28 w ramach X-49 — pozycja powstala 2026-08-28 i do tego dnia istniala WYLACZNIE w dashboardzie, poza zasiegiem straznikow repozytorium. Obszar: środowisko lokalne. Krytycznosc i naklad zostaly puste SWIADOMIE: dashboard ich nie niosl, a wpisanie ich teraz byloby zgadywaniem. Do uzupelnienia przy najblizszym przegladzie tej pozycji. | TRESC ZE ZRODLA: Baza deweloperska jest nieosiągalna, a `docker-compose.yml` opisuje stan, którego nie ma. Wolumen `ekohost_postgres_data` zainicjowano z innym `POSTGRES_USER` niż dzisiejszy `verris`. Wejściówka obrazu Postgresa uruchamia `initdb` tylko przy PUSTYM katalogu danych — przy każdym kolejnym starcie `POSTGRES_USER` i `POSTGRES_PASSWORD` są ignorowane w całości. Kontener wstaje zielony, `pg_isready` odpowiada, a logowanie odbija: ani rola `postgres`, ani `verris` nie istnieje. Ktoś klonujący repozytorium dziś dostanie działający `docker compose up`, po którym nic się nie połączy. | WYCENA 2026-09-19: krytycznosc i naklad uzupelnione przy wznowieniu. Pozycje przepisane 2026-08-28 w ramach X-49 zostaly bez wyceny, przez co nie liczyly sie do budzetu godzin i nie stały w zadnym sprincie. Podstawa wyceny: Odzyskanie nazwy roli w trybie single-user, bez kasowania wolumenu (decyzja 2026-08-28). Blokuje bramke lokalna, czyli JEDYNA realna bramke przed main.</t>
        </is>
      </c>
    </row>
    <row r="400">
      <c r="A400" s="11" t="inlineStr">
        <is>
          <t>X-45</t>
        </is>
      </c>
      <c r="B400" s="12" t="inlineStr">
        <is>
          <t>X</t>
        </is>
      </c>
      <c r="C400" s="11" t="inlineStr">
        <is>
          <t>Dwóch niezależnych strażników pilnowało tej samej linii `ci.yml`</t>
        </is>
      </c>
      <c r="D400" s="11" t="inlineStr">
        <is>
          <t>—</t>
        </is>
      </c>
      <c r="E400" s="11" t="inlineStr">
        <is>
          <t>—</t>
        </is>
      </c>
      <c r="F400" s="11" t="inlineStr">
        <is>
          <t>—</t>
        </is>
      </c>
      <c r="G400" s="11" t="inlineStr">
        <is>
          <t>—</t>
        </is>
      </c>
      <c r="H400" s="11" t="inlineStr">
        <is>
          <t>—</t>
        </is>
      </c>
      <c r="I400" s="11" t="inlineStr">
        <is>
          <t>DZIAŁA</t>
        </is>
      </c>
      <c r="J400" s="12" t="inlineStr">
        <is>
          <t>Naprawione 2026-08-28: strażnik jest teraz MOCNIEJSZY niż był — sprawdza, że job woła `pnpm test:int` ORAZ że ten skrypt istnieje w `package.json` i celuje w `jest.integration.cjs`. Doszedł test, że job nie woła jesta z pominięciem skryptu.</t>
        </is>
      </c>
      <c r="K400" s="11" t="inlineStr">
        <is>
          <t>PARYTET</t>
        </is>
      </c>
      <c r="L400" s="11" t="inlineStr">
        <is>
          <t>—</t>
        </is>
      </c>
      <c r="M400" s="11" t="inlineStr">
        <is>
          <t>—</t>
        </is>
      </c>
      <c r="N400" s="12" t="inlineStr">
        <is>
          <t>Przepisane do macierzy 2026-08-28 w ramach X-49 — pozycja powstala 2026-08-28 i do tego dnia istniala WYLACZNIE w dashboardzie, poza zasiegiem straznikow repozytorium. Obszar: strażnicy / metodyka. Krytycznosc i naklad zostaly puste SWIADOMIE: dashboard ich nie niosl, a wpisanie ich teraz byloby zgadywaniem. Do uzupelnienia przy najblizszym przegladzie tej pozycji. | TRESC ZE ZRODLA: Dwóch niezależnych strażników pilnowało tej samej linii `ci.yml`. Zmieniłem krok „Run integration tests” na `pnpm test:int`, zaktualizowałem `kazdy-spec-ma-runner.spec.ts` i uznałem sprawę za zamkniętą — a `ci-joby.spec.ts:144` sprawdzał dokładnie to samo i padł. Problemem nie było parsowanie (jak w X-35/38/39/40), tylko to, że nie sprawdziłem, ilu strażników jest. Wniosek roboczy: każda zmiana w `ci.yml` zaczyna się od `grep` po nazwie kroku w `src/test/`, nie od pamięci.</t>
        </is>
      </c>
    </row>
    <row r="401">
      <c r="A401" s="11" t="inlineStr">
        <is>
          <t>X-44</t>
        </is>
      </c>
      <c r="B401" s="12" t="inlineStr">
        <is>
          <t>X</t>
        </is>
      </c>
      <c r="C401" s="11" t="inlineStr">
        <is>
          <t>Paczka testów integracyjnych mogła skasować bazę deweloperską — i była to ścieżka domyślna</t>
        </is>
      </c>
      <c r="D401" s="11" t="inlineStr">
        <is>
          <t>—</t>
        </is>
      </c>
      <c r="E401" s="11" t="inlineStr">
        <is>
          <t>—</t>
        </is>
      </c>
      <c r="F401" s="11" t="inlineStr">
        <is>
          <t>—</t>
        </is>
      </c>
      <c r="G401" s="11" t="inlineStr">
        <is>
          <t>—</t>
        </is>
      </c>
      <c r="H401" s="11" t="inlineStr">
        <is>
          <t>—</t>
        </is>
      </c>
      <c r="I401" s="11" t="inlineStr">
        <is>
          <t>DZIAŁA</t>
        </is>
      </c>
      <c r="J401" s="12" t="inlineStr">
        <is>
          <t>Naprawione 2026-08-27: `sprawdzBazeTestowa()` wymaga, by nazwa bazy zawierała „test”; osobny moduł bez zależności, 10 testów w pakiecie JEDNOSTKOWYM (bezpiecznik od złej konfiguracji Postgresa nie może wymagać Postgresa). Bez furtki FORCE. Parser sprawdza schemat, bo `new URL('localhost:5432/verris_test')` nie rzuca wyjątku. Zweryfikowane lokalnie 2026-08-28: 65/65 testów integracyjnych na PG 16 (port 5434, kontener bez wolumenu), 817 jednostkowych, lint 0 błędów, typecheck 8/8. D2 po zielonym jobie „API integration tests”.</t>
        </is>
      </c>
      <c r="K401" s="11" t="inlineStr">
        <is>
          <t>PARYTET</t>
        </is>
      </c>
      <c r="L401" s="11" t="inlineStr">
        <is>
          <t>—</t>
        </is>
      </c>
      <c r="M401" s="11" t="inlineStr">
        <is>
          <t>—</t>
        </is>
      </c>
      <c r="N401" s="12" t="inlineStr">
        <is>
          <t>Przepisane do macierzy 2026-08-28 w ramach X-49 — pozycja powstala 2026-08-27 i do tego dnia istniala WYLACZNIE w dashboardzie, poza zasiegiem straznikow repozytorium. Obszar: testy / utrata danych. Krytycznosc i naklad zostaly puste SWIADOMIE: dashboard ich nie niosl, a wpisanie ich teraz byloby zgadywaniem. Do uzupelnienia przy najblizszym przegladzie tej pozycji. | TRESC ZE ZRODLA: Paczka testów integracyjnych mogła skasować bazę deweloperską — i była to ścieżka domyślna. `setup.ts` zaczyna każdy test od `TRUNCATE … CASCADE` na Invoice, WalletTransaction, Account, Subscription, Server, Plan i User. Jedyną ochroną było `if (!process.env.DATABASE_URL)` — sprawdzenie, że zmienna jest NIEPUSTA. Zdanie „musi wskazywać na BAZĘ TESTOWĄ” istniało wyłącznie w treści komunikatu. Domyślny URL w `libs/database/.env` wskazuje na `verris_db`, czyli bazę deweloperską. Ta sama rodzina co SEC-01 i X-02: kontrola opisana słowami, nieegzekwowana kodem.</t>
        </is>
      </c>
    </row>
    <row r="402">
      <c r="A402" s="11" t="inlineStr">
        <is>
          <t>KSEF-05</t>
        </is>
      </c>
      <c r="B402" s="12" t="inlineStr">
        <is>
          <t>M</t>
        </is>
      </c>
      <c r="C402" s="11" t="inlineStr">
        <is>
          <t>Włączenie KSeF wysyła całą historię faktur, natychmiast i bez pytania</t>
        </is>
      </c>
      <c r="D402" s="11" t="inlineStr">
        <is>
          <t>—</t>
        </is>
      </c>
      <c r="E402" s="11" t="inlineStr">
        <is>
          <t>—</t>
        </is>
      </c>
      <c r="F402" s="11" t="inlineStr">
        <is>
          <t>—</t>
        </is>
      </c>
      <c r="G402" s="11" t="inlineStr">
        <is>
          <t>—</t>
        </is>
      </c>
      <c r="H402" s="11" t="inlineStr">
        <is>
          <t>—</t>
        </is>
      </c>
      <c r="I402" s="11" t="inlineStr">
        <is>
          <t>DZIAŁA</t>
        </is>
      </c>
      <c r="J402" s="12" t="inlineStr">
        <is>
          <t>Naprawione 2026-08-26: catch-up ograniczony oknem 7 dni; zaległości starsze wymagają świadomej decyzji operatora.</t>
        </is>
      </c>
      <c r="K402" s="11" t="inlineStr">
        <is>
          <t>PARYTET</t>
        </is>
      </c>
      <c r="L402" s="11" t="inlineStr">
        <is>
          <t>—</t>
        </is>
      </c>
      <c r="M402" s="11" t="inlineStr">
        <is>
          <t>—</t>
        </is>
      </c>
      <c r="N402" s="12" t="inlineStr">
        <is>
          <t>Przepisane do macierzy 2026-08-28 w ramach X-49 — pozycja powstala 2026-08-26 i do tego dnia istniala WYLACZNIE w dashboardzie, poza zasiegiem straznikow repozytorium. Obszar: KSeF. Krytycznosc i naklad zostaly puste SWIADOMIE: dashboard ich nie niosl, a wpisanie ich teraz byloby zgadywaniem. Do uzupelnienia przy najblizszym przegladzie tej pozycji. | TRESC ZE ZRODLA: Włączenie KSeF wysyła całą historię faktur, natychmiast i bez pytania. `tick()` zaczyna od `updateMany` przestawiającego KAŻDĄ fakturę `NOT_APPLICABLE` na `PENDING` — bez ograniczenia daty, bez limitu, bez potwierdzenia. Pierwszy przebieg po przestawieniu przełącznika kolejkuje wszystko i wysyła partiami po 25. Przy `KSEF_ENV` domyślnie `'test'` pójdą na środowisko testowe MF, a panel pokaże je jako wysłane.</t>
        </is>
      </c>
    </row>
    <row r="403">
      <c r="A403" s="11" t="inlineStr">
        <is>
          <t>KSEF-01</t>
        </is>
      </c>
      <c r="B403" s="12" t="inlineStr">
        <is>
          <t>M</t>
        </is>
      </c>
      <c r="C403" s="11" t="inlineStr">
        <is>
          <t>Obowiązek KSeF działa od 1 kwietnia 2026 — od pięciu miesięcy</t>
        </is>
      </c>
      <c r="D403" s="11" t="inlineStr">
        <is>
          <t>—</t>
        </is>
      </c>
      <c r="E403" s="11" t="inlineStr">
        <is>
          <t>—</t>
        </is>
      </c>
      <c r="F403" s="11" t="inlineStr">
        <is>
          <t>—</t>
        </is>
      </c>
      <c r="G403" s="11" t="inlineStr">
        <is>
          <t>—</t>
        </is>
      </c>
      <c r="H403" s="11" t="inlineStr">
        <is>
          <t>—</t>
        </is>
      </c>
      <c r="I403" s="11" t="inlineStr">
        <is>
          <t>BRAK</t>
        </is>
      </c>
      <c r="J403" s="12" t="inlineStr">
        <is>
          <t>harmonogram MF: 1.02.2026 (&gt;200 mln), 1.04.2026 (pozostali), 1.01.2027 (do 10 tys./mies.)</t>
        </is>
      </c>
      <c r="K403" s="11" t="inlineStr">
        <is>
          <t>POZA ZAKRESEM</t>
        </is>
      </c>
      <c r="L403" s="11" t="inlineStr">
        <is>
          <t>WYSOKA</t>
        </is>
      </c>
      <c r="M403" s="11" t="inlineStr">
        <is>
          <t>S</t>
        </is>
      </c>
      <c r="N403" s="12" t="inlineStr">
        <is>
          <t>Przepisane do macierzy 2026-08-28 w ramach X-49 — pozycja powstala 2026-08-26 i do tego dnia istniala WYLACZNIE w dashboardzie, poza zasiegiem straznikow repozytorium. Obszar: KSeF / prawo. Krytycznosc i naklad zostaly puste SWIADOMIE: dashboard ich nie niosl, a wpisanie ich teraz byloby zgadywaniem. Do uzupelnienia przy najblizszym przegladzie tej pozycji. | TRESC ZE ZRODLA: Obowiązek KSeF działa od 1 kwietnia 2026 — od pięciu miesięcy. To nie jest funkcja do dorobienia przed premierą, tylko obowiązek uruchamiający się przy pierwszej fakturze dla klienta zewnętrznego. Zapowiadany okres bez kar ma dopiero doprecyzować akt wykonawczy, więc nie da się na nim oprzeć planu. | WYCENA 2026-09-19: krytycznosc i naklad uzupelnione przy wznowieniu. Pozycje przepisane 2026-08-28 w ramach X-49 zostaly bez wyceny, przez co nie liczyly sie do budzetu godzin i nie stały w zadnym sprincie. Podstawa wyceny: Pozycja faktograficzna, nie kodowa: zapis stanu prawnego i konsekwencji dla planu. Praca wlasciwa siedzi w PB-13, M-16 i M-17. | 2026-09-22: poza planem startowym — ADR-2026-09-22, wlasny modul KSeF zamrozony (nie skasowany), KSeF realizuje program ksiegowy. Wraca w epiku integracji po API.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404">
      <c r="A404" s="11" t="inlineStr">
        <is>
          <t>KSEF-02</t>
        </is>
      </c>
      <c r="B404" s="12" t="inlineStr">
        <is>
          <t>M</t>
        </is>
      </c>
      <c r="C404" s="11" t="inlineStr">
        <is>
          <t>`KsefStatus.OFFLINE` istnieje w schemacie i nie jest ustawiany nigdy</t>
        </is>
      </c>
      <c r="D404" s="11" t="inlineStr">
        <is>
          <t>—</t>
        </is>
      </c>
      <c r="E404" s="11" t="inlineStr">
        <is>
          <t>—</t>
        </is>
      </c>
      <c r="F404" s="11" t="inlineStr">
        <is>
          <t>—</t>
        </is>
      </c>
      <c r="G404" s="11" t="inlineStr">
        <is>
          <t>—</t>
        </is>
      </c>
      <c r="H404" s="11" t="inlineStr">
        <is>
          <t>—</t>
        </is>
      </c>
      <c r="I404" s="11" t="inlineStr">
        <is>
          <t>CZĘŚCIOWE</t>
        </is>
      </c>
      <c r="J404" s="12" t="inlineStr">
        <is>
          <t>Częściowo 2026-08-26: `KsefStatus.OFFLINE` jest zapisywany przy nieudanym otwarciu sesji, wraz z trybem i terminem (`ksef-tryby.ts`, 16 testów; migracja wykonana na PG 16.13). Brak klasyfikacji zdarzenia przez operatora — każda przerwa dostaje NIESKLASYFIKOWANY z najkrótszym terminem.</t>
        </is>
      </c>
      <c r="K404" s="11" t="inlineStr">
        <is>
          <t>POZA ZAKRESEM</t>
        </is>
      </c>
      <c r="L404" s="11" t="inlineStr">
        <is>
          <t>ŚREDNIA</t>
        </is>
      </c>
      <c r="M404" s="11" t="inlineStr">
        <is>
          <t>S</t>
        </is>
      </c>
      <c r="N404" s="12" t="inlineStr">
        <is>
          <t>Przepisane do macierzy 2026-08-28 w ramach X-49 — pozycja powstala 2026-08-26 i do tego dnia istniala WYLACZNIE w dashboardzie, poza zasiegiem straznikow repozytorium. Obszar: KSeF. Krytycznosc i naklad zostaly puste SWIADOMIE: dashboard ich nie niosl, a wpisanie ich teraz byloby zgadywaniem. Do uzupelnienia przy najblizszym przegladzie tej pozycji. | TRESC ZE ZRODLA: `KsefStatus.OFFLINE` istnieje w schemacie i nie jest ustawiany nigdy. Trzeci raz ten sam wzorzec w projekcie — po `ServerStatus.OFFLINE` (OPS-01) i regule alertowej z X-35. Wartość w enumie wygląda jak zaimplementowana funkcja, a jest zapisaną intencją. Skutek: faktura czekająca z powodu awarii KSeF i faktura czekająca, bo cykl nie zdążył, mają w bazie ten sam `PENDING` — a terminy ustawowe liczą się od różnych zdarzeń. | WYCENA 2026-09-19: krytycznosc i naklad uzupelnione przy wznowieniu. Pozycje przepisane 2026-08-28 w ramach X-49 zostaly bez wyceny, przez co nie liczyly sie do budzetu godzin i nie stały w zadnym sprincie. Podstawa wyceny: Zostaje klasyfikacja zdarzenia przez operatora — dzis kazda przerwa dostaje NIESKLASYFIKOWANY z najkrotszym terminem. | 2026-09-22: poza planem startowym — ADR-2026-09-22, wlasny modul KSeF zamrozony (nie skasowany), KSeF realizuje program ksiegowy. Wraca w epiku integracji po API.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405">
      <c r="A405" s="11" t="inlineStr">
        <is>
          <t>KSEF-03</t>
        </is>
      </c>
      <c r="B405" s="12" t="inlineStr">
        <is>
          <t>M</t>
        </is>
      </c>
      <c r="C405" s="11" t="inlineStr">
        <is>
          <t>Brak kodów QR na fakturze offline</t>
        </is>
      </c>
      <c r="D405" s="11" t="inlineStr">
        <is>
          <t>—</t>
        </is>
      </c>
      <c r="E405" s="11" t="inlineStr">
        <is>
          <t>—</t>
        </is>
      </c>
      <c r="F405" s="11" t="inlineStr">
        <is>
          <t>—</t>
        </is>
      </c>
      <c r="G405" s="11" t="inlineStr">
        <is>
          <t>—</t>
        </is>
      </c>
      <c r="H405" s="11" t="inlineStr">
        <is>
          <t>—</t>
        </is>
      </c>
      <c r="I405" s="11" t="inlineStr">
        <is>
          <t>BRAK</t>
        </is>
      </c>
      <c r="J405" s="12" t="inlineStr">
        <is>
          <t>zero trafień `qrcode|QRCode|kodQR` w `apps/api/src` i `apps/client-panel/src`</t>
        </is>
      </c>
      <c r="K405" s="11" t="inlineStr">
        <is>
          <t>POZA ZAKRESEM</t>
        </is>
      </c>
      <c r="L405" s="11" t="inlineStr">
        <is>
          <t>WYSOKA</t>
        </is>
      </c>
      <c r="M405" s="11" t="inlineStr">
        <is>
          <t>M</t>
        </is>
      </c>
      <c r="N405" s="12" t="inlineStr">
        <is>
          <t>Przepisane do macierzy 2026-08-28 w ramach X-49 — pozycja powstala 2026-08-26 i do tego dnia istniala WYLACZNIE w dashboardzie, poza zasiegiem straznikow repozytorium. Obszar: KSeF / prawo. Krytycznosc i naklad zostaly puste SWIADOMIE: dashboard ich nie niosl, a wpisanie ich teraz byloby zgadywaniem. Do uzupelnienia przy najblizszym przegladzie tej pozycji. | TRESC ZE ZRODLA: Brak kodów QR na fakturze offline. Faktura przekazana nabywcy poza KSeF musi nieść dwa kody: KOD I („OFFLINE”) i KOD II („CERTYFIKAT”). W repozytorium nie ma ani jednego wystąpienia QR. KOD I jest w zasięgu (adres API + data z P_1 + NIP + skrót XML, a builder XML mamy). KOD II wymaga certyfikatu KSeF typu 2 z portalu MF — sprawa formalna, nie kod. Bez niego tryb offline nie jest dla nas dostępny wcale. | WYCENA 2026-09-19: krytycznosc i naklad uzupelnione przy wznowieniu. Pozycje przepisane 2026-08-28 w ramach X-49 zostaly bez wyceny, przez co nie liczyly sie do budzetu godzin i nie stały w zadnym sprincie. Podstawa wyceny: KOD I w zasiegu (adres API + P_1 + NIP + skrot XML, builder XML jest). KOD II wymaga certyfikatu KSeF typu 2 z portalu MF — sprawa formalna, nie kod. Bez obu tryb offline jest niedostepny, wiec pozycja wisi na M-16. | 2026-09-22: poza planem startowym — ADR-2026-09-22, wlasny modul KSeF zamrozony (nie skasowany), KSeF realizuje program ksiegowy. Wraca w epiku integracji po API.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406">
      <c r="A406" s="11" t="inlineStr">
        <is>
          <t>KSEF-04</t>
        </is>
      </c>
      <c r="B406" s="12" t="inlineStr">
        <is>
          <t>M</t>
        </is>
      </c>
      <c r="C406" s="11" t="inlineStr">
        <is>
          <t>Komentarz w kodzie zapewnia o zgodności, której nie ma</t>
        </is>
      </c>
      <c r="D406" s="11" t="inlineStr">
        <is>
          <t>—</t>
        </is>
      </c>
      <c r="E406" s="11" t="inlineStr">
        <is>
          <t>—</t>
        </is>
      </c>
      <c r="F406" s="11" t="inlineStr">
        <is>
          <t>—</t>
        </is>
      </c>
      <c r="G406" s="11" t="inlineStr">
        <is>
          <t>—</t>
        </is>
      </c>
      <c r="H406" s="11" t="inlineStr">
        <is>
          <t>—</t>
        </is>
      </c>
      <c r="I406" s="11" t="inlineStr">
        <is>
          <t>DZIAŁA</t>
        </is>
      </c>
      <c r="J406" s="12" t="inlineStr">
        <is>
          <t>Naprawione 2026-08-26: komentarz skreślony, w jego miejscu stan faktyczny wraz z brakiem kodów QR.</t>
        </is>
      </c>
      <c r="K406" s="11" t="inlineStr">
        <is>
          <t>PARYTET</t>
        </is>
      </c>
      <c r="L406" s="11" t="inlineStr">
        <is>
          <t>—</t>
        </is>
      </c>
      <c r="M406" s="11" t="inlineStr">
        <is>
          <t>—</t>
        </is>
      </c>
      <c r="N406" s="12" t="inlineStr">
        <is>
          <t>Przepisane do macierzy 2026-08-28 w ramach X-49 — pozycja powstala 2026-08-26 i do tego dnia istniala WYLACZNIE w dashboardzie, poza zasiegiem straznikow repozytorium. Obszar: KSeF. Krytycznosc i naklad zostaly puste SWIADOMIE: dashboard ich nie niosl, a wpisanie ich teraz byloby zgadywaniem. Do uzupelnienia przy najblizszym przegladzie tej pozycji. | TRESC ZE ZRODLA: Komentarz w kodzie zapewnia o zgodności, której nie ma. `ksef.service.ts:22-26` opisuje tryb offline jako „zostaje w PENDING i jest ponawiana — przepisy przewidują dosłanie”. Część o dosłaniu jest prawdziwa; reszta pomija wszystko, co przepisy wymagają wobec nabywcy. Komentarz zapewniający o zgodności zniechęca do sprawdzenia — dlatego jest gorszy niż jego brak.</t>
        </is>
      </c>
    </row>
    <row r="407">
      <c r="A407" s="11" t="inlineStr">
        <is>
          <t>PANEL-01</t>
        </is>
      </c>
      <c r="B407" s="12" t="inlineStr">
        <is>
          <t>Q</t>
        </is>
      </c>
      <c r="C407" s="11" t="inlineStr">
        <is>
          <t>Licznik onboardingu nie może dojść do końca</t>
        </is>
      </c>
      <c r="D407" s="11" t="inlineStr">
        <is>
          <t>—</t>
        </is>
      </c>
      <c r="E407" s="11" t="inlineStr">
        <is>
          <t>—</t>
        </is>
      </c>
      <c r="F407" s="11" t="inlineStr">
        <is>
          <t>—</t>
        </is>
      </c>
      <c r="G407" s="11" t="inlineStr">
        <is>
          <t>—</t>
        </is>
      </c>
      <c r="H407" s="11" t="inlineStr">
        <is>
          <t>—</t>
        </is>
      </c>
      <c r="I407" s="11" t="inlineStr">
        <is>
          <t>DZIAŁA</t>
        </is>
      </c>
      <c r="J407" s="12" t="inlineStr">
        <is>
          <t>Naprawione 2026-08-26: trzy stany zamiast `done: boolean`; kroki bez detekcji wypadają z mianownika. Strażnik `onboarding-kroki.spec.ts` — 8 testów, client-panel 4 → 12</t>
        </is>
      </c>
      <c r="K407" s="11" t="inlineStr">
        <is>
          <t>PARYTET</t>
        </is>
      </c>
      <c r="L407" s="11" t="inlineStr">
        <is>
          <t>—</t>
        </is>
      </c>
      <c r="M407" s="11" t="inlineStr">
        <is>
          <t>—</t>
        </is>
      </c>
      <c r="N407" s="12" t="inlineStr">
        <is>
          <t>Przepisane do macierzy 2026-08-28 w ramach X-49 — pozycja powstala 2026-08-26 i do tego dnia istniala WYLACZNIE w dashboardzie, poza zasiegiem straznikow repozytorium. Obszar: panel klienta. Krytycznosc i naklad zostaly puste SWIADOMIE: dashboard ich nie niosl, a wpisanie ich teraz byloby zgadywaniem. Do uzupelnienia przy najblizszym przegladzie tej pozycji. | TRESC ZE ZRODLA: Licznik onboardingu nie może dojść do końca. Pola `done` dla kroków „Postaw stronę” i „Poczta” są zahardkodowane na `false`. Klient, który skonfigurował wszystko, widzi 2/4; dla produktu pocztowego maksimum to 1/2. Ta sama rodzina co X-39 — panel podaje liczbę tam, gdzie nie ma wiedzy.</t>
        </is>
      </c>
    </row>
    <row r="408">
      <c r="A408" s="11" t="inlineStr">
        <is>
          <t>OPS-01</t>
        </is>
      </c>
      <c r="B408" s="12" t="inlineStr">
        <is>
          <t>M</t>
        </is>
      </c>
      <c r="C408" s="11" t="inlineStr">
        <is>
          <t>Selektor węzłów filtruje po sygnale życia, nie po statusie; sygnał widoczny w panelu</t>
        </is>
      </c>
      <c r="D408" s="11" t="inlineStr">
        <is>
          <t>—</t>
        </is>
      </c>
      <c r="E408" s="11" t="inlineStr">
        <is>
          <t>—</t>
        </is>
      </c>
      <c r="F408" s="11" t="inlineStr">
        <is>
          <t>—</t>
        </is>
      </c>
      <c r="G408" s="11" t="inlineStr">
        <is>
          <t>—</t>
        </is>
      </c>
      <c r="H408" s="11" t="inlineStr">
        <is>
          <t>—</t>
        </is>
      </c>
      <c r="I408" s="11" t="inlineStr">
        <is>
          <t>DZIAŁA</t>
        </is>
      </c>
      <c r="J408" s="12" t="inlineStr">
        <is>
          <t>Szkoda usunięta 2026-08-26: `NodeSelector` filtruje po SYGNALE ŻYCIA, nie po statusie; próg `BRAK_SYGNALU_MIN` wspólny z watchdogiem. 5 testów jednostkowych + 4 integracyjne. Potwierdzone uruchomieniem 2026-08-28 — w logu `Pomijam 1 węzeł(ów) ACTIVE bez sygnału życia od ponad 10 min`. ZAMKNIĘTE 2026-08-28 inaczej niż zakładano: zapis statusu świadomie NIE powstał. Selektor bierze tylko `status: ACTIVE`, więc zapis `OFFLINE` zamieniłby dwuminutową przerwę w sieci w trwałe wyłączenie węzła. Zamiast tego `opiszSygnal()` wyliczany przy odczycie + znacznik w panelu („ACTIVE · nie odpowiada od 14 min”), trzy stany, 13 testów, zero migracji. Zapis statusu OFFLINE nadal nie istnieje — wymaga pola odróżniającego wpis watchdoga od decyzji admina, inaczej automatyczny powrót cofałby ręczne wyłączenie.</t>
        </is>
      </c>
      <c r="K408" s="11" t="inlineStr">
        <is>
          <t>PARYTET</t>
        </is>
      </c>
      <c r="L408" s="11" t="inlineStr">
        <is>
          <t>—</t>
        </is>
      </c>
      <c r="M408" s="11" t="inlineStr">
        <is>
          <t>—</t>
        </is>
      </c>
      <c r="N408" s="12" t="inlineStr">
        <is>
          <t>Przepisane do macierzy 2026-08-28 w ramach X-49 — pozycja powstala 2026-08-26 i do tego dnia istniala WYLACZNIE w dashboardzie, poza zasiegiem straznikow repozytorium. Obszar: provisioning. Krytycznosc i naklad zostaly puste SWIADOMIE: dashboard ich nie niosl, a wpisanie ich teraz byloby zgadywaniem. Do uzupelnienia przy najblizszym przegladzie tej pozycji. | TRESC ZE ZRODLA: Przyczyna ustalona. Żadna ścieżka w `apps/api/src` nie zapisuje statusu `OFFLINE` — mimo że `ops-watchdog.scheduler.ts` liczy węzły z przeterminowanym heartbeatem, a `metrics.service.ts` i `diagnostics.service.ts` raportują „offline”. Alert powstaje, status w bazie zostaje `ACTIVE`, a `NodeSelector` wybiera po statusie. | UWAGA: w dashboardzie ta pozycja istniala w DWoCH egzemplarzach o roznych statusach; przy przepisywaniu do macierzy zostawiona jedna, druga tresc: "`Server.status = ACTIVE` dla węzła, który odpowiada wyłącznie na porcie 22. Provisioning i autoskalowanie wybierają węzły po tym polu."</t>
        </is>
      </c>
    </row>
    <row r="409">
      <c r="A409" s="11" t="inlineStr">
        <is>
          <t>NODE-01</t>
        </is>
      </c>
      <c r="B409" s="12" t="inlineStr">
        <is>
          <t>Q</t>
        </is>
      </c>
      <c r="C409" s="11" t="inlineStr">
        <is>
          <t>Dwie niepołączone ścieżki dodania węzła w tym samym panelu</t>
        </is>
      </c>
      <c r="D409" s="11" t="inlineStr">
        <is>
          <t>—</t>
        </is>
      </c>
      <c r="E409" s="11" t="inlineStr">
        <is>
          <t>—</t>
        </is>
      </c>
      <c r="F409" s="11" t="inlineStr">
        <is>
          <t>—</t>
        </is>
      </c>
      <c r="G409" s="11" t="inlineStr">
        <is>
          <t>—</t>
        </is>
      </c>
      <c r="H409" s="11" t="inlineStr">
        <is>
          <t>—</t>
        </is>
      </c>
      <c r="I409" s="11" t="inlineStr">
        <is>
          <t>DZIAŁA</t>
        </is>
      </c>
      <c r="J409" s="12" t="inlineStr">
        <is>
          <t>node-wizard.tsx (krok „Instalacja (bootstrap v2)” z NodeBootstrapProgress), /nodes/init → przekierowanie, NODE_ONBOARD_RUNBOOK.md jedynym runbookiem</t>
        </is>
      </c>
      <c r="K409" s="11" t="inlineStr">
        <is>
          <t>LUKA</t>
        </is>
      </c>
      <c r="L409" s="11" t="inlineStr">
        <is>
          <t>ŚREDNIA</t>
        </is>
      </c>
      <c r="M409" s="11" t="inlineStr">
        <is>
          <t>M</t>
        </is>
      </c>
      <c r="N409" s="12" t="inlineStr">
        <is>
          <t>Przepisane do macierzy 2026-08-28 w ramach X-49 — pozycja powstala 2026-08-26 i do tego dnia istniala WYLACZNIE w dashboardzie, poza zasiegiem straznikow repozytorium. Obszar: instalator węzła. Krytycznosc i naklad zostaly puste SWIADOMIE: dashboard ich nie niosl, a wpisanie ich teraz byloby zgadywaniem. Do uzupelnienia przy najblizszym przegladzie tej pozycji. | TRESC ZE ZRODLA: Dwie niepołączone ścieżki dodania węzła w tym samym panelu. Kreator `/nodes/wizard` (9 kroków, ręczny `scp`/`ssh`, licencje wklejane na SSH) i „bootstrap v2” na `/nodes/[id]#bootstrap` (7 faz, wznawialny systemd oneshot, licencje szyfrowane w bazie, żywy postęp). Kreator nie wspomina o v2 ani razu. Do tego dwa runbooki mówią co innego o roli `node-onboard-live.sh`. | WYCENA 2026-09-19: krytycznosc i naklad uzupelnione przy wznowieniu. Pozycje przepisane 2026-08-28 w ramach X-49 zostaly bez wyceny, przez co nie liczyly sie do budzetu godzin i nie stały w zadnym sprincie. Podstawa wyceny: Scalenie dwoch sciezek dodania wezla (kreator 9-krokowy i bootstrap v2) w jedna, plus uzgodnienie dwoch runbookow. | 2026-09-26 ZROBIONE: kreator ma 7 kroków zamiast 10 — CloudLinux/DA/LiteSpeed/bootstrap v1 zastąpione jednym krokiem z bootstrapem v2 (licencje zaszyfrowane, jednolinijkowiec, postęp na żywo); ręczne komendy w sekcji awaryjnej; „Szybka inicjalizacja” usunięta (przekierowanie do kreatora); runbooki uzgodnione — node-onboard-live.sh obowiązkowy (zgodnie z audytem węzła), NODE_BOOTSTRAP_V2 = projekt/DoD. Sprawdzone lokalnie (kreator tworzy rekord, pokazuje fazy v2). Zostało: przejście na pierwszym węźle.</t>
        </is>
      </c>
    </row>
    <row r="410">
      <c r="A410" s="11" t="inlineStr">
        <is>
          <t>NODE-02</t>
        </is>
      </c>
      <c r="B410" s="12" t="inlineStr">
        <is>
          <t>Q</t>
        </is>
      </c>
      <c r="C410" s="11" t="inlineStr">
        <is>
          <t>`main()` nie sprawdza kodów powrotu</t>
        </is>
      </c>
      <c r="D410" s="11" t="inlineStr">
        <is>
          <t>—</t>
        </is>
      </c>
      <c r="E410" s="11" t="inlineStr">
        <is>
          <t>—</t>
        </is>
      </c>
      <c r="F410" s="11" t="inlineStr">
        <is>
          <t>—</t>
        </is>
      </c>
      <c r="G410" s="11" t="inlineStr">
        <is>
          <t>—</t>
        </is>
      </c>
      <c r="H410" s="11" t="inlineStr">
        <is>
          <t>—</t>
        </is>
      </c>
      <c r="I410" s="11" t="inlineStr">
        <is>
          <t>DZIAŁA</t>
        </is>
      </c>
      <c r="J410" s="12" t="inlineStr">
        <is>
          <t>ops/scripts/lib/przerwij-po-etapie.sh — przerwij_po_etapie zamienia zebrane [FAIL] w exit 1; node-onboard-live.sh main() — bramka po preflight_stack, run_security_hardening, ensure_da_ip; nieudana rejestracja IP w DA z log_warn na log_fail; node-live-readiness.sh main() — bramka po preflight (python3/curl); obie paczki wymagaja lib/przerwij-po-etapie.sh; test apps/api/src/test/instalator-wezla-zatrzymuje-sie.spec.ts</t>
        </is>
      </c>
      <c r="K410" s="11" t="inlineStr">
        <is>
          <t>PARYTET</t>
        </is>
      </c>
      <c r="L410" s="11" t="inlineStr">
        <is>
          <t>WYSOKA</t>
        </is>
      </c>
      <c r="M410" s="11" t="inlineStr">
        <is>
          <t>S</t>
        </is>
      </c>
      <c r="N410" s="12" t="inlineStr">
        <is>
          <t>Przepisane do macierzy 2026-08-28 w ramach X-49 — pozycja powstala 2026-08-26 i do tego dnia istniala WYLACZNIE w dashboardzie, poza zasiegiem straznikow repozytorium. Obszar: instalator węzła. Krytycznosc i naklad zostaly puste SWIADOMIE: dashboard ich nie niosl, a wpisanie ich teraz byloby zgadywaniem. Do uzupelnienia przy najblizszym przegladzie tej pozycji. | TRESC ZE ZRODLA: `main()` nie sprawdza kodów powrotu. W `node-onboard-live.sh` i `node-live-readiness.sh` funkcje zwracają `1`, ale `main` leci dalej i dopiero na końcu drukuje `[FAIL]`. Instalacja kontynuuje po nieudanym preflighcie. Ta sama rodzina co SEC-01: kontrola wykrywa problem i nie zatrzymuje procesu. | WYCENA 2026-09-19: krytycznosc i naklad uzupelnione przy wznowieniu. Pozycje przepisane 2026-08-28 w ramach X-49 zostaly bez wyceny, przez co nie liczyly sie do budzetu godzin i nie stały w zadnym sprincie. Podstawa wyceny: Sprawdzanie kodow powrotu w main() obu skryptow. Male, ale instalacja kontynuuje po nieudanym preflighcie — dotyka PB-02 w W3. | 2026-09-22 KOREKTA OPISU: 'main() nie sprawdza kodow powrotu' bylo nieprecyzyjne — oba skrypty maja set -Eeuo pipefail, wiec funkcja z return 1 KONCZY skrypt (sprawdzone na bashu). Prawdziwa dziura: log_fail ustawia FAIL=1 bez return, a set -e tego nie widzi — preflight z brakujacym python3/curl przechodzil do instalacji agenta, a nieudany sync pakietow DA do readiness. Weryfikacja na koncu readiness swiadomie ZBIERA wszystkie usterki i odmawia raz (print_final_summary -&gt; return 1) — to zostaje, przerwanie po pierwszej kazaloby naprawiac je po jednej. POPRAWKA: bramka po kazdym etapie-bramce + IP w DA jako [FAIL] (bez IP kazde zakladanie konta konczy sie 'A valid IP was not provided' — poczatek Z-18). D2 2026-09-22: bramka lokalna zielona (886 testow, w tym 8 z instalator-wezla-zatrzymuje-sie.spec.ts); D3 przy onboardzie wezla #1 (PB-02). | 2026-10-13 D3 t2 (onboard LIVE z kreatora): /var/log/verris-node-onboard.log — linia 295 security-install-verris-security.sh: brak /etc/audit/rules.d (EL10 bez audit-rules), 296 „[FAIL] security-hardening-baseline.sh zakończony błędem”, linia 297 to już nagłówek następnego uruchomienia (=== Verris node onboard LIVE ===, Start 11:40:13Z) — bramka „hardening” zatrzymała onboard przed IP w DA i readiness. Readiness na końcu zbiera usterki i odmawia raz (linie 10675–10682, 11106–11112), zgodnie z projektem. Zamknięte 2026-10-13.</t>
        </is>
      </c>
    </row>
    <row r="411">
      <c r="A411" s="11" t="inlineStr">
        <is>
          <t>NODE-03</t>
        </is>
      </c>
      <c r="B411" s="12" t="inlineStr">
        <is>
          <t>Q</t>
        </is>
      </c>
      <c r="C411" s="11" t="inlineStr">
        <is>
          <t>Pojemność węzła nigdy się nie odświeża</t>
        </is>
      </c>
      <c r="D411" s="11" t="inlineStr">
        <is>
          <t>—</t>
        </is>
      </c>
      <c r="E411" s="11" t="inlineStr">
        <is>
          <t>—</t>
        </is>
      </c>
      <c r="F411" s="11" t="inlineStr">
        <is>
          <t>—</t>
        </is>
      </c>
      <c r="G411" s="11" t="inlineStr">
        <is>
          <t>—</t>
        </is>
      </c>
      <c r="H411" s="11" t="inlineStr">
        <is>
          <t>—</t>
        </is>
      </c>
      <c r="I411" s="11" t="inlineStr">
        <is>
          <t>DZIAŁA</t>
        </is>
      </c>
      <c r="J411" s="12" t="inlineStr">
        <is>
          <t>2026-09-23 D1: verris-lve.sh node_capacity (nproc, MemTotal, df /) w każdym raporcie, lve-agent/1.1; telemetry.dto NodeStatusDto.totalCpuCores/totalMemoryMb/totalDiskMb; telemetry.service aktualizuje Server; test telemetry/pojemnosc-wezla.spec.ts</t>
        </is>
      </c>
      <c r="K411" s="11" t="inlineStr">
        <is>
          <t>PARYTET</t>
        </is>
      </c>
      <c r="L411" s="11" t="inlineStr">
        <is>
          <t>ŚREDNIA</t>
        </is>
      </c>
      <c r="M411" s="11" t="inlineStr">
        <is>
          <t>S</t>
        </is>
      </c>
      <c r="N411" s="12" t="inlineStr">
        <is>
          <t>Przepisane do macierzy 2026-08-28 w ramach X-49 — pozycja powstala 2026-08-26 i do tego dnia istniala WYLACZNIE w dashboardzie, poza zasiegiem straznikow repozytorium. Obszar: instalator węzła. Krytycznosc i naklad zostaly puste SWIADOMIE: dashboard ich nie niosl, a wpisanie ich teraz byloby zgadywaniem. Do uzupelnienia przy najblizszym przegladzie tej pozycji. | TRESC ZE ZRODLA: Pojemność węzła nigdy się nie odświeża. `totalCpuCores`/`totalMemoryMb`/`totalDiskMb` ustawiane wyłącznie w handshake; telemetria ich nie aktualizuje — mimo komentarza w schemacie „reported via handshake / heartbeat”. Rozbudowa węzła nie dociera do `NodeSelector`. | WYCENA 2026-09-19: krytycznosc i naklad uzupelnione przy wznowieniu. Pozycje przepisane 2026-08-28 w ramach X-49 zostaly bez wyceny, przez co nie liczyly sie do budzetu godzin i nie stały w zadnym sprincie. Podstawa wyceny: Telemetria aktualizuje totalCpuCores/totalMemoryMb/totalDiskMb, nie tylko handshake. | Stary agent bez pól niczego nie zeruje. OTWARTE do D3 (PB-21): raport z agenta na żywym węźle i odświeżona pojemność w panelu admina. | 2026-09-25: pojemność z agenta trafia też do planera pojemności (admin → Product Ops): ryzyko liczone względem rdzeni i RAM węzła (CPU 2×/4× rdzeni, RAM 1×/1,5×; test ryzyko-pojemnosci.spec.ts), a opis „CPU 250%” zastąpiony „przydzielone limity: CPU 2,5 rdz. z N · RAM x z y GB” — wcześniej wyglądało jak zużycie ponad 100%. | 01.10 t1: panel admina (węzeł) pokazuje 4 rdzenie / 7,3 GB RAM / 75 GB dysku — zgodne z nproc, /proc/meminfo, df / na węźle; alert „blisko limitu pojemności” liczony względem tych wartości (przydzielone 100 GB z 75 GB).</t>
        </is>
      </c>
    </row>
    <row r="412">
      <c r="A412" s="11" t="inlineStr">
        <is>
          <t>SEC-06</t>
        </is>
      </c>
      <c r="B412" s="12" t="inlineStr">
        <is>
          <t>G</t>
        </is>
      </c>
      <c r="C412" s="11" t="inlineStr">
        <is>
          <t>Allowlista pokrywa to, o czym ktoś pomyślał, nie to, co host robi</t>
        </is>
      </c>
      <c r="D412" s="11" t="inlineStr">
        <is>
          <t>—</t>
        </is>
      </c>
      <c r="E412" s="11" t="inlineStr">
        <is>
          <t>—</t>
        </is>
      </c>
      <c r="F412" s="11" t="inlineStr">
        <is>
          <t>—</t>
        </is>
      </c>
      <c r="G412" s="11" t="inlineStr">
        <is>
          <t>—</t>
        </is>
      </c>
      <c r="H412" s="11" t="inlineStr">
        <is>
          <t>—</t>
        </is>
      </c>
      <c r="I412" s="11" t="inlineStr">
        <is>
          <t>DZIAŁA</t>
        </is>
      </c>
      <c r="J412" s="12" t="inlineStr">
        <is>
          <t>verris-egress-odswiez.timer (co 15 s) → security-control-plane-egress.sh --odswiez; Panel 06.10: timer active, „Odświeżenie: 12 nowych adresów”</t>
        </is>
      </c>
      <c r="K412" s="11" t="inlineStr">
        <is>
          <t>PARYTET</t>
        </is>
      </c>
      <c r="L412" s="11" t="inlineStr">
        <is>
          <t>WYSOKA</t>
        </is>
      </c>
      <c r="M412" s="11" t="inlineStr">
        <is>
          <t>M</t>
        </is>
      </c>
      <c r="N412" s="12" t="inlineStr">
        <is>
          <t>Przepisane do macierzy 2026-08-28 w ramach X-49 — pozycja powstala 2026-08-26 i do tego dnia istniala WYLACZNIE w dashboardzie, poza zasiegiem straznikow repozytorium. Obszar: egress / firewall. Krytycznosc i naklad zostaly puste SWIADOMIE: dashboard ich nie niosl, a wpisanie ich teraz byloby zgadywaniem. Do uzupelnienia przy najblizszym przegladzie tej pozycji. | TRESC ZE ZRODLA: Allowlista pokrywa to, o czym ktoś pomyślał, nie to, co host robi. Test `ipset` na celach z rzeczywistego ruchu: `sogo-repo.alinto.org` — BRAK, `static.77.118.180.157.clients.your-server.de` (120 pakietów, nierozpoznany) — BRAK. GitHub i `sa-update.surbl.org` — JEST. Włączenie `--strict` dziś odcięłoby repozytorium pakietów SOGo i nieznany host Hetznera. | WYCENA 2026-09-19: krytycznosc i naklad uzupelnione przy wznowieniu. Pozycje przepisane 2026-08-28 w ramach X-49 zostaly bez wyceny, przez co nie liczyly sie do budzetu godzin i nie stały w zadnym sprincie. Podstawa wyceny: Okres obserwacji na pelnym logu (po SEC-05) i zbudowanie allowlisty z tego, co host robi, a nie z tego, o czym ktos pomyslal. Koszt to glownie czas obserwacji, nie kod. | 2026-09-22 POMIAR RUSZYL (SEC-05, D3). Pierwszy cel spoza allowlisty: 169.254.169.254:80 — metadane chmury, siec link-local. Z hosta odcina go VERRIS_EGRESS_BOGON, wiec --pomiar oznacza go jako 'bogon' i nie liczy do warunku strict. OTWARTE PYTANIE (SSRF): kontenery ida przez FORWARD, gdzie bogonow nie ma — jesli z kontenera API da sie odpytac 169.254.169.254, to kazda funkcja pobierajaca URL od klienta (webhooki, sondy statusu, migrator) moze byc droga do metadanych serwera. Do sprawdzenia jednym poleceniem z kontenera; wynik decyduje, czy blokada metadanych w DOCKER-USER idzie przed sprint 9. | 2026-10-06 POMIAR (host 13 dni, IPv6 7 dni): 21 celów hosta poza allowlistą — rozpoznane: download.docker.com (CloudFront 2600:9000:28f7::/…), registry-1.docker.io (AWS 2600:1f18:2148:bc0x), motd.ubuntu.com (AWS 2a05:d018:91c:3200), changelogs.ubuntu.com (gladys/fracktail.canonical.com), mirror.hetzner.com, packages.sogo.nu, api.sandbox.openprovider.nl (34.91.239.244, GKE bez SNI); nierozpoznane: 2600:9000:2368:5e00/7800 (CloudFront, prawdopodobnie www.wordfence.com — do potwierdzenia AAAA). PRZYCZYNA: zbiór z nazw budowany raz, adresy CDN rotują — strict odcinałby apt i compose pull. KOD (D2, 5d6bd44): --odswiez + verris-egress-odswiez.timer co 15 s dopisuje bieżące adresy nazw; allowlista uzupełniona; d3478da: przebieg domyślny zdejmuje strict (droga powrotu). D3: wdrożenie timera, --pomiar, --wymus-strict po przypisaniu każdego celu nazwie. | 2026-10-06 przegląd: ponowna instalacja zdejmowała strict (przebieg domyślny) — 9e7cf6c: przebieg bez opcji zachowuje zapisany tryb, strict zdejmuje tylko --wylacz-strict; domeny klientów w egress-allow-hostnames.local.txt czytanym przez jednostki. Ryzyko do decyzji: domeny klientów w allowliście (DNS klienta). | 2026-10-06 D3 NA PRODUKCJI (Panel, 20:16–20:21 UTC): --pomiar (host 14 d, IPv6 8 d, kontenery 13 d) → --wymus-strict po przypisaniu każdego celu NIE nazwie z allowlisty (CloudFront 2600:9000:… = download.docker.com, AWS 2600:1f18:2148:bc0x = registry-1.docker.io). Po włączeniu: apt-get update OK, ghcr 401, api.github.com 200; docker pull odcięty (VERRIS-STRICT-DROP 3.171.139.x — warstwy z production.cloudfront.docker.com) → nazwa dopisana (a57c688), --odswiez dopisał 12 adresów, docker pull OK, 0 DROP w 2 min. Odświeżanie adresów CDN działa na żywo. Zamknięte 2026-10-06.</t>
        </is>
      </c>
    </row>
    <row r="413">
      <c r="A413" s="11" t="inlineStr">
        <is>
          <t>SEC-04</t>
        </is>
      </c>
      <c r="B413" s="12" t="inlineStr">
        <is>
          <t>G</t>
        </is>
      </c>
      <c r="C413" s="11" t="inlineStr">
        <is>
          <t>Host rozmawia z kontenerami przez OUTPUT — ruch wewnętrzny liczony jako egress</t>
        </is>
      </c>
      <c r="D413" s="11" t="inlineStr">
        <is>
          <t>—</t>
        </is>
      </c>
      <c r="E413" s="11" t="inlineStr">
        <is>
          <t>—</t>
        </is>
      </c>
      <c r="F413" s="11" t="inlineStr">
        <is>
          <t>—</t>
        </is>
      </c>
      <c r="G413" s="11" t="inlineStr">
        <is>
          <t>—</t>
        </is>
      </c>
      <c r="H413" s="11" t="inlineStr">
        <is>
          <t>—</t>
        </is>
      </c>
      <c r="I413" s="11" t="inlineStr">
        <is>
          <t>DZIAŁA</t>
        </is>
      </c>
      <c r="J413" s="12" t="inlineStr">
        <is>
          <t>security-control-plane-egress.sh — RETURN dla -o lo/docker0/br-+ w VERRIS_EGRESS_STRICT i br-+ w VERRIS_EGRESS_BOGON przed DROP; test apps/api/src/test/egress-strict-naprawde-blokuje.spec.ts</t>
        </is>
      </c>
      <c r="K413" s="11" t="inlineStr">
        <is>
          <t>PARYTET</t>
        </is>
      </c>
      <c r="L413" s="11" t="inlineStr">
        <is>
          <t>WYSOKA</t>
        </is>
      </c>
      <c r="M413" s="11" t="inlineStr">
        <is>
          <t>S</t>
        </is>
      </c>
      <c r="N413" s="12" t="inlineStr">
        <is>
          <t>Przepisane do macierzy 2026-08-28 w ramach X-49 — pozycja powstala 2026-08-26 i do tego dnia istniala WYLACZNIE w dashboardzie, poza zasiegiem straznikow repozytorium. Obszar: egress / firewall. Krytycznosc i naklad zostaly puste SWIADOMIE: dashboard ich nie niosl, a wpisanie ich teraz byloby zgadywaniem. Do uzupelnienia przy najblizszym przegladzie tej pozycji. | TRESC ZE ZRODLA: Host rozmawia z kontenerami przez OUTPUT. W logu egressu są wpisy `DST=172.19.0.3` na portach 443 i 80 — czyli ruch host → kontener. Reguła `DROP` trybu strict odrzuca wszystko spoza ipsetu, a adresy sieci Dockera w ipsecie nie są i być nie powinny. Włączenie strict bez wyjątku dla `172.16.0.0/12` zerwałoby to połączenie. | WYCENA 2026-09-19: krytycznosc i naklad uzupelnione przy wznowieniu. Pozycje przepisane 2026-08-28 w ramach X-49 zostaly bez wyceny, przez co nie liczyly sie do budzetu godzin i nie stały w zadnym sprincie. Podstawa wyceny: Wyjatek dla 172.16.0.0/12 w regule OUTPUT. Sama zmiana jest mala, ale bez niej wlaczenie strict zrywa polaczenie host-kontener. | 2026-09-22 KOD (D1): wyjatek po interfejsie (mostki Dockera), nie po CIDR — 172.16.0.0/12 zostaje w bogonach dla ruchu, ktory NIE idzie do kontenera. Przy okazji: lancuch BOGON zwalnial tylko docker0, a sieci compose to br-&lt;id&gt; w 172.18-172.20 — host-&gt;kontener na 443 wpadlby w DROP bogonow. D3 przy wlaczeniu strict (sprint 9). | 2026-09-28: te same zwolnienia mostków (lo, docker0, br-+) w ip6tables — 94cfe2c. | 2026-10-01 INCYDENT I POPRAWKA (bc40703): VERRIS_ANTISCAN (iptables i ip6tables) nie zwalniał lo/docker0/br-+ — docker-proxy obsługujący klientów IPv6 otwiera nowe połączenie hosta do kontenera na 443, licznik anty-skanu się wyczerpał i DROP odciął cały IPv6 panelu i API (t1 bez sygnału ok. 1,5 h). Wyjątki dopisane w kodzie (test egress-strict-naprawde-blokuje.spec.ts) i na żywo na control-plane; po zmianie IPv6 lokalnie i z t1 → 200, sygnał i manifest z t1 wróciły.</t>
        </is>
      </c>
    </row>
    <row r="414">
      <c r="A414" s="11" t="inlineStr">
        <is>
          <t>SEC-05</t>
        </is>
      </c>
      <c r="B414" s="12" t="inlineStr">
        <is>
          <t>G</t>
        </is>
      </c>
      <c r="C414" s="11" t="inlineStr">
        <is>
          <t>Log egressu jest próbką, nie zapisem</t>
        </is>
      </c>
      <c r="D414" s="11" t="inlineStr">
        <is>
          <t>—</t>
        </is>
      </c>
      <c r="E414" s="11" t="inlineStr">
        <is>
          <t>—</t>
        </is>
      </c>
      <c r="F414" s="11" t="inlineStr">
        <is>
          <t>—</t>
        </is>
      </c>
      <c r="G414" s="11" t="inlineStr">
        <is>
          <t>—</t>
        </is>
      </c>
      <c r="H414" s="11" t="inlineStr">
        <is>
          <t>—</t>
        </is>
      </c>
      <c r="I414" s="11" t="inlineStr">
        <is>
          <t>DZIAŁA</t>
        </is>
      </c>
      <c r="J414" s="12" t="inlineStr">
        <is>
          <t>ops/scripts/security-control-plane-egress.sh — apply_egress_seen: lancuch VERRIS_EGRESS_SEEN (pierwszy w OUTPUT) dopisuje KAZDE nowe polaczenie TCP/UDP do ipset verris_egress_seen (hash:ip,port, okno 7 dni, bez -m limit); apply_forward_observe — to samo dla kontenerow (verris_egress_seen_fwd); --pomiar — raport z ipset z flaga allowlisty; test apps/api/src/test/egress-strict-naprawde-blokuje.spec.ts</t>
        </is>
      </c>
      <c r="K414" s="11" t="inlineStr">
        <is>
          <t>PARYTET</t>
        </is>
      </c>
      <c r="L414" s="11" t="inlineStr">
        <is>
          <t>WYSOKA</t>
        </is>
      </c>
      <c r="M414" s="11" t="inlineStr">
        <is>
          <t>S</t>
        </is>
      </c>
      <c r="N414" s="12" t="inlineStr">
        <is>
          <t>Przepisane do macierzy 2026-08-28 w ramach X-49 — pozycja powstala 2026-08-26 i do tego dnia istniala WYLACZNIE w dashboardzie, poza zasiegiem straznikow repozytorium. Obszar: obserwowalność. Krytycznosc i naklad zostaly puste SWIADOMIE: dashboard ich nie niosl, a wpisanie ich teraz byloby zgadywaniem. Do uzupelnienia przy najblizszym przegladzie tej pozycji. | TRESC ZE ZRODLA: Log egressu jest próbką, nie zapisem. Licznik iptables pokazuje ~1,81 mln pakietów przez łańcuch strict, a w journalu jest 1796 wpisów z 48 h — reguła logująca ma ogranicznik częstotliwości. Nieobecność celu w tym logu nie dowodzi, że host tam nie chodzi. Każda allowlista budowana na tym odczycie jest niepełna z definicji. | WYCENA 2026-09-19: krytycznosc i naklad uzupelnione przy wznowieniu. Pozycje przepisane 2026-08-28 w ramach X-49 zostaly bez wyceny, przez co nie liczyly sie do budzetu godzin i nie stały w zadnym sprincie. Podstawa wyceny: Zdjecie ogranicznika czestotliwosci z reguly logujacej albo przejscie na nflog z licznikami. WARUNEK WSTEPNY dla SEC-06: allowlista budowana na probce jest niepelna z definicji. | 2026-09-22 KOD (D1): zamiast zdejmowac ogranicznik z LOG (dysk/journal pod kazdym polaczeniem) — zapis celow w ipset w pamieci jadra. Obecnosc celu pewna, liczniki orientacyjne. D3: wlaczenie na control-plane (przebieg domyslny) i --pomiar po dobie. | 2026-09-22 D3: wlaczone na control-plane (09:23 UTC, przebieg domyslny po wdrozeniu 5c3fe99); --pomiar po kilku minutach pokazal pierwszy cel: 169.254.169.254,tcp:80 (metadane chmury, 2 nowe polaczenia) — cel, ktorego probkowany log nie wykazal. Pomiar kontenerow (FORWARD) wlaczy sie przy nastepnym --obserwuj-kontenery.</t>
        </is>
      </c>
    </row>
    <row r="415">
      <c r="A415" s="11" t="inlineStr">
        <is>
          <t>SEC-01</t>
        </is>
      </c>
      <c r="B415" s="12" t="inlineStr">
        <is>
          <t>G</t>
        </is>
      </c>
      <c r="C415" s="11" t="inlineStr">
        <is>
          <t>Tryb `--strict` jest atrapą</t>
        </is>
      </c>
      <c r="D415" s="11" t="inlineStr">
        <is>
          <t>—</t>
        </is>
      </c>
      <c r="E415" s="11" t="inlineStr">
        <is>
          <t>—</t>
        </is>
      </c>
      <c r="F415" s="11" t="inlineStr">
        <is>
          <t>—</t>
        </is>
      </c>
      <c r="G415" s="11" t="inlineStr">
        <is>
          <t>—</t>
        </is>
      </c>
      <c r="H415" s="11" t="inlineStr">
        <is>
          <t>—</t>
        </is>
      </c>
      <c r="I415" s="11" t="inlineStr">
        <is>
          <t>DZIAŁA</t>
        </is>
      </c>
      <c r="J415" s="12" t="inlineStr">
        <is>
          <t>security-control-plane-egress.sh — apply_strict_allowlist: DROP bez testu cgroup, kontrola po fakcie (iptables -S; brak reguly = exit 1), warunek wstepny sprawdz_pomiar_przed_strict (&gt;= POMIAR_MIN_DNI dni pomiaru i zero celow 80/443 spoza allowlisty, inaczej exit 1 z lista celow), --wymus-strict; security-install-verris-security.sh — usuniete automatyczne --strict || true; test behawioralny apps/api/src/test/egress-strict-naprawde-blokuje.spec.ts (prawdziwy skrypt na atrapach iptables/ipset, te same flagi powloki)</t>
        </is>
      </c>
      <c r="K415" s="11" t="inlineStr">
        <is>
          <t>PARYTET</t>
        </is>
      </c>
      <c r="L415" s="11" t="inlineStr">
        <is>
          <t>WYSOKA</t>
        </is>
      </c>
      <c r="M415" s="11" t="inlineStr">
        <is>
          <t>M</t>
        </is>
      </c>
      <c r="N415" s="12" t="inlineStr">
        <is>
          <t>Przepisane do macierzy 2026-08-28 w ramach X-49 — pozycja powstala 2026-08-26 i do tego dnia istniala WYLACZNIE w dashboardzie, poza zasiegiem straznikow repozytorium. Obszar: egress / firewall. Krytycznosc i naklad zostaly puste SWIADOMIE: dashboard ich nie niosl, a wpisanie ich teraz byloby zgadywaniem. Do uzupelnienia przy najblizszym przegladzie tej pozycji. | TRESC ZE ZRODLA: Tryb `--strict` jest atrapą. Trzy niezależne wyciszenia jedno po drugim: reguła `DROP` zagnieżdżona w teście dopasowania cgroup (na tym jądrze niedostępnego), skrypt kończy się `WARN` i kodem 0, a instalator woła go z `|| true`. Wyjątek cgroup miał przepuszczać ruch kontenerów — który do OUTPUT w ogóle nie dociera (patrz X-41). | WYCENA 2026-09-19: krytycznosc i naklad uzupelnione przy wznowieniu. Pozycje przepisane 2026-08-28 w ramach X-49 zostaly bez wyceny, przez co nie liczyly sie do budzetu godzin i nie stały w zadnym sprincie. Podstawa wyceny: DROP musi realnie obowiazywac: przebudowa security-control-plane-egress.sh bez zagniezdzenia w tescie cgroup, bez "|| true" w instalatorze, plus straznik zachowaniowy na wzor X-34 (atrapa wielkosci produkcyjnej, te same flagi powloki). | 2026-09-22 KOD (D1): trzy wyciszenia usuniete. Wyjatek cgroup byl zbedny — ruch kontenerow nie przechodzi przez OUTPUT (X-41). Strict przestal byc nieszkodliwy, dlatego warunek wstepny laczy SEC-05 (pomiar) z SEC-06 (allowlista z tego, co host robi): nie da sie go wlaczyc na slepo. D3 dopiero przy wlaczeniu na control-plane w sprincie 9, po tygodniu pomiaru. | 2026-09-28: strict także po IPv6 (REJECT → natychmiastowe przejście na IPv4), warunek pomiaru obu rodzin przed pierwszą regułą; verris-egress.service odtwarza tryb i pomiar po restarcie (dotąd restart zdejmował cały hardening) — 94cfe2c. | 2026-09-28 D3 (09:07): przebieg domyślny z ipv6=1 — pomiar verris_egress_seen6, bogony/IOC/log/anty-skan w ip6tables; verris-egress.service active (enabled). Zbiory IPv6: https6 71, dns6 2, smtp6 1. Strict jeszcze wyłączony — decyzja po pomiarze 30.09. | 2026-10-06 D3 NA PRODUKCJI (Panel, 20:16–20:21 UTC): --pomiar (host 14 d, IPv6 8 d, kontenery 13 d) → --wymus-strict po przypisaniu każdego celu NIE nazwie z allowlisty (CloudFront 2600:9000:… = download.docker.com, AWS 2600:1f18:2148:bc0x = registry-1.docker.io). Po włączeniu: apt-get update OK, ghcr 401, api.github.com 200; docker pull odcięty (VERRIS-STRICT-DROP 3.171.139.x — warstwy z production.cloudfront.docker.com) → nazwa dopisana (a57c688), --odswiez dopisał 12 adresów, docker pull OK, 0 DROP w 2 min. Strict naprawdę odrzuca (log VERRIS-STRICT-DROP z adresami spoza zbioru). Zamknięte 2026-10-06.</t>
        </is>
      </c>
    </row>
    <row r="416">
      <c r="A416" s="11" t="inlineStr">
        <is>
          <t>SEC-02</t>
        </is>
      </c>
      <c r="B416" s="12" t="inlineStr">
        <is>
          <t>G</t>
        </is>
      </c>
      <c r="C416" s="11" t="inlineStr">
        <is>
          <t>Stripe jest w allowliście wyłącznie po nazwie, a ipset powstaje z rozwiązania nazw</t>
        </is>
      </c>
      <c r="D416" s="11" t="inlineStr">
        <is>
          <t>—</t>
        </is>
      </c>
      <c r="E416" s="11" t="inlineStr">
        <is>
          <t>—</t>
        </is>
      </c>
      <c r="F416" s="11" t="inlineStr">
        <is>
          <t>—</t>
        </is>
      </c>
      <c r="G416" s="11" t="inlineStr">
        <is>
          <t>—</t>
        </is>
      </c>
      <c r="H416" s="11" t="inlineStr">
        <is>
          <t>—</t>
        </is>
      </c>
      <c r="I416" s="11" t="inlineStr">
        <is>
          <t>DZIAŁA</t>
        </is>
      </c>
      <c r="J416" s="12" t="inlineStr">
        <is>
          <t>pomiar --pomiar 2026-10-06 (host 14 d): zero połączeń hosta do Stripe; Stripe tylko z kontenera API (FORWARD)</t>
        </is>
      </c>
      <c r="K416" s="11" t="inlineStr">
        <is>
          <t>PARYTET</t>
        </is>
      </c>
      <c r="L416" s="11" t="inlineStr">
        <is>
          <t>ŚREDNIA</t>
        </is>
      </c>
      <c r="M416" s="11" t="inlineStr">
        <is>
          <t>S</t>
        </is>
      </c>
      <c r="N416" s="12" t="inlineStr">
        <is>
          <t>Przepisane do macierzy 2026-08-28 w ramach X-49 — pozycja powstala 2026-08-26 i do tego dnia istniala WYLACZNIE w dashboardzie, poza zasiegiem straznikow repozytorium. Obszar: egress / płatności. Krytycznosc i naklad zostaly puste SWIADOMIE: dashboard ich nie niosl, a wpisanie ich teraz byloby zgadywaniem. Do uzupelnienia przy najblizszym przegladzie tej pozycji. | TRESC ZE ZRODLA: Stripe jest w allowliście wyłącznie po nazwie, a ipset powstaje z rozwiązania nazw. Adresy Stripe rotują (198.137.x / 198.202.x), więc zbiór starzeje się między uruchomieniami. | WYCENA 2026-09-19: krytycznosc i naklad uzupelnione przy wznowieniu. Pozycje przepisane 2026-08-28 w ramach X-49 zostaly bez wyceny, przez co nie liczyly sie do budzetu godzin i nie stały w zadnym sprincie. Podstawa wyceny: Odswiezanie ipsetu z opublikowanej listy adresow Stripe zamiast jednorazowego rozwiazania nazw; cron plus check w live-readiness. | ANALIZA 2026-09-23: Stripe woła wyłącznie API w kontenerze (FORWARD), którego strict hosta (OUTPUT) nie dotyczy, a X-41 nie ogranicza kontenerom 80/443 (decyzja: tam chronią strażniki SSRF w aplikacji). Pomiar hosta z 2026-09-22/23 nie ma żadnego celu Stripe. Jeśli pomiar 7-dniowy (29.09) to potwierdzi — pozycja NIE DOTYCZY; wpisy Stripe w allowliście hosta zostają tylko dla ręcznego ops/scripts/uzgodnij-platnosci-stripe.mjs. | 2026-10-06 POMIAR 13 DNI: host (OUTPUT) nie łączył się z żadnym adresem Stripe — potwierdza analizę z 23.09 (Stripe tylko z kontenera API). Do zamknięcia jako NIE DOTYCZY razem z włączeniem strict. | 2026-10-06: NIE DOTYCZY hosta — pomiar 14 dni bez żadnego celu Stripe z OUTPUT; płatności idą z kontenera API, którego strict hosta nie obejmuje. Wpisy Stripe w allowliście zostają dla ręcznego skryptu uzgadniania. Zamknięte 2026-10-06.</t>
        </is>
      </c>
    </row>
    <row r="417">
      <c r="A417" s="11" t="inlineStr">
        <is>
          <t>SEC-03</t>
        </is>
      </c>
      <c r="B417" s="12" t="inlineStr">
        <is>
          <t>G</t>
        </is>
      </c>
      <c r="C417" s="11" t="inlineStr">
        <is>
          <t>Ruch poza TCP/80 i TCP/443 — DNS (UDP/53), SMTP — nie jest objęty ani obserwacją z X-41, ani trybem strict</t>
        </is>
      </c>
      <c r="D417" s="11" t="inlineStr">
        <is>
          <t>—</t>
        </is>
      </c>
      <c r="E417" s="11" t="inlineStr">
        <is>
          <t>—</t>
        </is>
      </c>
      <c r="F417" s="11" t="inlineStr">
        <is>
          <t>—</t>
        </is>
      </c>
      <c r="G417" s="11" t="inlineStr">
        <is>
          <t>—</t>
        </is>
      </c>
      <c r="H417" s="11" t="inlineStr">
        <is>
          <t>—</t>
        </is>
      </c>
      <c r="I417" s="11" t="inlineStr">
        <is>
          <t>DZIAŁA</t>
        </is>
      </c>
      <c r="J417" s="12" t="inlineStr">
        <is>
          <t>ops/scripts/security-control-plane-egress.sh — zbuduj_zbior_z_pliku (verris_egress_dns / verris_egress_smtp z ops/etc/verris/security/egress-allow-{dns,smtp}.txt), apply_strict_allowlist: DROP dla NOWYCH 53 udp/tcp i 25/465/587 poza listą, warunek wstępny strict obejmuje DNS i SMTP; test D2 egress-strict-naprawde-blokuje.spec.ts (SEC-03)</t>
        </is>
      </c>
      <c r="K417" s="11" t="inlineStr">
        <is>
          <t>PARYTET</t>
        </is>
      </c>
      <c r="L417" s="11" t="inlineStr">
        <is>
          <t>WYSOKA</t>
        </is>
      </c>
      <c r="M417" s="11" t="inlineStr">
        <is>
          <t>M</t>
        </is>
      </c>
      <c r="N417" s="12" t="inlineStr">
        <is>
          <t>Przepisane do macierzy 2026-08-28 w ramach X-49 — pozycja powstala 2026-08-26 i do tego dnia istniala WYLACZNIE w dashboardzie, poza zasiegiem straznikow repozytorium. Obszar: egress. Krytycznosc i naklad zostaly puste SWIADOMIE: dashboard ich nie niosl, a wpisanie ich teraz byloby zgadywaniem. Do uzupelnienia przy najblizszym przegladzie tej pozycji. | TRESC ZE ZRODLA: Ruch poza TCP/80 i TCP/443 — DNS (UDP/53), SMTP — nie jest objęty ani obserwacją z X-41, ani trybem strict. | WYCENA 2026-09-19: krytycznosc i naklad uzupelnione przy wznowieniu. Pozycje przepisane 2026-08-28 w ramach X-49 zostaly bez wyceny, przez co nie liczyly sie do budzetu godzin i nie stały w zadnym sprincie. Podstawa wyceny: Rozszerzenie obserwacji i trybu strict na UDP/53 i SMTP — nowe lancuchy, nowe zbiory, nowy zakres testu. | 2026-09-23: host (OUTPUT) — pomiar obejmuje każdy port od SEC-05; strict rozszerzony o DNS (resolwery Hetznera 185.12.64.1/2) i SMTP (przekaźnik poznan.hvln.pl) na podstawie --pomiar z 2026-09-23. Pomiar liczy już tylko TCP SYN (skaner SSH wyglądał jak ruch wychodzący). Zostaje: włączenie strict na prod (nie przed 2026-09-29) = D3; kontenery (FORWARD) — w X-41. | 2026-09-28: resolwery IPv6 Hetznera w liście DNS; pomiar DNS-KTO: zapytania wysyła tylko rspamd do 127.0.0.53 — wyjątek po właścicielu niepotrzebny (plik pusty) — 94cfe2c. | 2026-10-06 D3 NA PRODUKCJI (Panel, 20:16–20:21 UTC): --pomiar (host 14 d, IPv6 8 d, kontenery 13 d) → --wymus-strict po przypisaniu każdego celu NIE nazwie z allowlisty (CloudFront 2600:9000:… = download.docker.com, AWS 2600:1f18:2148:bc0x = registry-1.docker.io). Po włączeniu: apt-get update OK, ghcr 401, api.github.com 200; docker pull odcięty (VERRIS-STRICT-DROP 3.171.139.x — warstwy z production.cloudfront.docker.com) → nazwa dopisana (a57c688), --odswiez dopisał 12 adresów, docker pull OK, 0 DROP w 2 min. Strict hosta obejmuje DNS (verris_egress_dns/dns6) i SMTP (verris_egress_smtp/smtp6). Część kontenerów — X-41. Zamknięte 2026-10-06.</t>
        </is>
      </c>
    </row>
    <row r="418">
      <c r="A418" s="11" t="inlineStr">
        <is>
          <t>X-41</t>
        </is>
      </c>
      <c r="B418" s="12" t="inlineStr">
        <is>
          <t>X</t>
        </is>
      </c>
      <c r="C418" s="11" t="inlineStr">
        <is>
          <t>Hardening egressu wisi w łańcuchu OUTPUT, a ruch kontenerów idzie przez FORWARD</t>
        </is>
      </c>
      <c r="D418" s="11" t="inlineStr">
        <is>
          <t>—</t>
        </is>
      </c>
      <c r="E418" s="11" t="inlineStr">
        <is>
          <t>—</t>
        </is>
      </c>
      <c r="F418" s="11" t="inlineStr">
        <is>
          <t>—</t>
        </is>
      </c>
      <c r="G418" s="11" t="inlineStr">
        <is>
          <t>—</t>
        </is>
      </c>
      <c r="H418" s="11" t="inlineStr">
        <is>
          <t>—</t>
        </is>
      </c>
      <c r="I418" s="11" t="inlineStr">
        <is>
          <t>DZIAŁA</t>
        </is>
      </c>
      <c r="J418" s="12" t="inlineStr">
        <is>
          <t>obserwacja wpięta w DOCKER-USER, 1674 pakiety zliczone, 0 DROP/REJECT</t>
        </is>
      </c>
      <c r="K418" s="11" t="inlineStr">
        <is>
          <t>PARYTET</t>
        </is>
      </c>
      <c r="L418" s="11" t="inlineStr">
        <is>
          <t>WYSOKA</t>
        </is>
      </c>
      <c r="M418" s="11" t="inlineStr">
        <is>
          <t>M</t>
        </is>
      </c>
      <c r="N418" s="12" t="inlineStr">
        <is>
          <t>Przepisane do macierzy 2026-08-28 w ramach X-49 — pozycja powstala 2026-08-25 i do tego dnia istniala WYLACZNIE w dashboardzie, poza zasiegiem straznikow repozytorium. Obszar: egress / firewall. Krytycznosc i naklad zostaly puste SWIADOMIE: dashboard ich nie niosl, a wpisanie ich teraz byloby zgadywaniem. Do uzupelnienia przy najblizszym przegladzie tej pozycji. | TRESC ZE ZRODLA: Cały hardening egressu wisi w łańcuchu OUTPUT. Ruch kontenerów idzie przez FORWARD → DOCKER-USER, więc egress całego produktu był poza zasięgiem zabezpieczenia, które wyglądało, jakby go obejmowało. | WYCENA 2026-09-19: krytycznosc i naklad uzupelnione przy wznowieniu. Pozycje przepisane 2026-08-28 w ramach X-49 zostaly bez wyceny, przez co nie liczyly sie do budzetu godzin i nie stały w zadnym sprincie. Podstawa wyceny: Obserwacja w DOCKER-USER juz stoi (1674 pakiety, 0 DROP). Zostaje egzekwowanie: przeniesienie regul z OUTPUT do FORWARD/DOCKER-USER razem z SEC-01. | 2026-09-28: sieć danych (verris_internal) internal:true — Postgres, Valkey, MinIO, Loki, eksportery, Alloy bez internetu; API/www wychodzą przez verris_public (dotąd trasa domyślna szła przez sieć danych). Przejście: prod-siec-danych-izolacja.sh (93e0b8d, test na replice stosu). Allowlista domen dla API odrzucona: migrator, monitoring i webhooki łączą się z dowolnymi hostami klientów. | 2026-09-28 D3 NA PRODUKCJI (08:47): verris_internal internal=true; z kontenera API postgres/redis/minio → 172.18.x (sieć danych), API → api.stripe.com 200, postgres → 1.1.1.1:443 brak połączenia. Incydent przy przejściu: Compose zgubił aliasy usług (EAI_AGAIN) i nieudany minio-bootstrap zatrzymał API — ok. 10 min bez API (08:35–08:45); naprawione przepięciem z --alias, skrypt poprawiony (64409dc). | 2026-10-06 pomiar kontenerów 13 dni: cele dowolne (sprawdzanie stron klientów, webhooki, Stripe, API zewnętrzne) — allowlisty dla kontenerów nie będzie; zostaje: sieć wewnętrzna danych, REJECT metadanych chmury, obserwacja DOCKER-USER. Brakuje IOC i anty-skanu w DOCKER-USER. | 2026-10-07 KOD: etap 2 — IOC (ta sama lista co host), limit SMTP i anty-skan per kontener w DOCKER-USER (łańcuch VERRIS_FWD_EGZEKW), tryb pomiaru ≥48 h przed egzekwowaniem, odtwarzanie po restarcie przez verris-egress.service (7391db8). Czeka na --kontenery-pomiar na Panelu. | 2026-10-12 D3 PROD (control-plane, Dominik): raport --kontenery-raport po 4 d pomiaru — VERRIS-FWD-SKAN/SMTP/IOC: 0, skok FORWARD→DOCKER-USER jest, werdykt „nic by nie odcięło”; --kontenery-egzekwuj kod 0 (10:09:34Z); egzekwuj w egress-kontenery-tryb, DROP w VERRIS_FWD_SKAN i VERRIS_FWD_SMTP, VERRIS_FWD_EGZEKW wpięty w DOCKER-USER; z kontenera api: Paynow/Stripe/KSeF/Turnstile/Hetzner/OpenProvider odpowiadają kodem HTTP, metadane 169.254.169.254 → ECONNREFUSED; po włączeniu panel operatora czyta konto d3 z węzła (poczta, bazy — 10:10Z). Powrót: --kontenery-pomiar (runbook docs/ops/RUNBOOK_X41_EGRESS_KONTENEROW.md).</t>
        </is>
      </c>
    </row>
    <row r="419">
      <c r="A419" s="11" t="inlineStr">
        <is>
          <t>X-37</t>
        </is>
      </c>
      <c r="B419" s="12" t="inlineStr">
        <is>
          <t>X</t>
        </is>
      </c>
      <c r="C419" s="11" t="inlineStr">
        <is>
          <t>Serwerowy fetch panelu szedł do API przez internet zamiast siecią Dockera</t>
        </is>
      </c>
      <c r="D419" s="11" t="inlineStr">
        <is>
          <t>—</t>
        </is>
      </c>
      <c r="E419" s="11" t="inlineStr">
        <is>
          <t>—</t>
        </is>
      </c>
      <c r="F419" s="11" t="inlineStr">
        <is>
          <t>—</t>
        </is>
      </c>
      <c r="G419" s="11" t="inlineStr">
        <is>
          <t>—</t>
        </is>
      </c>
      <c r="H419" s="11" t="inlineStr">
        <is>
          <t>—</t>
        </is>
      </c>
      <c r="I419" s="11" t="inlineStr">
        <is>
          <t>DZIAŁA</t>
        </is>
      </c>
      <c r="J419" s="12" t="inlineStr">
        <is>
          <t>D3: 10 563 ms UND_ERR_CONNECT_TIMEOUT wobec 54 ms / 200 wewnątrz sieci; wdrożenie 5e05747a</t>
        </is>
      </c>
      <c r="K419" s="11" t="inlineStr">
        <is>
          <t>PARYTET</t>
        </is>
      </c>
      <c r="L419" s="11" t="inlineStr">
        <is>
          <t>—</t>
        </is>
      </c>
      <c r="M419" s="11" t="inlineStr">
        <is>
          <t>—</t>
        </is>
      </c>
      <c r="N419" s="12" t="inlineStr">
        <is>
          <t>Przepisane do macierzy 2026-08-28 w ramach X-49 — pozycja powstala 2026-08-25 i do tego dnia istniala WYLACZNIE w dashboardzie, poza zasiegiem straznikow repozytorium. Obszar: panel klienta. Krytycznosc i naklad zostaly puste SWIADOMIE: dashboard ich nie niosl, a wpisanie ich teraz byloby zgadywaniem. Do uzupelnienia przy najblizszym przegladzie tej pozycji. | TRESC ZE ZRODLA: Serwerowy fetch panelu szedł do API przez internet po adresie publicznym zamiast po sieci Dockera — hairpin NAT, połączenie nie wracało.</t>
        </is>
      </c>
    </row>
    <row r="420">
      <c r="A420" s="11" t="inlineStr">
        <is>
          <t>X-38</t>
        </is>
      </c>
      <c r="B420" s="12" t="inlineStr">
        <is>
          <t>X</t>
        </is>
      </c>
      <c r="C420" s="11" t="inlineStr">
        <is>
          <t>„fetch failed” pokazywane użytkownikowi jako komunikat o błędzie — bez przyczyny i bez limitu czasu</t>
        </is>
      </c>
      <c r="D420" s="11" t="inlineStr">
        <is>
          <t>—</t>
        </is>
      </c>
      <c r="E420" s="11" t="inlineStr">
        <is>
          <t>—</t>
        </is>
      </c>
      <c r="F420" s="11" t="inlineStr">
        <is>
          <t>—</t>
        </is>
      </c>
      <c r="G420" s="11" t="inlineStr">
        <is>
          <t>—</t>
        </is>
      </c>
      <c r="H420" s="11" t="inlineStr">
        <is>
          <t>—</t>
        </is>
      </c>
      <c r="I420" s="11" t="inlineStr">
        <is>
          <t>DZIAŁA</t>
        </is>
      </c>
      <c r="J420" s="12" t="inlineStr">
        <is>
          <t>D2: strażnik 11 asercji, przebieg CI #120</t>
        </is>
      </c>
      <c r="K420" s="11" t="inlineStr">
        <is>
          <t>PARYTET</t>
        </is>
      </c>
      <c r="L420" s="11" t="inlineStr">
        <is>
          <t>—</t>
        </is>
      </c>
      <c r="M420" s="11" t="inlineStr">
        <is>
          <t>—</t>
        </is>
      </c>
      <c r="N420" s="12" t="inlineStr">
        <is>
          <t>Przepisane do macierzy 2026-08-28 w ramach X-49 — pozycja powstala 2026-08-25 i do tego dnia istniala WYLACZNIE w dashboardzie, poza zasiegiem straznikow repozytorium. Obszar: panel klienta. Krytycznosc i naklad zostaly puste SWIADOMIE: dashboard ich nie niosl, a wpisanie ich teraz byloby zgadywaniem. Do uzupelnienia przy najblizszym przegladzie tej pozycji. | TRESC ZE ZRODLA: „fetch failed” trafiało do użytkownika jako komunikat o błędzie — bez przyczyny, bez limitu czasu, bez wpisu w logu.</t>
        </is>
      </c>
    </row>
    <row r="421">
      <c r="A421" s="11" t="inlineStr">
        <is>
          <t>X-39</t>
        </is>
      </c>
      <c r="B421" s="12" t="inlineStr">
        <is>
          <t>X</t>
        </is>
      </c>
      <c r="C421" s="11" t="inlineStr">
        <is>
          <t>Panel pokazywał 0 zamiast „nie wiem”, gdy zapytanie padło</t>
        </is>
      </c>
      <c r="D421" s="11" t="inlineStr">
        <is>
          <t>—</t>
        </is>
      </c>
      <c r="E421" s="11" t="inlineStr">
        <is>
          <t>—</t>
        </is>
      </c>
      <c r="F421" s="11" t="inlineStr">
        <is>
          <t>—</t>
        </is>
      </c>
      <c r="G421" s="11" t="inlineStr">
        <is>
          <t>—</t>
        </is>
      </c>
      <c r="H421" s="11" t="inlineStr">
        <is>
          <t>—</t>
        </is>
      </c>
      <c r="I421" s="11" t="inlineStr">
        <is>
          <t>DZIAŁA</t>
        </is>
      </c>
      <c r="J421" s="12" t="inlineStr">
        <is>
          <t>D1 — zachowanie obserwowalne wyłącznie w trakcie awarii</t>
        </is>
      </c>
      <c r="K421" s="11" t="inlineStr">
        <is>
          <t>PARYTET</t>
        </is>
      </c>
      <c r="L421" s="11" t="inlineStr">
        <is>
          <t>—</t>
        </is>
      </c>
      <c r="M421" s="11" t="inlineStr">
        <is>
          <t>—</t>
        </is>
      </c>
      <c r="N421" s="12" t="inlineStr">
        <is>
          <t>Przepisane do macierzy 2026-08-28 w ramach X-49 — pozycja powstala 2026-08-25 i do tego dnia istniala WYLACZNIE w dashboardzie, poza zasiegiem straznikow repozytorium. Obszar: dashboard klienta. Krytycznosc i naklad zostaly puste SWIADOMIE: dashboard ich nie niosl, a wpisanie ich teraz byloby zgadywaniem. Do uzupelnienia przy najblizszym przegladzie tej pozycji. | TRESC ZE ZRODLA: Panel pokazywał 0 zamiast „nie wiem”: awaria jednego z siedmiu zapytań dawała zera nieodróżnialne od prawdziwych zer. | 2026-10-10: ta sama klasa błędu w panelu admina — miejsca `.catch(() =&gt; [])` (role, kolejka zakładania, karta węzła i inne) pokazują „Nie udało się wczytać — Spróbuj ponownie” (components/nie-wczytano.tsx + spec; e00968bb) zamiast pustej listy.</t>
        </is>
      </c>
    </row>
    <row r="422">
      <c r="A422" s="11" t="inlineStr">
        <is>
          <t>X-40</t>
        </is>
      </c>
      <c r="B422" s="12" t="inlineStr">
        <is>
          <t>X</t>
        </is>
      </c>
      <c r="C422" s="11" t="inlineStr">
        <is>
          <t>Spec panelu klienta bez runnera — leżał w repozytorium i nie wykonał się ani razu</t>
        </is>
      </c>
      <c r="D422" s="11" t="inlineStr">
        <is>
          <t>—</t>
        </is>
      </c>
      <c r="E422" s="11" t="inlineStr">
        <is>
          <t>—</t>
        </is>
      </c>
      <c r="F422" s="11" t="inlineStr">
        <is>
          <t>—</t>
        </is>
      </c>
      <c r="G422" s="11" t="inlineStr">
        <is>
          <t>—</t>
        </is>
      </c>
      <c r="H422" s="11" t="inlineStr">
        <is>
          <t>—</t>
        </is>
      </c>
      <c r="I422" s="11" t="inlineStr">
        <is>
          <t>DZIAŁA</t>
        </is>
      </c>
      <c r="J422" s="12" t="inlineStr">
        <is>
          <t>D2: CI #120 — osobna linia `Test Suites: 1 passed` / `Tests: 4 passed`</t>
        </is>
      </c>
      <c r="K422" s="11" t="inlineStr">
        <is>
          <t>PARYTET</t>
        </is>
      </c>
      <c r="L422" s="11" t="inlineStr">
        <is>
          <t>—</t>
        </is>
      </c>
      <c r="M422" s="11" t="inlineStr">
        <is>
          <t>—</t>
        </is>
      </c>
      <c r="N422" s="12" t="inlineStr">
        <is>
          <t>Przepisane do macierzy 2026-08-28 w ramach X-49 — pozycja powstala 2026-08-25 i do tego dnia istniala WYLACZNIE w dashboardzie, poza zasiegiem straznikow repozytorium. Obszar: testy. Krytycznosc i naklad zostaly puste SWIADOMIE: dashboard ich nie niosl, a wpisanie ich teraz byloby zgadywaniem. Do uzupelnienia przy najblizszym przegladzie tej pozycji. | TRESC ZE ZRODLA: Spec panelu klienta leżał w repozytorium miesiącami i nie wykonał się ani razu — pakiet nie miał runnera, a bramka wołała tylko jeden pakiet.</t>
        </is>
      </c>
    </row>
    <row r="423">
      <c r="A423" s="11" t="inlineStr">
        <is>
          <t>X-42</t>
        </is>
      </c>
      <c r="B423" s="12" t="inlineStr">
        <is>
          <t>X</t>
        </is>
      </c>
      <c r="C423" s="11" t="inlineStr">
        <is>
          <t>Bramka wdrożenia nie uruchamiała lintu</t>
        </is>
      </c>
      <c r="D423" s="11" t="inlineStr">
        <is>
          <t>—</t>
        </is>
      </c>
      <c r="E423" s="11" t="inlineStr">
        <is>
          <t>—</t>
        </is>
      </c>
      <c r="F423" s="11" t="inlineStr">
        <is>
          <t>—</t>
        </is>
      </c>
      <c r="G423" s="11" t="inlineStr">
        <is>
          <t>—</t>
        </is>
      </c>
      <c r="H423" s="11" t="inlineStr">
        <is>
          <t>—</t>
        </is>
      </c>
      <c r="I423" s="11" t="inlineStr">
        <is>
          <t>DZIAŁA</t>
        </is>
      </c>
      <c r="J423" s="12" t="inlineStr">
        <is>
          <t>D2: CI #120 zielone; #109/#117/#118 czerwone obok zielonych wdrożeń #84/#85/#87</t>
        </is>
      </c>
      <c r="K423" s="11" t="inlineStr">
        <is>
          <t>PARYTET</t>
        </is>
      </c>
      <c r="L423" s="11" t="inlineStr">
        <is>
          <t>—</t>
        </is>
      </c>
      <c r="M423" s="11" t="inlineStr">
        <is>
          <t>—</t>
        </is>
      </c>
      <c r="N423" s="12" t="inlineStr">
        <is>
          <t>Przepisane do macierzy 2026-08-28 w ramach X-49 — pozycja powstala 2026-08-25 i do tego dnia istniala WYLACZNIE w dashboardzie, poza zasiegiem straznikow repozytorium. Obszar: bramki CI/CD. Krytycznosc i naklad zostaly puste SWIADOMIE: dashboard ich nie niosl, a wpisanie ich teraz byloby zgadywaniem. Do uzupelnienia przy najblizszym przegladzie tej pozycji. | TRESC ZE ZRODLA: Bramka wdrożenia nie uruchamiała lintu. Trzy wdrożenia przeszły zielono przy czerwonym CI, a zepsuta konfiguracja trafiła na produkcję.</t>
        </is>
      </c>
    </row>
    <row r="424">
      <c r="A424" s="11" t="inlineStr">
        <is>
          <t>X-43</t>
        </is>
      </c>
      <c r="B424" s="12" t="inlineStr">
        <is>
          <t>X</t>
        </is>
      </c>
      <c r="C424" s="11" t="inlineStr">
        <is>
          <t>Przegląd całej czerwieni `ci.yml` na `main`: cztery przyczyny, nie jedna</t>
        </is>
      </c>
      <c r="D424" s="11" t="inlineStr">
        <is>
          <t>—</t>
        </is>
      </c>
      <c r="E424" s="11" t="inlineStr">
        <is>
          <t>—</t>
        </is>
      </c>
      <c r="F424" s="11" t="inlineStr">
        <is>
          <t>—</t>
        </is>
      </c>
      <c r="G424" s="11" t="inlineStr">
        <is>
          <t>—</t>
        </is>
      </c>
      <c r="H424" s="11" t="inlineStr">
        <is>
          <t>—</t>
        </is>
      </c>
      <c r="I424" s="11" t="inlineStr">
        <is>
          <t>DZIAŁA</t>
        </is>
      </c>
      <c r="J424" s="12" t="inlineStr">
        <is>
          <t>D2: 43 przebiegi `ci.yml` na main + okno `deploy.yml` od 24.08</t>
        </is>
      </c>
      <c r="K424" s="11" t="inlineStr">
        <is>
          <t>PARYTET</t>
        </is>
      </c>
      <c r="L424" s="11" t="inlineStr">
        <is>
          <t>—</t>
        </is>
      </c>
      <c r="M424" s="11" t="inlineStr">
        <is>
          <t>—</t>
        </is>
      </c>
      <c r="N424" s="12" t="inlineStr">
        <is>
          <t>Przepisane do macierzy 2026-08-28 w ramach X-49 — pozycja powstala 2026-08-26 i do tego dnia istniala WYLACZNIE w dashboardzie, poza zasiegiem straznikow repozytorium. Obszar: bramki CI/CD. Krytycznosc i naklad zostaly puste SWIADOMIE: dashboard ich nie niosl, a wpisanie ich teraz byloby zgadywaniem. Do uzupelnienia przy najblizszym przegladzie tej pozycji. | TRESC ZE ZRODLA: Przegląd całej czerwieni `ci.yml` na `main`: cztery przyczyny, nie jedna. Dodatkowo: anulowany przebieg jest w `gh run list` nieodróżnialny od nieistniejącego, a logi GitHuba wygasają po ~90 dniach.</t>
        </is>
      </c>
    </row>
    <row r="425">
      <c r="A425" s="11" t="inlineStr">
        <is>
          <t>SEC-07</t>
        </is>
      </c>
      <c r="B425" s="12" t="inlineStr">
        <is>
          <t>G</t>
        </is>
      </c>
      <c r="C425" s="11" t="inlineStr">
        <is>
          <t>Trzy podatnosci HIGH w multerze — zdalny DoS bez uwierzytelnienia na sciezce uploadu</t>
        </is>
      </c>
      <c r="D425" s="11" t="inlineStr">
        <is>
          <t>—</t>
        </is>
      </c>
      <c r="E425" s="11" t="inlineStr">
        <is>
          <t>—</t>
        </is>
      </c>
      <c r="F425" s="11" t="inlineStr">
        <is>
          <t>—</t>
        </is>
      </c>
      <c r="G425" s="11" t="inlineStr">
        <is>
          <t>—</t>
        </is>
      </c>
      <c r="H425" s="11" t="inlineStr">
        <is>
          <t>—</t>
        </is>
      </c>
      <c r="I425" s="11" t="inlineStr">
        <is>
          <t>DZIAŁA</t>
        </is>
      </c>
      <c r="J425" s="12" t="inlineStr">
        <is>
          <t>D2 2026-09-19: bramka lokalna zielona — 850 testow jednostkowych w 81 pakietach, w tym multer-limity.spec.ts (7 asercji) i bramki-nie-rozjezdzaja-sie.spec.ts; lint 0 bledow, typecheck 12/12. pnpm-lock.yaml:6670 — multer@2.4.0 jako JEDYNA kopia. node ops/ci/audyt-bramka.cjs: multer znikl z listy blokujacych. apps/api/src/common/upload/multer-limity.ts — fieldArrayIndexLimit=10 w obu interceptorach.</t>
        </is>
      </c>
      <c r="K425" s="11" t="inlineStr">
        <is>
          <t>PARYTET</t>
        </is>
      </c>
      <c r="L425" s="11" t="inlineStr">
        <is>
          <t>WYSOKA</t>
        </is>
      </c>
      <c r="M425" s="11" t="inlineStr">
        <is>
          <t>M</t>
        </is>
      </c>
      <c r="N425" s="12" t="inlineStr">
        <is>
          <t>Odkryte 2026-09-19 przy przegladzie kolejki Dependabota (DEP-01). CVSS 7.5, wektor sieciowy, BEZ uwierzytelnienia i bez interakcji uzytkownika: jedno zadanie multipart/form-data konczy proces Node. API obsluguje uploady zalacznikow do zgloszen, wiec sciezka jest wystawiona. | DLACZEGO PR #37 TEGO NIE NAPRAWIA, CHOC WYGLADA, JAKBY NAPRAWIAL: PR podnosi multer 2.2.0 -&gt; 2.3.0, czyli dokladnie do wersji zalatanej. Ale @nestjs/platform-express@11.2.1 deklaruje "multer": "2.2.0" — PIN DOKLADNY, bez karety. Po merge w drzewie stana DWIE kopie: 2.3.0 dla apps/api i 2.2.0 pod platform-express. Multipart parsuje FileInterceptor, ktory pochodzi z platform-express, czyli z kopii PODATNEJ. Bezposrednia zaleznosc wygladalaby na zalatana, a dziura zostalaby tam, gdzie leci ruch. | DRUGA POLOWA, LATWA DO PRZEOCZENIA: GHSA-535w-7cp7-47q4 wymaga NIE TYLKO wersji 2.3.0, ale i skonfigurowania limits.fieldArrayIndexLimit ("Users should upgrade to 2.3.0 AND configure limits.fieldArrayIndexLimit"). Sama wersja nie wystarcza — potrzebna zmiana w kodzie, w opcjach interceptora. Podbicie wersji i uznanie sprawy za zamknieta byloby tu wlasnie tym, przed czym ostrzega cala rodzina "wyglada na zrobione". | DROGI NAPRAWY: (a) pnpm.overrides na multer ^2.3.0 w korzeniu — wymusza jedna kopie mimo pinu Nesta, dziala od reki, rusza lockfile; (b) docelowo @nestjs/platform-express &gt;= 12.0.2 (12.0.2 pinuje 2.3.0, 12.0.3 pinuje 2.4.0) — ale to major Nesta, osobna praca; (c) zgoda w podatnosci-dopuszczone.json — ODRZUCONE: zdalny DoS bez uwierzytelnienia na produkcie hostingowym nie jest czyms, na co sie godzimy z terminem. | Do wykonania razem: override, konfiguracja fieldArrayIndexLimit, test, ktory czerwieni sie na starym kodzie, i dopiero potem merge PR #37. | STAN 2026-09-19: NAPRAWIONE W KODZIE (D1), POZYCJA OTWARTA. Dokumentacja: docs/archiwum/zadania/SEC-07-multer-jedno-zadanie-klado-proces.md. Naprawa przez pnpm.overrides, nie przez bump w apps/api — bump nie rusza kopii pinowanej przez platform-express. DO ZAMKNIECIA POTRZEBNY ZIELONY JOB "Security scans", nie numer wersji w package.json: dokladnie taki dowod dawal PR #37, ktory niczego nie naprawial. Zmiany powstaly w powloce bez pnpm i Dockera, wiec zaden z siedmiu straznikow nie zostal uruchomiony — jedyna weryfikacja to typecheck. | ZAMKNIETE 2026-09-19. Liczba testow jednostkowych 841 -&gt; 850, czyli dokladnie tyle, ile dolozyly nowe asercje (7+2) — potwierdzenie, ze straznik faktycznie sie wykonal, a nie tylko lezy w repozytorium (lekcja z X-40).</t>
        </is>
      </c>
    </row>
    <row r="426">
      <c r="A426" s="11" t="inlineStr">
        <is>
          <t>X-50</t>
        </is>
      </c>
      <c r="B426" s="12" t="inlineStr">
        <is>
          <t>X</t>
        </is>
      </c>
      <c r="C426" s="11" t="inlineStr">
        <is>
          <t>Bramka podatnosci zatrzymuje cokolwiek — jest wymagana do merge i wolana przez wdrozenie</t>
        </is>
      </c>
      <c r="D426" s="11" t="inlineStr">
        <is>
          <t>—</t>
        </is>
      </c>
      <c r="E426" s="11" t="inlineStr">
        <is>
          <t>—</t>
        </is>
      </c>
      <c r="F426" s="11" t="inlineStr">
        <is>
          <t>—</t>
        </is>
      </c>
      <c r="G426" s="11" t="inlineStr">
        <is>
          <t>—</t>
        </is>
      </c>
      <c r="H426" s="11" t="inlineStr">
        <is>
          <t>—</t>
        </is>
      </c>
      <c r="I426" s="11" t="inlineStr">
        <is>
          <t>DZIAŁA</t>
        </is>
      </c>
      <c r="J426" s="12" t="inlineStr">
        <is>
          <t>D2 2026-09-19: .github/workflows/deploy.yml — krok "Bramka podatnosci" w jobie test-gate; ruleset 21161479 — "Security scans (gitleaks + audit + trivy)" dopisane do checkow wymaganych (szesc checkow, potwierdzenie "Ruleset updated"); apps/api/src/test/bramki-nie-rozjezdzaja-sie.spec.ts — wzorzec katalogowy BRAMKOWY_SKRYPT plus asercja imienna, przechodzi w bramce lokalnej.</t>
        </is>
      </c>
      <c r="K426" s="11" t="inlineStr">
        <is>
          <t>PARYTET</t>
        </is>
      </c>
      <c r="L426" s="11" t="inlineStr">
        <is>
          <t>WYSOKA</t>
        </is>
      </c>
      <c r="M426" s="11" t="inlineStr">
        <is>
          <t>S</t>
        </is>
      </c>
      <c r="N426" s="12" t="inlineStr">
        <is>
          <t>Odkryte 2026-09-19 przy SEC-07. Koryguje X-23, ktore stalo jako DZIALA z obietnica "bramka zatrzymuje wdrozenie". | CO TRZEBA ZROBIC: dopisac security-scans do wymaganych checkow w rulesecie ORAZ wolac bramke podatnosci w test-gate deploy.yml. Jedno bez drugiego nie wystarczy: wdrozenie wyzwala push na main niezaleznie od ci.yml, a admin i tak omija ruleset. Ruleset zyje poza repozytorium (ryzyko zapisane w SPRINT-01), wiec zmiana wymaga wpisu w docs/zadania — inaczej nie odtworzy sie z kodu. | PYTANIE DO KAZDEJ PRZYSZLEJ BRAMKI, analogiczne do tego z X-34: co dokladnie ta bramka zatrzymuje i po jakiej sciezce to sprawdzilem? Bramka, ktora sie czerwieni i niczego nie blokuje, jest gorsza niz jej brak, bo zamyka pytanie. | STAN 2026-09-19: polowa zrobiona. Dolozony krok w deploy.yml zamyka droge "push na main omija ci.yml". Zostaje dopisanie security-scans do wymaganych checkow w rulesecie — wymaga kliknięcia w ustawieniach GitHuba, wiec czeka na decyzje wlasciciela. | PRZY OKAZJI, WAZNIEJSZE NIZ SAMA NAPRAWA: straznik bramki-nie-rozjezdzaja-sie.spec.ts BYL ZIELONY, kiedy deploy.yml nie wolal bramki podatnosci. Nie sprawdzal zlej rzeczy — jego definicja "polecenia bramkowego" byla lista trzech komend istniejacych w dniu jego powstania (pnpm lint/typecheck/test), a bramka podatnosci uruchamia sie jako node ops/ci/audyt-bramka.cjs i byla dla tego wyrazenia niewidzialna. To NOWA ODMIANA rodziny "test, ktory niczego nie dowodzi": po falszywej asercji (Z-01, H-20) i falszywym srodowisku (X-34) — ZA WASKA DEFINICJA KLASY. Wzorzec zamieniony na katalogowy (ops/ci/*.cjs|mjs|js), wiec nowa bramka trafia pod straznika sama. PYTANIE DO KAZDEGO PRZYSZLEGO STRAZNIKA KLASY: czy moj wzorzec obejmuje kontrole, ktore dopiero powstana, czy tylko te, ktore widzialem przy pisaniu? | ZAMKNIETE 2026-09-19, obie polowy. Zostaje zapisane wprost, bo to nie jest teoretyczne: ruleset NIE chroni przed wlascicielem repozytorium. Push z 2026-09-19 przeszedl z komunikatem "Bypassed rule violations — 5 of 5 required status checks are expected", czyli bez ani jednego uruchomionego checka. Dopisanie security-scans do wymaganych zamyka droge przez merge i przez wdrozenie, ale nie zamyka pusha admina. Jedyna bramka, ktora zatrzyma wlasciciela, to bramka uruchamiana lokalnie przed pushem — i to sie nie zmienilo.</t>
        </is>
      </c>
    </row>
    <row r="427">
      <c r="A427" s="11" t="inlineStr">
        <is>
          <t>X-51</t>
        </is>
      </c>
      <c r="B427" s="12" t="inlineStr">
        <is>
          <t>X</t>
        </is>
      </c>
      <c r="C427" s="11" t="inlineStr">
        <is>
          <t>Etykiety z dependabot.yml istnieja w repozytorium</t>
        </is>
      </c>
      <c r="D427" s="11" t="inlineStr">
        <is>
          <t>—</t>
        </is>
      </c>
      <c r="E427" s="11" t="inlineStr">
        <is>
          <t>—</t>
        </is>
      </c>
      <c r="F427" s="11" t="inlineStr">
        <is>
          <t>—</t>
        </is>
      </c>
      <c r="G427" s="11" t="inlineStr">
        <is>
          <t>—</t>
        </is>
      </c>
      <c r="H427" s="11" t="inlineStr">
        <is>
          <t>—</t>
        </is>
      </c>
      <c r="I427" s="11" t="inlineStr">
        <is>
          <t>DZIAŁA</t>
        </is>
      </c>
      <c r="J427" s="12" t="inlineStr">
        <is>
          <t>D2 2026-09-19: utworzone etykiety dependencies, security, docker, ci — 9 -&gt; 13 etykiet w repozytorium; pokrywaja wszystkie trzy sekcje labels: w .github/dependabot.yml.</t>
        </is>
      </c>
      <c r="K427" s="11" t="inlineStr">
        <is>
          <t>PARYTET</t>
        </is>
      </c>
      <c r="L427" s="11" t="inlineStr">
        <is>
          <t>NISKA</t>
        </is>
      </c>
      <c r="M427" s="11" t="inlineStr">
        <is>
          <t>S</t>
        </is>
      </c>
      <c r="N427" s="12" t="inlineStr">
        <is>
          <t>Odkryte 2026-09-19. Dwa drobne rozjazdy tego samego rodzaju: repozytorium mowi jedno, konfiguracja po stronie GitHuba drugie. | Etykiety: zadna z szesciu etykiet z dependabot.yml nie istnieje w repo, wiec PR-y Dependabota przychodza bez etykiet, a kazdy PR niesie komunikat o bledzie konfiguracji. Filtr "po etykiecie security" nie zwroci nic — co jest gorsze niz brak filtra, bo pusty wynik wyglada jak brak problemow. | Ruleset: celuje w galaz, ktorej rola zostala zniesiona przez X-13. Sama w sobie nieszkodliwa, ale to dokladnie ten typ zapisu, ktory pozniej czyta sie jako intencje. | Oba naprawia sie w minuty; sa tu dlatego, ze konfiguracja poza repozytorium nie ma zadnego straznika i wychodzi wylacznie przypadkiem. | ZAMKNIETE 2026-09-19 — ale W WEZSZYM ZAKRESIE niz opisano przy zgloszeniu, i to jest korekta mojego wlasnego znaleziska. Pierwotnie pozycja obejmowala TEZ ruleset celujacy w live-release-readiness. Sprawdzenie przed zmiana pokazalo, ze ta galaz NADAL ISTNIEJE w repozytorium. Zdjecie jej z rulesetu byloby zdjeciem ochrony (restrict deletions, block force pushes) z zywej galezi — czyli ruchem w zla strone, zrobionym dlatego, ze wczesniej zapisalem to jako usterke. Rozjazd jest realny, ale dotyczy NAZWY i INTENCJI ("galezie wdrozeniowe" w liczbie mnogiej wobec X-13 "jedna galaz wdrozeniowa"), a nie samej ochrony. Wlasciwym porzadkiem jest usuniecie martwych galezi, nie zdejmowanie z nich ochrony — osobna, mniejsza sprawa. Wniosek metodyczny: zapisane znalezisko nie jest powodem, zeby wykonac zapisana czynnosc, jesli sprawdzenie w chwili wykonania mowi co innego.</t>
        </is>
      </c>
    </row>
    <row r="428">
      <c r="A428" s="11" t="inlineStr">
        <is>
          <t>SEC-08</t>
        </is>
      </c>
      <c r="B428" s="12" t="inlineStr">
        <is>
          <t>G</t>
        </is>
      </c>
      <c r="C428" s="11" t="inlineStr">
        <is>
          <t>Dwa niezauwierzytelnione RCE w Next.js lezaly w drzewie 22 dni</t>
        </is>
      </c>
      <c r="D428" s="11" t="inlineStr">
        <is>
          <t>—</t>
        </is>
      </c>
      <c r="E428" s="11" t="inlineStr">
        <is>
          <t>—</t>
        </is>
      </c>
      <c r="F428" s="11" t="inlineStr">
        <is>
          <t>—</t>
        </is>
      </c>
      <c r="G428" s="11" t="inlineStr">
        <is>
          <t>—</t>
        </is>
      </c>
      <c r="H428" s="11" t="inlineStr">
        <is>
          <t>—</t>
        </is>
      </c>
      <c r="I428" s="11" t="inlineStr">
        <is>
          <t>DZIAŁA</t>
        </is>
      </c>
      <c r="J428" s="12" t="inlineStr">
        <is>
          <t>Przed: node ops/ci/audyt-bramka.cjs 2026-09-19 — "Podatnosci blokujace (high/critical): 11", w tym CRITICAL next GHSA-p293-qw3h-jr36 i GHSA-2xp9-vwfh-vxw4, oba podatne &gt;=16.0.0 &lt;16.3.3, w drzewie 16.3.2. Po: ta sama bramka — "Podatnosci blokujace: 1", jedyna pozostala to deepmerge-ts ze zgoda do 2026-11-15 (X-20), komunikat "Bramka podatnosci: zielone". | D2 2026-09-19 na maszynie deweloperskiej, po podniesieniu: lint 0 bledow (7 pakietow, CACHE MISS — realne wykonanie, nie odtworzenie logow), typecheck 8/8 cache miss, 850 testow w 81 pakietach, bramka podatnosci zielona. Cache miss jest tu istotny: potwierdza, ze kontrole przeszly przez Next 16.3.4, a nie odtworzyly wyniku sprzed podniesienia — dokladnie ten rozjazd opisuje ENV-02.</t>
        </is>
      </c>
      <c r="K428" s="11" t="inlineStr">
        <is>
          <t>PARYTET</t>
        </is>
      </c>
      <c r="L428" s="11" t="inlineStr">
        <is>
          <t>WYSOKA</t>
        </is>
      </c>
      <c r="M428" s="11" t="inlineStr">
        <is>
          <t>S</t>
        </is>
      </c>
      <c r="N428" s="12" t="inlineStr">
        <is>
          <t>Odkryte 2026-09-19 przy zamykaniu SEC-07 — bramke uruchomiono na zywym drzewie po raz pierwszy od 2026-08-28. | CO LEZALO: dwa CRITICAL w Next.js, oba ZDALNE WYKONANIE KODU BEZ UWIERZYTELNIENIA (GHSA-2xp9-vwfh-vxw4 przez Image Optimization API przy plikach AVIF; GHSA-p293-qw3h-jr36 na serwerach hostowanych na Windows — u nas Linux, wiec drugie nie dotyczy nas w praktyce, ale pierwsze tak i dotyczy WSZYSTKICH pieciu paneli). Do tego osiem HIGH: browserslist x2, fast-uri x4, js-yaml x3, sharp x1. | DLACZEGO TO NIE JEST "ZALEGLOSC W AKTUALIZACJACH": wszystkie te advisory opublikowano PO 2026-08-28, czyli w trakcie przerwy. Drzewo nie zgnilo — swiat sie przesunal, a nikt nie zapytal. Bramka istniala, dzialala i nie byla uruchamiana, bo nie byla podpieta do niczego (X-50). Trzy tygodnie ciszy wygladaly dokladnie tak samo jak trzy tygodnie bezpieczenstwa. | NAPRAWA: next i eslint-config-next 16.3.2 -&gt; 16.3.4 w pieciu pakietach (16.3.3 to minimum, 16.3.4 to wersja z PR #37 Dependabota), sharp ^0.35.3 -&gt; ^0.35.4, oraz cztery nadpisania na zaleznosci przechodnie: browserslist ^4.28.7, fast-uri ^3.1.4 -&gt; ^3.1.6, js-yaml@4 ^4.3.1 -&gt; ^4.3.2, js-yaml@3 ^3.15.2 (nowe). | WNIOSEK NA STALE: przerwa w pracy nie jest przerwa w ekspozycji. Pierwsza rzecza po kazdej dluzszej przerwie jest uruchomienie bramki podatnosci, przed czytaniem czegokolwiek innego — w tym sprincie zrobilismy to dopiero po dwoch dniach pracy nad czym innym. | ZWERYFIKOWANE 2026-09-19: pelna bramka lokalna zielona po podniesieniu, bez ani jednej poprawki w kodzie paneli. Podniesienie Next w obrebie 16.3.x okazalo sie bezkosztowe — co bylo najbardziej prawdopodobnym, ale nie pewnym wynikiem, i dlatego bramka byla warunkiem, a nie formalnoscia. | SKUTEK DLA DEP-01: PR #37 Dependabota jest teraz w czesci nieaktualny — next, sharp i multer sa juz podniesione w main, wiec PR albo zostanie przebazowany, albo zamkniety przez samego Dependabota. Zostaja w nim pozostale pozycje z grupy minor-and-patch, ktore nie dotyczyly bezpieczenstwa.</t>
        </is>
      </c>
    </row>
    <row r="429">
      <c r="A429" s="11" t="inlineStr">
        <is>
          <t>SEC-09</t>
        </is>
      </c>
      <c r="B429" s="12" t="inlineStr">
        <is>
          <t>G</t>
        </is>
      </c>
      <c r="C429" s="11" t="inlineStr">
        <is>
          <t>Kontenery nie siegaja do uslugi metadanych chmury (SSRF)</t>
        </is>
      </c>
      <c r="D429" s="11" t="inlineStr">
        <is>
          <t>—</t>
        </is>
      </c>
      <c r="E429" s="11" t="inlineStr">
        <is>
          <t>—</t>
        </is>
      </c>
      <c r="F429" s="11" t="inlineStr">
        <is>
          <t>—</t>
        </is>
      </c>
      <c r="G429" s="11" t="inlineStr">
        <is>
          <t>—</t>
        </is>
      </c>
      <c r="H429" s="11" t="inlineStr">
        <is>
          <t>—</t>
        </is>
      </c>
      <c r="I429" s="11" t="inlineStr">
        <is>
          <t>DZIAŁA</t>
        </is>
      </c>
      <c r="J429" s="12" t="inlineStr">
        <is>
          <t>D1 2026-09-22: ops/scripts/security-control-plane-egress.sh — apply_fwd_metadane: lancuch VERRIS_FWD_METADANE w DOCKER-USER, REJECT dla 169.254.0.0/16, wolany w przebiegu domyslnym; test egress-strict-naprawde-blokuje.spec.ts (SEC-09). | Druga warstwa: subscriptions/site-monitor.service.ts — probeUrl i probeTlsExpiry sprawdzaja resolvePublicHost przed polaczeniem (domena klienta, DNS ustawia klient), redirect: 'manual'; test subscriptions/site-monitor-ssrf.spec.ts. Webhooki statusu (assertPublicWebhookUrl) i migrator (resolvePublicHost z przypieciem adresu) mialy ochrone juz wczesniej; sondy statusu konfiguruje tylko admin.</t>
        </is>
      </c>
      <c r="K429" s="11" t="inlineStr">
        <is>
          <t>PARYTET</t>
        </is>
      </c>
      <c r="L429" s="11" t="inlineStr">
        <is>
          <t>WYSOKA</t>
        </is>
      </c>
      <c r="M429" s="11" t="inlineStr">
        <is>
          <t>S</t>
        </is>
      </c>
      <c r="N429" s="12" t="inlineStr">
        <is>
          <t>Odkryte 2026-09-22 z pierwszego odczytu pomiaru SEC-05: host pytal o 169.254.169.254:80 (odcinany przez BOGON w OUTPUT). Sprawdzenie z kontenera: docker exec verris-api-1 node -e fetch(http://169.254.169.254/hetzner/v1/metadata/hostname) -&gt; 'Panel'. Kontenery ida przez FORWARD, gdzie bogonow nie ma, wiec kazda funkcja pobierajaca URL od klienta (webhooki, sondy statusu, migrator) mogla sluzyc do odczytu metadanych serwera (user-data, klucze SSH, siec). Brak dowodu naduzycia — sama osiagalnosc. POPRAWKA: osobny lancuch (VERRIS_FWD_OBSERW ma z zalozenia nie blokowac), REJECT zamiast DROP (aplikacja dostaje odmowe od razu). JAK ZAMKNAC (D3): po wdrozeniu i przebiegu domyslnym ten sam fetch z kontenera zwraca NIEOSIAGALNE. 2026-09-22 MITYGACJA NA PRODUKCJI: regula tymczasowa w DOCKER-USER, fetch z kontenera -&gt; NIEOSIAGALNE: ECONNREFUSED. DRUGA WARSTWA (aplikacja): monitor strony klienta jako jedyne miejsce bez ochrony — naprawione. CZEGO NIE OBEJMUJE: okna DNS-rebinding w monitorze (sprawdzenie przed fetch, fetch rozwiazuje ponownie) — metadane zamyka zapora, pelne przypiecie adresu wymaga dispatchera undici (komentarz ponytail w kodzie). | 2026-09-22 D3: regula stala wdrozona (przebieg domyslny po 5b8f624), tymczasowa usunieta; fetch z verris-api-1 do 169.254.169.254 -&gt; NIEOSIAGALNE: ECONNREFUSED.</t>
        </is>
      </c>
    </row>
    <row r="430">
      <c r="A430" s="11" t="inlineStr">
        <is>
          <t>FAK-01</t>
        </is>
      </c>
      <c r="B430" s="12" t="inlineStr">
        <is>
          <t>M</t>
        </is>
      </c>
      <c r="C430" s="11" t="inlineStr">
        <is>
          <t>Panel nie wystawia faktury VAT rownolegle z programem ksiegowym</t>
        </is>
      </c>
      <c r="D430" s="11" t="inlineStr">
        <is>
          <t>—</t>
        </is>
      </c>
      <c r="E430" s="11" t="inlineStr">
        <is>
          <t>—</t>
        </is>
      </c>
      <c r="F430" s="11" t="inlineStr">
        <is>
          <t>—</t>
        </is>
      </c>
      <c r="G430" s="11" t="inlineStr">
        <is>
          <t>—</t>
        </is>
      </c>
      <c r="H430" s="11" t="inlineStr">
        <is>
          <t>—</t>
        </is>
      </c>
      <c r="I430" s="11" t="inlineStr">
        <is>
          <t>DZIAŁA</t>
        </is>
      </c>
      <c r="J430" s="12" t="inlineStr">
        <is>
          <t>billing/tryb-fakturowania.ts — przelacznik faktury.tryb (fail-safe: wszystko poza dokladnym 'panel' = zewnetrzny), serie VDR/VDK, straznik KSeF; billing/faktura-za-portfel.ts — nadajNumerDokumentu jedynym wejsciem dla 5 miejsc (portfel, zbiorcza, reczna, Stripe, korekta; korekta idzie za rodzajem dokumentu pierwotnego); migracja 20260922120000_faktury_tryb_zewnetrzny — rodzajPrawny + 3 CHECK (seria zgodna z rodzajem, numer zewnetrzny tylko przy dokumencie rozliczeniowym); ksef.service.ts qualifies/tick — dokument rozliczeniowy nigdy do KSeF; platform-settings.service.ts — ksef.enabled efektywnie 0 w trybie zewnetrznym, wlaczenie odrzucane; PDF i mail: 'Dokument rozliczeniowy' + adnotacja 'nie jest faktura VAT'; panel klienta: etykieta + numer faktury zewnetrznej; API admina GET /admin/invoices/czeka-na-fakture, POST /admin/invoices/:id/faktura-zewnetrzna (raz, audyt, unikalnosc); po-migracji-niezmienniki.sql FAK-01 + asercje-czerwienia-sie.sh; testy: tryb-fakturowania.spec.ts, faktura-portfel.int-spec.ts (FAK-01).</t>
        </is>
      </c>
      <c r="K430" s="11" t="inlineStr">
        <is>
          <t>PARYTET</t>
        </is>
      </c>
      <c r="L430" s="11" t="inlineStr">
        <is>
          <t>—</t>
        </is>
      </c>
      <c r="M430" s="11" t="inlineStr">
        <is>
          <t>M</t>
        </is>
      </c>
      <c r="N430" s="12" t="inlineStr">
        <is>
          <t>Powstalo 2026-09-22 z decyzji wlasciciela: faktury VAT wystawiane recznie w programie ksiegowym, potem integracja po API (ADR-2026-09-22). | PROBLEM: panel juz dzis wystawia faktury z wlasna numeracja w tej samej transakcji co obciazenie (Z-01) i korekty (M-06). Przy recznym wystawianiu w programie ksiegowym jedna platnosc dostaje DWIE faktury w DWOCH seriach. Wylaczony KSeF chroni przed wyslaniem drugiej do MF, nie przed jej wystawieniem i doreczeniem klientowi. | ROZWIAZANIE (wariant C z ADR): przelacznik faktury.tryb = panel | zewnetrzny, domyslnie zewnetrzny. W trybie zewnetrznym ten sam rekord co dzis, bez numeru z serii panelu, status CZEKA_NA_FAKTURE_ZEWNETRZNA; klient widzi "dokument rozliczeniowy"; operator wpisuje numer faktury z programu; straznik blokuje kombinacje tryb zewnetrzny + ksef.enabled. To jest szew pod pozniejsza integracje po API — nic nie budujemy na wyrzucenie. | BLOKER, bo dopiero po nim M-16 i M-17 moga przestac blokowac start. | 2026-09-22 KOD: wariant C zaimplementowany (bez osobnego statusu — 'czeka na fakture' wynika z danych: rodzaj DOKUMENT_ROZLICZENIOWY i brak externalInvoiceNumber). Ekran admina: /invoices/czeka-na-fakture (kolejka + dopisanie numeru). D2 2026-09-22: lokalnie lint + typecheck + 878 testow jednostkowych zielone; CI #182 (a006c8e) zielone w calosci — migracja na swiezej bazie bez dryfu, niezmienniki FAK-01, asercje czerwienia sie (2 nowe przypadki FAK-01), testy integracyjne (5 nowych FAK-01). Bloker zdjety. Dokumentacja: docs/archiwum/zadania/FAK-01-faktury-w-programie-ksiegowym.md</t>
        </is>
      </c>
    </row>
    <row r="431">
      <c r="A431" s="11" t="inlineStr">
        <is>
          <t>M-35</t>
        </is>
      </c>
      <c r="B431" s="12" t="inlineStr">
        <is>
          <t>M</t>
        </is>
      </c>
      <c r="C431" s="11" t="inlineStr">
        <is>
          <t>PDF faktur, proform i DPA renderuje się z polskimi znakami</t>
        </is>
      </c>
      <c r="D431" s="11" t="inlineStr">
        <is>
          <t>—</t>
        </is>
      </c>
      <c r="E431" s="11" t="inlineStr">
        <is>
          <t>—</t>
        </is>
      </c>
      <c r="F431" s="11" t="inlineStr">
        <is>
          <t>—</t>
        </is>
      </c>
      <c r="G431" s="11" t="inlineStr">
        <is>
          <t>TAK</t>
        </is>
      </c>
      <c r="H431" s="11" t="inlineStr">
        <is>
          <t>TAK</t>
        </is>
      </c>
      <c r="I431" s="11" t="inlineStr">
        <is>
          <t>DZIAŁA</t>
        </is>
      </c>
      <c r="J431" s="12" t="inlineStr">
        <is>
          <t>common/pdf/czcionki.ts (DejaVu przez @pdf-lib/fontkit) w invoice-pdf.service.ts i dpa-pdf.service.ts; test common/pdf/czcionki.spec.ts</t>
        </is>
      </c>
      <c r="K431" s="11" t="inlineStr">
        <is>
          <t>PARYTET</t>
        </is>
      </c>
      <c r="L431" s="11" t="inlineStr">
        <is>
          <t>WYSOKA</t>
        </is>
      </c>
      <c r="M431" s="11" t="inlineStr">
        <is>
          <t>S</t>
        </is>
      </c>
      <c r="N431" s="12" t="inlineStr">
        <is>
          <t>Odkryte 2026-09-23 przy M-24: oba renderery używały StandardFonts (WinAnsi), w których nie ma „ą ę ł ń ś ź ż”; pdf-lib rzucał wyjątkiem na stałym nagłówku „Data sprzedaży”, więc ŻADEN PDF faktury/dokumentu rozliczeniowego ani DPA nie powstawał. Nikt nie renderował PDF-a w teście. Naprawione: osadzona DejaVu (podzbiór z polskimi znakami), do tego poprawiony układ — tytuł uciekał za krawędź, tabela była szersza od strony o ~40 pt, długie nazwy wchodziły na kwoty. D3: po wdrożeniu sprawdzić, czy dokumenty bez PDF-a (storageKey null) dociągnęły pliki przy ponownej finalizacji.</t>
        </is>
      </c>
    </row>
    <row r="432">
      <c r="A432" s="11" t="inlineStr">
        <is>
          <t>X-52</t>
        </is>
      </c>
      <c r="B432" s="12" t="inlineStr">
        <is>
          <t>X</t>
        </is>
      </c>
      <c r="C432" s="11" t="inlineStr">
        <is>
          <t>Linki w mailach prowadzą do istniejących stron paneli</t>
        </is>
      </c>
      <c r="D432" s="11" t="inlineStr">
        <is>
          <t>—</t>
        </is>
      </c>
      <c r="E432" s="11" t="inlineStr">
        <is>
          <t>—</t>
        </is>
      </c>
      <c r="F432" s="11" t="inlineStr">
        <is>
          <t>—</t>
        </is>
      </c>
      <c r="G432" s="11" t="inlineStr">
        <is>
          <t>—</t>
        </is>
      </c>
      <c r="H432" s="11" t="inlineStr">
        <is>
          <t>—</t>
        </is>
      </c>
      <c r="I432" s="11" t="inlineStr">
        <is>
          <t>DZIAŁA</t>
        </is>
      </c>
      <c r="J432" s="12" t="inlineStr">
        <is>
          <t>test src/test/linki-w-mailach-prowadza-do-stron.spec.ts</t>
        </is>
      </c>
      <c r="K432" s="11" t="inlineStr">
        <is>
          <t>PARYTET</t>
        </is>
      </c>
      <c r="L432" s="11" t="inlineStr">
        <is>
          <t>WYSOKA</t>
        </is>
      </c>
      <c r="M432" s="11" t="inlineStr">
        <is>
          <t>S</t>
        </is>
      </c>
      <c r="N432" s="12" t="inlineStr">
        <is>
          <t>Odkryte 2026-09-23 przy M-24: 6 maili rozliczeniowych prowadziło na /dashboard/subscriptions (brak strony), mail o fakturze na /dashboard/billing/invoices/:id (brak), zgłoszenie dla obsługi na /dashboard/tickets/:id (w staff-panelu /tickets/:id), do tego 2FA, log audytu, portfel, panel floty i „gotowość do startu” po starych trasach, a stopka „Preferencje powiadomień” otwierała zakładkę Profil. Poprawione i pod strażnikiem: każdy `${panelUrl}/…` w API musi odpowiadać stronie w którymś panelu.</t>
        </is>
      </c>
    </row>
    <row r="433">
      <c r="A433" s="11" t="inlineStr">
        <is>
          <t>X-35</t>
        </is>
      </c>
      <c r="B433" s="12" t="inlineStr">
        <is>
          <t>X</t>
        </is>
      </c>
      <c r="C433" s="11" t="inlineStr">
        <is>
          <t>Reguły alertów odróżniają „brak danych” od „jest dobrze”</t>
        </is>
      </c>
      <c r="D433" s="11" t="inlineStr">
        <is>
          <t>—</t>
        </is>
      </c>
      <c r="E433" s="11" t="inlineStr">
        <is>
          <t>—</t>
        </is>
      </c>
      <c r="F433" s="11" t="inlineStr">
        <is>
          <t>—</t>
        </is>
      </c>
      <c r="G433" s="11" t="inlineStr">
        <is>
          <t>—</t>
        </is>
      </c>
      <c r="H433" s="11" t="inlineStr">
        <is>
          <t>—</t>
        </is>
      </c>
      <c r="I433" s="11" t="inlineStr">
        <is>
          <t>DZIAŁA</t>
        </is>
      </c>
      <c r="J433" s="12" t="inlineStr">
        <is>
          <t>docs/archiwum/zadania/X-35-regula-nie-umiala-powiedziec-ze-jest-dobrze.md; testy reguly-nie-myla-pustki-ze-zdrowiem.spec.ts, routing-alertow.spec.ts</t>
        </is>
      </c>
      <c r="K433" s="11" t="inlineStr">
        <is>
          <t>PARYTET</t>
        </is>
      </c>
      <c r="L433" s="11" t="inlineStr">
        <is>
          <t>WYSOKA</t>
        </is>
      </c>
      <c r="M433" s="11" t="inlineStr">
        <is>
          <t>M</t>
        </is>
      </c>
      <c r="N433" s="12" t="inlineStr">
        <is>
          <t>Zamknięte 2026-08-24 (D3 na produkcji). Przepisane do macierzy 2026-09-23 w ramach X-49 — pozycja istniała tylko w archiwum zadań, macierz odwoływała się do niej w uwagach innych pozycji.</t>
        </is>
      </c>
    </row>
    <row r="434">
      <c r="A434" s="11" t="inlineStr">
        <is>
          <t>X-36</t>
        </is>
      </c>
      <c r="B434" s="12" t="inlineStr">
        <is>
          <t>X</t>
        </is>
      </c>
      <c r="C434" s="11" t="inlineStr">
        <is>
          <t>Kontrola egress nie zatrzymuje własnych wdrożeń</t>
        </is>
      </c>
      <c r="D434" s="11" t="inlineStr">
        <is>
          <t>—</t>
        </is>
      </c>
      <c r="E434" s="11" t="inlineStr">
        <is>
          <t>—</t>
        </is>
      </c>
      <c r="F434" s="11" t="inlineStr">
        <is>
          <t>—</t>
        </is>
      </c>
      <c r="G434" s="11" t="inlineStr">
        <is>
          <t>—</t>
        </is>
      </c>
      <c r="H434" s="11" t="inlineStr">
        <is>
          <t>—</t>
        </is>
      </c>
      <c r="I434" s="11" t="inlineStr">
        <is>
          <t>DZIAŁA</t>
        </is>
      </c>
      <c r="J434" s="12" t="inlineStr">
        <is>
          <t>docs/archiwum/zadania/X-36-kontrola-ktora-zatrzymywala-wlasne-wdrozenia.md</t>
        </is>
      </c>
      <c r="K434" s="11" t="inlineStr">
        <is>
          <t>PARYTET</t>
        </is>
      </c>
      <c r="L434" s="11" t="inlineStr">
        <is>
          <t>WYSOKA</t>
        </is>
      </c>
      <c r="M434" s="11" t="inlineStr">
        <is>
          <t>M</t>
        </is>
      </c>
      <c r="N434" s="12" t="inlineStr">
        <is>
          <t>Zamknięte 2026-08-25 (D3 na wdrożeniu #80). Przepisane do macierzy 2026-09-23 w ramach X-49.</t>
        </is>
      </c>
    </row>
    <row r="435">
      <c r="A435" s="11" t="inlineStr">
        <is>
          <t>PROD-01</t>
        </is>
      </c>
      <c r="B435" s="12" t="inlineStr">
        <is>
          <t>N</t>
        </is>
      </c>
      <c r="C435" s="11" t="inlineStr">
        <is>
          <t>Instalator węzła bez udziału administratora</t>
        </is>
      </c>
      <c r="D435" s="11" t="inlineStr">
        <is>
          <t>—</t>
        </is>
      </c>
      <c r="E435" s="11" t="inlineStr">
        <is>
          <t>—</t>
        </is>
      </c>
      <c r="F435" s="11" t="inlineStr">
        <is>
          <t>—</t>
        </is>
      </c>
      <c r="G435" s="11" t="inlineStr">
        <is>
          <t>—</t>
        </is>
      </c>
      <c r="H435" s="11" t="inlineStr">
        <is>
          <t>—</t>
        </is>
      </c>
      <c r="I435" s="11" t="inlineStr">
        <is>
          <t>CZĘŚCIOWE</t>
        </is>
      </c>
      <c r="J435" s="12" t="inlineStr">
        <is>
          <t>docs/archiwum/zadania/PROD-01-instalator-wezla-bez-czlowieka.md; stan: bootstrap v2 + kreator węzła (Q-14) — kroki CloudLinux/DA/LiteSpeed nadal ręczne</t>
        </is>
      </c>
      <c r="K435" s="11" t="inlineStr">
        <is>
          <t>CZĘŚCIOWY</t>
        </is>
      </c>
      <c r="L435" s="11" t="inlineStr">
        <is>
          <t>WYSOKA</t>
        </is>
      </c>
      <c r="M435" s="11" t="inlineStr">
        <is>
          <t>L</t>
        </is>
      </c>
      <c r="N435" s="12" t="inlineStr">
        <is>
          <t>Rozpisane 2026-08-26 („decyzje podjęte, nie zaczęte”) i do 2026-09-23 istniało tylko w archiwum zadań — poza macierzą, więc poza planem i tablicami (X-49). Przepisane z uczciwym stanem: część pokrywa bootstrap v2.</t>
        </is>
      </c>
    </row>
    <row r="436">
      <c r="A436" s="11" t="inlineStr">
        <is>
          <t>PROD-02</t>
        </is>
      </c>
      <c r="B436" s="12" t="inlineStr">
        <is>
          <t>Q</t>
        </is>
      </c>
      <c r="C436" s="11" t="inlineStr">
        <is>
          <t>Kreator klienta i procent konfiguracji w sidebarze</t>
        </is>
      </c>
      <c r="D436" s="11" t="inlineStr">
        <is>
          <t>—</t>
        </is>
      </c>
      <c r="E436" s="11" t="inlineStr">
        <is>
          <t>—</t>
        </is>
      </c>
      <c r="F436" s="11" t="inlineStr">
        <is>
          <t>—</t>
        </is>
      </c>
      <c r="G436" s="11" t="inlineStr">
        <is>
          <t>—</t>
        </is>
      </c>
      <c r="H436" s="11" t="inlineStr">
        <is>
          <t>—</t>
        </is>
      </c>
      <c r="I436" s="11" t="inlineStr">
        <is>
          <t>DZIAŁA</t>
        </is>
      </c>
      <c r="J436" s="12" t="inlineStr">
        <is>
          <t>onboarding-kroki.ts (najnizszyPostep, uslugiOnboardingu) + onboarding-kroki.spec.ts (13 testów); layout.tsx SetupProgress nad belką użytkownika; User.onboardingHidden (migracja 20260924090000) + PATCH /users/me; users.service.profile.spec.ts</t>
        </is>
      </c>
      <c r="K436" s="11" t="inlineStr">
        <is>
          <t>PARYTET</t>
        </is>
      </c>
      <c r="L436" s="11" t="inlineStr">
        <is>
          <t>WYSOKA</t>
        </is>
      </c>
      <c r="M436" s="11" t="inlineStr">
        <is>
          <t>M</t>
        </is>
      </c>
      <c r="N436" s="12" t="inlineStr">
        <is>
          <t>Rozpisane 2026-08-26, do 2026-09-23 tylko w archiwum (X-49). 2026-09-24: zrobione A/B/C/D — pasek konfiguracji w sidebarze na każdym widoku (najniższa usługa z nazwą, znika przy 100%, wraca po dokupieniu usługi bez banera), subkonto liczy tylko kroki, do których ma dostęp, „schowany” na koncie zamiast w przeglądarce (stary klucz localStorage przenoszony raz), pasek przywraca baner, baner bierze najniższą usługę zamiast services[0], sekcja „Dobre praktyki” poza licznikiem. Odstępstwo: postęp liczony w server action panelu z danych /services, które menu i tak pobiera raz na wejście — bez nowego pola w /users/me i bez cache w API (ten sam efekt: zero dodatkowych zapytań przy nawigacji). ZOSTAŁO: E — wspólny Stepper dla trzech kreatorów; nowe kroki konieczne (płatność/faktura) wymagają detekcji. | 2026-09-24 (2): przywrócenie banera kliknięciem paska nie działało (stary stan użytkownika w layoucie) — naprawione aktualizacją optymistyczną + router.refresh(), do sprawdzenia po wdrożeniu. | D3 2026-09-24: kliknięcie paska w menu przywraca baner „Pierwsze kroki” bez przeładowania (konto testowe, mailtest-verris.pl 0%, 0 z 1). | 2026-09-25: E — wspólny Stepper (components/panel/stepper.tsx, aria-current="step") w kreatorze migracji i zakupu domeny; zamówienie usługi zostaje bez wskaźnika (zgodnie z mockupem). Test stepper.spec.tsx. | 2026-09-25 (2): kroki konieczne „Zabezpiecz odnowienie” (karta / auto-doładowanie / saldo ≥ cena okresu; MANUAL poza procentem) i „Dane do faktury” (firma/NIP albo imię i nazwisko + adres; subkonto poza procentem) — onboarding-konto.ts, testy w onboarding-kroki.spec.ts. Zostało: przejście na produkcji. | SPRAWDZONE NA PRODUKCJI 26.09 (konto bez danych do faktury): „Zabezpiecz odnowienie — zrobione”, „Uzupełnij dane do faktury” z linkiem do ustawień, licznik 1 z 4 zgodny z paskiem „Konfiguracja 25%”. Zostaje druga połowa: po uzupełnieniu danych krok ma się odhaczyć — wymaga wpisania danych na koncie (zgoda właściciela). | SPRAWDZONE W CAŁOŚCI 26.09 (22:25): po zapisaniu danych do faktury krok „Uzupełnij dane do faktury” odhaczony, licznik 2 z 4, pasek 50%. ZNALEZISKO: formularz przyjął kod pocztowy „1” dla Polski — API waliduje teraz format 00-000 dla PL. | 2026-09-27: ZAMKNIĘTE — obie połowy sprawdzone na produkcji 26.09 (werdykt nie został przestawiony przy zapisie).</t>
        </is>
      </c>
    </row>
    <row r="437">
      <c r="A437" s="11" t="inlineStr">
        <is>
          <t>PROD-03</t>
        </is>
      </c>
      <c r="B437" s="12" t="inlineStr">
        <is>
          <t>N</t>
        </is>
      </c>
      <c r="C437" s="11" t="inlineStr">
        <is>
          <t>Dane testowe usunięte przed startem (preflight GO-LIVE)</t>
        </is>
      </c>
      <c r="D437" s="11" t="inlineStr">
        <is>
          <t>—</t>
        </is>
      </c>
      <c r="E437" s="11" t="inlineStr">
        <is>
          <t>—</t>
        </is>
      </c>
      <c r="F437" s="11" t="inlineStr">
        <is>
          <t>—</t>
        </is>
      </c>
      <c r="G437" s="11" t="inlineStr">
        <is>
          <t>—</t>
        </is>
      </c>
      <c r="H437" s="11" t="inlineStr">
        <is>
          <t>—</t>
        </is>
      </c>
      <c r="I437" s="11" t="inlineStr">
        <is>
          <t>DZIAŁA</t>
        </is>
      </c>
      <c r="J437" s="12" t="inlineStr">
        <is>
          <t>product-ops.admin.controller.ts PROVISIONING_DO_NAPRAWY + product-ops/preflight.spec.ts; User.isInternal (migracja 20260925150000_user_is_internal); business-metrics.service.ts; faktury-zewnetrzne.service.ts; admin customers/[userId] operational-forms.tsx; test business-metrics.wewnetrzne.spec.ts</t>
        </is>
      </c>
      <c r="K437" s="11" t="inlineStr">
        <is>
          <t>PARYTET</t>
        </is>
      </c>
      <c r="L437" s="11" t="inlineStr">
        <is>
          <t>—</t>
        </is>
      </c>
      <c r="M437" s="11" t="inlineStr">
        <is>
          <t>S</t>
        </is>
      </c>
      <c r="N437" s="12" t="inlineStr">
        <is>
          <t>2026-09-24 PRZYCZYNA: preflight liczył każdą subskrypcję z provisioningStage=failed, także anulowane po zwrocie — historyczne testy blokowały start na zawsze. Teraz blokuje tylko nierozwiązane (status ≠ CANCELED/EXPIRED); danych nie kasujemy. OTWARTE: po wdrożeniu sprawdzić w adminie, że preflight jest zielony; przed startem właściciel decyduje, czy testowe konto M-34 i jego usługi zostają. | Znalezione testem w Chrome 2026-09-23. Preflight blokuje start na historycznych, testowych zamówieniach; przed startem: przegląd tych subskrypcji i oznaczenie/usunięcie danych testowych (decyzja właściciela, co zachować). | 2026-09-25: po wdrożeniu sprawdzone w adminie (Product Ops): preflight GO-LIVE „READY”, failed provisioning 0, failed migrations 0. Zostaje decyzja właściciela o testowym koncie M-34 przed startem. | DECYZJA WŁAŚCICIELA 2026-09-25: konta testowe zostają jako wewnętrzne — oznaczone i wyłączone ze statystyk i faktur (do zrobienia: znacznik konta wewnętrznego). | Zamknięte 2026-09-25 (D2): znacznik „Konto wewnętrzne (testowe)” w panelu admina (szczegóły klienta, audyt ADMIN_CUSTOMER_INTERNAL_FLAG_UPDATED, znacznik na liście klientów). Metryki biznesowe (MRR, churn, nowe usługi, saldo portfeli) pomijają takie konta; w kolejce „czeka na fakturę” dokument jest oznaczony, ale nie ukryty — prawdziwa wpłata wymaga faktury VAT. Do zrobienia przez właściciela: oznaczyć konta testowe po wdrożeniu.</t>
        </is>
      </c>
    </row>
    <row r="438">
      <c r="A438" s="11" t="inlineStr">
        <is>
          <t>SEC-10</t>
        </is>
      </c>
      <c r="B438" s="12" t="inlineStr">
        <is>
          <t>G</t>
        </is>
      </c>
      <c r="C438" s="11" t="inlineStr">
        <is>
          <t>Każde ciało żądania przechodzi walidację DTO (ValidationPipe)</t>
        </is>
      </c>
      <c r="D438" s="11" t="inlineStr">
        <is>
          <t>—</t>
        </is>
      </c>
      <c r="E438" s="11" t="inlineStr">
        <is>
          <t>—</t>
        </is>
      </c>
      <c r="F438" s="11" t="inlineStr">
        <is>
          <t>—</t>
        </is>
      </c>
      <c r="G438" s="11" t="inlineStr">
        <is>
          <t>—</t>
        </is>
      </c>
      <c r="H438" s="11" t="inlineStr">
        <is>
          <t>—</t>
        </is>
      </c>
      <c r="I438" s="11" t="inlineStr">
        <is>
          <t>DZIAŁA</t>
        </is>
      </c>
      <c r="J438" s="12" t="inlineStr">
        <is>
          <t>apps/api/src/test/cialo-zadania-walidowane.spec.ts (metadane Nesta, łapie też interfejsy; 2 opisane wyjątki); src/test/dto-granice.spec.ts; subscriptions/dto/hosting-body.dto.ts; files/files.dto.ts; kb/kb.dto.ts; common/validation/czesciowy.ts</t>
        </is>
      </c>
      <c r="K438" s="11" t="inlineStr">
        <is>
          <t>PARYTET</t>
        </is>
      </c>
      <c r="L438" s="11" t="inlineStr">
        <is>
          <t>WYSOKA</t>
        </is>
      </c>
      <c r="M438" s="11" t="inlineStr">
        <is>
          <t>M</t>
        </is>
      </c>
      <c r="N438" s="12" t="inlineStr">
        <is>
          <t>Odkryte 2026-09-24 przy N-05 (kbSuggest z typem inline). MECHANIZM: przy `@Body() body: {…}`, `Partial&lt;…&gt;`, interfejsie albo `@Body('pole')` typ w czasie działania to Object/String i globalny ValidationPipe niczego nie sprawdza. Ponad 60 endpointów, m.in. narzędzia hostingu (zapis .htaccess, filtr spamu, autorespondery → DirectAdmin), menedżer plików, zgłoszenia z załącznikami (dowolny priorytet → błąd Prismy 500), passkey przed logowaniem, role obsługi, baner KB (link `javascript:` renderowany w href — XSS zapisany przez obsługę) i kampanie marketingowe. NAPRAWA: DTO dla każdego; znaki sterujące odcięte w polach jednoliniowych; baner KB tylko https w DTO i w renderze; Czesciowy(Base) zamiast PartialType bez nowej zależności. Strażnik sprawdzony na czerwono (cofnięty DTO → test pada).</t>
        </is>
      </c>
    </row>
    <row r="439">
      <c r="A439" s="11" t="inlineStr">
        <is>
          <t>X-53</t>
        </is>
      </c>
      <c r="B439" s="12" t="inlineStr">
        <is>
          <t>X</t>
        </is>
      </c>
      <c r="C439" s="11" t="inlineStr">
        <is>
          <t>Akcje panelu admina z ciałem zakodowanym dwa razy</t>
        </is>
      </c>
      <c r="D439" s="11" t="inlineStr">
        <is>
          <t>—</t>
        </is>
      </c>
      <c r="E439" s="11" t="inlineStr">
        <is>
          <t>—</t>
        </is>
      </c>
      <c r="F439" s="11" t="inlineStr">
        <is>
          <t>—</t>
        </is>
      </c>
      <c r="G439" s="11" t="inlineStr">
        <is>
          <t>—</t>
        </is>
      </c>
      <c r="H439" s="11" t="inlineStr">
        <is>
          <t>—</t>
        </is>
      </c>
      <c r="I439" s="11" t="inlineStr">
        <is>
          <t>DZIAŁA</t>
        </is>
      </c>
      <c r="J439" s="12" t="inlineStr">
        <is>
          <t>apps/admin-panel/src/lib/api.ts i apps/staff-panel/src/lib/staff-api.ts — `body?: object` (napis nie przejdzie kompilacji)</t>
        </is>
      </c>
      <c r="K439" s="11" t="inlineStr">
        <is>
          <t>PARYTET</t>
        </is>
      </c>
      <c r="L439" s="11" t="inlineStr">
        <is>
          <t>WYSOKA</t>
        </is>
      </c>
      <c r="M439" s="11" t="inlineStr">
        <is>
          <t>S</t>
        </is>
      </c>
      <c r="N439" s="12" t="inlineStr">
        <is>
          <t>Odkryte 2026-09-24 przy SEC-10. adminApi serializuje body sam, a 6 akcji podawało gotowy JSON.stringify(…): utworzenie i zaplanowanie kampanii marketingowej, region węzła, konfiguracja i decyzje programu partnerskiego, resellerzy. API dostawało napis i odrzucało żądanie — funkcje wyglądały na gotowe, a nie działały. Typ body zawężony do obiektu, więc powtórka nie skompiluje się. DO SPRAWDZENIA PO WDROŻENIU: utworzenie szkicu kampanii w panelu admina. | D3 2026-09-24: szkic kampanii „TEST — nie wysyłać” zapisany z panelu admina, następnie odwołany (Wysłane: 0).</t>
        </is>
      </c>
    </row>
    <row r="440">
      <c r="A440" s="11" t="inlineStr">
        <is>
          <t>X-54</t>
        </is>
      </c>
      <c r="B440" s="12" t="inlineStr">
        <is>
          <t>X</t>
        </is>
      </c>
      <c r="C440" s="11" t="inlineStr">
        <is>
          <t>Pliki powyżej 1 MB w panelach i edytor plików powyżej 100 kB</t>
        </is>
      </c>
      <c r="D440" s="11" t="inlineStr">
        <is>
          <t>—</t>
        </is>
      </c>
      <c r="E440" s="11" t="inlineStr">
        <is>
          <t>—</t>
        </is>
      </c>
      <c r="F440" s="11" t="inlineStr">
        <is>
          <t>—</t>
        </is>
      </c>
      <c r="G440" s="11" t="inlineStr">
        <is>
          <t>—</t>
        </is>
      </c>
      <c r="H440" s="11" t="inlineStr">
        <is>
          <t>—</t>
        </is>
      </c>
      <c r="I440" s="11" t="inlineStr">
        <is>
          <t>DZIAŁA</t>
        </is>
      </c>
      <c r="J440" s="12" t="inlineStr">
        <is>
          <t>apps/client-panel/next.config.ts, apps/staff-panel/next.config.ts — serverActions.bodySizeLimit 41mb; apps/api/src/main.ts — useBodyParser json 3mb</t>
        </is>
      </c>
      <c r="K440" s="11" t="inlineStr">
        <is>
          <t>PARYTET</t>
        </is>
      </c>
      <c r="L440" s="11" t="inlineStr">
        <is>
          <t>WYSOKA</t>
        </is>
      </c>
      <c r="M440" s="11" t="inlineStr">
        <is>
          <t>S</t>
        </is>
      </c>
      <c r="N440" s="12" t="inlineStr">
        <is>
          <t>Odkryte 2026-09-24. Menedżer plików (do 25 MB) i załączniki zgłoszeń (5 × 8 MB) idą przez Server Actions, których domyślny limit w Next to 1 MB (next/dist/server/app-render/action-handler.js) — większy plik kończył się 413 przed API. Osobno: edytor plików zapisuje do 1 MB (FilesService.MAX_EDIT_BYTES), a Nest przyjmował JSON do 100 kB. DO SPRAWDZENIA PO WDROŻENIU: upload pliku 2–5 MB w menedżerze plików i zapis pliku ~300 kB w edytorze.</t>
        </is>
      </c>
    </row>
    <row r="441">
      <c r="A441" s="11" t="inlineStr">
        <is>
          <t>SEC-11</t>
        </is>
      </c>
      <c r="B441" s="12" t="inlineStr">
        <is>
          <t>G</t>
        </is>
      </c>
      <c r="C441" s="11" t="inlineStr">
        <is>
          <t>CSP z nonce w panelach i na www — bez 'unsafe-inline' w script-src</t>
        </is>
      </c>
      <c r="D441" s="11" t="inlineStr">
        <is>
          <t>—</t>
        </is>
      </c>
      <c r="E441" s="11" t="inlineStr">
        <is>
          <t>—</t>
        </is>
      </c>
      <c r="F441" s="11" t="inlineStr">
        <is>
          <t>—</t>
        </is>
      </c>
      <c r="G441" s="11" t="inlineStr">
        <is>
          <t>—</t>
        </is>
      </c>
      <c r="H441" s="11" t="inlineStr">
        <is>
          <t>—</t>
        </is>
      </c>
      <c r="I441" s="11" t="inlineStr">
        <is>
          <t>DZIAŁA</t>
        </is>
      </c>
      <c r="J441" s="12" t="inlineStr">
        <is>
          <t>2026-10-09 (4d7a8b08): libs/ui/src/csp.ts:41-84 (nowyNonce, cspPanelu: script-src 'nonce-…' 'strict-dynamic', naglowkiCsp); admin-panel/src/proxy.ts:11-13, staff-panel/src/proxy.ts, client-panel/src/middleware.ts:14-16; ops/caddy/Caddyfile (panel_headers bez CSP z 'unsafe-inline'); testy proxy.spec.ts (admin, obsługa), middleware.spec.ts, analytics-scripts.spec.ts, wdrozenie-caddy.spec.ts</t>
        </is>
      </c>
      <c r="K441" s="11" t="inlineStr">
        <is>
          <t>PARYTET</t>
        </is>
      </c>
      <c r="L441" s="11" t="inlineStr">
        <is>
          <t>WYSOKA</t>
        </is>
      </c>
      <c r="M441" s="11" t="inlineStr">
        <is>
          <t>S</t>
        </is>
      </c>
      <c r="N441" s="12" t="inlineStr">
        <is>
          <t>2026-10-10: z audytu bezpieczeństwa 09.10 — CSP paneli dawał Caddy ze script-src 'unsafe-inline', więc każdy wstrzyknięty &lt;script&gt; by się wykonał. Panele klienta, obsługi i admina mają od 09.10 CSP z nonce per żądanie (style-src zostaje z 'unsafe-inline' — atrybuty style w React i biblioteki wstrzykujące &lt;style&gt;; styl nie wykonuje kodu). Wdrożone 10.10; panele admina i obsługi działają po wdrożeniu (obserwacja 10.10 ok. 13:00, nagłówka CSP nie odczytywano). ZOSTAJE: www (verris.pl) — decyzja D12 z 10.10: CSP z nonce na www teraz, razem z captcha w frame-src (Fala 2A). Stan CZĘŚCIOWE do wdrożenia na www i odczytu nagłówków na produkcji. | 2026-10-12 D3 PROD (odczyt nagłówków, bez zmian): verris.pl /, /cennik, /hosting, panel.verris.pl, admin.verris.pl i staff.verris.pl — dokładnie jeden nagłówek Content-Security-Policy, script-src 'nonce-…' 'strict-dynamic' 'self' + domeny analityki/płatności, bez 'unsafe-inline' w script-src; nonce inny przy każdym z dwóch kolejnych pobrań; wszystkie &lt;script&gt; w HTML mają nonce poza application/ld+json (dane, nie kod). Konsola panelu klienta (karta d3, kopie) bez naruszeń CSP. style-src z 'unsafe-inline' zostaje świadomie (opis wyżej).</t>
        </is>
      </c>
    </row>
  </sheetData>
  <autoFilter ref="A1:N441"/>
  <conditionalFormatting sqref="D2:D441">
    <cfRule type="cellIs" priority="1" operator="equal" dxfId="0">
      <formula>"TAK"</formula>
    </cfRule>
    <cfRule type="cellIs" priority="2" operator="equal" dxfId="1">
      <formula>"CZĘŚĆ"</formula>
    </cfRule>
    <cfRule type="cellIs" priority="3" operator="equal" dxfId="2">
      <formula>"PŁATNE"</formula>
    </cfRule>
    <cfRule type="cellIs" priority="4" operator="equal" dxfId="3">
      <formula>"NIE"</formula>
    </cfRule>
    <cfRule type="cellIs" priority="5" operator="equal" dxfId="4">
      <formula>"b.d."</formula>
    </cfRule>
  </conditionalFormatting>
  <conditionalFormatting sqref="E2:E441">
    <cfRule type="cellIs" priority="6" operator="equal" dxfId="0">
      <formula>"TAK"</formula>
    </cfRule>
    <cfRule type="cellIs" priority="7" operator="equal" dxfId="1">
      <formula>"CZĘŚĆ"</formula>
    </cfRule>
    <cfRule type="cellIs" priority="8" operator="equal" dxfId="2">
      <formula>"PŁATNE"</formula>
    </cfRule>
    <cfRule type="cellIs" priority="9" operator="equal" dxfId="3">
      <formula>"NIE"</formula>
    </cfRule>
    <cfRule type="cellIs" priority="10" operator="equal" dxfId="4">
      <formula>"b.d."</formula>
    </cfRule>
  </conditionalFormatting>
  <conditionalFormatting sqref="F2:F441">
    <cfRule type="cellIs" priority="11" operator="equal" dxfId="0">
      <formula>"TAK"</formula>
    </cfRule>
    <cfRule type="cellIs" priority="12" operator="equal" dxfId="1">
      <formula>"CZĘŚĆ"</formula>
    </cfRule>
    <cfRule type="cellIs" priority="13" operator="equal" dxfId="2">
      <formula>"PŁATNE"</formula>
    </cfRule>
    <cfRule type="cellIs" priority="14" operator="equal" dxfId="3">
      <formula>"NIE"</formula>
    </cfRule>
    <cfRule type="cellIs" priority="15" operator="equal" dxfId="4">
      <formula>"b.d."</formula>
    </cfRule>
  </conditionalFormatting>
  <conditionalFormatting sqref="G2:G441">
    <cfRule type="cellIs" priority="16" operator="equal" dxfId="0">
      <formula>"TAK"</formula>
    </cfRule>
    <cfRule type="cellIs" priority="17" operator="equal" dxfId="1">
      <formula>"CZĘŚĆ"</formula>
    </cfRule>
    <cfRule type="cellIs" priority="18" operator="equal" dxfId="2">
      <formula>"PŁATNE"</formula>
    </cfRule>
    <cfRule type="cellIs" priority="19" operator="equal" dxfId="3">
      <formula>"NIE"</formula>
    </cfRule>
    <cfRule type="cellIs" priority="20" operator="equal" dxfId="4">
      <formula>"b.d."</formula>
    </cfRule>
  </conditionalFormatting>
  <conditionalFormatting sqref="H2:H441">
    <cfRule type="cellIs" priority="21" operator="equal" dxfId="0">
      <formula>"TAK"</formula>
    </cfRule>
    <cfRule type="cellIs" priority="22" operator="equal" dxfId="1">
      <formula>"CZĘŚĆ"</formula>
    </cfRule>
    <cfRule type="cellIs" priority="23" operator="equal" dxfId="2">
      <formula>"PŁATNE"</formula>
    </cfRule>
    <cfRule type="cellIs" priority="24" operator="equal" dxfId="3">
      <formula>"NIE"</formula>
    </cfRule>
    <cfRule type="cellIs" priority="25" operator="equal" dxfId="4">
      <formula>"b.d."</formula>
    </cfRule>
  </conditionalFormatting>
  <conditionalFormatting sqref="I2:I441">
    <cfRule type="cellIs" priority="26" operator="equal" dxfId="0">
      <formula>"DZIAŁA"</formula>
    </cfRule>
    <cfRule type="cellIs" priority="27" operator="equal" dxfId="1">
      <formula>"CZĘŚCIOWE"</formula>
    </cfRule>
    <cfRule type="cellIs" priority="28" operator="equal" dxfId="5">
      <formula>"FLAGA"</formula>
    </cfRule>
    <cfRule type="cellIs" priority="29" operator="equal" dxfId="6">
      <formula>"ATRAPA"</formula>
    </cfRule>
    <cfRule type="cellIs" priority="30" operator="equal" dxfId="6">
      <formula>"ENDPOINT BEZ UI"</formula>
    </cfRule>
    <cfRule type="cellIs" priority="31" operator="equal" dxfId="7">
      <formula>"BRAK"</formula>
    </cfRule>
  </conditionalFormatting>
  <conditionalFormatting sqref="K2:K441">
    <cfRule type="cellIs" priority="32" operator="equal" dxfId="0">
      <formula>"PARYTET"</formula>
    </cfRule>
    <cfRule type="cellIs" priority="33" operator="equal" dxfId="8">
      <formula>"PRZEWAGA"</formula>
    </cfRule>
    <cfRule type="cellIs" priority="34" operator="equal" dxfId="1">
      <formula>"CZĘŚCIOWY"</formula>
    </cfRule>
    <cfRule type="cellIs" priority="35" operator="equal" dxfId="7">
      <formula>"LUKA"</formula>
    </cfRule>
    <cfRule type="cellIs" priority="36" operator="equal" dxfId="4">
      <formula>"POZA ZAKRESEM"</formula>
    </cfRule>
  </conditionalFormatting>
  <conditionalFormatting sqref="L2:L441">
    <cfRule type="cellIs" priority="37" operator="equal" dxfId="9">
      <formula>"BLOKER STARTU"</formula>
    </cfRule>
    <cfRule type="cellIs" priority="38" operator="equal" dxfId="6">
      <formula>"WYSOKA"</formula>
    </cfRule>
    <cfRule type="cellIs" priority="39" operator="equal" dxfId="1">
      <formula>"ŚREDNIA"</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2026-10-13T17:53:30Z</dcterms:created>
  <dcterms:modified xmlns:dcterms="http://purl.org/dc/terms/" xmlns:xsi="http://www.w3.org/2001/XMLSchema-instance" xsi:type="dcterms:W3CDTF">2026-10-13T17:53:30Z</dcterms:modified>
</cp:coreProperties>
</file>