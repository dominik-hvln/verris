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COUNTIF(Macierz!$K$2:$K$368,A6)</f>
        <v/>
      </c>
    </row>
    <row r="7">
      <c r="A7" s="5" t="inlineStr">
        <is>
          <t>PRZEWAGA</t>
        </is>
      </c>
      <c r="B7" s="5">
        <f>COUNTIF(Macierz!$K$2:$K$368,A7)</f>
        <v/>
      </c>
    </row>
    <row r="8">
      <c r="A8" s="5" t="inlineStr">
        <is>
          <t>CZĘŚCIOWY</t>
        </is>
      </c>
      <c r="B8" s="5">
        <f>COUNTIF(Macierz!$K$2:$K$368,A8)</f>
        <v/>
      </c>
    </row>
    <row r="9">
      <c r="A9" s="5" t="inlineStr">
        <is>
          <t>LUKA</t>
        </is>
      </c>
      <c r="B9" s="5">
        <f>COUNTIF(Macierz!$K$2:$K$368,A9)</f>
        <v/>
      </c>
    </row>
    <row r="10">
      <c r="A10" s="5" t="inlineStr">
        <is>
          <t>POZA ZAKRESEM</t>
        </is>
      </c>
      <c r="B10" s="5">
        <f>COUNTIF(Macierz!$K$2:$K$368,A10)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COUNTIF(Macierz!$I$2:$I$368,A15)</f>
        <v/>
      </c>
    </row>
    <row r="16">
      <c r="A16" s="5" t="inlineStr">
        <is>
          <t>CZĘŚCIOWE</t>
        </is>
      </c>
      <c r="B16" s="5">
        <f>COUNTIF(Macierz!$I$2:$I$368,A16)</f>
        <v/>
      </c>
    </row>
    <row r="17">
      <c r="A17" s="5" t="inlineStr">
        <is>
          <t>FLAGA</t>
        </is>
      </c>
      <c r="B17" s="5">
        <f>COUNTIF(Macierz!$I$2:$I$368,A17)</f>
        <v/>
      </c>
    </row>
    <row r="18">
      <c r="A18" s="5" t="inlineStr">
        <is>
          <t>ATRAPA</t>
        </is>
      </c>
      <c r="B18" s="5">
        <f>COUNTIF(Macierz!$I$2:$I$368,A18)</f>
        <v/>
      </c>
    </row>
    <row r="19">
      <c r="A19" s="5" t="inlineStr">
        <is>
          <t>ENDPOINT BEZ UI</t>
        </is>
      </c>
      <c r="B19" s="5">
        <f>COUNTIF(Macierz!$I$2:$I$368,A19)</f>
        <v/>
      </c>
    </row>
    <row r="20">
      <c r="A20" s="5" t="inlineStr">
        <is>
          <t>BRAK</t>
        </is>
      </c>
      <c r="B20" s="5">
        <f>COUNTIF(Macierz!$I$2:$I$368,A20)</f>
        <v/>
      </c>
    </row>
    <row r="21">
      <c r="A21" s="5" t="inlineStr">
        <is>
          <t>b.d.</t>
        </is>
      </c>
      <c r="B21" s="5">
        <f>COUNTIF(Macierz!$I$2:$I$368,A21)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COUNTIF(Macierz!$L$2:$L$368,A26)</f>
        <v/>
      </c>
    </row>
    <row r="27">
      <c r="A27" s="5" t="inlineStr">
        <is>
          <t>WYSOKA</t>
        </is>
      </c>
      <c r="B27" s="5">
        <f>COUNTIF(Macierz!$L$2:$L$368,A27)</f>
        <v/>
      </c>
    </row>
    <row r="28">
      <c r="A28" s="5" t="inlineStr">
        <is>
          <t>ŚREDNIA</t>
        </is>
      </c>
      <c r="B28" s="5">
        <f>COUNTIF(Macierz!$L$2:$L$368,A28)</f>
        <v/>
      </c>
    </row>
    <row r="29">
      <c r="A29" s="5" t="inlineStr">
        <is>
          <t>NISKA</t>
        </is>
      </c>
      <c r="B29" s="5">
        <f>COUNTIF(Macierz!$L$2:$L$368,A29)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COUNTIF(Macierz!$B$2:$B$368,"A")</f>
        <v/>
      </c>
      <c r="C33" s="7">
        <f>COUNTIFS(Macierz!$B$2:$B$368,"A",Macierz!$K$2:$K$368,"PARYTET")+COUNTIFS(Macierz!$B$2:$B$368,"A",Macierz!$K$2:$K$368,"PRZEWAGA")</f>
        <v/>
      </c>
      <c r="D33" s="7">
        <f>COUNTIFS(Macierz!$B$2:$B$368,"A",Macierz!$K$2:$K$368,"LUKA")</f>
        <v/>
      </c>
      <c r="E33" s="7">
        <f>COUNTIFS(Macierz!$B$2:$B$368,"A",Macierz!$L$2:$L$368,"BLOKER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COUNTIF(Macierz!$B$2:$B$368,"B")</f>
        <v/>
      </c>
      <c r="C34" s="7">
        <f>COUNTIFS(Macierz!$B$2:$B$368,"B",Macierz!$K$2:$K$368,"PARYTET")+COUNTIFS(Macierz!$B$2:$B$368,"B",Macierz!$K$2:$K$368,"PRZEWAGA")</f>
        <v/>
      </c>
      <c r="D34" s="7">
        <f>COUNTIFS(Macierz!$B$2:$B$368,"B",Macierz!$K$2:$K$368,"LUKA")</f>
        <v/>
      </c>
      <c r="E34" s="7">
        <f>COUNTIFS(Macierz!$B$2:$B$368,"B",Macierz!$L$2:$L$368,"BLOKER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COUNTIF(Macierz!$B$2:$B$368,"C")</f>
        <v/>
      </c>
      <c r="C35" s="7">
        <f>COUNTIFS(Macierz!$B$2:$B$368,"C",Macierz!$K$2:$K$368,"PARYTET")+COUNTIFS(Macierz!$B$2:$B$368,"C",Macierz!$K$2:$K$368,"PRZEWAGA")</f>
        <v/>
      </c>
      <c r="D35" s="7">
        <f>COUNTIFS(Macierz!$B$2:$B$368,"C",Macierz!$K$2:$K$368,"LUKA")</f>
        <v/>
      </c>
      <c r="E35" s="7">
        <f>COUNTIFS(Macierz!$B$2:$B$368,"C",Macierz!$L$2:$L$368,"BLOKER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COUNTIF(Macierz!$B$2:$B$368,"D")</f>
        <v/>
      </c>
      <c r="C36" s="7">
        <f>COUNTIFS(Macierz!$B$2:$B$368,"D",Macierz!$K$2:$K$368,"PARYTET")+COUNTIFS(Macierz!$B$2:$B$368,"D",Macierz!$K$2:$K$368,"PRZEWAGA")</f>
        <v/>
      </c>
      <c r="D36" s="7">
        <f>COUNTIFS(Macierz!$B$2:$B$368,"D",Macierz!$K$2:$K$368,"LUKA")</f>
        <v/>
      </c>
      <c r="E36" s="7">
        <f>COUNTIFS(Macierz!$B$2:$B$368,"D",Macierz!$L$2:$L$368,"BLOKER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COUNTIF(Macierz!$B$2:$B$368,"E")</f>
        <v/>
      </c>
      <c r="C37" s="7">
        <f>COUNTIFS(Macierz!$B$2:$B$368,"E",Macierz!$K$2:$K$368,"PARYTET")+COUNTIFS(Macierz!$B$2:$B$368,"E",Macierz!$K$2:$K$368,"PRZEWAGA")</f>
        <v/>
      </c>
      <c r="D37" s="7">
        <f>COUNTIFS(Macierz!$B$2:$B$368,"E",Macierz!$K$2:$K$368,"LUKA")</f>
        <v/>
      </c>
      <c r="E37" s="7">
        <f>COUNTIFS(Macierz!$B$2:$B$368,"E",Macierz!$L$2:$L$368,"BLOKER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COUNTIF(Macierz!$B$2:$B$368,"F")</f>
        <v/>
      </c>
      <c r="C38" s="7">
        <f>COUNTIFS(Macierz!$B$2:$B$368,"F",Macierz!$K$2:$K$368,"PARYTET")+COUNTIFS(Macierz!$B$2:$B$368,"F",Macierz!$K$2:$K$368,"PRZEWAGA")</f>
        <v/>
      </c>
      <c r="D38" s="7">
        <f>COUNTIFS(Macierz!$B$2:$B$368,"F",Macierz!$K$2:$K$368,"LUKA")</f>
        <v/>
      </c>
      <c r="E38" s="7">
        <f>COUNTIFS(Macierz!$B$2:$B$368,"F",Macierz!$L$2:$L$368,"BLOKER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COUNTIF(Macierz!$B$2:$B$368,"G")</f>
        <v/>
      </c>
      <c r="C39" s="7">
        <f>COUNTIFS(Macierz!$B$2:$B$368,"G",Macierz!$K$2:$K$368,"PARYTET")+COUNTIFS(Macierz!$B$2:$B$368,"G",Macierz!$K$2:$K$368,"PRZEWAGA")</f>
        <v/>
      </c>
      <c r="D39" s="7">
        <f>COUNTIFS(Macierz!$B$2:$B$368,"G",Macierz!$K$2:$K$368,"LUKA")</f>
        <v/>
      </c>
      <c r="E39" s="7">
        <f>COUNTIFS(Macierz!$B$2:$B$368,"G",Macierz!$L$2:$L$368,"BLOKER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COUNTIF(Macierz!$B$2:$B$368,"H")</f>
        <v/>
      </c>
      <c r="C40" s="7">
        <f>COUNTIFS(Macierz!$B$2:$B$368,"H",Macierz!$K$2:$K$368,"PARYTET")+COUNTIFS(Macierz!$B$2:$B$368,"H",Macierz!$K$2:$K$368,"PRZEWAGA")</f>
        <v/>
      </c>
      <c r="D40" s="7">
        <f>COUNTIFS(Macierz!$B$2:$B$368,"H",Macierz!$K$2:$K$368,"LUKA")</f>
        <v/>
      </c>
      <c r="E40" s="7">
        <f>COUNTIFS(Macierz!$B$2:$B$368,"H",Macierz!$L$2:$L$368,"BLOKER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COUNTIF(Macierz!$B$2:$B$368,"I")</f>
        <v/>
      </c>
      <c r="C41" s="7">
        <f>COUNTIFS(Macierz!$B$2:$B$368,"I",Macierz!$K$2:$K$368,"PARYTET")+COUNTIFS(Macierz!$B$2:$B$368,"I",Macierz!$K$2:$K$368,"PRZEWAGA")</f>
        <v/>
      </c>
      <c r="D41" s="7">
        <f>COUNTIFS(Macierz!$B$2:$B$368,"I",Macierz!$K$2:$K$368,"LUKA")</f>
        <v/>
      </c>
      <c r="E41" s="7">
        <f>COUNTIFS(Macierz!$B$2:$B$368,"I",Macierz!$L$2:$L$368,"BLOKER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COUNTIF(Macierz!$B$2:$B$368,"J")</f>
        <v/>
      </c>
      <c r="C42" s="7">
        <f>COUNTIFS(Macierz!$B$2:$B$368,"J",Macierz!$K$2:$K$368,"PARYTET")+COUNTIFS(Macierz!$B$2:$B$368,"J",Macierz!$K$2:$K$368,"PRZEWAGA")</f>
        <v/>
      </c>
      <c r="D42" s="7">
        <f>COUNTIFS(Macierz!$B$2:$B$368,"J",Macierz!$K$2:$K$368,"LUKA")</f>
        <v/>
      </c>
      <c r="E42" s="7">
        <f>COUNTIFS(Macierz!$B$2:$B$368,"J",Macierz!$L$2:$L$368,"BLOKER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COUNTIF(Macierz!$B$2:$B$368,"K")</f>
        <v/>
      </c>
      <c r="C43" s="7">
        <f>COUNTIFS(Macierz!$B$2:$B$368,"K",Macierz!$K$2:$K$368,"PARYTET")+COUNTIFS(Macierz!$B$2:$B$368,"K",Macierz!$K$2:$K$368,"PRZEWAGA")</f>
        <v/>
      </c>
      <c r="D43" s="7">
        <f>COUNTIFS(Macierz!$B$2:$B$368,"K",Macierz!$K$2:$K$368,"LUKA")</f>
        <v/>
      </c>
      <c r="E43" s="7">
        <f>COUNTIFS(Macierz!$B$2:$B$368,"K",Macierz!$L$2:$L$368,"BLOKER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COUNTIF(Macierz!$B$2:$B$368,"L")</f>
        <v/>
      </c>
      <c r="C44" s="7">
        <f>COUNTIFS(Macierz!$B$2:$B$368,"L",Macierz!$K$2:$K$368,"PARYTET")+COUNTIFS(Macierz!$B$2:$B$368,"L",Macierz!$K$2:$K$368,"PRZEWAGA")</f>
        <v/>
      </c>
      <c r="D44" s="7">
        <f>COUNTIFS(Macierz!$B$2:$B$368,"L",Macierz!$K$2:$K$368,"LUKA")</f>
        <v/>
      </c>
      <c r="E44" s="7">
        <f>COUNTIFS(Macierz!$B$2:$B$368,"L",Macierz!$L$2:$L$368,"BLOKER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COUNTIF(Macierz!$B$2:$B$368,"M")</f>
        <v/>
      </c>
      <c r="C45" s="7">
        <f>COUNTIFS(Macierz!$B$2:$B$368,"M",Macierz!$K$2:$K$368,"PARYTET")+COUNTIFS(Macierz!$B$2:$B$368,"M",Macierz!$K$2:$K$368,"PRZEWAGA")</f>
        <v/>
      </c>
      <c r="D45" s="7">
        <f>COUNTIFS(Macierz!$B$2:$B$368,"M",Macierz!$K$2:$K$368,"LUKA")</f>
        <v/>
      </c>
      <c r="E45" s="7">
        <f>COUNTIFS(Macierz!$B$2:$B$368,"M",Macierz!$L$2:$L$368,"BLOKER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COUNTIF(Macierz!$B$2:$B$368,"N")</f>
        <v/>
      </c>
      <c r="C46" s="7">
        <f>COUNTIFS(Macierz!$B$2:$B$368,"N",Macierz!$K$2:$K$368,"PARYTET")+COUNTIFS(Macierz!$B$2:$B$368,"N",Macierz!$K$2:$K$368,"PRZEWAGA")</f>
        <v/>
      </c>
      <c r="D46" s="7">
        <f>COUNTIFS(Macierz!$B$2:$B$368,"N",Macierz!$K$2:$K$368,"LUKA")</f>
        <v/>
      </c>
      <c r="E46" s="7">
        <f>COUNTIFS(Macierz!$B$2:$B$368,"N",Macierz!$L$2:$L$368,"BLOKER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COUNTIF(Macierz!$B$2:$B$368,"O")</f>
        <v/>
      </c>
      <c r="C47" s="7">
        <f>COUNTIFS(Macierz!$B$2:$B$368,"O",Macierz!$K$2:$K$368,"PARYTET")+COUNTIFS(Macierz!$B$2:$B$368,"O",Macierz!$K$2:$K$368,"PRZEWAGA")</f>
        <v/>
      </c>
      <c r="D47" s="7">
        <f>COUNTIFS(Macierz!$B$2:$B$368,"O",Macierz!$K$2:$K$368,"LUKA")</f>
        <v/>
      </c>
      <c r="E47" s="7">
        <f>COUNTIFS(Macierz!$B$2:$B$368,"O",Macierz!$L$2:$L$368,"BLOKER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COUNTIF(Macierz!$B$2:$B$368,"P")</f>
        <v/>
      </c>
      <c r="C48" s="7">
        <f>COUNTIFS(Macierz!$B$2:$B$368,"P",Macierz!$K$2:$K$368,"PARYTET")+COUNTIFS(Macierz!$B$2:$B$368,"P",Macierz!$K$2:$K$368,"PRZEWAGA")</f>
        <v/>
      </c>
      <c r="D48" s="7">
        <f>COUNTIFS(Macierz!$B$2:$B$368,"P",Macierz!$K$2:$K$368,"LUKA")</f>
        <v/>
      </c>
      <c r="E48" s="7">
        <f>COUNTIFS(Macierz!$B$2:$B$368,"P",Macierz!$L$2:$L$368,"BLOKER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COUNTIF(Macierz!$B$2:$B$368,"Q")</f>
        <v/>
      </c>
      <c r="C49" s="7">
        <f>COUNTIFS(Macierz!$B$2:$B$368,"Q",Macierz!$K$2:$K$368,"PARYTET")+COUNTIFS(Macierz!$B$2:$B$368,"Q",Macierz!$K$2:$K$368,"PRZEWAGA")</f>
        <v/>
      </c>
      <c r="D49" s="7">
        <f>COUNTIFS(Macierz!$B$2:$B$368,"Q",Macierz!$K$2:$K$368,"LUKA")</f>
        <v/>
      </c>
      <c r="E49" s="7">
        <f>COUNTIFS(Macierz!$B$2:$B$368,"Q",Macierz!$L$2:$L$368,"BLOKER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COUNTIF(Macierz!$B$2:$B$368,"X")</f>
        <v/>
      </c>
      <c r="C50" s="7">
        <f>COUNTIFS(Macierz!$B$2:$B$368,"X",Macierz!$K$2:$K$368,"PARYTET")+COUNTIFS(Macierz!$B$2:$B$368,"X",Macierz!$K$2:$K$368,"PRZEWAGA")</f>
        <v/>
      </c>
      <c r="D50" s="7">
        <f>COUNTIFS(Macierz!$B$2:$B$368,"X",Macierz!$K$2:$K$368,"LUKA")</f>
        <v/>
      </c>
      <c r="E50" s="7">
        <f>COUNTIFS(Macierz!$B$2:$B$368,"X",Macierz!$L$2:$L$368,"BLOKER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COUNTIF(Macierz!$B$2:$B$368,"Z")</f>
        <v/>
      </c>
      <c r="C51" s="7">
        <f>COUNTIFS(Macierz!$B$2:$B$368,"Z",Macierz!$K$2:$K$368,"PARYTET")+COUNTIFS(Macierz!$B$2:$B$368,"Z",Macierz!$K$2:$K$368,"PRZEWAGA")</f>
        <v/>
      </c>
      <c r="D51" s="7">
        <f>COUNTIFS(Macierz!$B$2:$B$368,"Z",Macierz!$K$2:$K$368,"LUKA")</f>
        <v/>
      </c>
      <c r="E51" s="7">
        <f>COUNTIFS(Macierz!$B$2:$B$368,"Z",Macierz!$L$2:$L$368,"BLOKER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</sheetData>
  <autoFilter ref="A1:N368"/>
  <conditionalFormatting sqref="D2:D368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8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8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8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8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8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8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8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2026-08-22T11:39:44Z</dcterms:created>
  <dcterms:modified xmlns:dcterms="http://purl.org/dc/terms/" xmlns:xsi="http://www.w3.org/2001/XMLSchema-instance" xsi:type="dcterms:W3CDTF">2026-08-22T11:39:44Z</dcterms:modified>
</cp:coreProperties>
</file>