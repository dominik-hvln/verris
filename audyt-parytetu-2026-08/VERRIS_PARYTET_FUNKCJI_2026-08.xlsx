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Macierz" sheetId="2" state="visible" r:id="rId2"/>
  </sheets>
  <definedNames>
    <definedName name="_xlnm._FilterDatabase" localSheetId="1" hidden="1">'Macierz'!$A$1:$N$359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8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dxfs count="10">
    <dxf>
      <font>
        <name val="Arial"/>
        <b val="1"/>
        <color rgb="00000000"/>
        <sz val="10"/>
      </font>
      <fill>
        <patternFill patternType="solid">
          <fgColor rgb="00D6EFD8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00000"/>
        <sz val="10"/>
      </font>
      <fill>
        <patternFill patternType="solid">
          <fgColor rgb="00FCE4D6"/>
        </patternFill>
      </fill>
    </dxf>
    <dxf>
      <font>
        <name val="Arial"/>
        <b val="1"/>
        <color rgb="00000000"/>
        <sz val="10"/>
      </font>
      <fill>
        <patternFill patternType="solid">
          <fgColor rgb="00F2F2F2"/>
        </patternFill>
      </fill>
    </dxf>
    <dxf>
      <font>
        <name val="Arial"/>
        <b val="1"/>
        <color rgb="00000000"/>
        <sz val="10"/>
      </font>
      <fill>
        <patternFill patternType="solid">
          <fgColor rgb="00EDEDED"/>
        </patternFill>
      </fill>
    </dxf>
    <dxf>
      <font>
        <name val="Arial"/>
        <b val="1"/>
        <color rgb="00000000"/>
        <sz val="10"/>
      </font>
      <fill>
        <patternFill patternType="solid">
          <fgColor rgb="00FFE699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4B6B6"/>
        </patternFill>
      </fill>
    </dxf>
    <dxf>
      <font>
        <name val="Arial"/>
        <b val="1"/>
        <color rgb="00000000"/>
        <sz val="10"/>
      </font>
      <fill>
        <patternFill patternType="solid">
          <fgColor rgb="00BDD7EE"/>
        </patternFill>
      </fill>
    </dxf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Verris — parytet funkcji wobec rynku</t>
        </is>
      </c>
    </row>
    <row r="2">
      <c r="A2" s="2" t="inlineStr">
        <is>
          <t>Wygenerowane 2026-08-21 z audyt/dane/macierz.csv · nie edytuj tego pliku ręcznie</t>
        </is>
      </c>
    </row>
    <row r="4">
      <c r="A4" s="3" t="inlineStr">
        <is>
          <t>Werdykt parytetu</t>
        </is>
      </c>
    </row>
    <row r="5">
      <c r="A5" s="4" t="inlineStr">
        <is>
          <t>Wartość</t>
        </is>
      </c>
      <c r="B5" s="4" t="inlineStr">
        <is>
          <t>Pozycji</t>
        </is>
      </c>
    </row>
    <row r="6">
      <c r="A6" s="5" t="inlineStr">
        <is>
          <t>PARYTET</t>
        </is>
      </c>
      <c r="B6" s="5">
        <f>COUNTIF(Macierz!$K$2:$K$359,A6)</f>
        <v/>
      </c>
    </row>
    <row r="7">
      <c r="A7" s="5" t="inlineStr">
        <is>
          <t>PRZEWAGA</t>
        </is>
      </c>
      <c r="B7" s="5">
        <f>COUNTIF(Macierz!$K$2:$K$359,A7)</f>
        <v/>
      </c>
    </row>
    <row r="8">
      <c r="A8" s="5" t="inlineStr">
        <is>
          <t>CZĘŚCIOWY</t>
        </is>
      </c>
      <c r="B8" s="5">
        <f>COUNTIF(Macierz!$K$2:$K$359,A8)</f>
        <v/>
      </c>
    </row>
    <row r="9">
      <c r="A9" s="5" t="inlineStr">
        <is>
          <t>LUKA</t>
        </is>
      </c>
      <c r="B9" s="5">
        <f>COUNTIF(Macierz!$K$2:$K$359,A9)</f>
        <v/>
      </c>
    </row>
    <row r="10">
      <c r="A10" s="5" t="inlineStr">
        <is>
          <t>POZA ZAKRESEM</t>
        </is>
      </c>
      <c r="B10" s="5">
        <f>COUNTIF(Macierz!$K$2:$K$359,A10)</f>
        <v/>
      </c>
    </row>
    <row r="13">
      <c r="A13" s="3" t="inlineStr">
        <is>
          <t>Stan implementacji</t>
        </is>
      </c>
    </row>
    <row r="14">
      <c r="A14" s="4" t="inlineStr">
        <is>
          <t>Wartość</t>
        </is>
      </c>
      <c r="B14" s="4" t="inlineStr">
        <is>
          <t>Pozycji</t>
        </is>
      </c>
    </row>
    <row r="15">
      <c r="A15" s="5" t="inlineStr">
        <is>
          <t>DZIAŁA</t>
        </is>
      </c>
      <c r="B15" s="5">
        <f>COUNTIF(Macierz!$I$2:$I$359,A15)</f>
        <v/>
      </c>
    </row>
    <row r="16">
      <c r="A16" s="5" t="inlineStr">
        <is>
          <t>CZĘŚCIOWE</t>
        </is>
      </c>
      <c r="B16" s="5">
        <f>COUNTIF(Macierz!$I$2:$I$359,A16)</f>
        <v/>
      </c>
    </row>
    <row r="17">
      <c r="A17" s="5" t="inlineStr">
        <is>
          <t>FLAGA</t>
        </is>
      </c>
      <c r="B17" s="5">
        <f>COUNTIF(Macierz!$I$2:$I$359,A17)</f>
        <v/>
      </c>
    </row>
    <row r="18">
      <c r="A18" s="5" t="inlineStr">
        <is>
          <t>ATRAPA</t>
        </is>
      </c>
      <c r="B18" s="5">
        <f>COUNTIF(Macierz!$I$2:$I$359,A18)</f>
        <v/>
      </c>
    </row>
    <row r="19">
      <c r="A19" s="5" t="inlineStr">
        <is>
          <t>ENDPOINT BEZ UI</t>
        </is>
      </c>
      <c r="B19" s="5">
        <f>COUNTIF(Macierz!$I$2:$I$359,A19)</f>
        <v/>
      </c>
    </row>
    <row r="20">
      <c r="A20" s="5" t="inlineStr">
        <is>
          <t>BRAK</t>
        </is>
      </c>
      <c r="B20" s="5">
        <f>COUNTIF(Macierz!$I$2:$I$359,A20)</f>
        <v/>
      </c>
    </row>
    <row r="21">
      <c r="A21" s="5" t="inlineStr">
        <is>
          <t>b.d.</t>
        </is>
      </c>
      <c r="B21" s="5">
        <f>COUNTIF(Macierz!$I$2:$I$359,A21)</f>
        <v/>
      </c>
    </row>
    <row r="24">
      <c r="A24" s="3" t="inlineStr">
        <is>
          <t>Krytyczność luk</t>
        </is>
      </c>
    </row>
    <row r="25">
      <c r="A25" s="4" t="inlineStr">
        <is>
          <t>Wartość</t>
        </is>
      </c>
      <c r="B25" s="4" t="inlineStr">
        <is>
          <t>Pozycji</t>
        </is>
      </c>
    </row>
    <row r="26">
      <c r="A26" s="6" t="inlineStr">
        <is>
          <t>BLOKER STARTU</t>
        </is>
      </c>
      <c r="B26" s="6">
        <f>COUNTIF(Macierz!$L$2:$L$359,A26)</f>
        <v/>
      </c>
    </row>
    <row r="27">
      <c r="A27" s="5" t="inlineStr">
        <is>
          <t>WYSOKA</t>
        </is>
      </c>
      <c r="B27" s="5">
        <f>COUNTIF(Macierz!$L$2:$L$359,A27)</f>
        <v/>
      </c>
    </row>
    <row r="28">
      <c r="A28" s="5" t="inlineStr">
        <is>
          <t>ŚREDNIA</t>
        </is>
      </c>
      <c r="B28" s="5">
        <f>COUNTIF(Macierz!$L$2:$L$359,A28)</f>
        <v/>
      </c>
    </row>
    <row r="29">
      <c r="A29" s="5" t="inlineStr">
        <is>
          <t>NISKA</t>
        </is>
      </c>
      <c r="B29" s="5">
        <f>COUNTIF(Macierz!$L$2:$L$359,A29)</f>
        <v/>
      </c>
    </row>
    <row r="31">
      <c r="A31" s="3" t="inlineStr">
        <is>
          <t>Pokrycie per kategoria</t>
        </is>
      </c>
    </row>
    <row r="32">
      <c r="A32" s="4" t="inlineStr">
        <is>
          <t>Kategoria</t>
        </is>
      </c>
      <c r="B32" s="4" t="inlineStr">
        <is>
          <t>Pozycji</t>
        </is>
      </c>
      <c r="C32" s="4" t="inlineStr">
        <is>
          <t>Parytet+Przewaga</t>
        </is>
      </c>
      <c r="D32" s="4" t="inlineStr">
        <is>
          <t>Luki</t>
        </is>
      </c>
      <c r="E32" s="4" t="inlineStr">
        <is>
          <t>Blokery</t>
        </is>
      </c>
      <c r="F32" s="4" t="inlineStr">
        <is>
          <t>Pokrycie</t>
        </is>
      </c>
    </row>
    <row r="33">
      <c r="A33" s="7" t="inlineStr">
        <is>
          <t>A — Domeny i konta</t>
        </is>
      </c>
      <c r="B33" s="7">
        <f>COUNTIF(Macierz!$B$2:$B$359,"A")</f>
        <v/>
      </c>
      <c r="C33" s="7">
        <f>COUNTIFS(Macierz!$B$2:$B$359,"A",Macierz!$K$2:$K$359,"PARYTET")+COUNTIFS(Macierz!$B$2:$B$359,"A",Macierz!$K$2:$K$359,"PRZEWAGA")</f>
        <v/>
      </c>
      <c r="D33" s="7">
        <f>COUNTIFS(Macierz!$B$2:$B$359,"A",Macierz!$K$2:$K$359,"LUKA")</f>
        <v/>
      </c>
      <c r="E33" s="7">
        <f>COUNTIFS(Macierz!$B$2:$B$359,"A",Macierz!$L$2:$L$359,"BLOKER STARTU")</f>
        <v/>
      </c>
      <c r="F33" s="8">
        <f>IFERROR(C33/B33,0)</f>
        <v/>
      </c>
    </row>
    <row r="34">
      <c r="A34" s="7" t="inlineStr">
        <is>
          <t>B — Runtime WWW</t>
        </is>
      </c>
      <c r="B34" s="7">
        <f>COUNTIF(Macierz!$B$2:$B$359,"B")</f>
        <v/>
      </c>
      <c r="C34" s="7">
        <f>COUNTIFS(Macierz!$B$2:$B$359,"B",Macierz!$K$2:$K$359,"PARYTET")+COUNTIFS(Macierz!$B$2:$B$359,"B",Macierz!$K$2:$K$359,"PRZEWAGA")</f>
        <v/>
      </c>
      <c r="D34" s="7">
        <f>COUNTIFS(Macierz!$B$2:$B$359,"B",Macierz!$K$2:$K$359,"LUKA")</f>
        <v/>
      </c>
      <c r="E34" s="7">
        <f>COUNTIFS(Macierz!$B$2:$B$359,"B",Macierz!$L$2:$L$359,"BLOKER STARTU")</f>
        <v/>
      </c>
      <c r="F34" s="8">
        <f>IFERROR(C34/B34,0)</f>
        <v/>
      </c>
    </row>
    <row r="35">
      <c r="A35" s="7" t="inlineStr">
        <is>
          <t>C — Pliki, FTP, SSH, Git</t>
        </is>
      </c>
      <c r="B35" s="7">
        <f>COUNTIF(Macierz!$B$2:$B$359,"C")</f>
        <v/>
      </c>
      <c r="C35" s="7">
        <f>COUNTIFS(Macierz!$B$2:$B$359,"C",Macierz!$K$2:$K$359,"PARYTET")+COUNTIFS(Macierz!$B$2:$B$359,"C",Macierz!$K$2:$K$359,"PRZEWAGA")</f>
        <v/>
      </c>
      <c r="D35" s="7">
        <f>COUNTIFS(Macierz!$B$2:$B$359,"C",Macierz!$K$2:$K$359,"LUKA")</f>
        <v/>
      </c>
      <c r="E35" s="7">
        <f>COUNTIFS(Macierz!$B$2:$B$359,"C",Macierz!$L$2:$L$359,"BLOKER STARTU")</f>
        <v/>
      </c>
      <c r="F35" s="8">
        <f>IFERROR(C35/B35,0)</f>
        <v/>
      </c>
    </row>
    <row r="36">
      <c r="A36" s="7" t="inlineStr">
        <is>
          <t>D — Bazy danych</t>
        </is>
      </c>
      <c r="B36" s="7">
        <f>COUNTIF(Macierz!$B$2:$B$359,"D")</f>
        <v/>
      </c>
      <c r="C36" s="7">
        <f>COUNTIFS(Macierz!$B$2:$B$359,"D",Macierz!$K$2:$K$359,"PARYTET")+COUNTIFS(Macierz!$B$2:$B$359,"D",Macierz!$K$2:$K$359,"PRZEWAGA")</f>
        <v/>
      </c>
      <c r="D36" s="7">
        <f>COUNTIFS(Macierz!$B$2:$B$359,"D",Macierz!$K$2:$K$359,"LUKA")</f>
        <v/>
      </c>
      <c r="E36" s="7">
        <f>COUNTIFS(Macierz!$B$2:$B$359,"D",Macierz!$L$2:$L$359,"BLOKER STARTU")</f>
        <v/>
      </c>
      <c r="F36" s="8">
        <f>IFERROR(C36/B36,0)</f>
        <v/>
      </c>
    </row>
    <row r="37">
      <c r="A37" s="7" t="inlineStr">
        <is>
          <t>E — Poczta</t>
        </is>
      </c>
      <c r="B37" s="7">
        <f>COUNTIF(Macierz!$B$2:$B$359,"E")</f>
        <v/>
      </c>
      <c r="C37" s="7">
        <f>COUNTIFS(Macierz!$B$2:$B$359,"E",Macierz!$K$2:$K$359,"PARYTET")+COUNTIFS(Macierz!$B$2:$B$359,"E",Macierz!$K$2:$K$359,"PRZEWAGA")</f>
        <v/>
      </c>
      <c r="D37" s="7">
        <f>COUNTIFS(Macierz!$B$2:$B$359,"E",Macierz!$K$2:$K$359,"LUKA")</f>
        <v/>
      </c>
      <c r="E37" s="7">
        <f>COUNTIFS(Macierz!$B$2:$B$359,"E",Macierz!$L$2:$L$359,"BLOKER STARTU")</f>
        <v/>
      </c>
      <c r="F37" s="8">
        <f>IFERROR(C37/B37,0)</f>
        <v/>
      </c>
    </row>
    <row r="38">
      <c r="A38" s="7" t="inlineStr">
        <is>
          <t>F — DNS</t>
        </is>
      </c>
      <c r="B38" s="7">
        <f>COUNTIF(Macierz!$B$2:$B$359,"F")</f>
        <v/>
      </c>
      <c r="C38" s="7">
        <f>COUNTIFS(Macierz!$B$2:$B$359,"F",Macierz!$K$2:$K$359,"PARYTET")+COUNTIFS(Macierz!$B$2:$B$359,"F",Macierz!$K$2:$K$359,"PRZEWAGA")</f>
        <v/>
      </c>
      <c r="D38" s="7">
        <f>COUNTIFS(Macierz!$B$2:$B$359,"F",Macierz!$K$2:$K$359,"LUKA")</f>
        <v/>
      </c>
      <c r="E38" s="7">
        <f>COUNTIFS(Macierz!$B$2:$B$359,"F",Macierz!$L$2:$L$359,"BLOKER STARTU")</f>
        <v/>
      </c>
      <c r="F38" s="8">
        <f>IFERROR(C38/B38,0)</f>
        <v/>
      </c>
    </row>
    <row r="39">
      <c r="A39" s="7" t="inlineStr">
        <is>
          <t>G — SSL i bezpieczeństwo</t>
        </is>
      </c>
      <c r="B39" s="7">
        <f>COUNTIF(Macierz!$B$2:$B$359,"G")</f>
        <v/>
      </c>
      <c r="C39" s="7">
        <f>COUNTIFS(Macierz!$B$2:$B$359,"G",Macierz!$K$2:$K$359,"PARYTET")+COUNTIFS(Macierz!$B$2:$B$359,"G",Macierz!$K$2:$K$359,"PRZEWAGA")</f>
        <v/>
      </c>
      <c r="D39" s="7">
        <f>COUNTIFS(Macierz!$B$2:$B$359,"G",Macierz!$K$2:$K$359,"LUKA")</f>
        <v/>
      </c>
      <c r="E39" s="7">
        <f>COUNTIFS(Macierz!$B$2:$B$359,"G",Macierz!$L$2:$L$359,"BLOKER STARTU")</f>
        <v/>
      </c>
      <c r="F39" s="8">
        <f>IFERROR(C39/B39,0)</f>
        <v/>
      </c>
    </row>
    <row r="40">
      <c r="A40" s="7" t="inlineStr">
        <is>
          <t>H — Backup i odtwarzanie</t>
        </is>
      </c>
      <c r="B40" s="7">
        <f>COUNTIF(Macierz!$B$2:$B$359,"H")</f>
        <v/>
      </c>
      <c r="C40" s="7">
        <f>COUNTIFS(Macierz!$B$2:$B$359,"H",Macierz!$K$2:$K$359,"PARYTET")+COUNTIFS(Macierz!$B$2:$B$359,"H",Macierz!$K$2:$K$359,"PRZEWAGA")</f>
        <v/>
      </c>
      <c r="D40" s="7">
        <f>COUNTIFS(Macierz!$B$2:$B$359,"H",Macierz!$K$2:$K$359,"LUKA")</f>
        <v/>
      </c>
      <c r="E40" s="7">
        <f>COUNTIFS(Macierz!$B$2:$B$359,"H",Macierz!$L$2:$L$359,"BLOKER STARTU")</f>
        <v/>
      </c>
      <c r="F40" s="8">
        <f>IFERROR(C40/B40,0)</f>
        <v/>
      </c>
    </row>
    <row r="41">
      <c r="A41" s="7" t="inlineStr">
        <is>
          <t>I — Aplikacje i WordPress</t>
        </is>
      </c>
      <c r="B41" s="7">
        <f>COUNTIF(Macierz!$B$2:$B$359,"I")</f>
        <v/>
      </c>
      <c r="C41" s="7">
        <f>COUNTIFS(Macierz!$B$2:$B$359,"I",Macierz!$K$2:$K$359,"PARYTET")+COUNTIFS(Macierz!$B$2:$B$359,"I",Macierz!$K$2:$K$359,"PRZEWAGA")</f>
        <v/>
      </c>
      <c r="D41" s="7">
        <f>COUNTIFS(Macierz!$B$2:$B$359,"I",Macierz!$K$2:$K$359,"LUKA")</f>
        <v/>
      </c>
      <c r="E41" s="7">
        <f>COUNTIFS(Macierz!$B$2:$B$359,"I",Macierz!$L$2:$L$359,"BLOKER STARTU")</f>
        <v/>
      </c>
      <c r="F41" s="8">
        <f>IFERROR(C41/B41,0)</f>
        <v/>
      </c>
    </row>
    <row r="42">
      <c r="A42" s="7" t="inlineStr">
        <is>
          <t>J — Wydajność i cache</t>
        </is>
      </c>
      <c r="B42" s="7">
        <f>COUNTIF(Macierz!$B$2:$B$359,"J")</f>
        <v/>
      </c>
      <c r="C42" s="7">
        <f>COUNTIFS(Macierz!$B$2:$B$359,"J",Macierz!$K$2:$K$359,"PARYTET")+COUNTIFS(Macierz!$B$2:$B$359,"J",Macierz!$K$2:$K$359,"PRZEWAGA")</f>
        <v/>
      </c>
      <c r="D42" s="7">
        <f>COUNTIFS(Macierz!$B$2:$B$359,"J",Macierz!$K$2:$K$359,"LUKA")</f>
        <v/>
      </c>
      <c r="E42" s="7">
        <f>COUNTIFS(Macierz!$B$2:$B$359,"J",Macierz!$L$2:$L$359,"BLOKER STARTU")</f>
        <v/>
      </c>
      <c r="F42" s="8">
        <f>IFERROR(C42/B42,0)</f>
        <v/>
      </c>
    </row>
    <row r="43">
      <c r="A43" s="7" t="inlineStr">
        <is>
          <t>K — Statystyki, logi, limity</t>
        </is>
      </c>
      <c r="B43" s="7">
        <f>COUNTIF(Macierz!$B$2:$B$359,"K")</f>
        <v/>
      </c>
      <c r="C43" s="7">
        <f>COUNTIFS(Macierz!$B$2:$B$359,"K",Macierz!$K$2:$K$359,"PARYTET")+COUNTIFS(Macierz!$B$2:$B$359,"K",Macierz!$K$2:$K$359,"PRZEWAGA")</f>
        <v/>
      </c>
      <c r="D43" s="7">
        <f>COUNTIFS(Macierz!$B$2:$B$359,"K",Macierz!$K$2:$K$359,"LUKA")</f>
        <v/>
      </c>
      <c r="E43" s="7">
        <f>COUNTIFS(Macierz!$B$2:$B$359,"K",Macierz!$L$2:$L$359,"BLOKER STARTU")</f>
        <v/>
      </c>
      <c r="F43" s="8">
        <f>IFERROR(C43/B43,0)</f>
        <v/>
      </c>
    </row>
    <row r="44">
      <c r="A44" s="7" t="inlineStr">
        <is>
          <t>L — Automatyzacja</t>
        </is>
      </c>
      <c r="B44" s="7">
        <f>COUNTIF(Macierz!$B$2:$B$359,"L")</f>
        <v/>
      </c>
      <c r="C44" s="7">
        <f>COUNTIFS(Macierz!$B$2:$B$359,"L",Macierz!$K$2:$K$359,"PARYTET")+COUNTIFS(Macierz!$B$2:$B$359,"L",Macierz!$K$2:$K$359,"PRZEWAGA")</f>
        <v/>
      </c>
      <c r="D44" s="7">
        <f>COUNTIFS(Macierz!$B$2:$B$359,"L",Macierz!$K$2:$K$359,"LUKA")</f>
        <v/>
      </c>
      <c r="E44" s="7">
        <f>COUNTIFS(Macierz!$B$2:$B$359,"L",Macierz!$L$2:$L$359,"BLOKER STARTU")</f>
        <v/>
      </c>
      <c r="F44" s="8">
        <f>IFERROR(C44/B44,0)</f>
        <v/>
      </c>
    </row>
    <row r="45">
      <c r="A45" s="7" t="inlineStr">
        <is>
          <t>M — Rozliczenia</t>
        </is>
      </c>
      <c r="B45" s="7">
        <f>COUNTIF(Macierz!$B$2:$B$359,"M")</f>
        <v/>
      </c>
      <c r="C45" s="7">
        <f>COUNTIFS(Macierz!$B$2:$B$359,"M",Macierz!$K$2:$K$359,"PARYTET")+COUNTIFS(Macierz!$B$2:$B$359,"M",Macierz!$K$2:$K$359,"PRZEWAGA")</f>
        <v/>
      </c>
      <c r="D45" s="7">
        <f>COUNTIFS(Macierz!$B$2:$B$359,"M",Macierz!$K$2:$K$359,"LUKA")</f>
        <v/>
      </c>
      <c r="E45" s="7">
        <f>COUNTIFS(Macierz!$B$2:$B$359,"M",Macierz!$L$2:$L$359,"BLOKER STARTU")</f>
        <v/>
      </c>
      <c r="F45" s="8">
        <f>IFERROR(C45/B45,0)</f>
        <v/>
      </c>
    </row>
    <row r="46">
      <c r="A46" s="7" t="inlineStr">
        <is>
          <t>N — Wsparcie i ops</t>
        </is>
      </c>
      <c r="B46" s="7">
        <f>COUNTIF(Macierz!$B$2:$B$359,"N")</f>
        <v/>
      </c>
      <c r="C46" s="7">
        <f>COUNTIFS(Macierz!$B$2:$B$359,"N",Macierz!$K$2:$K$359,"PARYTET")+COUNTIFS(Macierz!$B$2:$B$359,"N",Macierz!$K$2:$K$359,"PRZEWAGA")</f>
        <v/>
      </c>
      <c r="D46" s="7">
        <f>COUNTIFS(Macierz!$B$2:$B$359,"N",Macierz!$K$2:$K$359,"LUKA")</f>
        <v/>
      </c>
      <c r="E46" s="7">
        <f>COUNTIFS(Macierz!$B$2:$B$359,"N",Macierz!$L$2:$L$359,"BLOKER STARTU")</f>
        <v/>
      </c>
      <c r="F46" s="8">
        <f>IFERROR(C46/B46,0)</f>
        <v/>
      </c>
    </row>
    <row r="47">
      <c r="A47" s="7" t="inlineStr">
        <is>
          <t>O — Multi-user i reseller</t>
        </is>
      </c>
      <c r="B47" s="7">
        <f>COUNTIF(Macierz!$B$2:$B$359,"O")</f>
        <v/>
      </c>
      <c r="C47" s="7">
        <f>COUNTIFS(Macierz!$B$2:$B$359,"O",Macierz!$K$2:$K$359,"PARYTET")+COUNTIFS(Macierz!$B$2:$B$359,"O",Macierz!$K$2:$K$359,"PRZEWAGA")</f>
        <v/>
      </c>
      <c r="D47" s="7">
        <f>COUNTIFS(Macierz!$B$2:$B$359,"O",Macierz!$K$2:$K$359,"LUKA")</f>
        <v/>
      </c>
      <c r="E47" s="7">
        <f>COUNTIFS(Macierz!$B$2:$B$359,"O",Macierz!$L$2:$L$359,"BLOKER STARTU")</f>
        <v/>
      </c>
      <c r="F47" s="8">
        <f>IFERROR(C47/B47,0)</f>
        <v/>
      </c>
    </row>
    <row r="48">
      <c r="A48" s="7" t="inlineStr">
        <is>
          <t>P — Zgodność</t>
        </is>
      </c>
      <c r="B48" s="7">
        <f>COUNTIF(Macierz!$B$2:$B$359,"P")</f>
        <v/>
      </c>
      <c r="C48" s="7">
        <f>COUNTIFS(Macierz!$B$2:$B$359,"P",Macierz!$K$2:$K$359,"PARYTET")+COUNTIFS(Macierz!$B$2:$B$359,"P",Macierz!$K$2:$K$359,"PRZEWAGA")</f>
        <v/>
      </c>
      <c r="D48" s="7">
        <f>COUNTIFS(Macierz!$B$2:$B$359,"P",Macierz!$K$2:$K$359,"LUKA")</f>
        <v/>
      </c>
      <c r="E48" s="7">
        <f>COUNTIFS(Macierz!$B$2:$B$359,"P",Macierz!$L$2:$L$359,"BLOKER STARTU")</f>
        <v/>
      </c>
      <c r="F48" s="8">
        <f>IFERROR(C48/B48,0)</f>
        <v/>
      </c>
    </row>
    <row r="49">
      <c r="A49" s="7" t="inlineStr">
        <is>
          <t>Q — Przewaga</t>
        </is>
      </c>
      <c r="B49" s="7">
        <f>COUNTIF(Macierz!$B$2:$B$359,"Q")</f>
        <v/>
      </c>
      <c r="C49" s="7">
        <f>COUNTIFS(Macierz!$B$2:$B$359,"Q",Macierz!$K$2:$K$359,"PARYTET")+COUNTIFS(Macierz!$B$2:$B$359,"Q",Macierz!$K$2:$K$359,"PRZEWAGA")</f>
        <v/>
      </c>
      <c r="D49" s="7">
        <f>COUNTIFS(Macierz!$B$2:$B$359,"Q",Macierz!$K$2:$K$359,"LUKA")</f>
        <v/>
      </c>
      <c r="E49" s="7">
        <f>COUNTIFS(Macierz!$B$2:$B$359,"Q",Macierz!$L$2:$L$359,"BLOKER STARTU")</f>
        <v/>
      </c>
      <c r="F49" s="8">
        <f>IFERROR(C49/B49,0)</f>
        <v/>
      </c>
    </row>
    <row r="50">
      <c r="A50" s="7" t="inlineStr">
        <is>
          <t>X — Infrastruktura jakości</t>
        </is>
      </c>
      <c r="B50" s="7">
        <f>COUNTIF(Macierz!$B$2:$B$359,"X")</f>
        <v/>
      </c>
      <c r="C50" s="7">
        <f>COUNTIFS(Macierz!$B$2:$B$359,"X",Macierz!$K$2:$K$359,"PARYTET")+COUNTIFS(Macierz!$B$2:$B$359,"X",Macierz!$K$2:$K$359,"PRZEWAGA")</f>
        <v/>
      </c>
      <c r="D50" s="7">
        <f>COUNTIFS(Macierz!$B$2:$B$359,"X",Macierz!$K$2:$K$359,"LUKA")</f>
        <v/>
      </c>
      <c r="E50" s="7">
        <f>COUNTIFS(Macierz!$B$2:$B$359,"X",Macierz!$L$2:$L$359,"BLOKER STARTU")</f>
        <v/>
      </c>
      <c r="F50" s="8">
        <f>IFERROR(C50/B50,0)</f>
        <v/>
      </c>
    </row>
    <row r="51">
      <c r="A51" s="7" t="inlineStr">
        <is>
          <t>Z — Pass adwersaryjny</t>
        </is>
      </c>
      <c r="B51" s="7">
        <f>COUNTIF(Macierz!$B$2:$B$359,"Z")</f>
        <v/>
      </c>
      <c r="C51" s="7">
        <f>COUNTIFS(Macierz!$B$2:$B$359,"Z",Macierz!$K$2:$K$359,"PARYTET")+COUNTIFS(Macierz!$B$2:$B$359,"Z",Macierz!$K$2:$K$359,"PRZEWAGA")</f>
        <v/>
      </c>
      <c r="D51" s="7">
        <f>COUNTIFS(Macierz!$B$2:$B$359,"Z",Macierz!$K$2:$K$359,"LUKA")</f>
        <v/>
      </c>
      <c r="E51" s="7">
        <f>COUNTIFS(Macierz!$B$2:$B$359,"Z",Macierz!$L$2:$L$359,"BLOKER STARTU")</f>
        <v/>
      </c>
      <c r="F51" s="8">
        <f>IFERROR(C51/B51,0)</f>
        <v/>
      </c>
    </row>
    <row r="54">
      <c r="A54" s="9" t="inlineStr">
        <is>
          <t>UWAGA METODOLOGICZNA</t>
        </is>
      </c>
    </row>
    <row r="55">
      <c r="A55" s="7" t="inlineStr">
        <is>
          <t>• Procent pokrycia jest metryką OPISOWĄ. Decyzję o starcie podejmuje się wyłącznie na podstawie liczby blokerów.</t>
        </is>
      </c>
    </row>
    <row r="56">
      <c r="A56" s="7" t="inlineStr">
        <is>
          <t>• Kolumny cPanel/Plesk/DirectAdmin pokazują możliwości silnika — nie to, co hosting faktycznie daje klientowi.</t>
        </is>
      </c>
    </row>
    <row r="57">
      <c r="A57" s="7" t="inlineStr">
        <is>
          <t>• Werdykt liczony jest wobec kolumny „Rynek PL”, nie wobec sumy możliwości paneli.</t>
        </is>
      </c>
    </row>
    <row r="58">
      <c r="A58" s="7" t="inlineStr">
        <is>
          <t>• Stan Verris ustalany z kodu (plik:linia), nie z dokumentacji projektu.</t>
        </is>
      </c>
    </row>
    <row r="59">
      <c r="A59" s="7" t="inlineStr">
        <is>
          <t>• „ATRAPA” = UI bez działającego backendu. „ENDPOINT BEZ UI” = backend gotowy, żaden panel go nie woła.</t>
        </is>
      </c>
    </row>
    <row r="60">
      <c r="A60" s="7" t="inlineStr">
        <is>
          <t>• Ten plik jest generowany. Zmiany wprowadzaj w audyt/dane/macierz.csv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5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10" customWidth="1" min="4" max="4"/>
    <col width="10" customWidth="1" min="5" max="5"/>
    <col width="13" customWidth="1" min="6" max="6"/>
    <col width="11" customWidth="1" min="7" max="7"/>
    <col width="11" customWidth="1" min="8" max="8"/>
    <col width="17" customWidth="1" min="9" max="9"/>
    <col width="46" customWidth="1" min="10" max="10"/>
    <col width="13" customWidth="1" min="11" max="11"/>
    <col width="15" customWidth="1" min="12" max="12"/>
    <col width="8" customWidth="1" min="13" max="13"/>
    <col width="60" customWidth="1" min="14" max="14"/>
  </cols>
  <sheetData>
    <row r="1" ht="30" customHeight="1">
      <c r="A1" s="10" t="inlineStr">
        <is>
          <t>ID</t>
        </is>
      </c>
      <c r="B1" s="10" t="inlineStr">
        <is>
          <t>Kat</t>
        </is>
      </c>
      <c r="C1" s="10" t="inlineStr">
        <is>
          <t>Funkcja</t>
        </is>
      </c>
      <c r="D1" s="10" t="inlineStr">
        <is>
          <t>cPanel</t>
        </is>
      </c>
      <c r="E1" s="10" t="inlineStr">
        <is>
          <t>Plesk</t>
        </is>
      </c>
      <c r="F1" s="10" t="inlineStr">
        <is>
          <t>DirectAdmin</t>
        </is>
      </c>
      <c r="G1" s="10" t="inlineStr">
        <is>
          <t>Rynek PL</t>
        </is>
      </c>
      <c r="H1" s="10" t="inlineStr">
        <is>
          <t>Nowa fala</t>
        </is>
      </c>
      <c r="I1" s="10" t="inlineStr">
        <is>
          <t>Verris — stan</t>
        </is>
      </c>
      <c r="J1" s="10" t="inlineStr">
        <is>
          <t>Dowód (plik:linia)</t>
        </is>
      </c>
      <c r="K1" s="10" t="inlineStr">
        <is>
          <t>Werdykt</t>
        </is>
      </c>
      <c r="L1" s="10" t="inlineStr">
        <is>
          <t>Krytyczność</t>
        </is>
      </c>
      <c r="M1" s="10" t="inlineStr">
        <is>
          <t>Nakład</t>
        </is>
      </c>
      <c r="N1" s="10" t="inlineStr">
        <is>
          <t>Uwagi</t>
        </is>
      </c>
    </row>
    <row r="2">
      <c r="A2" s="11" t="inlineStr">
        <is>
          <t>A-01</t>
        </is>
      </c>
      <c r="B2" s="12" t="inlineStr">
        <is>
          <t>A</t>
        </is>
      </c>
      <c r="C2" s="11" t="inlineStr">
        <is>
          <t>Dodanie domeny do konta</t>
        </is>
      </c>
      <c r="D2" s="11" t="inlineStr">
        <is>
          <t>TAK</t>
        </is>
      </c>
      <c r="E2" s="11" t="inlineStr">
        <is>
          <t>TAK</t>
        </is>
      </c>
      <c r="F2" s="11" t="inlineStr">
        <is>
          <t>TAK</t>
        </is>
      </c>
      <c r="G2" s="11" t="inlineStr">
        <is>
          <t>TAK</t>
        </is>
      </c>
      <c r="H2" s="11" t="inlineStr">
        <is>
          <t>TAK</t>
        </is>
      </c>
      <c r="I2" s="11" t="inlineStr">
        <is>
          <t>DZIAŁA</t>
        </is>
      </c>
      <c r="J2" s="12" t="inlineStr">
        <is>
          <t>services.controller.ts:539</t>
        </is>
      </c>
      <c r="K2" s="11" t="inlineStr">
        <is>
          <t>PARYTET</t>
        </is>
      </c>
      <c r="L2" s="11" t="inlineStr">
        <is>
          <t>—</t>
        </is>
      </c>
      <c r="M2" s="11" t="inlineStr">
        <is>
          <t>—</t>
        </is>
      </c>
      <c r="N2" s="12" t="inlineStr"/>
    </row>
    <row r="3">
      <c r="A3" s="11" t="inlineStr">
        <is>
          <t>A-02</t>
        </is>
      </c>
      <c r="B3" s="12" t="inlineStr">
        <is>
          <t>A</t>
        </is>
      </c>
      <c r="C3" s="11" t="inlineStr">
        <is>
          <t>Usunięcie domeny z konta</t>
        </is>
      </c>
      <c r="D3" s="11" t="inlineStr">
        <is>
          <t>TAK</t>
        </is>
      </c>
      <c r="E3" s="11" t="inlineStr">
        <is>
          <t>TAK</t>
        </is>
      </c>
      <c r="F3" s="11" t="inlineStr">
        <is>
          <t>TAK</t>
        </is>
      </c>
      <c r="G3" s="11" t="inlineStr">
        <is>
          <t>TAK</t>
        </is>
      </c>
      <c r="H3" s="11" t="inlineStr">
        <is>
          <t>TAK</t>
        </is>
      </c>
      <c r="I3" s="11" t="inlineStr">
        <is>
          <t>DZIAŁA</t>
        </is>
      </c>
      <c r="J3" s="12" t="inlineStr">
        <is>
          <t>services.controller.ts:548</t>
        </is>
      </c>
      <c r="K3" s="11" t="inlineStr">
        <is>
          <t>PARYTET</t>
        </is>
      </c>
      <c r="L3" s="11" t="inlineStr">
        <is>
          <t>—</t>
        </is>
      </c>
      <c r="M3" s="11" t="inlineStr">
        <is>
          <t>—</t>
        </is>
      </c>
      <c r="N3" s="12" t="inlineStr"/>
    </row>
    <row r="4">
      <c r="A4" s="11" t="inlineStr">
        <is>
          <t>A-03</t>
        </is>
      </c>
      <c r="B4" s="12" t="inlineStr">
        <is>
          <t>A</t>
        </is>
      </c>
      <c r="C4" s="11" t="inlineStr">
        <is>
          <t>Subdomeny — tworzenie</t>
        </is>
      </c>
      <c r="D4" s="11" t="inlineStr">
        <is>
          <t>TAK</t>
        </is>
      </c>
      <c r="E4" s="11" t="inlineStr">
        <is>
          <t>TAK</t>
        </is>
      </c>
      <c r="F4" s="11" t="inlineStr">
        <is>
          <t>TAK</t>
        </is>
      </c>
      <c r="G4" s="11" t="inlineStr">
        <is>
          <t>TAK</t>
        </is>
      </c>
      <c r="H4" s="11" t="inlineStr">
        <is>
          <t>TAK</t>
        </is>
      </c>
      <c r="I4" s="11" t="inlineStr">
        <is>
          <t>DZIAŁA</t>
        </is>
      </c>
      <c r="J4" s="12" t="inlineStr">
        <is>
          <t>services.controller.ts:671</t>
        </is>
      </c>
      <c r="K4" s="11" t="inlineStr">
        <is>
          <t>PARYTET</t>
        </is>
      </c>
      <c r="L4" s="11" t="inlineStr">
        <is>
          <t>—</t>
        </is>
      </c>
      <c r="M4" s="11" t="inlineStr">
        <is>
          <t>—</t>
        </is>
      </c>
      <c r="N4" s="12" t="inlineStr"/>
    </row>
    <row r="5">
      <c r="A5" s="11" t="inlineStr">
        <is>
          <t>A-04</t>
        </is>
      </c>
      <c r="B5" s="12" t="inlineStr">
        <is>
          <t>A</t>
        </is>
      </c>
      <c r="C5" s="11" t="inlineStr">
        <is>
          <t>Subdomeny — usuwanie</t>
        </is>
      </c>
      <c r="D5" s="11" t="inlineStr">
        <is>
          <t>TAK</t>
        </is>
      </c>
      <c r="E5" s="11" t="inlineStr">
        <is>
          <t>TAK</t>
        </is>
      </c>
      <c r="F5" s="11" t="inlineStr">
        <is>
          <t>TAK</t>
        </is>
      </c>
      <c r="G5" s="11" t="inlineStr">
        <is>
          <t>TAK</t>
        </is>
      </c>
      <c r="H5" s="11" t="inlineStr">
        <is>
          <t>TAK</t>
        </is>
      </c>
      <c r="I5" s="11" t="inlineStr">
        <is>
          <t>DZIAŁA</t>
        </is>
      </c>
      <c r="J5" s="12" t="inlineStr">
        <is>
          <t>services.controller.ts:680</t>
        </is>
      </c>
      <c r="K5" s="11" t="inlineStr">
        <is>
          <t>PARYTET</t>
        </is>
      </c>
      <c r="L5" s="11" t="inlineStr">
        <is>
          <t>—</t>
        </is>
      </c>
      <c r="M5" s="11" t="inlineStr">
        <is>
          <t>—</t>
        </is>
      </c>
      <c r="N5" s="12" t="inlineStr"/>
    </row>
    <row r="6">
      <c r="A6" s="11" t="inlineStr">
        <is>
          <t>A-05</t>
        </is>
      </c>
      <c r="B6" s="12" t="inlineStr">
        <is>
          <t>A</t>
        </is>
      </c>
      <c r="C6" s="11" t="inlineStr">
        <is>
          <t>Alias / parkowanie domeny (domain pointer)</t>
        </is>
      </c>
      <c r="D6" s="11" t="inlineStr">
        <is>
          <t>TAK</t>
        </is>
      </c>
      <c r="E6" s="11" t="inlineStr">
        <is>
          <t>TAK</t>
        </is>
      </c>
      <c r="F6" s="11" t="inlineStr">
        <is>
          <t>TAK</t>
        </is>
      </c>
      <c r="G6" s="11" t="inlineStr">
        <is>
          <t>TAK</t>
        </is>
      </c>
      <c r="H6" s="11" t="inlineStr">
        <is>
          <t>TAK</t>
        </is>
      </c>
      <c r="I6" s="11" t="inlineStr">
        <is>
          <t>DZIAŁA</t>
        </is>
      </c>
      <c r="J6" s="12" t="inlineStr">
        <is>
          <t>services.controller.ts:562</t>
        </is>
      </c>
      <c r="K6" s="11" t="inlineStr">
        <is>
          <t>PARYTET</t>
        </is>
      </c>
      <c r="L6" s="11" t="inlineStr">
        <is>
          <t>—</t>
        </is>
      </c>
      <c r="M6" s="11" t="inlineStr">
        <is>
          <t>—</t>
        </is>
      </c>
      <c r="N6" s="12" t="inlineStr"/>
    </row>
    <row r="7">
      <c r="A7" s="11" t="inlineStr">
        <is>
          <t>A-06</t>
        </is>
      </c>
      <c r="B7" s="12" t="inlineStr">
        <is>
          <t>A</t>
        </is>
      </c>
      <c r="C7" s="11" t="inlineStr">
        <is>
          <t>Zmiana document root domeny</t>
        </is>
      </c>
      <c r="D7" s="11" t="inlineStr">
        <is>
          <t>TAK</t>
        </is>
      </c>
      <c r="E7" s="11" t="inlineStr">
        <is>
          <t>TAK</t>
        </is>
      </c>
      <c r="F7" s="11" t="inlineStr">
        <is>
          <t>TAK</t>
        </is>
      </c>
      <c r="G7" s="11" t="inlineStr">
        <is>
          <t>CZĘŚĆ</t>
        </is>
      </c>
      <c r="H7" s="11" t="inlineStr">
        <is>
          <t>TAK</t>
        </is>
      </c>
      <c r="I7" s="11" t="inlineStr">
        <is>
          <t>BRAK</t>
        </is>
      </c>
      <c r="J7" s="12" t="inlineStr">
        <is>
          <t>—</t>
        </is>
      </c>
      <c r="K7" s="11" t="inlineStr">
        <is>
          <t>LUKA</t>
        </is>
      </c>
      <c r="L7" s="11" t="inlineStr">
        <is>
          <t>NISKA</t>
        </is>
      </c>
      <c r="M7" s="11" t="inlineStr">
        <is>
          <t>S</t>
        </is>
      </c>
      <c r="N7" s="12" t="inlineStr">
        <is>
          <t>DA to potrafi; brak UI</t>
        </is>
      </c>
    </row>
    <row r="8">
      <c r="A8" s="11" t="inlineStr">
        <is>
          <t>A-07</t>
        </is>
      </c>
      <c r="B8" s="12" t="inlineStr">
        <is>
          <t>A</t>
        </is>
      </c>
      <c r="C8" s="11" t="inlineStr">
        <is>
          <t>Przekierowanie domeny (web forwarding)</t>
        </is>
      </c>
      <c r="D8" s="11" t="inlineStr">
        <is>
          <t>TAK</t>
        </is>
      </c>
      <c r="E8" s="11" t="inlineStr">
        <is>
          <t>TAK</t>
        </is>
      </c>
      <c r="F8" s="11" t="inlineStr">
        <is>
          <t>TAK</t>
        </is>
      </c>
      <c r="G8" s="11" t="inlineStr">
        <is>
          <t>TAK</t>
        </is>
      </c>
      <c r="H8" s="11" t="inlineStr">
        <is>
          <t>TAK</t>
        </is>
      </c>
      <c r="I8" s="11" t="inlineStr">
        <is>
          <t>DZIAŁA</t>
        </is>
      </c>
      <c r="J8" s="12" t="inlineStr">
        <is>
          <t>WebToolsTab.tsx:143</t>
        </is>
      </c>
      <c r="K8" s="11" t="inlineStr">
        <is>
          <t>PARYTET</t>
        </is>
      </c>
      <c r="L8" s="11" t="inlineStr">
        <is>
          <t>—</t>
        </is>
      </c>
      <c r="M8" s="11" t="inlineStr">
        <is>
          <t>—</t>
        </is>
      </c>
      <c r="N8" s="12" t="inlineStr">
        <is>
          <t>przez .htaccess</t>
        </is>
      </c>
    </row>
    <row r="9">
      <c r="A9" s="11" t="inlineStr">
        <is>
          <t>A-08</t>
        </is>
      </c>
      <c r="B9" s="12" t="inlineStr">
        <is>
          <t>A</t>
        </is>
      </c>
      <c r="C9" s="11" t="inlineStr">
        <is>
          <t>Rejestracja domeny z panelu</t>
        </is>
      </c>
      <c r="D9" s="11" t="inlineStr">
        <is>
          <t>NIE</t>
        </is>
      </c>
      <c r="E9" s="11" t="inlineStr">
        <is>
          <t>NIE</t>
        </is>
      </c>
      <c r="F9" s="11" t="inlineStr">
        <is>
          <t>NIE</t>
        </is>
      </c>
      <c r="G9" s="11" t="inlineStr">
        <is>
          <t>TAK</t>
        </is>
      </c>
      <c r="H9" s="11" t="inlineStr">
        <is>
          <t>TAK</t>
        </is>
      </c>
      <c r="I9" s="11" t="inlineStr">
        <is>
          <t>FLAGA</t>
        </is>
      </c>
      <c r="J9" s="12" t="inlineStr">
        <is>
          <t>domains.controller.ts:118</t>
        </is>
      </c>
      <c r="K9" s="11" t="inlineStr">
        <is>
          <t>LUKA</t>
        </is>
      </c>
      <c r="L9" s="11" t="inlineStr">
        <is>
          <t>ŚREDNIA</t>
        </is>
      </c>
      <c r="M9" s="11" t="inlineStr">
        <is>
          <t>M</t>
        </is>
      </c>
      <c r="N9" s="12" t="inlineStr">
        <is>
          <t>Skorygowane: sekcja jest wpięta w panel (domains/actions.ts:165,181,198), backend kompletny. To brak wpisu w ENV, nie brak funkcji — hosting da się sprzedać na domenie klienta.</t>
        </is>
      </c>
    </row>
    <row r="10">
      <c r="A10" s="11" t="inlineStr">
        <is>
          <t>A-09</t>
        </is>
      </c>
      <c r="B10" s="12" t="inlineStr">
        <is>
          <t>A</t>
        </is>
      </c>
      <c r="C10" s="11" t="inlineStr">
        <is>
          <t>Transfer domeny (kod authinfo)</t>
        </is>
      </c>
      <c r="D10" s="11" t="inlineStr">
        <is>
          <t>NIE</t>
        </is>
      </c>
      <c r="E10" s="11" t="inlineStr">
        <is>
          <t>NIE</t>
        </is>
      </c>
      <c r="F10" s="11" t="inlineStr">
        <is>
          <t>NIE</t>
        </is>
      </c>
      <c r="G10" s="11" t="inlineStr">
        <is>
          <t>TAK</t>
        </is>
      </c>
      <c r="H10" s="11" t="inlineStr">
        <is>
          <t>TAK</t>
        </is>
      </c>
      <c r="I10" s="11" t="inlineStr">
        <is>
          <t>FLAGA</t>
        </is>
      </c>
      <c r="J10" s="12" t="inlineStr">
        <is>
          <t>domains.controller.ts:123</t>
        </is>
      </c>
      <c r="K10" s="11" t="inlineStr">
        <is>
          <t>LUKA</t>
        </is>
      </c>
      <c r="L10" s="11" t="inlineStr">
        <is>
          <t>WYSOKA</t>
        </is>
      </c>
      <c r="M10" s="11" t="inlineStr">
        <is>
          <t>M</t>
        </is>
      </c>
      <c r="N10" s="12" t="inlineStr">
        <is>
          <t>j.w.</t>
        </is>
      </c>
    </row>
    <row r="11">
      <c r="A11" s="11" t="inlineStr">
        <is>
          <t>A-10</t>
        </is>
      </c>
      <c r="B11" s="12" t="inlineStr">
        <is>
          <t>A</t>
        </is>
      </c>
      <c r="C11" s="11" t="inlineStr">
        <is>
          <t>Odnowienie domeny przez klienta</t>
        </is>
      </c>
      <c r="D11" s="11" t="inlineStr">
        <is>
          <t>NIE</t>
        </is>
      </c>
      <c r="E11" s="11" t="inlineStr">
        <is>
          <t>NIE</t>
        </is>
      </c>
      <c r="F11" s="11" t="inlineStr">
        <is>
          <t>NIE</t>
        </is>
      </c>
      <c r="G11" s="11" t="inlineStr">
        <is>
          <t>TAK</t>
        </is>
      </c>
      <c r="H11" s="11" t="inlineStr">
        <is>
          <t>TAK</t>
        </is>
      </c>
      <c r="I11" s="11" t="inlineStr">
        <is>
          <t>ENDPOINT BEZ UI</t>
        </is>
      </c>
      <c r="J11" s="12" t="inlineStr">
        <is>
          <t>domains.controller.ts:133</t>
        </is>
      </c>
      <c r="K11" s="11" t="inlineStr">
        <is>
          <t>LUKA</t>
        </is>
      </c>
      <c r="L11" s="11" t="inlineStr">
        <is>
          <t>ŚREDNIA</t>
        </is>
      </c>
      <c r="M11" s="11" t="inlineStr">
        <is>
          <t>S</t>
        </is>
      </c>
      <c r="N11" s="12" t="inlineStr">
        <is>
          <t>Skorygowane: brak wywołania potwierdzony, ale obejście istnieje (panel rejestratora). Nie spełnia żadnego z czterech warunków blokera.</t>
        </is>
      </c>
    </row>
    <row r="12">
      <c r="A12" s="11" t="inlineStr">
        <is>
          <t>A-11</t>
        </is>
      </c>
      <c r="B12" s="12" t="inlineStr">
        <is>
          <t>A</t>
        </is>
      </c>
      <c r="C12" s="11" t="inlineStr">
        <is>
          <t>Wyszukiwarka wolnych domen</t>
        </is>
      </c>
      <c r="D12" s="11" t="inlineStr">
        <is>
          <t>NIE</t>
        </is>
      </c>
      <c r="E12" s="11" t="inlineStr">
        <is>
          <t>NIE</t>
        </is>
      </c>
      <c r="F12" s="11" t="inlineStr">
        <is>
          <t>NIE</t>
        </is>
      </c>
      <c r="G12" s="11" t="inlineStr">
        <is>
          <t>TAK</t>
        </is>
      </c>
      <c r="H12" s="11" t="inlineStr">
        <is>
          <t>TAK</t>
        </is>
      </c>
      <c r="I12" s="11" t="inlineStr">
        <is>
          <t>FLAGA</t>
        </is>
      </c>
      <c r="J12" s="12" t="inlineStr">
        <is>
          <t>domains.controller.ts:54</t>
        </is>
      </c>
      <c r="K12" s="11" t="inlineStr">
        <is>
          <t>LUKA</t>
        </is>
      </c>
      <c r="L12" s="11" t="inlineStr">
        <is>
          <t>WYSOKA</t>
        </is>
      </c>
      <c r="M12" s="11" t="inlineStr">
        <is>
          <t>S</t>
        </is>
      </c>
      <c r="N12" s="12" t="inlineStr"/>
    </row>
    <row r="13">
      <c r="A13" s="11" t="inlineStr">
        <is>
          <t>A-12</t>
        </is>
      </c>
      <c r="B13" s="12" t="inlineStr">
        <is>
          <t>A</t>
        </is>
      </c>
      <c r="C13" s="11" t="inlineStr">
        <is>
          <t>Cennik rejestracji na 1–10 lat</t>
        </is>
      </c>
      <c r="D13" s="11" t="inlineStr">
        <is>
          <t>NIE</t>
        </is>
      </c>
      <c r="E13" s="11" t="inlineStr">
        <is>
          <t>NIE</t>
        </is>
      </c>
      <c r="F13" s="11" t="inlineStr">
        <is>
          <t>NIE</t>
        </is>
      </c>
      <c r="G13" s="11" t="inlineStr">
        <is>
          <t>TAK</t>
        </is>
      </c>
      <c r="H13" s="11" t="inlineStr">
        <is>
          <t>TAK</t>
        </is>
      </c>
      <c r="I13" s="11" t="inlineStr">
        <is>
          <t>FLAGA</t>
        </is>
      </c>
      <c r="J13" s="12" t="inlineStr">
        <is>
          <t>domains.controller.ts:59</t>
        </is>
      </c>
      <c r="K13" s="11" t="inlineStr">
        <is>
          <t>LUKA</t>
        </is>
      </c>
      <c r="L13" s="11" t="inlineStr">
        <is>
          <t>ŚREDNIA</t>
        </is>
      </c>
      <c r="M13" s="11" t="inlineStr">
        <is>
          <t>S</t>
        </is>
      </c>
      <c r="N13" s="12" t="inlineStr"/>
    </row>
    <row r="14">
      <c r="A14" s="11" t="inlineStr">
        <is>
          <t>A-13</t>
        </is>
      </c>
      <c r="B14" s="12" t="inlineStr">
        <is>
          <t>A</t>
        </is>
      </c>
      <c r="C14" s="11" t="inlineStr">
        <is>
          <t>Zmiana danych abonenta domeny</t>
        </is>
      </c>
      <c r="D14" s="11" t="inlineStr">
        <is>
          <t>NIE</t>
        </is>
      </c>
      <c r="E14" s="11" t="inlineStr">
        <is>
          <t>NIE</t>
        </is>
      </c>
      <c r="F14" s="11" t="inlineStr">
        <is>
          <t>NIE</t>
        </is>
      </c>
      <c r="G14" s="11" t="inlineStr">
        <is>
          <t>TAK</t>
        </is>
      </c>
      <c r="H14" s="11" t="inlineStr">
        <is>
          <t>TAK</t>
        </is>
      </c>
      <c r="I14" s="11" t="inlineStr">
        <is>
          <t>BRAK</t>
        </is>
      </c>
      <c r="J14" s="12" t="inlineStr">
        <is>
          <t>—</t>
        </is>
      </c>
      <c r="K14" s="11" t="inlineStr">
        <is>
          <t>LUKA</t>
        </is>
      </c>
      <c r="L14" s="11" t="inlineStr">
        <is>
          <t>WYSOKA</t>
        </is>
      </c>
      <c r="M14" s="11" t="inlineStr">
        <is>
          <t>M</t>
        </is>
      </c>
      <c r="N14" s="12" t="inlineStr">
        <is>
          <t>wymóg operatorski przy własnej rejestracji</t>
        </is>
      </c>
    </row>
    <row r="15">
      <c r="A15" s="11" t="inlineStr">
        <is>
          <t>A-14</t>
        </is>
      </c>
      <c r="B15" s="12" t="inlineStr">
        <is>
          <t>A</t>
        </is>
      </c>
      <c r="C15" s="11" t="inlineStr">
        <is>
          <t>Ukrycie danych WHOIS / domain privacy</t>
        </is>
      </c>
      <c r="D15" s="11" t="inlineStr">
        <is>
          <t>NIE</t>
        </is>
      </c>
      <c r="E15" s="11" t="inlineStr">
        <is>
          <t>NIE</t>
        </is>
      </c>
      <c r="F15" s="11" t="inlineStr">
        <is>
          <t>NIE</t>
        </is>
      </c>
      <c r="G15" s="11" t="inlineStr">
        <is>
          <t>b.d.</t>
        </is>
      </c>
      <c r="H15" s="11" t="inlineStr">
        <is>
          <t>TAK</t>
        </is>
      </c>
      <c r="I15" s="11" t="inlineStr">
        <is>
          <t>BRAK</t>
        </is>
      </c>
      <c r="J15" s="12" t="inlineStr">
        <is>
          <t>—</t>
        </is>
      </c>
      <c r="K15" s="11" t="inlineStr">
        <is>
          <t>LUKA</t>
        </is>
      </c>
      <c r="L15" s="11" t="inlineStr">
        <is>
          <t>NISKA</t>
        </is>
      </c>
      <c r="M15" s="11" t="inlineStr">
        <is>
          <t>S</t>
        </is>
      </c>
      <c r="N15" s="12" t="inlineStr"/>
    </row>
    <row r="16">
      <c r="A16" s="11" t="inlineStr">
        <is>
          <t>A-15</t>
        </is>
      </c>
      <c r="B16" s="12" t="inlineStr">
        <is>
          <t>A</t>
        </is>
      </c>
      <c r="C16" s="11" t="inlineStr">
        <is>
          <t>Blokada transferu domeny (transfer lock)</t>
        </is>
      </c>
      <c r="D16" s="11" t="inlineStr">
        <is>
          <t>NIE</t>
        </is>
      </c>
      <c r="E16" s="11" t="inlineStr">
        <is>
          <t>NIE</t>
        </is>
      </c>
      <c r="F16" s="11" t="inlineStr">
        <is>
          <t>NIE</t>
        </is>
      </c>
      <c r="G16" s="11" t="inlineStr">
        <is>
          <t>b.d.</t>
        </is>
      </c>
      <c r="H16" s="11" t="inlineStr">
        <is>
          <t>TAK</t>
        </is>
      </c>
      <c r="I16" s="11" t="inlineStr">
        <is>
          <t>BRAK</t>
        </is>
      </c>
      <c r="J16" s="12" t="inlineStr">
        <is>
          <t>—</t>
        </is>
      </c>
      <c r="K16" s="11" t="inlineStr">
        <is>
          <t>LUKA</t>
        </is>
      </c>
      <c r="L16" s="11" t="inlineStr">
        <is>
          <t>ŚREDNIA</t>
        </is>
      </c>
      <c r="M16" s="11" t="inlineStr">
        <is>
          <t>S</t>
        </is>
      </c>
      <c r="N16" s="12" t="inlineStr"/>
    </row>
    <row r="17">
      <c r="A17" s="11" t="inlineStr">
        <is>
          <t>A-16</t>
        </is>
      </c>
      <c r="B17" s="12" t="inlineStr">
        <is>
          <t>A</t>
        </is>
      </c>
      <c r="C17" s="11" t="inlineStr">
        <is>
          <t>Weryfikacja własności domeny</t>
        </is>
      </c>
      <c r="D17" s="11" t="inlineStr">
        <is>
          <t>NIE</t>
        </is>
      </c>
      <c r="E17" s="11" t="inlineStr">
        <is>
          <t>NIE</t>
        </is>
      </c>
      <c r="F17" s="11" t="inlineStr">
        <is>
          <t>NIE</t>
        </is>
      </c>
      <c r="G17" s="11" t="inlineStr">
        <is>
          <t>b.d.</t>
        </is>
      </c>
      <c r="H17" s="11" t="inlineStr">
        <is>
          <t>b.d.</t>
        </is>
      </c>
      <c r="I17" s="11" t="inlineStr">
        <is>
          <t>CZĘŚCIOWE</t>
        </is>
      </c>
      <c r="J17" s="12" t="inlineStr">
        <is>
          <t>domains.service.ts:92-153 — runChecklist robi resolve4/resolve6/resolveNs + handshake TLS</t>
        </is>
      </c>
      <c r="K17" s="11" t="inlineStr">
        <is>
          <t>CZĘŚCIOWY</t>
        </is>
      </c>
      <c r="L17" s="11" t="inlineStr">
        <is>
          <t>WYSOKA</t>
        </is>
      </c>
      <c r="M17" s="11" t="inlineStr">
        <is>
          <t>M</t>
        </is>
      </c>
      <c r="N17" s="12" t="inlineStr">
        <is>
          <t>OBALONE w passie adwersaryjnym: to checklist konfiguracji, nie dowód własności. Brak wyzwania TXT i tokenu — dowolny użytkownik może dodać cudzą domenę i doprowadzić ją do statusu ACTIVE.</t>
        </is>
      </c>
    </row>
    <row r="18">
      <c r="A18" s="11" t="inlineStr">
        <is>
          <t>A-17</t>
        </is>
      </c>
      <c r="B18" s="12" t="inlineStr">
        <is>
          <t>A</t>
        </is>
      </c>
      <c r="C18" s="11" t="inlineStr">
        <is>
          <t>Rejestracja konta klienta (self-service)</t>
        </is>
      </c>
      <c r="D18" s="11" t="inlineStr">
        <is>
          <t>NIE</t>
        </is>
      </c>
      <c r="E18" s="11" t="inlineStr">
        <is>
          <t>NIE</t>
        </is>
      </c>
      <c r="F18" s="11" t="inlineStr">
        <is>
          <t>NIE</t>
        </is>
      </c>
      <c r="G18" s="11" t="inlineStr">
        <is>
          <t>TAK</t>
        </is>
      </c>
      <c r="H18" s="11" t="inlineStr">
        <is>
          <t>TAK</t>
        </is>
      </c>
      <c r="I18" s="11" t="inlineStr">
        <is>
          <t>DZIAŁA</t>
        </is>
      </c>
      <c r="J18" s="12" t="inlineStr">
        <is>
          <t>auth.controller.ts:67</t>
        </is>
      </c>
      <c r="K18" s="11" t="inlineStr">
        <is>
          <t>PARYTET</t>
        </is>
      </c>
      <c r="L18" s="11" t="inlineStr">
        <is>
          <t>—</t>
        </is>
      </c>
      <c r="M18" s="11" t="inlineStr">
        <is>
          <t>—</t>
        </is>
      </c>
      <c r="N18" s="12" t="inlineStr">
        <is>
          <t>captcha + weryfikacja e-mail</t>
        </is>
      </c>
    </row>
    <row r="19">
      <c r="A19" s="11" t="inlineStr">
        <is>
          <t>A-18</t>
        </is>
      </c>
      <c r="B19" s="12" t="inlineStr">
        <is>
          <t>A</t>
        </is>
      </c>
      <c r="C19" s="11" t="inlineStr">
        <is>
          <t>Logowanie hasłem</t>
        </is>
      </c>
      <c r="D19" s="11" t="inlineStr">
        <is>
          <t>TAK</t>
        </is>
      </c>
      <c r="E19" s="11" t="inlineStr">
        <is>
          <t>TAK</t>
        </is>
      </c>
      <c r="F19" s="11" t="inlineStr">
        <is>
          <t>TAK</t>
        </is>
      </c>
      <c r="G19" s="11" t="inlineStr">
        <is>
          <t>TAK</t>
        </is>
      </c>
      <c r="H19" s="11" t="inlineStr">
        <is>
          <t>TAK</t>
        </is>
      </c>
      <c r="I19" s="11" t="inlineStr">
        <is>
          <t>DZIAŁA</t>
        </is>
      </c>
      <c r="J19" s="12" t="inlineStr">
        <is>
          <t>auth.controller.ts:77</t>
        </is>
      </c>
      <c r="K19" s="11" t="inlineStr">
        <is>
          <t>PARYTET</t>
        </is>
      </c>
      <c r="L19" s="11" t="inlineStr">
        <is>
          <t>—</t>
        </is>
      </c>
      <c r="M19" s="11" t="inlineStr">
        <is>
          <t>—</t>
        </is>
      </c>
      <c r="N19" s="12" t="inlineStr"/>
    </row>
    <row r="20">
      <c r="A20" s="11" t="inlineStr">
        <is>
          <t>A-19</t>
        </is>
      </c>
      <c r="B20" s="12" t="inlineStr">
        <is>
          <t>A</t>
        </is>
      </c>
      <c r="C20" s="11" t="inlineStr">
        <is>
          <t>Zamówienie usługi z panelu</t>
        </is>
      </c>
      <c r="D20" s="11" t="inlineStr">
        <is>
          <t>NIE</t>
        </is>
      </c>
      <c r="E20" s="11" t="inlineStr">
        <is>
          <t>NIE</t>
        </is>
      </c>
      <c r="F20" s="11" t="inlineStr">
        <is>
          <t>NIE</t>
        </is>
      </c>
      <c r="G20" s="11" t="inlineStr">
        <is>
          <t>TAK</t>
        </is>
      </c>
      <c r="H20" s="11" t="inlineStr">
        <is>
          <t>TAK</t>
        </is>
      </c>
      <c r="I20" s="11" t="inlineStr">
        <is>
          <t>DZIAŁA</t>
        </is>
      </c>
      <c r="J20" s="12" t="inlineStr">
        <is>
          <t>subscriptions.controller.ts:97</t>
        </is>
      </c>
      <c r="K20" s="11" t="inlineStr">
        <is>
          <t>PARYTET</t>
        </is>
      </c>
      <c r="L20" s="11" t="inlineStr">
        <is>
          <t>—</t>
        </is>
      </c>
      <c r="M20" s="11" t="inlineStr">
        <is>
          <t>—</t>
        </is>
      </c>
      <c r="N20" s="12" t="inlineStr"/>
    </row>
    <row r="21">
      <c r="A21" s="11" t="inlineStr">
        <is>
          <t>A-20</t>
        </is>
      </c>
      <c r="B21" s="12" t="inlineStr">
        <is>
          <t>A</t>
        </is>
      </c>
      <c r="C21" s="11" t="inlineStr">
        <is>
          <t>Okres próbny / trial</t>
        </is>
      </c>
      <c r="D21" s="11" t="inlineStr">
        <is>
          <t>NIE</t>
        </is>
      </c>
      <c r="E21" s="11" t="inlineStr">
        <is>
          <t>NIE</t>
        </is>
      </c>
      <c r="F21" s="11" t="inlineStr">
        <is>
          <t>NIE</t>
        </is>
      </c>
      <c r="G21" s="11" t="inlineStr">
        <is>
          <t>CZĘŚĆ</t>
        </is>
      </c>
      <c r="H21" s="11" t="inlineStr">
        <is>
          <t>TAK</t>
        </is>
      </c>
      <c r="I21" s="11" t="inlineStr">
        <is>
          <t>DZIAŁA</t>
        </is>
      </c>
      <c r="J21" s="12" t="inlineStr">
        <is>
          <t>subscriptions.controller.ts:53</t>
        </is>
      </c>
      <c r="K21" s="11" t="inlineStr">
        <is>
          <t>PARYTET</t>
        </is>
      </c>
      <c r="L21" s="11" t="inlineStr">
        <is>
          <t>—</t>
        </is>
      </c>
      <c r="M21" s="11" t="inlineStr">
        <is>
          <t>—</t>
        </is>
      </c>
      <c r="N21" s="12" t="inlineStr">
        <is>
          <t>3 z 5 hostingów PL ma trial lub money-back</t>
        </is>
      </c>
    </row>
    <row r="22">
      <c r="A22" s="11" t="inlineStr">
        <is>
          <t>A-21</t>
        </is>
      </c>
      <c r="B22" s="12" t="inlineStr">
        <is>
          <t>A</t>
        </is>
      </c>
      <c r="C22" s="11" t="inlineStr">
        <is>
          <t>Anulowanie usługi przez klienta</t>
        </is>
      </c>
      <c r="D22" s="11" t="inlineStr">
        <is>
          <t>NIE</t>
        </is>
      </c>
      <c r="E22" s="11" t="inlineStr">
        <is>
          <t>NIE</t>
        </is>
      </c>
      <c r="F22" s="11" t="inlineStr">
        <is>
          <t>NIE</t>
        </is>
      </c>
      <c r="G22" s="11" t="inlineStr">
        <is>
          <t>TAK</t>
        </is>
      </c>
      <c r="H22" s="11" t="inlineStr">
        <is>
          <t>TAK</t>
        </is>
      </c>
      <c r="I22" s="11" t="inlineStr">
        <is>
          <t>DZIAŁA</t>
        </is>
      </c>
      <c r="J22" s="12" t="inlineStr">
        <is>
          <t>subscriptions.controller.ts:103</t>
        </is>
      </c>
      <c r="K22" s="11" t="inlineStr">
        <is>
          <t>PARYTET</t>
        </is>
      </c>
      <c r="L22" s="11" t="inlineStr">
        <is>
          <t>—</t>
        </is>
      </c>
      <c r="M22" s="11" t="inlineStr">
        <is>
          <t>—</t>
        </is>
      </c>
      <c r="N22" s="12" t="inlineStr"/>
    </row>
    <row r="23">
      <c r="A23" s="11" t="inlineStr">
        <is>
          <t>A-22</t>
        </is>
      </c>
      <c r="B23" s="12" t="inlineStr">
        <is>
          <t>A</t>
        </is>
      </c>
      <c r="C23" s="11" t="inlineStr">
        <is>
          <t>Zmiana planu (upgrade/downgrade) z proratą</t>
        </is>
      </c>
      <c r="D23" s="11" t="inlineStr">
        <is>
          <t>NIE</t>
        </is>
      </c>
      <c r="E23" s="11" t="inlineStr">
        <is>
          <t>NIE</t>
        </is>
      </c>
      <c r="F23" s="11" t="inlineStr">
        <is>
          <t>NIE</t>
        </is>
      </c>
      <c r="G23" s="11" t="inlineStr">
        <is>
          <t>CZĘŚĆ</t>
        </is>
      </c>
      <c r="H23" s="11" t="inlineStr">
        <is>
          <t>TAK</t>
        </is>
      </c>
      <c r="I23" s="11" t="inlineStr">
        <is>
          <t>DZIAŁA</t>
        </is>
      </c>
      <c r="J23" s="12" t="inlineStr">
        <is>
          <t>subscriptions.controller.ts:146,161</t>
        </is>
      </c>
      <c r="K23" s="11" t="inlineStr">
        <is>
          <t>PRZEWAGA</t>
        </is>
      </c>
      <c r="L23" s="11" t="inlineStr">
        <is>
          <t>—</t>
        </is>
      </c>
      <c r="M23" s="11" t="inlineStr">
        <is>
          <t>—</t>
        </is>
      </c>
      <c r="N23" s="12" t="inlineStr">
        <is>
          <t>prorata cross-interval MONTH↔YEAR; test D1</t>
        </is>
      </c>
    </row>
    <row r="24">
      <c r="A24" s="11" t="inlineStr">
        <is>
          <t>A-23</t>
        </is>
      </c>
      <c r="B24" s="12" t="inlineStr">
        <is>
          <t>A</t>
        </is>
      </c>
      <c r="C24" s="11" t="inlineStr">
        <is>
          <t>Dane dostępowe usługi (IP/FTP/NS/limity)</t>
        </is>
      </c>
      <c r="D24" s="11" t="inlineStr">
        <is>
          <t>TAK</t>
        </is>
      </c>
      <c r="E24" s="11" t="inlineStr">
        <is>
          <t>TAK</t>
        </is>
      </c>
      <c r="F24" s="11" t="inlineStr">
        <is>
          <t>TAK</t>
        </is>
      </c>
      <c r="G24" s="11" t="inlineStr">
        <is>
          <t>TAK</t>
        </is>
      </c>
      <c r="H24" s="11" t="inlineStr">
        <is>
          <t>TAK</t>
        </is>
      </c>
      <c r="I24" s="11" t="inlineStr">
        <is>
          <t>DZIAŁA</t>
        </is>
      </c>
      <c r="J24" s="12" t="inlineStr">
        <is>
          <t>services.controller.ts:355</t>
        </is>
      </c>
      <c r="K24" s="11" t="inlineStr">
        <is>
          <t>PARYTET</t>
        </is>
      </c>
      <c r="L24" s="11" t="inlineStr">
        <is>
          <t>—</t>
        </is>
      </c>
      <c r="M24" s="11" t="inlineStr">
        <is>
          <t>—</t>
        </is>
      </c>
      <c r="N24" s="12" t="inlineStr"/>
    </row>
    <row r="25">
      <c r="A25" s="11" t="inlineStr">
        <is>
          <t>A-24</t>
        </is>
      </c>
      <c r="B25" s="12" t="inlineStr">
        <is>
          <t>A</t>
        </is>
      </c>
      <c r="C25" s="11" t="inlineStr">
        <is>
          <t>Zakładanie konta klienta przez operatora</t>
        </is>
      </c>
      <c r="D25" s="11" t="inlineStr">
        <is>
          <t>TAK</t>
        </is>
      </c>
      <c r="E25" s="11" t="inlineStr">
        <is>
          <t>TAK</t>
        </is>
      </c>
      <c r="F25" s="11" t="inlineStr">
        <is>
          <t>TAK</t>
        </is>
      </c>
      <c r="G25" s="11" t="inlineStr">
        <is>
          <t>TAK</t>
        </is>
      </c>
      <c r="H25" s="11" t="inlineStr">
        <is>
          <t>TAK</t>
        </is>
      </c>
      <c r="I25" s="11" t="inlineStr">
        <is>
          <t>BRAK</t>
        </is>
      </c>
      <c r="J25" s="12" t="inlineStr">
        <is>
          <t>brak @Post w users.admin.controller.ts</t>
        </is>
      </c>
      <c r="K25" s="11" t="inlineStr">
        <is>
          <t>LUKA</t>
        </is>
      </c>
      <c r="L25" s="11" t="inlineStr">
        <is>
          <t>WYSOKA</t>
        </is>
      </c>
      <c r="M25" s="11" t="inlineStr">
        <is>
          <t>M</t>
        </is>
      </c>
      <c r="N25" s="12" t="inlineStr">
        <is>
          <t>Skorygowane: konta powstają też przez rejestrację (auth.service.ts:132) — operator może zarejestrować za klienta i wejść przez impersonację (users.admin.controller.ts:248). Pierwsze konto da się sprzedać.</t>
        </is>
      </c>
    </row>
    <row r="26">
      <c r="A26" s="11" t="inlineStr">
        <is>
          <t>A-25</t>
        </is>
      </c>
      <c r="B26" s="12" t="inlineStr">
        <is>
          <t>A</t>
        </is>
      </c>
      <c r="C26" s="11" t="inlineStr">
        <is>
          <t>Ręczne zawieszenie usługi przez operatora</t>
        </is>
      </c>
      <c r="D26" s="11" t="inlineStr">
        <is>
          <t>TAK</t>
        </is>
      </c>
      <c r="E26" s="11" t="inlineStr">
        <is>
          <t>TAK</t>
        </is>
      </c>
      <c r="F26" s="11" t="inlineStr">
        <is>
          <t>TAK</t>
        </is>
      </c>
      <c r="G26" s="11" t="inlineStr">
        <is>
          <t>TAK</t>
        </is>
      </c>
      <c r="H26" s="11" t="inlineStr">
        <is>
          <t>TAK</t>
        </is>
      </c>
      <c r="I26" s="11" t="inlineStr">
        <is>
          <t>ENDPOINT BEZ UI</t>
        </is>
      </c>
      <c r="J26" s="12" t="inlineStr">
        <is>
          <t>subscriptions.admin.controller.ts:192</t>
        </is>
      </c>
      <c r="K26" s="11" t="inlineStr">
        <is>
          <t>LUKA</t>
        </is>
      </c>
      <c r="L26" s="11" t="inlineStr">
        <is>
          <t>WYSOKA</t>
        </is>
      </c>
      <c r="M26" s="11" t="inlineStr">
        <is>
          <t>S</t>
        </is>
      </c>
      <c r="N26" s="12" t="inlineStr">
        <is>
          <t>Skorygowane: endpoint działa i jest osiągalny (curl + DirectAdmin), auto-suspend za brak płatności działa. Brakuje UI, nie możliwości zatrzymania szkody.</t>
        </is>
      </c>
    </row>
    <row r="27">
      <c r="A27" s="11" t="inlineStr">
        <is>
          <t>A-26</t>
        </is>
      </c>
      <c r="B27" s="12" t="inlineStr">
        <is>
          <t>A</t>
        </is>
      </c>
      <c r="C27" s="11" t="inlineStr">
        <is>
          <t>Ręczne odwieszenie usługi przez operatora</t>
        </is>
      </c>
      <c r="D27" s="11" t="inlineStr">
        <is>
          <t>TAK</t>
        </is>
      </c>
      <c r="E27" s="11" t="inlineStr">
        <is>
          <t>TAK</t>
        </is>
      </c>
      <c r="F27" s="11" t="inlineStr">
        <is>
          <t>TAK</t>
        </is>
      </c>
      <c r="G27" s="11" t="inlineStr">
        <is>
          <t>TAK</t>
        </is>
      </c>
      <c r="H27" s="11" t="inlineStr">
        <is>
          <t>TAK</t>
        </is>
      </c>
      <c r="I27" s="11" t="inlineStr">
        <is>
          <t>ENDPOINT BEZ UI</t>
        </is>
      </c>
      <c r="J27" s="12" t="inlineStr">
        <is>
          <t>subscriptions.admin.controller.ts:210</t>
        </is>
      </c>
      <c r="K27" s="11" t="inlineStr">
        <is>
          <t>LUKA</t>
        </is>
      </c>
      <c r="L27" s="11" t="inlineStr">
        <is>
          <t>WYSOKA</t>
        </is>
      </c>
      <c r="M27" s="11" t="inlineStr">
        <is>
          <t>S</t>
        </is>
      </c>
      <c r="N27" s="12" t="inlineStr">
        <is>
          <t>Skorygowane: jak A-25, endpoint subscriptions.admin.controller.ts:210 działa z chargeRenewal.</t>
        </is>
      </c>
    </row>
    <row r="28">
      <c r="A28" s="11" t="inlineStr">
        <is>
          <t>A-27</t>
        </is>
      </c>
      <c r="B28" s="12" t="inlineStr">
        <is>
          <t>A</t>
        </is>
      </c>
      <c r="C28" s="11" t="inlineStr">
        <is>
          <t>Pakiety / plany zasobów po stronie operatora</t>
        </is>
      </c>
      <c r="D28" s="11" t="inlineStr">
        <is>
          <t>TAK</t>
        </is>
      </c>
      <c r="E28" s="11" t="inlineStr">
        <is>
          <t>TAK</t>
        </is>
      </c>
      <c r="F28" s="11" t="inlineStr">
        <is>
          <t>TAK</t>
        </is>
      </c>
      <c r="G28" s="11" t="inlineStr">
        <is>
          <t>TAK</t>
        </is>
      </c>
      <c r="H28" s="11" t="inlineStr">
        <is>
          <t>TAK</t>
        </is>
      </c>
      <c r="I28" s="11" t="inlineStr">
        <is>
          <t>DZIAŁA</t>
        </is>
      </c>
      <c r="J28" s="12" t="inlineStr">
        <is>
          <t>plans.admin.controller.ts:45</t>
        </is>
      </c>
      <c r="K28" s="11" t="inlineStr">
        <is>
          <t>PARYTET</t>
        </is>
      </c>
      <c r="L28" s="11" t="inlineStr">
        <is>
          <t>—</t>
        </is>
      </c>
      <c r="M28" s="11" t="inlineStr">
        <is>
          <t>—</t>
        </is>
      </c>
      <c r="N28" s="12" t="inlineStr"/>
    </row>
    <row r="29">
      <c r="A29" s="11" t="inlineStr">
        <is>
          <t>A-28</t>
        </is>
      </c>
      <c r="B29" s="12" t="inlineStr">
        <is>
          <t>A</t>
        </is>
      </c>
      <c r="C29" s="11" t="inlineStr">
        <is>
          <t>Impersonacja klienta przez operatora</t>
        </is>
      </c>
      <c r="D29" s="11" t="inlineStr">
        <is>
          <t>TAK</t>
        </is>
      </c>
      <c r="E29" s="11" t="inlineStr">
        <is>
          <t>TAK</t>
        </is>
      </c>
      <c r="F29" s="11" t="inlineStr">
        <is>
          <t>TAK</t>
        </is>
      </c>
      <c r="G29" s="11" t="inlineStr">
        <is>
          <t>b.d.</t>
        </is>
      </c>
      <c r="H29" s="11" t="inlineStr">
        <is>
          <t>b.d.</t>
        </is>
      </c>
      <c r="I29" s="11" t="inlineStr">
        <is>
          <t>DZIAŁA</t>
        </is>
      </c>
      <c r="J29" s="12" t="inlineStr">
        <is>
          <t>users.admin.controller.ts:248</t>
        </is>
      </c>
      <c r="K29" s="11" t="inlineStr">
        <is>
          <t>PARYTET</t>
        </is>
      </c>
      <c r="L29" s="11" t="inlineStr">
        <is>
          <t>—</t>
        </is>
      </c>
      <c r="M29" s="11" t="inlineStr">
        <is>
          <t>—</t>
        </is>
      </c>
      <c r="N29" s="12" t="inlineStr">
        <is>
          <t>z banerem u klienta</t>
        </is>
      </c>
    </row>
    <row r="30">
      <c r="A30" s="11" t="inlineStr">
        <is>
          <t>B-01</t>
        </is>
      </c>
      <c r="B30" s="12" t="inlineStr">
        <is>
          <t>B</t>
        </is>
      </c>
      <c r="C30" s="11" t="inlineStr">
        <is>
          <t>Zmiana wersji PHP dla całego konta</t>
        </is>
      </c>
      <c r="D30" s="11" t="inlineStr">
        <is>
          <t>TAK</t>
        </is>
      </c>
      <c r="E30" s="11" t="inlineStr">
        <is>
          <t>TAK</t>
        </is>
      </c>
      <c r="F30" s="11" t="inlineStr">
        <is>
          <t>TAK</t>
        </is>
      </c>
      <c r="G30" s="11" t="inlineStr">
        <is>
          <t>TAK</t>
        </is>
      </c>
      <c r="H30" s="11" t="inlineStr">
        <is>
          <t>TAK</t>
        </is>
      </c>
      <c r="I30" s="11" t="inlineStr">
        <is>
          <t>CZĘŚCIOWE</t>
        </is>
      </c>
      <c r="J30" s="12" t="inlineStr">
        <is>
          <t>services.controller.ts:125</t>
        </is>
      </c>
      <c r="K30" s="11" t="inlineStr">
        <is>
          <t>CZĘŚCIOWY</t>
        </is>
      </c>
      <c r="L30" s="11" t="inlineStr">
        <is>
          <t>WYSOKA</t>
        </is>
      </c>
      <c r="M30" s="11" t="inlineStr">
        <is>
          <t>—</t>
        </is>
      </c>
      <c r="N30" s="12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</t>
        </is>
      </c>
    </row>
    <row r="31">
      <c r="A31" s="11" t="inlineStr">
        <is>
          <t>B-02</t>
        </is>
      </c>
      <c r="B31" s="12" t="inlineStr">
        <is>
          <t>B</t>
        </is>
      </c>
      <c r="C31" s="11" t="inlineStr">
        <is>
          <t>Zmiana wersji PHP per domena</t>
        </is>
      </c>
      <c r="D31" s="11" t="inlineStr">
        <is>
          <t>TAK</t>
        </is>
      </c>
      <c r="E31" s="11" t="inlineStr">
        <is>
          <t>TAK</t>
        </is>
      </c>
      <c r="F31" s="11" t="inlineStr">
        <is>
          <t>TAK</t>
        </is>
      </c>
      <c r="G31" s="11" t="inlineStr">
        <is>
          <t>TAK</t>
        </is>
      </c>
      <c r="H31" s="11" t="inlineStr">
        <is>
          <t>TAK</t>
        </is>
      </c>
      <c r="I31" s="11" t="inlineStr">
        <is>
          <t>DZIAŁA</t>
        </is>
      </c>
      <c r="J31" s="12" t="inlineStr">
        <is>
          <t>services.controller.ts — GET/POST /services/:id/hosting-domain-php; directadmin.service.ts:2058</t>
        </is>
      </c>
      <c r="K31" s="11" t="inlineStr">
        <is>
          <t>PARYTET</t>
        </is>
      </c>
      <c r="L31" s="11" t="inlineStr">
        <is>
          <t>—</t>
        </is>
      </c>
      <c r="M31" s="11" t="inlineStr">
        <is>
          <t>S</t>
        </is>
      </c>
      <c r="N31" s="12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</row>
    <row r="32">
      <c r="A32" s="11" t="inlineStr">
        <is>
          <t>B-03</t>
        </is>
      </c>
      <c r="B32" s="12" t="inlineStr">
        <is>
          <t>B</t>
        </is>
      </c>
      <c r="C32" s="11" t="inlineStr">
        <is>
          <t>Zmiana wersji PHP per katalog</t>
        </is>
      </c>
      <c r="D32" s="11" t="inlineStr">
        <is>
          <t>TAK</t>
        </is>
      </c>
      <c r="E32" s="11" t="inlineStr">
        <is>
          <t>TAK</t>
        </is>
      </c>
      <c r="F32" s="11" t="inlineStr">
        <is>
          <t>TAK</t>
        </is>
      </c>
      <c r="G32" s="11" t="inlineStr">
        <is>
          <t>CZĘŚĆ</t>
        </is>
      </c>
      <c r="H32" s="11" t="inlineStr">
        <is>
          <t>NIE</t>
        </is>
      </c>
      <c r="I32" s="11" t="inlineStr">
        <is>
          <t>BRAK</t>
        </is>
      </c>
      <c r="J32" s="12" t="inlineStr">
        <is>
          <t>—</t>
        </is>
      </c>
      <c r="K32" s="11" t="inlineStr">
        <is>
          <t>LUKA</t>
        </is>
      </c>
      <c r="L32" s="11" t="inlineStr">
        <is>
          <t>NISKA</t>
        </is>
      </c>
      <c r="M32" s="11" t="inlineStr">
        <is>
          <t>M</t>
        </is>
      </c>
      <c r="N32" s="12" t="inlineStr"/>
    </row>
    <row r="33">
      <c r="A33" s="11" t="inlineStr">
        <is>
          <t>B-04</t>
        </is>
      </c>
      <c r="B33" s="12" t="inlineStr">
        <is>
          <t>B</t>
        </is>
      </c>
      <c r="C33" s="11" t="inlineStr">
        <is>
          <t>Włączanie/wyłączanie rozszerzeń PHP</t>
        </is>
      </c>
      <c r="D33" s="11" t="inlineStr">
        <is>
          <t>TAK</t>
        </is>
      </c>
      <c r="E33" s="11" t="inlineStr">
        <is>
          <t>TAK</t>
        </is>
      </c>
      <c r="F33" s="11" t="inlineStr">
        <is>
          <t>TAK</t>
        </is>
      </c>
      <c r="G33" s="11" t="inlineStr">
        <is>
          <t>CZĘŚĆ</t>
        </is>
      </c>
      <c r="H33" s="11" t="inlineStr">
        <is>
          <t>TAK</t>
        </is>
      </c>
      <c r="I33" s="11" t="inlineStr">
        <is>
          <t>BRAK</t>
        </is>
      </c>
      <c r="J33" s="12" t="inlineStr">
        <is>
          <t>—</t>
        </is>
      </c>
      <c r="K33" s="11" t="inlineStr">
        <is>
          <t>LUKA</t>
        </is>
      </c>
      <c r="L33" s="11" t="inlineStr">
        <is>
          <t>ŚREDNIA</t>
        </is>
      </c>
      <c r="M33" s="11" t="inlineStr">
        <is>
          <t>M</t>
        </is>
      </c>
      <c r="N33" s="12" t="inlineStr"/>
    </row>
    <row r="34">
      <c r="A34" s="11" t="inlineStr">
        <is>
          <t>B-05</t>
        </is>
      </c>
      <c r="B34" s="12" t="inlineStr">
        <is>
          <t>B</t>
        </is>
      </c>
      <c r="C34" s="11" t="inlineStr">
        <is>
          <t>Edycja dyrektyw php.ini z panelu</t>
        </is>
      </c>
      <c r="D34" s="11" t="inlineStr">
        <is>
          <t>TAK</t>
        </is>
      </c>
      <c r="E34" s="11" t="inlineStr">
        <is>
          <t>TAK</t>
        </is>
      </c>
      <c r="F34" s="11" t="inlineStr">
        <is>
          <t>TAK</t>
        </is>
      </c>
      <c r="G34" s="11" t="inlineStr">
        <is>
          <t>TAK</t>
        </is>
      </c>
      <c r="H34" s="11" t="inlineStr">
        <is>
          <t>TAK</t>
        </is>
      </c>
      <c r="I34" s="11" t="inlineStr">
        <is>
          <t>BRAK</t>
        </is>
      </c>
      <c r="J34" s="12" t="inlineStr">
        <is>
          <t>—</t>
        </is>
      </c>
      <c r="K34" s="11" t="inlineStr">
        <is>
          <t>LUKA</t>
        </is>
      </c>
      <c r="L34" s="11" t="inlineStr">
        <is>
          <t>WYSOKA</t>
        </is>
      </c>
      <c r="M34" s="11" t="inlineStr">
        <is>
          <t>M</t>
        </is>
      </c>
      <c r="N34" s="12" t="inlineStr">
        <is>
          <t>4 z 5 hostingów PL to ma</t>
        </is>
      </c>
    </row>
    <row r="35">
      <c r="A35" s="11" t="inlineStr">
        <is>
          <t>B-06</t>
        </is>
      </c>
      <c r="B35" s="12" t="inlineStr">
        <is>
          <t>B</t>
        </is>
      </c>
      <c r="C35" s="11" t="inlineStr">
        <is>
          <t>Podgląd aktualnej konfiguracji PHP (phpinfo)</t>
        </is>
      </c>
      <c r="D35" s="11" t="inlineStr">
        <is>
          <t>TAK</t>
        </is>
      </c>
      <c r="E35" s="11" t="inlineStr">
        <is>
          <t>TAK</t>
        </is>
      </c>
      <c r="F35" s="11" t="inlineStr">
        <is>
          <t>TAK</t>
        </is>
      </c>
      <c r="G35" s="11" t="inlineStr">
        <is>
          <t>CZĘŚĆ</t>
        </is>
      </c>
      <c r="H35" s="11" t="inlineStr">
        <is>
          <t>TAK</t>
        </is>
      </c>
      <c r="I35" s="11" t="inlineStr">
        <is>
          <t>BRAK</t>
        </is>
      </c>
      <c r="J35" s="12" t="inlineStr">
        <is>
          <t>—</t>
        </is>
      </c>
      <c r="K35" s="11" t="inlineStr">
        <is>
          <t>LUKA</t>
        </is>
      </c>
      <c r="L35" s="11" t="inlineStr">
        <is>
          <t>NISKA</t>
        </is>
      </c>
      <c r="M35" s="11" t="inlineStr">
        <is>
          <t>S</t>
        </is>
      </c>
      <c r="N35" s="12" t="inlineStr"/>
    </row>
    <row r="36">
      <c r="A36" s="11" t="inlineStr">
        <is>
          <t>B-07</t>
        </is>
      </c>
      <c r="B36" s="12" t="inlineStr">
        <is>
          <t>B</t>
        </is>
      </c>
      <c r="C36" s="11" t="inlineStr">
        <is>
          <t>Wybór handlera PHP (LSAPI/FPM/CGI)</t>
        </is>
      </c>
      <c r="D36" s="11" t="inlineStr">
        <is>
          <t>TAK</t>
        </is>
      </c>
      <c r="E36" s="11" t="inlineStr">
        <is>
          <t>TAK</t>
        </is>
      </c>
      <c r="F36" s="11" t="inlineStr">
        <is>
          <t>TAK</t>
        </is>
      </c>
      <c r="G36" s="11" t="inlineStr">
        <is>
          <t>NIE</t>
        </is>
      </c>
      <c r="H36" s="11" t="inlineStr">
        <is>
          <t>NIE</t>
        </is>
      </c>
      <c r="I36" s="11" t="inlineStr">
        <is>
          <t>BRAK</t>
        </is>
      </c>
      <c r="J36" s="12" t="inlineStr">
        <is>
          <t>—</t>
        </is>
      </c>
      <c r="K36" s="11" t="inlineStr">
        <is>
          <t>POZA ZAKRESEM</t>
        </is>
      </c>
      <c r="L36" s="11" t="inlineStr">
        <is>
          <t>NISKA</t>
        </is>
      </c>
      <c r="M36" s="11" t="inlineStr">
        <is>
          <t>—</t>
        </is>
      </c>
      <c r="N36" s="12" t="inlineStr">
        <is>
          <t>decyzja operatorska, nie klienta</t>
        </is>
      </c>
    </row>
    <row r="37">
      <c r="A37" s="11" t="inlineStr">
        <is>
          <t>B-08</t>
        </is>
      </c>
      <c r="B37" s="12" t="inlineStr">
        <is>
          <t>B</t>
        </is>
      </c>
      <c r="C37" s="11" t="inlineStr">
        <is>
          <t>Aplikacje Node.js</t>
        </is>
      </c>
      <c r="D37" s="11" t="inlineStr">
        <is>
          <t>TAK</t>
        </is>
      </c>
      <c r="E37" s="11" t="inlineStr">
        <is>
          <t>TAK</t>
        </is>
      </c>
      <c r="F37" s="11" t="inlineStr">
        <is>
          <t>CZĘŚĆ</t>
        </is>
      </c>
      <c r="G37" s="11" t="inlineStr">
        <is>
          <t>NIE</t>
        </is>
      </c>
      <c r="H37" s="11" t="inlineStr">
        <is>
          <t>TAK</t>
        </is>
      </c>
      <c r="I37" s="11" t="inlineStr">
        <is>
          <t>BRAK</t>
        </is>
      </c>
      <c r="J37" s="12" t="inlineStr">
        <is>
          <t>—</t>
        </is>
      </c>
      <c r="K37" s="11" t="inlineStr">
        <is>
          <t>LUKA</t>
        </is>
      </c>
      <c r="L37" s="11" t="inlineStr">
        <is>
          <t>NISKA</t>
        </is>
      </c>
      <c r="M37" s="11" t="inlineStr">
        <is>
          <t>L</t>
        </is>
      </c>
      <c r="N37" s="12" t="inlineStr">
        <is>
          <t>żaden z 5 hostingów PL tego nie ma</t>
        </is>
      </c>
    </row>
    <row r="38">
      <c r="A38" s="11" t="inlineStr">
        <is>
          <t>B-09</t>
        </is>
      </c>
      <c r="B38" s="12" t="inlineStr">
        <is>
          <t>B</t>
        </is>
      </c>
      <c r="C38" s="11" t="inlineStr">
        <is>
          <t>Aplikacje Python</t>
        </is>
      </c>
      <c r="D38" s="11" t="inlineStr">
        <is>
          <t>TAK</t>
        </is>
      </c>
      <c r="E38" s="11" t="inlineStr">
        <is>
          <t>TAK</t>
        </is>
      </c>
      <c r="F38" s="11" t="inlineStr">
        <is>
          <t>CZĘŚĆ</t>
        </is>
      </c>
      <c r="G38" s="11" t="inlineStr">
        <is>
          <t>CZĘŚĆ</t>
        </is>
      </c>
      <c r="H38" s="11" t="inlineStr">
        <is>
          <t>CZĘŚĆ</t>
        </is>
      </c>
      <c r="I38" s="11" t="inlineStr">
        <is>
          <t>BRAK</t>
        </is>
      </c>
      <c r="J38" s="12" t="inlineStr">
        <is>
          <t>—</t>
        </is>
      </c>
      <c r="K38" s="11" t="inlineStr">
        <is>
          <t>LUKA</t>
        </is>
      </c>
      <c r="L38" s="11" t="inlineStr">
        <is>
          <t>NISKA</t>
        </is>
      </c>
      <c r="M38" s="11" t="inlineStr">
        <is>
          <t>L</t>
        </is>
      </c>
      <c r="N38" s="12" t="inlineStr"/>
    </row>
    <row r="39">
      <c r="A39" s="11" t="inlineStr">
        <is>
          <t>B-10</t>
        </is>
      </c>
      <c r="B39" s="12" t="inlineStr">
        <is>
          <t>B</t>
        </is>
      </c>
      <c r="C39" s="11" t="inlineStr">
        <is>
          <t>Aplikacje Ruby</t>
        </is>
      </c>
      <c r="D39" s="11" t="inlineStr">
        <is>
          <t>TAK</t>
        </is>
      </c>
      <c r="E39" s="11" t="inlineStr">
        <is>
          <t>TAK</t>
        </is>
      </c>
      <c r="F39" s="11" t="inlineStr">
        <is>
          <t>NIE</t>
        </is>
      </c>
      <c r="G39" s="11" t="inlineStr">
        <is>
          <t>NIE</t>
        </is>
      </c>
      <c r="H39" s="11" t="inlineStr">
        <is>
          <t>NIE</t>
        </is>
      </c>
      <c r="I39" s="11" t="inlineStr">
        <is>
          <t>BRAK</t>
        </is>
      </c>
      <c r="J39" s="12" t="inlineStr">
        <is>
          <t>—</t>
        </is>
      </c>
      <c r="K39" s="11" t="inlineStr">
        <is>
          <t>POZA ZAKRESEM</t>
        </is>
      </c>
      <c r="L39" s="11" t="inlineStr">
        <is>
          <t>NISKA</t>
        </is>
      </c>
      <c r="M39" s="11" t="inlineStr">
        <is>
          <t>—</t>
        </is>
      </c>
      <c r="N39" s="12" t="inlineStr">
        <is>
          <t>rynek PL tego nie oczekuje</t>
        </is>
      </c>
    </row>
    <row r="40">
      <c r="A40" s="11" t="inlineStr">
        <is>
          <t>B-11</t>
        </is>
      </c>
      <c r="B40" s="12" t="inlineStr">
        <is>
          <t>B</t>
        </is>
      </c>
      <c r="C40" s="11" t="inlineStr">
        <is>
          <t>Wymuszenie HTTPS</t>
        </is>
      </c>
      <c r="D40" s="11" t="inlineStr">
        <is>
          <t>TAK</t>
        </is>
      </c>
      <c r="E40" s="11" t="inlineStr">
        <is>
          <t>TAK</t>
        </is>
      </c>
      <c r="F40" s="11" t="inlineStr">
        <is>
          <t>TAK</t>
        </is>
      </c>
      <c r="G40" s="11" t="inlineStr">
        <is>
          <t>TAK</t>
        </is>
      </c>
      <c r="H40" s="11" t="inlineStr">
        <is>
          <t>TAK</t>
        </is>
      </c>
      <c r="I40" s="11" t="inlineStr">
        <is>
          <t>DZIAŁA</t>
        </is>
      </c>
      <c r="J40" s="12" t="inlineStr">
        <is>
          <t>WebToolsTab.tsx:120</t>
        </is>
      </c>
      <c r="K40" s="11" t="inlineStr">
        <is>
          <t>PARYTET</t>
        </is>
      </c>
      <c r="L40" s="11" t="inlineStr">
        <is>
          <t>—</t>
        </is>
      </c>
      <c r="M40" s="11" t="inlineStr">
        <is>
          <t>—</t>
        </is>
      </c>
      <c r="N40" s="12" t="inlineStr"/>
    </row>
    <row r="41">
      <c r="A41" s="11" t="inlineStr">
        <is>
          <t>B-12</t>
        </is>
      </c>
      <c r="B41" s="12" t="inlineStr">
        <is>
          <t>B</t>
        </is>
      </c>
      <c r="C41" s="11" t="inlineStr">
        <is>
          <t>Kanonizacja www / non-www</t>
        </is>
      </c>
      <c r="D41" s="11" t="inlineStr">
        <is>
          <t>TAK</t>
        </is>
      </c>
      <c r="E41" s="11" t="inlineStr">
        <is>
          <t>TAK</t>
        </is>
      </c>
      <c r="F41" s="11" t="inlineStr">
        <is>
          <t>TAK</t>
        </is>
      </c>
      <c r="G41" s="11" t="inlineStr">
        <is>
          <t>TAK</t>
        </is>
      </c>
      <c r="H41" s="11" t="inlineStr">
        <is>
          <t>TAK</t>
        </is>
      </c>
      <c r="I41" s="11" t="inlineStr">
        <is>
          <t>DZIAŁA</t>
        </is>
      </c>
      <c r="J41" s="12" t="inlineStr">
        <is>
          <t>WebToolsTab.tsx:124</t>
        </is>
      </c>
      <c r="K41" s="11" t="inlineStr">
        <is>
          <t>PARYTET</t>
        </is>
      </c>
      <c r="L41" s="11" t="inlineStr">
        <is>
          <t>—</t>
        </is>
      </c>
      <c r="M41" s="11" t="inlineStr">
        <is>
          <t>—</t>
        </is>
      </c>
      <c r="N41" s="12" t="inlineStr"/>
    </row>
    <row r="42">
      <c r="A42" s="11" t="inlineStr">
        <is>
          <t>B-13</t>
        </is>
      </c>
      <c r="B42" s="12" t="inlineStr">
        <is>
          <t>B</t>
        </is>
      </c>
      <c r="C42" s="11" t="inlineStr">
        <is>
          <t>Przekierowania 301/302 z panelu</t>
        </is>
      </c>
      <c r="D42" s="11" t="inlineStr">
        <is>
          <t>TAK</t>
        </is>
      </c>
      <c r="E42" s="11" t="inlineStr">
        <is>
          <t>TAK</t>
        </is>
      </c>
      <c r="F42" s="11" t="inlineStr">
        <is>
          <t>TAK</t>
        </is>
      </c>
      <c r="G42" s="11" t="inlineStr">
        <is>
          <t>TAK</t>
        </is>
      </c>
      <c r="H42" s="11" t="inlineStr">
        <is>
          <t>TAK</t>
        </is>
      </c>
      <c r="I42" s="11" t="inlineStr">
        <is>
          <t>DZIAŁA</t>
        </is>
      </c>
      <c r="J42" s="12" t="inlineStr">
        <is>
          <t>WebToolsTab.tsx:143</t>
        </is>
      </c>
      <c r="K42" s="11" t="inlineStr">
        <is>
          <t>PARYTET</t>
        </is>
      </c>
      <c r="L42" s="11" t="inlineStr">
        <is>
          <t>—</t>
        </is>
      </c>
      <c r="M42" s="11" t="inlineStr">
        <is>
          <t>—</t>
        </is>
      </c>
      <c r="N42" s="12" t="inlineStr"/>
    </row>
    <row r="43">
      <c r="A43" s="11" t="inlineStr">
        <is>
          <t>B-14</t>
        </is>
      </c>
      <c r="B43" s="12" t="inlineStr">
        <is>
          <t>B</t>
        </is>
      </c>
      <c r="C43" s="11" t="inlineStr">
        <is>
          <t>Ochrona przed hotlinkingiem</t>
        </is>
      </c>
      <c r="D43" s="11" t="inlineStr">
        <is>
          <t>TAK</t>
        </is>
      </c>
      <c r="E43" s="11" t="inlineStr">
        <is>
          <t>TAK</t>
        </is>
      </c>
      <c r="F43" s="11" t="inlineStr">
        <is>
          <t>CZĘŚĆ</t>
        </is>
      </c>
      <c r="G43" s="11" t="inlineStr">
        <is>
          <t>CZĘŚĆ</t>
        </is>
      </c>
      <c r="H43" s="11" t="inlineStr">
        <is>
          <t>NIE</t>
        </is>
      </c>
      <c r="I43" s="11" t="inlineStr">
        <is>
          <t>DZIAŁA</t>
        </is>
      </c>
      <c r="J43" s="12" t="inlineStr">
        <is>
          <t>WebToolsTab.tsx:185</t>
        </is>
      </c>
      <c r="K43" s="11" t="inlineStr">
        <is>
          <t>PRZEWAGA</t>
        </is>
      </c>
      <c r="L43" s="11" t="inlineStr">
        <is>
          <t>—</t>
        </is>
      </c>
      <c r="M43" s="11" t="inlineStr">
        <is>
          <t>—</t>
        </is>
      </c>
      <c r="N43" s="12" t="inlineStr"/>
    </row>
    <row r="44">
      <c r="A44" s="11" t="inlineStr">
        <is>
          <t>B-15</t>
        </is>
      </c>
      <c r="B44" s="12" t="inlineStr">
        <is>
          <t>B</t>
        </is>
      </c>
      <c r="C44" s="11" t="inlineStr">
        <is>
          <t>Blokowanie adresów IP</t>
        </is>
      </c>
      <c r="D44" s="11" t="inlineStr">
        <is>
          <t>TAK</t>
        </is>
      </c>
      <c r="E44" s="11" t="inlineStr">
        <is>
          <t>TAK</t>
        </is>
      </c>
      <c r="F44" s="11" t="inlineStr">
        <is>
          <t>TAK</t>
        </is>
      </c>
      <c r="G44" s="11" t="inlineStr">
        <is>
          <t>CZĘŚĆ</t>
        </is>
      </c>
      <c r="H44" s="11" t="inlineStr">
        <is>
          <t>TAK</t>
        </is>
      </c>
      <c r="I44" s="11" t="inlineStr">
        <is>
          <t>DZIAŁA</t>
        </is>
      </c>
      <c r="J44" s="12" t="inlineStr">
        <is>
          <t>WebToolsTab.tsx:198</t>
        </is>
      </c>
      <c r="K44" s="11" t="inlineStr">
        <is>
          <t>PARYTET</t>
        </is>
      </c>
      <c r="L44" s="11" t="inlineStr">
        <is>
          <t>—</t>
        </is>
      </c>
      <c r="M44" s="11" t="inlineStr">
        <is>
          <t>—</t>
        </is>
      </c>
      <c r="N44" s="12" t="inlineStr"/>
    </row>
    <row r="45">
      <c r="A45" s="11" t="inlineStr">
        <is>
          <t>B-16</t>
        </is>
      </c>
      <c r="B45" s="12" t="inlineStr">
        <is>
          <t>B</t>
        </is>
      </c>
      <c r="C45" s="11" t="inlineStr">
        <is>
          <t>Ochrona katalogu hasłem (.htpasswd)</t>
        </is>
      </c>
      <c r="D45" s="11" t="inlineStr">
        <is>
          <t>TAK</t>
        </is>
      </c>
      <c r="E45" s="11" t="inlineStr">
        <is>
          <t>TAK</t>
        </is>
      </c>
      <c r="F45" s="11" t="inlineStr">
        <is>
          <t>TAK</t>
        </is>
      </c>
      <c r="G45" s="11" t="inlineStr">
        <is>
          <t>CZĘŚĆ</t>
        </is>
      </c>
      <c r="H45" s="11" t="inlineStr">
        <is>
          <t>TAK</t>
        </is>
      </c>
      <c r="I45" s="11" t="inlineStr">
        <is>
          <t>DZIAŁA</t>
        </is>
      </c>
      <c r="J45" s="12" t="inlineStr">
        <is>
          <t>WebToolsTab.tsx:91</t>
        </is>
      </c>
      <c r="K45" s="11" t="inlineStr">
        <is>
          <t>PARYTET</t>
        </is>
      </c>
      <c r="L45" s="11" t="inlineStr">
        <is>
          <t>—</t>
        </is>
      </c>
      <c r="M45" s="11" t="inlineStr">
        <is>
          <t>—</t>
        </is>
      </c>
      <c r="N45" s="12" t="inlineStr"/>
    </row>
    <row r="46">
      <c r="A46" s="11" t="inlineStr">
        <is>
          <t>B-17</t>
        </is>
      </c>
      <c r="B46" s="12" t="inlineStr">
        <is>
          <t>B</t>
        </is>
      </c>
      <c r="C46" s="11" t="inlineStr">
        <is>
          <t>Własne strony błędów</t>
        </is>
      </c>
      <c r="D46" s="11" t="inlineStr">
        <is>
          <t>TAK</t>
        </is>
      </c>
      <c r="E46" s="11" t="inlineStr">
        <is>
          <t>TAK</t>
        </is>
      </c>
      <c r="F46" s="11" t="inlineStr">
        <is>
          <t>TAK</t>
        </is>
      </c>
      <c r="G46" s="11" t="inlineStr">
        <is>
          <t>CZĘŚĆ</t>
        </is>
      </c>
      <c r="H46" s="11" t="inlineStr">
        <is>
          <t>TAK</t>
        </is>
      </c>
      <c r="I46" s="11" t="inlineStr">
        <is>
          <t>BRAK</t>
        </is>
      </c>
      <c r="J46" s="12" t="inlineStr">
        <is>
          <t>—</t>
        </is>
      </c>
      <c r="K46" s="11" t="inlineStr">
        <is>
          <t>LUKA</t>
        </is>
      </c>
      <c r="L46" s="11" t="inlineStr">
        <is>
          <t>NISKA</t>
        </is>
      </c>
      <c r="M46" s="11" t="inlineStr">
        <is>
          <t>S</t>
        </is>
      </c>
      <c r="N46" s="12" t="inlineStr"/>
    </row>
    <row r="47">
      <c r="A47" s="11" t="inlineStr">
        <is>
          <t>B-18</t>
        </is>
      </c>
      <c r="B47" s="12" t="inlineStr">
        <is>
          <t>B</t>
        </is>
      </c>
      <c r="C47" s="11" t="inlineStr">
        <is>
          <t>Menedżer indeksowania katalogu</t>
        </is>
      </c>
      <c r="D47" s="11" t="inlineStr">
        <is>
          <t>TAK</t>
        </is>
      </c>
      <c r="E47" s="11" t="inlineStr">
        <is>
          <t>TAK</t>
        </is>
      </c>
      <c r="F47" s="11" t="inlineStr">
        <is>
          <t>TAK</t>
        </is>
      </c>
      <c r="G47" s="11" t="inlineStr">
        <is>
          <t>b.d.</t>
        </is>
      </c>
      <c r="H47" s="11" t="inlineStr">
        <is>
          <t>NIE</t>
        </is>
      </c>
      <c r="I47" s="11" t="inlineStr">
        <is>
          <t>BRAK</t>
        </is>
      </c>
      <c r="J47" s="12" t="inlineStr">
        <is>
          <t>—</t>
        </is>
      </c>
      <c r="K47" s="11" t="inlineStr">
        <is>
          <t>LUKA</t>
        </is>
      </c>
      <c r="L47" s="11" t="inlineStr">
        <is>
          <t>NISKA</t>
        </is>
      </c>
      <c r="M47" s="11" t="inlineStr">
        <is>
          <t>S</t>
        </is>
      </c>
      <c r="N47" s="12" t="inlineStr"/>
    </row>
    <row r="48">
      <c r="A48" s="11" t="inlineStr">
        <is>
          <t>B-19</t>
        </is>
      </c>
      <c r="B48" s="12" t="inlineStr">
        <is>
          <t>B</t>
        </is>
      </c>
      <c r="C48" s="11" t="inlineStr">
        <is>
          <t>Kreator stron WWW</t>
        </is>
      </c>
      <c r="D48" s="11" t="inlineStr">
        <is>
          <t>TAK</t>
        </is>
      </c>
      <c r="E48" s="11" t="inlineStr">
        <is>
          <t>TAK</t>
        </is>
      </c>
      <c r="F48" s="11" t="inlineStr">
        <is>
          <t>CZĘŚĆ</t>
        </is>
      </c>
      <c r="G48" s="11" t="inlineStr">
        <is>
          <t>CZĘŚĆ</t>
        </is>
      </c>
      <c r="H48" s="11" t="inlineStr">
        <is>
          <t>TAK</t>
        </is>
      </c>
      <c r="I48" s="11" t="inlineStr">
        <is>
          <t>ATRAPA</t>
        </is>
      </c>
      <c r="J48" s="12" t="inlineStr">
        <is>
          <t>SiteBuilderTab.tsx (1612 l.) wyłączony w page.tsx:65,296</t>
        </is>
      </c>
      <c r="K48" s="11" t="inlineStr">
        <is>
          <t>LUKA</t>
        </is>
      </c>
      <c r="L48" s="11" t="inlineStr">
        <is>
          <t>NISKA</t>
        </is>
      </c>
      <c r="M48" s="11" t="inlineStr">
        <is>
          <t>M</t>
        </is>
      </c>
      <c r="N48" s="12" t="inlineStr">
        <is>
          <t>kod napisany i zakomentowany — decyzja: dokończyć albo usunąć</t>
        </is>
      </c>
    </row>
    <row r="49">
      <c r="A49" s="11" t="inlineStr">
        <is>
          <t>C-01</t>
        </is>
      </c>
      <c r="B49" s="12" t="inlineStr">
        <is>
          <t>C</t>
        </is>
      </c>
      <c r="C49" s="11" t="inlineStr">
        <is>
          <t>Menedżer plików — lista katalogu</t>
        </is>
      </c>
      <c r="D49" s="11" t="inlineStr">
        <is>
          <t>TAK</t>
        </is>
      </c>
      <c r="E49" s="11" t="inlineStr">
        <is>
          <t>TAK</t>
        </is>
      </c>
      <c r="F49" s="11" t="inlineStr">
        <is>
          <t>TAK</t>
        </is>
      </c>
      <c r="G49" s="11" t="inlineStr">
        <is>
          <t>TAK</t>
        </is>
      </c>
      <c r="H49" s="11" t="inlineStr">
        <is>
          <t>TAK</t>
        </is>
      </c>
      <c r="I49" s="11" t="inlineStr">
        <is>
          <t>DZIAŁA</t>
        </is>
      </c>
      <c r="J49" s="12" t="inlineStr">
        <is>
          <t>files.controller.ts:27</t>
        </is>
      </c>
      <c r="K49" s="11" t="inlineStr">
        <is>
          <t>PARYTET</t>
        </is>
      </c>
      <c r="L49" s="11" t="inlineStr">
        <is>
          <t>—</t>
        </is>
      </c>
      <c r="M49" s="11" t="inlineStr">
        <is>
          <t>—</t>
        </is>
      </c>
      <c r="N49" s="12" t="inlineStr"/>
    </row>
    <row r="50">
      <c r="A50" s="11" t="inlineStr">
        <is>
          <t>C-02</t>
        </is>
      </c>
      <c r="B50" s="12" t="inlineStr">
        <is>
          <t>C</t>
        </is>
      </c>
      <c r="C50" s="11" t="inlineStr">
        <is>
          <t>Podgląd i edycja pliku tekstowego</t>
        </is>
      </c>
      <c r="D50" s="11" t="inlineStr">
        <is>
          <t>TAK</t>
        </is>
      </c>
      <c r="E50" s="11" t="inlineStr">
        <is>
          <t>TAK</t>
        </is>
      </c>
      <c r="F50" s="11" t="inlineStr">
        <is>
          <t>TAK</t>
        </is>
      </c>
      <c r="G50" s="11" t="inlineStr">
        <is>
          <t>TAK</t>
        </is>
      </c>
      <c r="H50" s="11" t="inlineStr">
        <is>
          <t>TAK</t>
        </is>
      </c>
      <c r="I50" s="11" t="inlineStr">
        <is>
          <t>DZIAŁA</t>
        </is>
      </c>
      <c r="J50" s="12" t="inlineStr">
        <is>
          <t>files.controller.ts:36,61</t>
        </is>
      </c>
      <c r="K50" s="11" t="inlineStr">
        <is>
          <t>PARYTET</t>
        </is>
      </c>
      <c r="L50" s="11" t="inlineStr">
        <is>
          <t>—</t>
        </is>
      </c>
      <c r="M50" s="11" t="inlineStr">
        <is>
          <t>—</t>
        </is>
      </c>
      <c r="N50" s="12" t="inlineStr"/>
    </row>
    <row r="51">
      <c r="A51" s="11" t="inlineStr">
        <is>
          <t>C-03</t>
        </is>
      </c>
      <c r="B51" s="12" t="inlineStr">
        <is>
          <t>C</t>
        </is>
      </c>
      <c r="C51" s="11" t="inlineStr">
        <is>
          <t>Tworzenie katalogu</t>
        </is>
      </c>
      <c r="D51" s="11" t="inlineStr">
        <is>
          <t>TAK</t>
        </is>
      </c>
      <c r="E51" s="11" t="inlineStr">
        <is>
          <t>TAK</t>
        </is>
      </c>
      <c r="F51" s="11" t="inlineStr">
        <is>
          <t>TAK</t>
        </is>
      </c>
      <c r="G51" s="11" t="inlineStr">
        <is>
          <t>TAK</t>
        </is>
      </c>
      <c r="H51" s="11" t="inlineStr">
        <is>
          <t>TAK</t>
        </is>
      </c>
      <c r="I51" s="11" t="inlineStr">
        <is>
          <t>DZIAŁA</t>
        </is>
      </c>
      <c r="J51" s="12" t="inlineStr">
        <is>
          <t>files.controller.ts:71</t>
        </is>
      </c>
      <c r="K51" s="11" t="inlineStr">
        <is>
          <t>PARYTET</t>
        </is>
      </c>
      <c r="L51" s="11" t="inlineStr">
        <is>
          <t>—</t>
        </is>
      </c>
      <c r="M51" s="11" t="inlineStr">
        <is>
          <t>—</t>
        </is>
      </c>
      <c r="N51" s="12" t="inlineStr"/>
    </row>
    <row r="52">
      <c r="A52" s="11" t="inlineStr">
        <is>
          <t>C-04</t>
        </is>
      </c>
      <c r="B52" s="12" t="inlineStr">
        <is>
          <t>C</t>
        </is>
      </c>
      <c r="C52" s="11" t="inlineStr">
        <is>
          <t>Tworzenie pliku</t>
        </is>
      </c>
      <c r="D52" s="11" t="inlineStr">
        <is>
          <t>TAK</t>
        </is>
      </c>
      <c r="E52" s="11" t="inlineStr">
        <is>
          <t>TAK</t>
        </is>
      </c>
      <c r="F52" s="11" t="inlineStr">
        <is>
          <t>TAK</t>
        </is>
      </c>
      <c r="G52" s="11" t="inlineStr">
        <is>
          <t>TAK</t>
        </is>
      </c>
      <c r="H52" s="11" t="inlineStr">
        <is>
          <t>TAK</t>
        </is>
      </c>
      <c r="I52" s="11" t="inlineStr">
        <is>
          <t>DZIAŁA</t>
        </is>
      </c>
      <c r="J52" s="12" t="inlineStr">
        <is>
          <t>files.controller.ts:61</t>
        </is>
      </c>
      <c r="K52" s="11" t="inlineStr">
        <is>
          <t>PARYTET</t>
        </is>
      </c>
      <c r="L52" s="11" t="inlineStr">
        <is>
          <t>—</t>
        </is>
      </c>
      <c r="M52" s="11" t="inlineStr">
        <is>
          <t>—</t>
        </is>
      </c>
      <c r="N52" s="12" t="inlineStr"/>
    </row>
    <row r="53">
      <c r="A53" s="11" t="inlineStr">
        <is>
          <t>C-05</t>
        </is>
      </c>
      <c r="B53" s="12" t="inlineStr">
        <is>
          <t>C</t>
        </is>
      </c>
      <c r="C53" s="11" t="inlineStr">
        <is>
          <t>Zmiana nazwy pliku/katalogu</t>
        </is>
      </c>
      <c r="D53" s="11" t="inlineStr">
        <is>
          <t>TAK</t>
        </is>
      </c>
      <c r="E53" s="11" t="inlineStr">
        <is>
          <t>TAK</t>
        </is>
      </c>
      <c r="F53" s="11" t="inlineStr">
        <is>
          <t>TAK</t>
        </is>
      </c>
      <c r="G53" s="11" t="inlineStr">
        <is>
          <t>TAK</t>
        </is>
      </c>
      <c r="H53" s="11" t="inlineStr">
        <is>
          <t>TAK</t>
        </is>
      </c>
      <c r="I53" s="11" t="inlineStr">
        <is>
          <t>DZIAŁA</t>
        </is>
      </c>
      <c r="J53" s="12" t="inlineStr">
        <is>
          <t>files.controller.ts:81</t>
        </is>
      </c>
      <c r="K53" s="11" t="inlineStr">
        <is>
          <t>PARYTET</t>
        </is>
      </c>
      <c r="L53" s="11" t="inlineStr">
        <is>
          <t>—</t>
        </is>
      </c>
      <c r="M53" s="11" t="inlineStr">
        <is>
          <t>—</t>
        </is>
      </c>
      <c r="N53" s="12" t="inlineStr"/>
    </row>
    <row r="54">
      <c r="A54" s="11" t="inlineStr">
        <is>
          <t>C-06</t>
        </is>
      </c>
      <c r="B54" s="12" t="inlineStr">
        <is>
          <t>C</t>
        </is>
      </c>
      <c r="C54" s="11" t="inlineStr">
        <is>
          <t>Usuwanie plików (także zaznaczonych)</t>
        </is>
      </c>
      <c r="D54" s="11" t="inlineStr">
        <is>
          <t>TAK</t>
        </is>
      </c>
      <c r="E54" s="11" t="inlineStr">
        <is>
          <t>TAK</t>
        </is>
      </c>
      <c r="F54" s="11" t="inlineStr">
        <is>
          <t>TAK</t>
        </is>
      </c>
      <c r="G54" s="11" t="inlineStr">
        <is>
          <t>TAK</t>
        </is>
      </c>
      <c r="H54" s="11" t="inlineStr">
        <is>
          <t>TAK</t>
        </is>
      </c>
      <c r="I54" s="11" t="inlineStr">
        <is>
          <t>DZIAŁA</t>
        </is>
      </c>
      <c r="J54" s="12" t="inlineStr">
        <is>
          <t>files.controller.ts:91</t>
        </is>
      </c>
      <c r="K54" s="11" t="inlineStr">
        <is>
          <t>PARYTET</t>
        </is>
      </c>
      <c r="L54" s="11" t="inlineStr">
        <is>
          <t>—</t>
        </is>
      </c>
      <c r="M54" s="11" t="inlineStr">
        <is>
          <t>—</t>
        </is>
      </c>
      <c r="N54" s="12" t="inlineStr"/>
    </row>
    <row r="55">
      <c r="A55" s="11" t="inlineStr">
        <is>
          <t>C-07</t>
        </is>
      </c>
      <c r="B55" s="12" t="inlineStr">
        <is>
          <t>C</t>
        </is>
      </c>
      <c r="C55" s="11" t="inlineStr">
        <is>
          <t>Kopiowanie plików</t>
        </is>
      </c>
      <c r="D55" s="11" t="inlineStr">
        <is>
          <t>TAK</t>
        </is>
      </c>
      <c r="E55" s="11" t="inlineStr">
        <is>
          <t>TAK</t>
        </is>
      </c>
      <c r="F55" s="11" t="inlineStr">
        <is>
          <t>TAK</t>
        </is>
      </c>
      <c r="G55" s="11" t="inlineStr">
        <is>
          <t>TAK</t>
        </is>
      </c>
      <c r="H55" s="11" t="inlineStr">
        <is>
          <t>TAK</t>
        </is>
      </c>
      <c r="I55" s="11" t="inlineStr">
        <is>
          <t>DZIAŁA</t>
        </is>
      </c>
      <c r="J55" s="12" t="inlineStr">
        <is>
          <t>files.controller.ts:101</t>
        </is>
      </c>
      <c r="K55" s="11" t="inlineStr">
        <is>
          <t>PARYTET</t>
        </is>
      </c>
      <c r="L55" s="11" t="inlineStr">
        <is>
          <t>—</t>
        </is>
      </c>
      <c r="M55" s="11" t="inlineStr">
        <is>
          <t>—</t>
        </is>
      </c>
      <c r="N55" s="12" t="inlineStr"/>
    </row>
    <row r="56">
      <c r="A56" s="11" t="inlineStr">
        <is>
          <t>C-08</t>
        </is>
      </c>
      <c r="B56" s="12" t="inlineStr">
        <is>
          <t>C</t>
        </is>
      </c>
      <c r="C56" s="11" t="inlineStr">
        <is>
          <t>Przenoszenie plików</t>
        </is>
      </c>
      <c r="D56" s="11" t="inlineStr">
        <is>
          <t>TAK</t>
        </is>
      </c>
      <c r="E56" s="11" t="inlineStr">
        <is>
          <t>TAK</t>
        </is>
      </c>
      <c r="F56" s="11" t="inlineStr">
        <is>
          <t>TAK</t>
        </is>
      </c>
      <c r="G56" s="11" t="inlineStr">
        <is>
          <t>TAK</t>
        </is>
      </c>
      <c r="H56" s="11" t="inlineStr">
        <is>
          <t>TAK</t>
        </is>
      </c>
      <c r="I56" s="11" t="inlineStr">
        <is>
          <t>DZIAŁA</t>
        </is>
      </c>
      <c r="J56" s="12" t="inlineStr">
        <is>
          <t>files.controller.ts:111</t>
        </is>
      </c>
      <c r="K56" s="11" t="inlineStr">
        <is>
          <t>PARYTET</t>
        </is>
      </c>
      <c r="L56" s="11" t="inlineStr">
        <is>
          <t>—</t>
        </is>
      </c>
      <c r="M56" s="11" t="inlineStr">
        <is>
          <t>—</t>
        </is>
      </c>
      <c r="N56" s="12" t="inlineStr"/>
    </row>
    <row r="57">
      <c r="A57" s="11" t="inlineStr">
        <is>
          <t>C-09</t>
        </is>
      </c>
      <c r="B57" s="12" t="inlineStr">
        <is>
          <t>C</t>
        </is>
      </c>
      <c r="C57" s="11" t="inlineStr">
        <is>
          <t>Zmiana uprawnień (chmod)</t>
        </is>
      </c>
      <c r="D57" s="11" t="inlineStr">
        <is>
          <t>TAK</t>
        </is>
      </c>
      <c r="E57" s="11" t="inlineStr">
        <is>
          <t>TAK</t>
        </is>
      </c>
      <c r="F57" s="11" t="inlineStr">
        <is>
          <t>TAK</t>
        </is>
      </c>
      <c r="G57" s="11" t="inlineStr">
        <is>
          <t>TAK</t>
        </is>
      </c>
      <c r="H57" s="11" t="inlineStr">
        <is>
          <t>TAK</t>
        </is>
      </c>
      <c r="I57" s="11" t="inlineStr">
        <is>
          <t>DZIAŁA</t>
        </is>
      </c>
      <c r="J57" s="12" t="inlineStr">
        <is>
          <t>files.controller.ts:131</t>
        </is>
      </c>
      <c r="K57" s="11" t="inlineStr">
        <is>
          <t>PARYTET</t>
        </is>
      </c>
      <c r="L57" s="11" t="inlineStr">
        <is>
          <t>—</t>
        </is>
      </c>
      <c r="M57" s="11" t="inlineStr">
        <is>
          <t>—</t>
        </is>
      </c>
      <c r="N57" s="12" t="inlineStr"/>
    </row>
    <row r="58">
      <c r="A58" s="11" t="inlineStr">
        <is>
          <t>C-10</t>
        </is>
      </c>
      <c r="B58" s="12" t="inlineStr">
        <is>
          <t>C</t>
        </is>
      </c>
      <c r="C58" s="11" t="inlineStr">
        <is>
          <t>Rozpakowanie archiwum</t>
        </is>
      </c>
      <c r="D58" s="11" t="inlineStr">
        <is>
          <t>TAK</t>
        </is>
      </c>
      <c r="E58" s="11" t="inlineStr">
        <is>
          <t>TAK</t>
        </is>
      </c>
      <c r="F58" s="11" t="inlineStr">
        <is>
          <t>TAK</t>
        </is>
      </c>
      <c r="G58" s="11" t="inlineStr">
        <is>
          <t>TAK</t>
        </is>
      </c>
      <c r="H58" s="11" t="inlineStr">
        <is>
          <t>TAK</t>
        </is>
      </c>
      <c r="I58" s="11" t="inlineStr">
        <is>
          <t>DZIAŁA</t>
        </is>
      </c>
      <c r="J58" s="12" t="inlineStr">
        <is>
          <t>files.controller.ts:121</t>
        </is>
      </c>
      <c r="K58" s="11" t="inlineStr">
        <is>
          <t>PARYTET</t>
        </is>
      </c>
      <c r="L58" s="11" t="inlineStr">
        <is>
          <t>—</t>
        </is>
      </c>
      <c r="M58" s="11" t="inlineStr">
        <is>
          <t>—</t>
        </is>
      </c>
      <c r="N58" s="12" t="inlineStr"/>
    </row>
    <row r="59">
      <c r="A59" s="11" t="inlineStr">
        <is>
          <t>C-11</t>
        </is>
      </c>
      <c r="B59" s="12" t="inlineStr">
        <is>
          <t>C</t>
        </is>
      </c>
      <c r="C59" s="11" t="inlineStr">
        <is>
          <t>Spakowanie do archiwum</t>
        </is>
      </c>
      <c r="D59" s="11" t="inlineStr">
        <is>
          <t>TAK</t>
        </is>
      </c>
      <c r="E59" s="11" t="inlineStr">
        <is>
          <t>TAK</t>
        </is>
      </c>
      <c r="F59" s="11" t="inlineStr">
        <is>
          <t>TAK</t>
        </is>
      </c>
      <c r="G59" s="11" t="inlineStr">
        <is>
          <t>TAK</t>
        </is>
      </c>
      <c r="H59" s="11" t="inlineStr">
        <is>
          <t>TAK</t>
        </is>
      </c>
      <c r="I59" s="11" t="inlineStr">
        <is>
          <t>BRAK</t>
        </is>
      </c>
      <c r="J59" s="12" t="inlineStr">
        <is>
          <t>files.service.ts:320 — tylko extract</t>
        </is>
      </c>
      <c r="K59" s="11" t="inlineStr">
        <is>
          <t>LUKA</t>
        </is>
      </c>
      <c r="L59" s="11" t="inlineStr">
        <is>
          <t>ŚREDNIA</t>
        </is>
      </c>
      <c r="M59" s="11" t="inlineStr">
        <is>
          <t>S</t>
        </is>
      </c>
      <c r="N59" s="12" t="inlineStr">
        <is>
          <t>standard we wszystkich panelach</t>
        </is>
      </c>
    </row>
    <row r="60">
      <c r="A60" s="11" t="inlineStr">
        <is>
          <t>C-12</t>
        </is>
      </c>
      <c r="B60" s="12" t="inlineStr">
        <is>
          <t>C</t>
        </is>
      </c>
      <c r="C60" s="11" t="inlineStr">
        <is>
          <t>Upload pliku</t>
        </is>
      </c>
      <c r="D60" s="11" t="inlineStr">
        <is>
          <t>TAK</t>
        </is>
      </c>
      <c r="E60" s="11" t="inlineStr">
        <is>
          <t>TAK</t>
        </is>
      </c>
      <c r="F60" s="11" t="inlineStr">
        <is>
          <t>TAK</t>
        </is>
      </c>
      <c r="G60" s="11" t="inlineStr">
        <is>
          <t>TAK</t>
        </is>
      </c>
      <c r="H60" s="11" t="inlineStr">
        <is>
          <t>TAK</t>
        </is>
      </c>
      <c r="I60" s="11" t="inlineStr">
        <is>
          <t>DZIAŁA</t>
        </is>
      </c>
      <c r="J60" s="12" t="inlineStr">
        <is>
          <t>files.controller.ts:141</t>
        </is>
      </c>
      <c r="K60" s="11" t="inlineStr">
        <is>
          <t>PARYTET</t>
        </is>
      </c>
      <c r="L60" s="11" t="inlineStr">
        <is>
          <t>—</t>
        </is>
      </c>
      <c r="M60" s="11" t="inlineStr">
        <is>
          <t>—</t>
        </is>
      </c>
      <c r="N60" s="12" t="inlineStr"/>
    </row>
    <row r="61">
      <c r="A61" s="11" t="inlineStr">
        <is>
          <t>C-13</t>
        </is>
      </c>
      <c r="B61" s="12" t="inlineStr">
        <is>
          <t>C</t>
        </is>
      </c>
      <c r="C61" s="11" t="inlineStr">
        <is>
          <t>Pobranie pliku</t>
        </is>
      </c>
      <c r="D61" s="11" t="inlineStr">
        <is>
          <t>TAK</t>
        </is>
      </c>
      <c r="E61" s="11" t="inlineStr">
        <is>
          <t>TAK</t>
        </is>
      </c>
      <c r="F61" s="11" t="inlineStr">
        <is>
          <t>TAK</t>
        </is>
      </c>
      <c r="G61" s="11" t="inlineStr">
        <is>
          <t>TAK</t>
        </is>
      </c>
      <c r="H61" s="11" t="inlineStr">
        <is>
          <t>TAK</t>
        </is>
      </c>
      <c r="I61" s="11" t="inlineStr">
        <is>
          <t>DZIAŁA</t>
        </is>
      </c>
      <c r="J61" s="12" t="inlineStr">
        <is>
          <t>files.controller.ts:45</t>
        </is>
      </c>
      <c r="K61" s="11" t="inlineStr">
        <is>
          <t>PARYTET</t>
        </is>
      </c>
      <c r="L61" s="11" t="inlineStr">
        <is>
          <t>—</t>
        </is>
      </c>
      <c r="M61" s="11" t="inlineStr">
        <is>
          <t>—</t>
        </is>
      </c>
      <c r="N61" s="12" t="inlineStr"/>
    </row>
    <row r="62">
      <c r="A62" s="11" t="inlineStr">
        <is>
          <t>C-14</t>
        </is>
      </c>
      <c r="B62" s="12" t="inlineStr">
        <is>
          <t>C</t>
        </is>
      </c>
      <c r="C62" s="11" t="inlineStr">
        <is>
          <t>Wyszukiwanie plików</t>
        </is>
      </c>
      <c r="D62" s="11" t="inlineStr">
        <is>
          <t>TAK</t>
        </is>
      </c>
      <c r="E62" s="11" t="inlineStr">
        <is>
          <t>TAK</t>
        </is>
      </c>
      <c r="F62" s="11" t="inlineStr">
        <is>
          <t>CZĘŚĆ</t>
        </is>
      </c>
      <c r="G62" s="11" t="inlineStr">
        <is>
          <t>CZĘŚĆ</t>
        </is>
      </c>
      <c r="H62" s="11" t="inlineStr">
        <is>
          <t>TAK</t>
        </is>
      </c>
      <c r="I62" s="11" t="inlineStr">
        <is>
          <t>BRAK</t>
        </is>
      </c>
      <c r="J62" s="12" t="inlineStr">
        <is>
          <t>—</t>
        </is>
      </c>
      <c r="K62" s="11" t="inlineStr">
        <is>
          <t>LUKA</t>
        </is>
      </c>
      <c r="L62" s="11" t="inlineStr">
        <is>
          <t>NISKA</t>
        </is>
      </c>
      <c r="M62" s="11" t="inlineStr">
        <is>
          <t>S</t>
        </is>
      </c>
      <c r="N62" s="12" t="inlineStr"/>
    </row>
    <row r="63">
      <c r="A63" s="11" t="inlineStr">
        <is>
          <t>C-15</t>
        </is>
      </c>
      <c r="B63" s="12" t="inlineStr">
        <is>
          <t>C</t>
        </is>
      </c>
      <c r="C63" s="11" t="inlineStr">
        <is>
          <t>Podgląd zajętości katalogów (disk usage)</t>
        </is>
      </c>
      <c r="D63" s="11" t="inlineStr">
        <is>
          <t>TAK</t>
        </is>
      </c>
      <c r="E63" s="11" t="inlineStr">
        <is>
          <t>TAK</t>
        </is>
      </c>
      <c r="F63" s="11" t="inlineStr">
        <is>
          <t>TAK</t>
        </is>
      </c>
      <c r="G63" s="11" t="inlineStr">
        <is>
          <t>CZĘŚĆ</t>
        </is>
      </c>
      <c r="H63" s="11" t="inlineStr">
        <is>
          <t>TAK</t>
        </is>
      </c>
      <c r="I63" s="11" t="inlineStr">
        <is>
          <t>BRAK</t>
        </is>
      </c>
      <c r="J63" s="12" t="inlineStr">
        <is>
          <t>—</t>
        </is>
      </c>
      <c r="K63" s="11" t="inlineStr">
        <is>
          <t>LUKA</t>
        </is>
      </c>
      <c r="L63" s="11" t="inlineStr">
        <is>
          <t>ŚREDNIA</t>
        </is>
      </c>
      <c r="M63" s="11" t="inlineStr">
        <is>
          <t>S</t>
        </is>
      </c>
      <c r="N63" s="12" t="inlineStr">
        <is>
          <t>częste źródło ticketów „skończyło się miejsce”</t>
        </is>
      </c>
    </row>
    <row r="64">
      <c r="A64" s="11" t="inlineStr">
        <is>
          <t>C-16</t>
        </is>
      </c>
      <c r="B64" s="12" t="inlineStr">
        <is>
          <t>C</t>
        </is>
      </c>
      <c r="C64" s="11" t="inlineStr">
        <is>
          <t>Konto FTP — utworzenie</t>
        </is>
      </c>
      <c r="D64" s="11" t="inlineStr">
        <is>
          <t>TAK</t>
        </is>
      </c>
      <c r="E64" s="11" t="inlineStr">
        <is>
          <t>TAK</t>
        </is>
      </c>
      <c r="F64" s="11" t="inlineStr">
        <is>
          <t>TAK</t>
        </is>
      </c>
      <c r="G64" s="11" t="inlineStr">
        <is>
          <t>TAK</t>
        </is>
      </c>
      <c r="H64" s="11" t="inlineStr">
        <is>
          <t>TAK</t>
        </is>
      </c>
      <c r="I64" s="11" t="inlineStr">
        <is>
          <t>DZIAŁA</t>
        </is>
      </c>
      <c r="J64" s="12" t="inlineStr">
        <is>
          <t>services.controller.ts:406</t>
        </is>
      </c>
      <c r="K64" s="11" t="inlineStr">
        <is>
          <t>PARYTET</t>
        </is>
      </c>
      <c r="L64" s="11" t="inlineStr">
        <is>
          <t>—</t>
        </is>
      </c>
      <c r="M64" s="11" t="inlineStr">
        <is>
          <t>—</t>
        </is>
      </c>
      <c r="N64" s="12" t="inlineStr"/>
    </row>
    <row r="65">
      <c r="A65" s="11" t="inlineStr">
        <is>
          <t>C-17</t>
        </is>
      </c>
      <c r="B65" s="12" t="inlineStr">
        <is>
          <t>C</t>
        </is>
      </c>
      <c r="C65" s="11" t="inlineStr">
        <is>
          <t>Konto FTP — usunięcie</t>
        </is>
      </c>
      <c r="D65" s="11" t="inlineStr">
        <is>
          <t>TAK</t>
        </is>
      </c>
      <c r="E65" s="11" t="inlineStr">
        <is>
          <t>TAK</t>
        </is>
      </c>
      <c r="F65" s="11" t="inlineStr">
        <is>
          <t>TAK</t>
        </is>
      </c>
      <c r="G65" s="11" t="inlineStr">
        <is>
          <t>TAK</t>
        </is>
      </c>
      <c r="H65" s="11" t="inlineStr">
        <is>
          <t>TAK</t>
        </is>
      </c>
      <c r="I65" s="11" t="inlineStr">
        <is>
          <t>DZIAŁA</t>
        </is>
      </c>
      <c r="J65" s="12" t="inlineStr">
        <is>
          <t>services.controller.ts:415</t>
        </is>
      </c>
      <c r="K65" s="11" t="inlineStr">
        <is>
          <t>PARYTET</t>
        </is>
      </c>
      <c r="L65" s="11" t="inlineStr">
        <is>
          <t>—</t>
        </is>
      </c>
      <c r="M65" s="11" t="inlineStr">
        <is>
          <t>—</t>
        </is>
      </c>
      <c r="N65" s="12" t="inlineStr"/>
    </row>
    <row r="66">
      <c r="A66" s="11" t="inlineStr">
        <is>
          <t>C-18</t>
        </is>
      </c>
      <c r="B66" s="12" t="inlineStr">
        <is>
          <t>C</t>
        </is>
      </c>
      <c r="C66" s="11" t="inlineStr">
        <is>
          <t>Konto FTP — zmiana hasła</t>
        </is>
      </c>
      <c r="D66" s="11" t="inlineStr">
        <is>
          <t>TAK</t>
        </is>
      </c>
      <c r="E66" s="11" t="inlineStr">
        <is>
          <t>TAK</t>
        </is>
      </c>
      <c r="F66" s="11" t="inlineStr">
        <is>
          <t>TAK</t>
        </is>
      </c>
      <c r="G66" s="11" t="inlineStr">
        <is>
          <t>TAK</t>
        </is>
      </c>
      <c r="H66" s="11" t="inlineStr">
        <is>
          <t>TAK</t>
        </is>
      </c>
      <c r="I66" s="11" t="inlineStr">
        <is>
          <t>BRAK</t>
        </is>
      </c>
      <c r="J66" s="12" t="inlineStr">
        <is>
          <t>—</t>
        </is>
      </c>
      <c r="K66" s="11" t="inlineStr">
        <is>
          <t>LUKA</t>
        </is>
      </c>
      <c r="L66" s="11" t="inlineStr">
        <is>
          <t>WYSOKA</t>
        </is>
      </c>
      <c r="M66" s="11" t="inlineStr">
        <is>
          <t>S</t>
        </is>
      </c>
      <c r="N66" s="12" t="inlineStr">
        <is>
          <t>brak jakiejkolwiek ścieżki edycji istniejącego konta</t>
        </is>
      </c>
    </row>
    <row r="67">
      <c r="A67" s="11" t="inlineStr">
        <is>
          <t>C-19</t>
        </is>
      </c>
      <c r="B67" s="12" t="inlineStr">
        <is>
          <t>C</t>
        </is>
      </c>
      <c r="C67" s="11" t="inlineStr">
        <is>
          <t>Konto FTP — limit powierzchni (quota)</t>
        </is>
      </c>
      <c r="D67" s="11" t="inlineStr">
        <is>
          <t>TAK</t>
        </is>
      </c>
      <c r="E67" s="11" t="inlineStr">
        <is>
          <t>TAK</t>
        </is>
      </c>
      <c r="F67" s="11" t="inlineStr">
        <is>
          <t>TAK</t>
        </is>
      </c>
      <c r="G67" s="11" t="inlineStr">
        <is>
          <t>CZĘŚĆ</t>
        </is>
      </c>
      <c r="H67" s="11" t="inlineStr">
        <is>
          <t>NIE</t>
        </is>
      </c>
      <c r="I67" s="11" t="inlineStr">
        <is>
          <t>BRAK</t>
        </is>
      </c>
      <c r="J67" s="12" t="inlineStr">
        <is>
          <t>—</t>
        </is>
      </c>
      <c r="K67" s="11" t="inlineStr">
        <is>
          <t>LUKA</t>
        </is>
      </c>
      <c r="L67" s="11" t="inlineStr">
        <is>
          <t>NISKA</t>
        </is>
      </c>
      <c r="M67" s="11" t="inlineStr">
        <is>
          <t>S</t>
        </is>
      </c>
      <c r="N67" s="12" t="inlineStr"/>
    </row>
    <row r="68">
      <c r="A68" s="11" t="inlineStr">
        <is>
          <t>C-20</t>
        </is>
      </c>
      <c r="B68" s="12" t="inlineStr">
        <is>
          <t>C</t>
        </is>
      </c>
      <c r="C68" s="11" t="inlineStr">
        <is>
          <t>FTP anonimowy</t>
        </is>
      </c>
      <c r="D68" s="11" t="inlineStr">
        <is>
          <t>TAK</t>
        </is>
      </c>
      <c r="E68" s="11" t="inlineStr">
        <is>
          <t>TAK</t>
        </is>
      </c>
      <c r="F68" s="11" t="inlineStr">
        <is>
          <t>TAK</t>
        </is>
      </c>
      <c r="G68" s="11" t="inlineStr">
        <is>
          <t>NIE</t>
        </is>
      </c>
      <c r="H68" s="11" t="inlineStr">
        <is>
          <t>NIE</t>
        </is>
      </c>
      <c r="I68" s="11" t="inlineStr">
        <is>
          <t>BRAK</t>
        </is>
      </c>
      <c r="J68" s="12" t="inlineStr">
        <is>
          <t>—</t>
        </is>
      </c>
      <c r="K68" s="11" t="inlineStr">
        <is>
          <t>POZA ZAKRESEM</t>
        </is>
      </c>
      <c r="L68" s="11" t="inlineStr">
        <is>
          <t>NISKA</t>
        </is>
      </c>
      <c r="M68" s="11" t="inlineStr">
        <is>
          <t>—</t>
        </is>
      </c>
      <c r="N68" s="12" t="inlineStr">
        <is>
          <t>funkcja schyłkowa, ryzyko nadużyć</t>
        </is>
      </c>
    </row>
    <row r="69">
      <c r="A69" s="11" t="inlineStr">
        <is>
          <t>C-21</t>
        </is>
      </c>
      <c r="B69" s="12" t="inlineStr">
        <is>
          <t>C</t>
        </is>
      </c>
      <c r="C69" s="11" t="inlineStr">
        <is>
          <t>Dostęp SSH</t>
        </is>
      </c>
      <c r="D69" s="11" t="inlineStr">
        <is>
          <t>TAK</t>
        </is>
      </c>
      <c r="E69" s="11" t="inlineStr">
        <is>
          <t>TAK</t>
        </is>
      </c>
      <c r="F69" s="11" t="inlineStr">
        <is>
          <t>TAK</t>
        </is>
      </c>
      <c r="G69" s="11" t="inlineStr">
        <is>
          <t>TAK</t>
        </is>
      </c>
      <c r="H69" s="11" t="inlineStr">
        <is>
          <t>TAK</t>
        </is>
      </c>
      <c r="I69" s="11" t="inlineStr">
        <is>
          <t>CZĘŚCIOWE</t>
        </is>
      </c>
      <c r="J69" s="12" t="inlineStr">
        <is>
          <t>ServiceConnectionCard.tsx:235 — tylko odczyt flagi</t>
        </is>
      </c>
      <c r="K69" s="11" t="inlineStr">
        <is>
          <t>CZĘŚCIOWY</t>
        </is>
      </c>
      <c r="L69" s="11" t="inlineStr">
        <is>
          <t>WYSOKA</t>
        </is>
      </c>
      <c r="M69" s="11" t="inlineStr">
        <is>
          <t>M</t>
        </is>
      </c>
      <c r="N69" s="12" t="inlineStr">
        <is>
          <t>klient widzi status, nie może włączyć</t>
        </is>
      </c>
    </row>
    <row r="70">
      <c r="A70" s="11" t="inlineStr">
        <is>
          <t>C-22</t>
        </is>
      </c>
      <c r="B70" s="12" t="inlineStr">
        <is>
          <t>C</t>
        </is>
      </c>
      <c r="C70" s="11" t="inlineStr">
        <is>
          <t>Zarządzanie kluczami SSH konta hostingowego</t>
        </is>
      </c>
      <c r="D70" s="11" t="inlineStr">
        <is>
          <t>TAK</t>
        </is>
      </c>
      <c r="E70" s="11" t="inlineStr">
        <is>
          <t>TAK</t>
        </is>
      </c>
      <c r="F70" s="11" t="inlineStr">
        <is>
          <t>TAK</t>
        </is>
      </c>
      <c r="G70" s="11" t="inlineStr">
        <is>
          <t>CZĘŚĆ</t>
        </is>
      </c>
      <c r="H70" s="11" t="inlineStr">
        <is>
          <t>TAK</t>
        </is>
      </c>
      <c r="I70" s="11" t="inlineStr">
        <is>
          <t>BRAK</t>
        </is>
      </c>
      <c r="J70" s="12" t="inlineStr">
        <is>
          <t>—</t>
        </is>
      </c>
      <c r="K70" s="11" t="inlineStr">
        <is>
          <t>LUKA</t>
        </is>
      </c>
      <c r="L70" s="11" t="inlineStr">
        <is>
          <t>WYSOKA</t>
        </is>
      </c>
      <c r="M70" s="11" t="inlineStr">
        <is>
          <t>M</t>
        </is>
      </c>
      <c r="N70" s="12" t="inlineStr">
        <is>
          <t>klucze są tylko dla VPS, nie dla hostingu</t>
        </is>
      </c>
    </row>
    <row r="71">
      <c r="A71" s="11" t="inlineStr">
        <is>
          <t>C-23</t>
        </is>
      </c>
      <c r="B71" s="12" t="inlineStr">
        <is>
          <t>C</t>
        </is>
      </c>
      <c r="C71" s="11" t="inlineStr">
        <is>
          <t>Terminal SSH w przeglądarce</t>
        </is>
      </c>
      <c r="D71" s="11" t="inlineStr">
        <is>
          <t>TAK</t>
        </is>
      </c>
      <c r="E71" s="11" t="inlineStr">
        <is>
          <t>NIE</t>
        </is>
      </c>
      <c r="F71" s="11" t="inlineStr">
        <is>
          <t>NIE</t>
        </is>
      </c>
      <c r="G71" s="11" t="inlineStr">
        <is>
          <t>NIE</t>
        </is>
      </c>
      <c r="H71" s="11" t="inlineStr">
        <is>
          <t>CZĘŚĆ</t>
        </is>
      </c>
      <c r="I71" s="11" t="inlineStr">
        <is>
          <t>BRAK</t>
        </is>
      </c>
      <c r="J71" s="12" t="inlineStr">
        <is>
          <t>—</t>
        </is>
      </c>
      <c r="K71" s="11" t="inlineStr">
        <is>
          <t>POZA ZAKRESEM</t>
        </is>
      </c>
      <c r="L71" s="11" t="inlineStr">
        <is>
          <t>NISKA</t>
        </is>
      </c>
      <c r="M71" s="11" t="inlineStr">
        <is>
          <t>L</t>
        </is>
      </c>
      <c r="N71" s="12" t="inlineStr">
        <is>
          <t>żaden hosting PL tego nie daje</t>
        </is>
      </c>
    </row>
    <row r="72">
      <c r="A72" s="11" t="inlineStr">
        <is>
          <t>C-24</t>
        </is>
      </c>
      <c r="B72" s="12" t="inlineStr">
        <is>
          <t>C</t>
        </is>
      </c>
      <c r="C72" s="11" t="inlineStr">
        <is>
          <t>WebDAV / Web Disk</t>
        </is>
      </c>
      <c r="D72" s="11" t="inlineStr">
        <is>
          <t>TAK</t>
        </is>
      </c>
      <c r="E72" s="11" t="inlineStr">
        <is>
          <t>TAK</t>
        </is>
      </c>
      <c r="F72" s="11" t="inlineStr">
        <is>
          <t>NIE</t>
        </is>
      </c>
      <c r="G72" s="11" t="inlineStr">
        <is>
          <t>NIE</t>
        </is>
      </c>
      <c r="H72" s="11" t="inlineStr">
        <is>
          <t>NIE</t>
        </is>
      </c>
      <c r="I72" s="11" t="inlineStr">
        <is>
          <t>BRAK</t>
        </is>
      </c>
      <c r="J72" s="12" t="inlineStr">
        <is>
          <t>—</t>
        </is>
      </c>
      <c r="K72" s="11" t="inlineStr">
        <is>
          <t>POZA ZAKRESEM</t>
        </is>
      </c>
      <c r="L72" s="11" t="inlineStr">
        <is>
          <t>NISKA</t>
        </is>
      </c>
      <c r="M72" s="11" t="inlineStr">
        <is>
          <t>—</t>
        </is>
      </c>
      <c r="N72" s="12" t="inlineStr">
        <is>
          <t>Protokół schyłkowy — żaden z pięciu badanych hostingów PL go nie wystawia, a menedżer plików i SFTP pokrywają ten sam scenariusz.</t>
        </is>
      </c>
    </row>
    <row r="73">
      <c r="A73" s="11" t="inlineStr">
        <is>
          <t>C-25</t>
        </is>
      </c>
      <c r="B73" s="12" t="inlineStr">
        <is>
          <t>C</t>
        </is>
      </c>
      <c r="C73" s="11" t="inlineStr">
        <is>
          <t>Klonowanie repozytorium Git z panelu</t>
        </is>
      </c>
      <c r="D73" s="11" t="inlineStr">
        <is>
          <t>TAK</t>
        </is>
      </c>
      <c r="E73" s="11" t="inlineStr">
        <is>
          <t>TAK</t>
        </is>
      </c>
      <c r="F73" s="11" t="inlineStr">
        <is>
          <t>CZĘŚĆ</t>
        </is>
      </c>
      <c r="G73" s="11" t="inlineStr">
        <is>
          <t>NIE</t>
        </is>
      </c>
      <c r="H73" s="11" t="inlineStr">
        <is>
          <t>TAK</t>
        </is>
      </c>
      <c r="I73" s="11" t="inlineStr">
        <is>
          <t>BRAK</t>
        </is>
      </c>
      <c r="J73" s="12" t="inlineStr">
        <is>
          <t>DeployTab.tsx:192 przyznaje brak</t>
        </is>
      </c>
      <c r="K73" s="11" t="inlineStr">
        <is>
          <t>LUKA</t>
        </is>
      </c>
      <c r="L73" s="11" t="inlineStr">
        <is>
          <t>ŚREDNIA</t>
        </is>
      </c>
      <c r="M73" s="11" t="inlineStr">
        <is>
          <t>M</t>
        </is>
      </c>
      <c r="N73" s="12" t="inlineStr">
        <is>
          <t>„Deploy” to wyłącznie cron z git pull</t>
        </is>
      </c>
    </row>
    <row r="74">
      <c r="A74" s="11" t="inlineStr">
        <is>
          <t>C-26</t>
        </is>
      </c>
      <c r="B74" s="12" t="inlineStr">
        <is>
          <t>C</t>
        </is>
      </c>
      <c r="C74" s="11" t="inlineStr">
        <is>
          <t>Deploy z repozytorium (pull na żądanie)</t>
        </is>
      </c>
      <c r="D74" s="11" t="inlineStr">
        <is>
          <t>TAK</t>
        </is>
      </c>
      <c r="E74" s="11" t="inlineStr">
        <is>
          <t>TAK</t>
        </is>
      </c>
      <c r="F74" s="11" t="inlineStr">
        <is>
          <t>CZĘŚĆ</t>
        </is>
      </c>
      <c r="G74" s="11" t="inlineStr">
        <is>
          <t>NIE</t>
        </is>
      </c>
      <c r="H74" s="11" t="inlineStr">
        <is>
          <t>TAK</t>
        </is>
      </c>
      <c r="I74" s="11" t="inlineStr">
        <is>
          <t>CZĘŚCIOWE</t>
        </is>
      </c>
      <c r="J74" s="12" t="inlineStr">
        <is>
          <t>services.controller.ts:717; directadmin.service.ts:2450</t>
        </is>
      </c>
      <c r="K74" s="11" t="inlineStr">
        <is>
          <t>CZĘŚCIOWY</t>
        </is>
      </c>
      <c r="L74" s="11" t="inlineStr">
        <is>
          <t>ŚREDNIA</t>
        </is>
      </c>
      <c r="M74" s="11" t="inlineStr">
        <is>
          <t>M</t>
        </is>
      </c>
      <c r="N74" s="12" t="inlineStr">
        <is>
          <t>tylko harmonogram cron; brak „uruchom teraz”, kluczy deploy, webhooka, logów</t>
        </is>
      </c>
    </row>
    <row r="75">
      <c r="A75" s="11" t="inlineStr">
        <is>
          <t>C-27</t>
        </is>
      </c>
      <c r="B75" s="12" t="inlineStr">
        <is>
          <t>C</t>
        </is>
      </c>
      <c r="C75" s="11" t="inlineStr">
        <is>
          <t>Webhook deploy z GitHuba</t>
        </is>
      </c>
      <c r="D75" s="11" t="inlineStr">
        <is>
          <t>CZĘŚĆ</t>
        </is>
      </c>
      <c r="E75" s="11" t="inlineStr">
        <is>
          <t>TAK</t>
        </is>
      </c>
      <c r="F75" s="11" t="inlineStr">
        <is>
          <t>NIE</t>
        </is>
      </c>
      <c r="G75" s="11" t="inlineStr">
        <is>
          <t>NIE</t>
        </is>
      </c>
      <c r="H75" s="11" t="inlineStr">
        <is>
          <t>TAK</t>
        </is>
      </c>
      <c r="I75" s="11" t="inlineStr">
        <is>
          <t>BRAK</t>
        </is>
      </c>
      <c r="J75" s="12" t="inlineStr">
        <is>
          <t>—</t>
        </is>
      </c>
      <c r="K75" s="11" t="inlineStr">
        <is>
          <t>LUKA</t>
        </is>
      </c>
      <c r="L75" s="11" t="inlineStr">
        <is>
          <t>NISKA</t>
        </is>
      </c>
      <c r="M75" s="11" t="inlineStr">
        <is>
          <t>M</t>
        </is>
      </c>
      <c r="N75" s="12" t="inlineStr"/>
    </row>
    <row r="76">
      <c r="A76" s="11" t="inlineStr">
        <is>
          <t>C-28</t>
        </is>
      </c>
      <c r="B76" s="12" t="inlineStr">
        <is>
          <t>C</t>
        </is>
      </c>
      <c r="C76" s="11" t="inlineStr">
        <is>
          <t>Composer / narzędzia CLI przez SSH</t>
        </is>
      </c>
      <c r="D76" s="11" t="inlineStr">
        <is>
          <t>TAK</t>
        </is>
      </c>
      <c r="E76" s="11" t="inlineStr">
        <is>
          <t>TAK</t>
        </is>
      </c>
      <c r="F76" s="11" t="inlineStr">
        <is>
          <t>TAK</t>
        </is>
      </c>
      <c r="G76" s="11" t="inlineStr">
        <is>
          <t>TAK</t>
        </is>
      </c>
      <c r="H76" s="11" t="inlineStr">
        <is>
          <t>TAK</t>
        </is>
      </c>
      <c r="I76" s="11" t="inlineStr">
        <is>
          <t>CZĘŚCIOWE</t>
        </is>
      </c>
      <c r="J76" s="12" t="inlineStr">
        <is>
          <t>zależne od C-21</t>
        </is>
      </c>
      <c r="K76" s="11" t="inlineStr">
        <is>
          <t>CZĘŚCIOWY</t>
        </is>
      </c>
      <c r="L76" s="11" t="inlineStr">
        <is>
          <t>ŚREDNIA</t>
        </is>
      </c>
      <c r="M76" s="11" t="inlineStr">
        <is>
          <t>—</t>
        </is>
      </c>
      <c r="N76" s="12" t="inlineStr">
        <is>
          <t>dziedziczy ograniczenie SSH</t>
        </is>
      </c>
    </row>
    <row r="77">
      <c r="A77" s="11" t="inlineStr">
        <is>
          <t>D-01</t>
        </is>
      </c>
      <c r="B77" s="12" t="inlineStr">
        <is>
          <t>D</t>
        </is>
      </c>
      <c r="C77" s="11" t="inlineStr">
        <is>
          <t>Lista baz MySQL/MariaDB</t>
        </is>
      </c>
      <c r="D77" s="11" t="inlineStr">
        <is>
          <t>TAK</t>
        </is>
      </c>
      <c r="E77" s="11" t="inlineStr">
        <is>
          <t>TAK</t>
        </is>
      </c>
      <c r="F77" s="11" t="inlineStr">
        <is>
          <t>TAK</t>
        </is>
      </c>
      <c r="G77" s="11" t="inlineStr">
        <is>
          <t>TAK</t>
        </is>
      </c>
      <c r="H77" s="11" t="inlineStr">
        <is>
          <t>TAK</t>
        </is>
      </c>
      <c r="I77" s="11" t="inlineStr">
        <is>
          <t>DZIAŁA</t>
        </is>
      </c>
      <c r="J77" s="12" t="inlineStr">
        <is>
          <t>services.controller.ts:323</t>
        </is>
      </c>
      <c r="K77" s="11" t="inlineStr">
        <is>
          <t>PARYTET</t>
        </is>
      </c>
      <c r="L77" s="11" t="inlineStr">
        <is>
          <t>—</t>
        </is>
      </c>
      <c r="M77" s="11" t="inlineStr">
        <is>
          <t>—</t>
        </is>
      </c>
      <c r="N77" s="12" t="inlineStr">
        <is>
          <t>+ realny silnik i wersja z węzła</t>
        </is>
      </c>
    </row>
    <row r="78">
      <c r="A78" s="11" t="inlineStr">
        <is>
          <t>D-02</t>
        </is>
      </c>
      <c r="B78" s="12" t="inlineStr">
        <is>
          <t>D</t>
        </is>
      </c>
      <c r="C78" s="11" t="inlineStr">
        <is>
          <t>Utworzenie bazy z użytkownikiem</t>
        </is>
      </c>
      <c r="D78" s="11" t="inlineStr">
        <is>
          <t>TAK</t>
        </is>
      </c>
      <c r="E78" s="11" t="inlineStr">
        <is>
          <t>TAK</t>
        </is>
      </c>
      <c r="F78" s="11" t="inlineStr">
        <is>
          <t>TAK</t>
        </is>
      </c>
      <c r="G78" s="11" t="inlineStr">
        <is>
          <t>TAK</t>
        </is>
      </c>
      <c r="H78" s="11" t="inlineStr">
        <is>
          <t>TAK</t>
        </is>
      </c>
      <c r="I78" s="11" t="inlineStr">
        <is>
          <t>DZIAŁA</t>
        </is>
      </c>
      <c r="J78" s="12" t="inlineStr">
        <is>
          <t>services.controller.ts:328</t>
        </is>
      </c>
      <c r="K78" s="11" t="inlineStr">
        <is>
          <t>PARYTET</t>
        </is>
      </c>
      <c r="L78" s="11" t="inlineStr">
        <is>
          <t>—</t>
        </is>
      </c>
      <c r="M78" s="11" t="inlineStr">
        <is>
          <t>—</t>
        </is>
      </c>
      <c r="N78" s="12" t="inlineStr"/>
    </row>
    <row r="79">
      <c r="A79" s="11" t="inlineStr">
        <is>
          <t>D-03</t>
        </is>
      </c>
      <c r="B79" s="12" t="inlineStr">
        <is>
          <t>D</t>
        </is>
      </c>
      <c r="C79" s="11" t="inlineStr">
        <is>
          <t>Usunięcie bazy</t>
        </is>
      </c>
      <c r="D79" s="11" t="inlineStr">
        <is>
          <t>TAK</t>
        </is>
      </c>
      <c r="E79" s="11" t="inlineStr">
        <is>
          <t>TAK</t>
        </is>
      </c>
      <c r="F79" s="11" t="inlineStr">
        <is>
          <t>TAK</t>
        </is>
      </c>
      <c r="G79" s="11" t="inlineStr">
        <is>
          <t>TAK</t>
        </is>
      </c>
      <c r="H79" s="11" t="inlineStr">
        <is>
          <t>TAK</t>
        </is>
      </c>
      <c r="I79" s="11" t="inlineStr">
        <is>
          <t>DZIAŁA</t>
        </is>
      </c>
      <c r="J79" s="12" t="inlineStr">
        <is>
          <t>services.controller.ts:341</t>
        </is>
      </c>
      <c r="K79" s="11" t="inlineStr">
        <is>
          <t>PARYTET</t>
        </is>
      </c>
      <c r="L79" s="11" t="inlineStr">
        <is>
          <t>—</t>
        </is>
      </c>
      <c r="M79" s="11" t="inlineStr">
        <is>
          <t>—</t>
        </is>
      </c>
      <c r="N79" s="12" t="inlineStr"/>
    </row>
    <row r="80">
      <c r="A80" s="11" t="inlineStr">
        <is>
          <t>D-04</t>
        </is>
      </c>
      <c r="B80" s="12" t="inlineStr">
        <is>
          <t>D</t>
        </is>
      </c>
      <c r="C80" s="11" t="inlineStr">
        <is>
          <t>Dodatkowy użytkownik bazy — utworzenie</t>
        </is>
      </c>
      <c r="D80" s="11" t="inlineStr">
        <is>
          <t>TAK</t>
        </is>
      </c>
      <c r="E80" s="11" t="inlineStr">
        <is>
          <t>TAK</t>
        </is>
      </c>
      <c r="F80" s="11" t="inlineStr">
        <is>
          <t>TAK</t>
        </is>
      </c>
      <c r="G80" s="11" t="inlineStr">
        <is>
          <t>TAK</t>
        </is>
      </c>
      <c r="H80" s="11" t="inlineStr">
        <is>
          <t>TAK</t>
        </is>
      </c>
      <c r="I80" s="11" t="inlineStr">
        <is>
          <t>DZIAŁA</t>
        </is>
      </c>
      <c r="J80" s="12" t="inlineStr">
        <is>
          <t>services.controller.ts — POST /services/:id/hosting-db-users; serwis directadmin.service.ts:1900</t>
        </is>
      </c>
      <c r="K80" s="11" t="inlineStr">
        <is>
          <t>PARYTET</t>
        </is>
      </c>
      <c r="L80" s="11" t="inlineStr">
        <is>
          <t>—</t>
        </is>
      </c>
      <c r="M80" s="11" t="inlineStr">
        <is>
          <t>S</t>
        </is>
      </c>
      <c r="N80" s="12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</row>
    <row r="81">
      <c r="A81" s="11" t="inlineStr">
        <is>
          <t>D-05</t>
        </is>
      </c>
      <c r="B81" s="12" t="inlineStr">
        <is>
          <t>D</t>
        </is>
      </c>
      <c r="C81" s="11" t="inlineStr">
        <is>
          <t>Użytkownik bazy — usunięcie</t>
        </is>
      </c>
      <c r="D81" s="11" t="inlineStr">
        <is>
          <t>TAK</t>
        </is>
      </c>
      <c r="E81" s="11" t="inlineStr">
        <is>
          <t>TAK</t>
        </is>
      </c>
      <c r="F81" s="11" t="inlineStr">
        <is>
          <t>TAK</t>
        </is>
      </c>
      <c r="G81" s="11" t="inlineStr">
        <is>
          <t>TAK</t>
        </is>
      </c>
      <c r="H81" s="11" t="inlineStr">
        <is>
          <t>TAK</t>
        </is>
      </c>
      <c r="I81" s="11" t="inlineStr">
        <is>
          <t>DZIAŁA</t>
        </is>
      </c>
      <c r="J81" s="12" t="inlineStr">
        <is>
          <t>services.controller.ts — POST /services/:id/hosting-db-users/remove; serwis directadmin.service.ts:1925</t>
        </is>
      </c>
      <c r="K81" s="11" t="inlineStr">
        <is>
          <t>PARYTET</t>
        </is>
      </c>
      <c r="L81" s="11" t="inlineStr">
        <is>
          <t>—</t>
        </is>
      </c>
      <c r="M81" s="11" t="inlineStr">
        <is>
          <t>S</t>
        </is>
      </c>
      <c r="N81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2">
      <c r="A82" s="11" t="inlineStr">
        <is>
          <t>D-06</t>
        </is>
      </c>
      <c r="B82" s="12" t="inlineStr">
        <is>
          <t>D</t>
        </is>
      </c>
      <c r="C82" s="11" t="inlineStr">
        <is>
          <t>Użytkownik bazy — zmiana hasła</t>
        </is>
      </c>
      <c r="D82" s="11" t="inlineStr">
        <is>
          <t>TAK</t>
        </is>
      </c>
      <c r="E82" s="11" t="inlineStr">
        <is>
          <t>TAK</t>
        </is>
      </c>
      <c r="F82" s="11" t="inlineStr">
        <is>
          <t>TAK</t>
        </is>
      </c>
      <c r="G82" s="11" t="inlineStr">
        <is>
          <t>TAK</t>
        </is>
      </c>
      <c r="H82" s="11" t="inlineStr">
        <is>
          <t>TAK</t>
        </is>
      </c>
      <c r="I82" s="11" t="inlineStr">
        <is>
          <t>DZIAŁA</t>
        </is>
      </c>
      <c r="J82" s="12" t="inlineStr">
        <is>
          <t>services.controller.ts — POST /services/:id/hosting-db-users/password; serwis directadmin.service.ts:1945</t>
        </is>
      </c>
      <c r="K82" s="11" t="inlineStr">
        <is>
          <t>PARYTET</t>
        </is>
      </c>
      <c r="L82" s="11" t="inlineStr">
        <is>
          <t>—</t>
        </is>
      </c>
      <c r="M82" s="11" t="inlineStr">
        <is>
          <t>S</t>
        </is>
      </c>
      <c r="N82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3">
      <c r="A83" s="11" t="inlineStr">
        <is>
          <t>D-07</t>
        </is>
      </c>
      <c r="B83" s="12" t="inlineStr">
        <is>
          <t>D</t>
        </is>
      </c>
      <c r="C83" s="11" t="inlineStr">
        <is>
          <t>Użytkownik bazy — lista</t>
        </is>
      </c>
      <c r="D83" s="11" t="inlineStr">
        <is>
          <t>TAK</t>
        </is>
      </c>
      <c r="E83" s="11" t="inlineStr">
        <is>
          <t>TAK</t>
        </is>
      </c>
      <c r="F83" s="11" t="inlineStr">
        <is>
          <t>TAK</t>
        </is>
      </c>
      <c r="G83" s="11" t="inlineStr">
        <is>
          <t>TAK</t>
        </is>
      </c>
      <c r="H83" s="11" t="inlineStr">
        <is>
          <t>TAK</t>
        </is>
      </c>
      <c r="I83" s="11" t="inlineStr">
        <is>
          <t>DZIAŁA</t>
        </is>
      </c>
      <c r="J83" s="12" t="inlineStr">
        <is>
          <t>services.controller.ts — GET /services/:id/hosting-db-users</t>
        </is>
      </c>
      <c r="K83" s="11" t="inlineStr">
        <is>
          <t>PARYTET</t>
        </is>
      </c>
      <c r="L83" s="11" t="inlineStr">
        <is>
          <t>—</t>
        </is>
      </c>
      <c r="M83" s="11" t="inlineStr">
        <is>
          <t>S</t>
        </is>
      </c>
      <c r="N83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4">
      <c r="A84" s="11" t="inlineStr">
        <is>
          <t>D-08</t>
        </is>
      </c>
      <c r="B84" s="12" t="inlineStr">
        <is>
          <t>D</t>
        </is>
      </c>
      <c r="C84" s="11" t="inlineStr">
        <is>
          <t>Nadawanie uprawnień użytkownikowi bazy</t>
        </is>
      </c>
      <c r="D84" s="11" t="inlineStr">
        <is>
          <t>TAK</t>
        </is>
      </c>
      <c r="E84" s="11" t="inlineStr">
        <is>
          <t>TAK</t>
        </is>
      </c>
      <c r="F84" s="11" t="inlineStr">
        <is>
          <t>TAK</t>
        </is>
      </c>
      <c r="G84" s="11" t="inlineStr">
        <is>
          <t>CZĘŚĆ</t>
        </is>
      </c>
      <c r="H84" s="11" t="inlineStr">
        <is>
          <t>TAK</t>
        </is>
      </c>
      <c r="I84" s="11" t="inlineStr">
        <is>
          <t>BRAK</t>
        </is>
      </c>
      <c r="J84" s="12" t="inlineStr">
        <is>
          <t>—</t>
        </is>
      </c>
      <c r="K84" s="11" t="inlineStr">
        <is>
          <t>LUKA</t>
        </is>
      </c>
      <c r="L84" s="11" t="inlineStr">
        <is>
          <t>ŚREDNIA</t>
        </is>
      </c>
      <c r="M84" s="11" t="inlineStr">
        <is>
          <t>S</t>
        </is>
      </c>
      <c r="N84" s="12" t="inlineStr"/>
    </row>
    <row r="85">
      <c r="A85" s="11" t="inlineStr">
        <is>
          <t>D-09</t>
        </is>
      </c>
      <c r="B85" s="12" t="inlineStr">
        <is>
          <t>D</t>
        </is>
      </c>
      <c r="C85" s="11" t="inlineStr">
        <is>
          <t>Zdalny dostęp do bazy (whitelist hostów)</t>
        </is>
      </c>
      <c r="D85" s="11" t="inlineStr">
        <is>
          <t>TAK</t>
        </is>
      </c>
      <c r="E85" s="11" t="inlineStr">
        <is>
          <t>TAK</t>
        </is>
      </c>
      <c r="F85" s="11" t="inlineStr">
        <is>
          <t>TAK</t>
        </is>
      </c>
      <c r="G85" s="11" t="inlineStr">
        <is>
          <t>CZĘŚĆ</t>
        </is>
      </c>
      <c r="H85" s="11" t="inlineStr">
        <is>
          <t>TAK</t>
        </is>
      </c>
      <c r="I85" s="11" t="inlineStr">
        <is>
          <t>DZIAŁA</t>
        </is>
      </c>
      <c r="J85" s="12" t="inlineStr">
        <is>
          <t>services.controller.ts:617,626</t>
        </is>
      </c>
      <c r="K85" s="11" t="inlineStr">
        <is>
          <t>PARYTET</t>
        </is>
      </c>
      <c r="L85" s="11" t="inlineStr">
        <is>
          <t>—</t>
        </is>
      </c>
      <c r="M85" s="11" t="inlineStr">
        <is>
          <t>—</t>
        </is>
      </c>
      <c r="N85" s="12" t="inlineStr"/>
    </row>
    <row r="86">
      <c r="A86" s="11" t="inlineStr">
        <is>
          <t>D-10</t>
        </is>
      </c>
      <c r="B86" s="12" t="inlineStr">
        <is>
          <t>D</t>
        </is>
      </c>
      <c r="C86" s="11" t="inlineStr">
        <is>
          <t>phpMyAdmin — dostęp</t>
        </is>
      </c>
      <c r="D86" s="11" t="inlineStr">
        <is>
          <t>TAK</t>
        </is>
      </c>
      <c r="E86" s="11" t="inlineStr">
        <is>
          <t>TAK</t>
        </is>
      </c>
      <c r="F86" s="11" t="inlineStr">
        <is>
          <t>TAK</t>
        </is>
      </c>
      <c r="G86" s="11" t="inlineStr">
        <is>
          <t>TAK</t>
        </is>
      </c>
      <c r="H86" s="11" t="inlineStr">
        <is>
          <t>TAK</t>
        </is>
      </c>
      <c r="I86" s="11" t="inlineStr">
        <is>
          <t>CZĘŚCIOWE</t>
        </is>
      </c>
      <c r="J86" s="12" t="inlineStr">
        <is>
          <t>link do DA zamiast SSO</t>
        </is>
      </c>
      <c r="K86" s="11" t="inlineStr">
        <is>
          <t>CZĘŚCIOWY</t>
        </is>
      </c>
      <c r="L86" s="11" t="inlineStr">
        <is>
          <t>ŚREDNIA</t>
        </is>
      </c>
      <c r="M86" s="11" t="inlineStr">
        <is>
          <t>S</t>
        </is>
      </c>
      <c r="N86" s="12" t="inlineStr">
        <is>
          <t>dostępny, ale przez wyjście do DirectAdmina</t>
        </is>
      </c>
    </row>
    <row r="87">
      <c r="A87" s="11" t="inlineStr">
        <is>
          <t>D-11</t>
        </is>
      </c>
      <c r="B87" s="12" t="inlineStr">
        <is>
          <t>D</t>
        </is>
      </c>
      <c r="C87" s="11" t="inlineStr">
        <is>
          <t>phpMyAdmin — auto-logowanie (SSO)</t>
        </is>
      </c>
      <c r="D87" s="11" t="inlineStr">
        <is>
          <t>TAK</t>
        </is>
      </c>
      <c r="E87" s="11" t="inlineStr">
        <is>
          <t>TAK</t>
        </is>
      </c>
      <c r="F87" s="11" t="inlineStr">
        <is>
          <t>TAK</t>
        </is>
      </c>
      <c r="G87" s="11" t="inlineStr">
        <is>
          <t>TAK</t>
        </is>
      </c>
      <c r="H87" s="11" t="inlineStr">
        <is>
          <t>TAK</t>
        </is>
      </c>
      <c r="I87" s="11" t="inlineStr">
        <is>
          <t>DZIAŁA</t>
        </is>
      </c>
      <c r="J87" s="12" t="inlineStr">
        <is>
          <t>services.controller.ts — POST /services/:id/hosting-sso-url; directadmin.service.ts:1977</t>
        </is>
      </c>
      <c r="K87" s="11" t="inlineStr">
        <is>
          <t>PARYTET</t>
        </is>
      </c>
      <c r="L87" s="11" t="inlineStr">
        <is>
          <t>—</t>
        </is>
      </c>
      <c r="M87" s="11" t="inlineStr">
        <is>
          <t>S</t>
        </is>
      </c>
      <c r="N87" s="12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</row>
    <row r="88">
      <c r="A88" s="11" t="inlineStr">
        <is>
          <t>D-12</t>
        </is>
      </c>
      <c r="B88" s="12" t="inlineStr">
        <is>
          <t>D</t>
        </is>
      </c>
      <c r="C88" s="11" t="inlineStr">
        <is>
          <t>Import / eksport bazy z panelu</t>
        </is>
      </c>
      <c r="D88" s="11" t="inlineStr">
        <is>
          <t>TAK</t>
        </is>
      </c>
      <c r="E88" s="11" t="inlineStr">
        <is>
          <t>TAK</t>
        </is>
      </c>
      <c r="F88" s="11" t="inlineStr">
        <is>
          <t>TAK</t>
        </is>
      </c>
      <c r="G88" s="11" t="inlineStr">
        <is>
          <t>TAK</t>
        </is>
      </c>
      <c r="H88" s="11" t="inlineStr">
        <is>
          <t>TAK</t>
        </is>
      </c>
      <c r="I88" s="11" t="inlineStr">
        <is>
          <t>BRAK</t>
        </is>
      </c>
      <c r="J88" s="12" t="inlineStr">
        <is>
          <t>—</t>
        </is>
      </c>
      <c r="K88" s="11" t="inlineStr">
        <is>
          <t>LUKA</t>
        </is>
      </c>
      <c r="L88" s="11" t="inlineStr">
        <is>
          <t>WYSOKA</t>
        </is>
      </c>
      <c r="M88" s="11" t="inlineStr">
        <is>
          <t>M</t>
        </is>
      </c>
      <c r="N88" s="12" t="inlineStr">
        <is>
          <t>standard u wszystkich 5 hostingów PL</t>
        </is>
      </c>
    </row>
    <row r="89">
      <c r="A89" s="11" t="inlineStr">
        <is>
          <t>D-13</t>
        </is>
      </c>
      <c r="B89" s="12" t="inlineStr">
        <is>
          <t>D</t>
        </is>
      </c>
      <c r="C89" s="11" t="inlineStr">
        <is>
          <t>Kopia bazy na żądanie</t>
        </is>
      </c>
      <c r="D89" s="11" t="inlineStr">
        <is>
          <t>TAK</t>
        </is>
      </c>
      <c r="E89" s="11" t="inlineStr">
        <is>
          <t>TAK</t>
        </is>
      </c>
      <c r="F89" s="11" t="inlineStr">
        <is>
          <t>TAK</t>
        </is>
      </c>
      <c r="G89" s="11" t="inlineStr">
        <is>
          <t>TAK</t>
        </is>
      </c>
      <c r="H89" s="11" t="inlineStr">
        <is>
          <t>TAK</t>
        </is>
      </c>
      <c r="I89" s="11" t="inlineStr">
        <is>
          <t>CZĘŚCIOWE</t>
        </is>
      </c>
      <c r="J89" s="12" t="inlineStr">
        <is>
          <t>w ramach backupu konta</t>
        </is>
      </c>
      <c r="K89" s="11" t="inlineStr">
        <is>
          <t>CZĘŚCIOWY</t>
        </is>
      </c>
      <c r="L89" s="11" t="inlineStr">
        <is>
          <t>ŚREDNIA</t>
        </is>
      </c>
      <c r="M89" s="11" t="inlineStr">
        <is>
          <t>S</t>
        </is>
      </c>
      <c r="N89" s="12" t="inlineStr">
        <is>
          <t>brak osobnej akcji „zrzuć bazę”</t>
        </is>
      </c>
    </row>
    <row r="90">
      <c r="A90" s="11" t="inlineStr">
        <is>
          <t>D-14</t>
        </is>
      </c>
      <c r="B90" s="12" t="inlineStr">
        <is>
          <t>D</t>
        </is>
      </c>
      <c r="C90" s="11" t="inlineStr">
        <is>
          <t>PostgreSQL</t>
        </is>
      </c>
      <c r="D90" s="11" t="inlineStr">
        <is>
          <t>TAK</t>
        </is>
      </c>
      <c r="E90" s="11" t="inlineStr">
        <is>
          <t>TAK</t>
        </is>
      </c>
      <c r="F90" s="11" t="inlineStr">
        <is>
          <t>CZĘŚĆ</t>
        </is>
      </c>
      <c r="G90" s="11" t="inlineStr">
        <is>
          <t>CZĘŚĆ</t>
        </is>
      </c>
      <c r="H90" s="11" t="inlineStr">
        <is>
          <t>CZĘŚĆ</t>
        </is>
      </c>
      <c r="I90" s="11" t="inlineStr">
        <is>
          <t>BRAK</t>
        </is>
      </c>
      <c r="J90" s="12" t="inlineStr">
        <is>
          <t>—</t>
        </is>
      </c>
      <c r="K90" s="11" t="inlineStr">
        <is>
          <t>LUKA</t>
        </is>
      </c>
      <c r="L90" s="11" t="inlineStr">
        <is>
          <t>NISKA</t>
        </is>
      </c>
      <c r="M90" s="11" t="inlineStr">
        <is>
          <t>L</t>
        </is>
      </c>
      <c r="N90" s="12" t="inlineStr">
        <is>
          <t>2 z 5 hostingów PL</t>
        </is>
      </c>
    </row>
    <row r="91">
      <c r="A91" s="11" t="inlineStr">
        <is>
          <t>D-15</t>
        </is>
      </c>
      <c r="B91" s="12" t="inlineStr">
        <is>
          <t>D</t>
        </is>
      </c>
      <c r="C91" s="11" t="inlineStr">
        <is>
          <t>Redis / cache obiektowy dla klienta</t>
        </is>
      </c>
      <c r="D91" s="11" t="inlineStr">
        <is>
          <t>CZĘŚĆ</t>
        </is>
      </c>
      <c r="E91" s="11" t="inlineStr">
        <is>
          <t>TAK</t>
        </is>
      </c>
      <c r="F91" s="11" t="inlineStr">
        <is>
          <t>CZĘŚĆ</t>
        </is>
      </c>
      <c r="G91" s="11" t="inlineStr">
        <is>
          <t>TAK</t>
        </is>
      </c>
      <c r="H91" s="11" t="inlineStr">
        <is>
          <t>TAK</t>
        </is>
      </c>
      <c r="I91" s="11" t="inlineStr">
        <is>
          <t>BRAK</t>
        </is>
      </c>
      <c r="J91" s="12" t="inlineStr">
        <is>
          <t>—</t>
        </is>
      </c>
      <c r="K91" s="11" t="inlineStr">
        <is>
          <t>LUKA</t>
        </is>
      </c>
      <c r="L91" s="11" t="inlineStr">
        <is>
          <t>WYSOKA</t>
        </is>
      </c>
      <c r="M91" s="11" t="inlineStr">
        <is>
          <t>M</t>
        </is>
      </c>
      <c r="N91" s="12" t="inlineStr">
        <is>
          <t>3 z 5 hostingów PL ma w cenie — realny wyróżnik dla WordPressa</t>
        </is>
      </c>
    </row>
    <row r="92">
      <c r="A92" s="11" t="inlineStr">
        <is>
          <t>D-16</t>
        </is>
      </c>
      <c r="B92" s="12" t="inlineStr">
        <is>
          <t>D</t>
        </is>
      </c>
      <c r="C92" s="11" t="inlineStr">
        <is>
          <t>Memcached</t>
        </is>
      </c>
      <c r="D92" s="11" t="inlineStr">
        <is>
          <t>TAK</t>
        </is>
      </c>
      <c r="E92" s="11" t="inlineStr">
        <is>
          <t>TAK</t>
        </is>
      </c>
      <c r="F92" s="11" t="inlineStr">
        <is>
          <t>CZĘŚĆ</t>
        </is>
      </c>
      <c r="G92" s="11" t="inlineStr">
        <is>
          <t>CZĘŚĆ</t>
        </is>
      </c>
      <c r="H92" s="11" t="inlineStr">
        <is>
          <t>CZĘŚĆ</t>
        </is>
      </c>
      <c r="I92" s="11" t="inlineStr">
        <is>
          <t>BRAK</t>
        </is>
      </c>
      <c r="J92" s="12" t="inlineStr">
        <is>
          <t>—</t>
        </is>
      </c>
      <c r="K92" s="11" t="inlineStr">
        <is>
          <t>LUKA</t>
        </is>
      </c>
      <c r="L92" s="11" t="inlineStr">
        <is>
          <t>NISKA</t>
        </is>
      </c>
      <c r="M92" s="11" t="inlineStr">
        <is>
          <t>M</t>
        </is>
      </c>
      <c r="N92" s="12" t="inlineStr"/>
    </row>
    <row r="93">
      <c r="A93" s="11" t="inlineStr">
        <is>
          <t>D-17</t>
        </is>
      </c>
      <c r="B93" s="12" t="inlineStr">
        <is>
          <t>D</t>
        </is>
      </c>
      <c r="C93" s="11" t="inlineStr">
        <is>
          <t>Podgląd rozmiaru bazy</t>
        </is>
      </c>
      <c r="D93" s="11" t="inlineStr">
        <is>
          <t>TAK</t>
        </is>
      </c>
      <c r="E93" s="11" t="inlineStr">
        <is>
          <t>TAK</t>
        </is>
      </c>
      <c r="F93" s="11" t="inlineStr">
        <is>
          <t>TAK</t>
        </is>
      </c>
      <c r="G93" s="11" t="inlineStr">
        <is>
          <t>TAK</t>
        </is>
      </c>
      <c r="H93" s="11" t="inlineStr">
        <is>
          <t>TAK</t>
        </is>
      </c>
      <c r="I93" s="11" t="inlineStr">
        <is>
          <t>CZĘŚCIOWE</t>
        </is>
      </c>
      <c r="J93" s="12" t="inlineStr">
        <is>
          <t>w statystykach konta</t>
        </is>
      </c>
      <c r="K93" s="11" t="inlineStr">
        <is>
          <t>CZĘŚCIOWY</t>
        </is>
      </c>
      <c r="L93" s="11" t="inlineStr">
        <is>
          <t>NISKA</t>
        </is>
      </c>
      <c r="M93" s="11" t="inlineStr">
        <is>
          <t>S</t>
        </is>
      </c>
      <c r="N93" s="12" t="inlineStr"/>
    </row>
    <row r="94">
      <c r="A94" s="11" t="inlineStr">
        <is>
          <t>D-18</t>
        </is>
      </c>
      <c r="B94" s="12" t="inlineStr">
        <is>
          <t>D</t>
        </is>
      </c>
      <c r="C94" s="11" t="inlineStr">
        <is>
          <t>Naprawa / optymalizacja tabel</t>
        </is>
      </c>
      <c r="D94" s="11" t="inlineStr">
        <is>
          <t>TAK</t>
        </is>
      </c>
      <c r="E94" s="11" t="inlineStr">
        <is>
          <t>TAK</t>
        </is>
      </c>
      <c r="F94" s="11" t="inlineStr">
        <is>
          <t>TAK</t>
        </is>
      </c>
      <c r="G94" s="11" t="inlineStr">
        <is>
          <t>CZĘŚĆ</t>
        </is>
      </c>
      <c r="H94" s="11" t="inlineStr">
        <is>
          <t>NIE</t>
        </is>
      </c>
      <c r="I94" s="11" t="inlineStr">
        <is>
          <t>BRAK</t>
        </is>
      </c>
      <c r="J94" s="12" t="inlineStr">
        <is>
          <t>—</t>
        </is>
      </c>
      <c r="K94" s="11" t="inlineStr">
        <is>
          <t>LUKA</t>
        </is>
      </c>
      <c r="L94" s="11" t="inlineStr">
        <is>
          <t>NISKA</t>
        </is>
      </c>
      <c r="M94" s="11" t="inlineStr">
        <is>
          <t>S</t>
        </is>
      </c>
      <c r="N94" s="12" t="inlineStr"/>
    </row>
    <row r="95">
      <c r="A95" s="11" t="inlineStr">
        <is>
          <t>E-01</t>
        </is>
      </c>
      <c r="B95" s="12" t="inlineStr">
        <is>
          <t>E</t>
        </is>
      </c>
      <c r="C95" s="11" t="inlineStr">
        <is>
          <t>Utworzenie skrzynki e-mail</t>
        </is>
      </c>
      <c r="D95" s="11" t="inlineStr">
        <is>
          <t>TAK</t>
        </is>
      </c>
      <c r="E95" s="11" t="inlineStr">
        <is>
          <t>TAK</t>
        </is>
      </c>
      <c r="F95" s="11" t="inlineStr">
        <is>
          <t>TAK</t>
        </is>
      </c>
      <c r="G95" s="11" t="inlineStr">
        <is>
          <t>TAK</t>
        </is>
      </c>
      <c r="H95" s="11" t="inlineStr">
        <is>
          <t>TAK</t>
        </is>
      </c>
      <c r="I95" s="11" t="inlineStr">
        <is>
          <t>DZIAŁA</t>
        </is>
      </c>
      <c r="J95" s="12" t="inlineStr">
        <is>
          <t>services.controller.ts:429</t>
        </is>
      </c>
      <c r="K95" s="11" t="inlineStr">
        <is>
          <t>PARYTET</t>
        </is>
      </c>
      <c r="L95" s="11" t="inlineStr">
        <is>
          <t>—</t>
        </is>
      </c>
      <c r="M95" s="11" t="inlineStr">
        <is>
          <t>—</t>
        </is>
      </c>
      <c r="N95" s="12" t="inlineStr"/>
    </row>
    <row r="96">
      <c r="A96" s="11" t="inlineStr">
        <is>
          <t>E-02</t>
        </is>
      </c>
      <c r="B96" s="12" t="inlineStr">
        <is>
          <t>E</t>
        </is>
      </c>
      <c r="C96" s="11" t="inlineStr">
        <is>
          <t>Zmiana hasła skrzynki</t>
        </is>
      </c>
      <c r="D96" s="11" t="inlineStr">
        <is>
          <t>TAK</t>
        </is>
      </c>
      <c r="E96" s="11" t="inlineStr">
        <is>
          <t>TAK</t>
        </is>
      </c>
      <c r="F96" s="11" t="inlineStr">
        <is>
          <t>TAK</t>
        </is>
      </c>
      <c r="G96" s="11" t="inlineStr">
        <is>
          <t>TAK</t>
        </is>
      </c>
      <c r="H96" s="11" t="inlineStr">
        <is>
          <t>TAK</t>
        </is>
      </c>
      <c r="I96" s="11" t="inlineStr">
        <is>
          <t>DZIAŁA</t>
        </is>
      </c>
      <c r="J96" s="12" t="inlineStr">
        <is>
          <t>services.controller.ts:438</t>
        </is>
      </c>
      <c r="K96" s="11" t="inlineStr">
        <is>
          <t>PARYTET</t>
        </is>
      </c>
      <c r="L96" s="11" t="inlineStr">
        <is>
          <t>—</t>
        </is>
      </c>
      <c r="M96" s="11" t="inlineStr">
        <is>
          <t>—</t>
        </is>
      </c>
      <c r="N96" s="12" t="inlineStr"/>
    </row>
    <row r="97">
      <c r="A97" s="11" t="inlineStr">
        <is>
          <t>E-03</t>
        </is>
      </c>
      <c r="B97" s="12" t="inlineStr">
        <is>
          <t>E</t>
        </is>
      </c>
      <c r="C97" s="11" t="inlineStr">
        <is>
          <t>Usunięcie skrzynki</t>
        </is>
      </c>
      <c r="D97" s="11" t="inlineStr">
        <is>
          <t>TAK</t>
        </is>
      </c>
      <c r="E97" s="11" t="inlineStr">
        <is>
          <t>TAK</t>
        </is>
      </c>
      <c r="F97" s="11" t="inlineStr">
        <is>
          <t>TAK</t>
        </is>
      </c>
      <c r="G97" s="11" t="inlineStr">
        <is>
          <t>TAK</t>
        </is>
      </c>
      <c r="H97" s="11" t="inlineStr">
        <is>
          <t>TAK</t>
        </is>
      </c>
      <c r="I97" s="11" t="inlineStr">
        <is>
          <t>DZIAŁA</t>
        </is>
      </c>
      <c r="J97" s="12" t="inlineStr">
        <is>
          <t>services.controller.ts:447</t>
        </is>
      </c>
      <c r="K97" s="11" t="inlineStr">
        <is>
          <t>PARYTET</t>
        </is>
      </c>
      <c r="L97" s="11" t="inlineStr">
        <is>
          <t>—</t>
        </is>
      </c>
      <c r="M97" s="11" t="inlineStr">
        <is>
          <t>—</t>
        </is>
      </c>
      <c r="N97" s="12" t="inlineStr"/>
    </row>
    <row r="98">
      <c r="A98" s="11" t="inlineStr">
        <is>
          <t>E-04</t>
        </is>
      </c>
      <c r="B98" s="12" t="inlineStr">
        <is>
          <t>E</t>
        </is>
      </c>
      <c r="C98" s="11" t="inlineStr">
        <is>
          <t>Ustawienie quoty przy tworzeniu skrzynki</t>
        </is>
      </c>
      <c r="D98" s="11" t="inlineStr">
        <is>
          <t>TAK</t>
        </is>
      </c>
      <c r="E98" s="11" t="inlineStr">
        <is>
          <t>TAK</t>
        </is>
      </c>
      <c r="F98" s="11" t="inlineStr">
        <is>
          <t>TAK</t>
        </is>
      </c>
      <c r="G98" s="11" t="inlineStr">
        <is>
          <t>TAK</t>
        </is>
      </c>
      <c r="H98" s="11" t="inlineStr">
        <is>
          <t>TAK</t>
        </is>
      </c>
      <c r="I98" s="11" t="inlineStr">
        <is>
          <t>DZIAŁA</t>
        </is>
      </c>
      <c r="J98" s="12" t="inlineStr">
        <is>
          <t>MailTab.tsx:139</t>
        </is>
      </c>
      <c r="K98" s="11" t="inlineStr">
        <is>
          <t>PARYTET</t>
        </is>
      </c>
      <c r="L98" s="11" t="inlineStr">
        <is>
          <t>—</t>
        </is>
      </c>
      <c r="M98" s="11" t="inlineStr">
        <is>
          <t>—</t>
        </is>
      </c>
      <c r="N98" s="12" t="inlineStr"/>
    </row>
    <row r="99">
      <c r="A99" s="11" t="inlineStr">
        <is>
          <t>E-05</t>
        </is>
      </c>
      <c r="B99" s="12" t="inlineStr">
        <is>
          <t>E</t>
        </is>
      </c>
      <c r="C99" s="11" t="inlineStr">
        <is>
          <t>Zmiana quoty ISTNIEJĄCEJ skrzynki</t>
        </is>
      </c>
      <c r="D99" s="11" t="inlineStr">
        <is>
          <t>TAK</t>
        </is>
      </c>
      <c r="E99" s="11" t="inlineStr">
        <is>
          <t>TAK</t>
        </is>
      </c>
      <c r="F99" s="11" t="inlineStr">
        <is>
          <t>TAK</t>
        </is>
      </c>
      <c r="G99" s="11" t="inlineStr">
        <is>
          <t>TAK</t>
        </is>
      </c>
      <c r="H99" s="11" t="inlineStr">
        <is>
          <t>TAK</t>
        </is>
      </c>
      <c r="I99" s="11" t="inlineStr">
        <is>
          <t>BRAK</t>
        </is>
      </c>
      <c r="J99" s="12" t="inlineStr">
        <is>
          <t>hosting-email-actions.ts:41 zachowuje starą quotę</t>
        </is>
      </c>
      <c r="K99" s="11" t="inlineStr">
        <is>
          <t>LUKA</t>
        </is>
      </c>
      <c r="L99" s="11" t="inlineStr">
        <is>
          <t>WYSOKA</t>
        </is>
      </c>
      <c r="M99" s="11" t="inlineStr">
        <is>
          <t>S</t>
        </is>
      </c>
      <c r="N99" s="12" t="inlineStr">
        <is>
          <t>brak jakiejkolwiek ścieżki edycji — klient musi usunąć i odtworzyć skrzynkę</t>
        </is>
      </c>
    </row>
    <row r="100">
      <c r="A100" s="11" t="inlineStr">
        <is>
          <t>E-06</t>
        </is>
      </c>
      <c r="B100" s="12" t="inlineStr">
        <is>
          <t>E</t>
        </is>
      </c>
      <c r="C100" s="11" t="inlineStr">
        <is>
          <t>Podgląd zużycia skrzynki</t>
        </is>
      </c>
      <c r="D100" s="11" t="inlineStr">
        <is>
          <t>TAK</t>
        </is>
      </c>
      <c r="E100" s="11" t="inlineStr">
        <is>
          <t>TAK</t>
        </is>
      </c>
      <c r="F100" s="11" t="inlineStr">
        <is>
          <t>TAK</t>
        </is>
      </c>
      <c r="G100" s="11" t="inlineStr">
        <is>
          <t>TAK</t>
        </is>
      </c>
      <c r="H100" s="11" t="inlineStr">
        <is>
          <t>TAK</t>
        </is>
      </c>
      <c r="I100" s="11" t="inlineStr">
        <is>
          <t>BRAK</t>
        </is>
      </c>
      <c r="J100" s="12" t="inlineStr">
        <is>
          <t>—</t>
        </is>
      </c>
      <c r="K100" s="11" t="inlineStr">
        <is>
          <t>LUKA</t>
        </is>
      </c>
      <c r="L100" s="11" t="inlineStr">
        <is>
          <t>ŚREDNIA</t>
        </is>
      </c>
      <c r="M100" s="11" t="inlineStr">
        <is>
          <t>S</t>
        </is>
      </c>
      <c r="N100" s="12" t="inlineStr"/>
    </row>
    <row r="101">
      <c r="A101" s="11" t="inlineStr">
        <is>
          <t>E-07</t>
        </is>
      </c>
      <c r="B101" s="12" t="inlineStr">
        <is>
          <t>E</t>
        </is>
      </c>
      <c r="C101" s="11" t="inlineStr">
        <is>
          <t>Alias / forwarder — dodanie</t>
        </is>
      </c>
      <c r="D101" s="11" t="inlineStr">
        <is>
          <t>TAK</t>
        </is>
      </c>
      <c r="E101" s="11" t="inlineStr">
        <is>
          <t>TAK</t>
        </is>
      </c>
      <c r="F101" s="11" t="inlineStr">
        <is>
          <t>TAK</t>
        </is>
      </c>
      <c r="G101" s="11" t="inlineStr">
        <is>
          <t>TAK</t>
        </is>
      </c>
      <c r="H101" s="11" t="inlineStr">
        <is>
          <t>TAK</t>
        </is>
      </c>
      <c r="I101" s="11" t="inlineStr">
        <is>
          <t>DZIAŁA</t>
        </is>
      </c>
      <c r="J101" s="12" t="inlineStr">
        <is>
          <t>services.controller.ts:461</t>
        </is>
      </c>
      <c r="K101" s="11" t="inlineStr">
        <is>
          <t>PARYTET</t>
        </is>
      </c>
      <c r="L101" s="11" t="inlineStr">
        <is>
          <t>—</t>
        </is>
      </c>
      <c r="M101" s="11" t="inlineStr">
        <is>
          <t>—</t>
        </is>
      </c>
      <c r="N101" s="12" t="inlineStr"/>
    </row>
    <row r="102">
      <c r="A102" s="11" t="inlineStr">
        <is>
          <t>E-08</t>
        </is>
      </c>
      <c r="B102" s="12" t="inlineStr">
        <is>
          <t>E</t>
        </is>
      </c>
      <c r="C102" s="11" t="inlineStr">
        <is>
          <t>Alias / forwarder — usunięcie</t>
        </is>
      </c>
      <c r="D102" s="11" t="inlineStr">
        <is>
          <t>TAK</t>
        </is>
      </c>
      <c r="E102" s="11" t="inlineStr">
        <is>
          <t>TAK</t>
        </is>
      </c>
      <c r="F102" s="11" t="inlineStr">
        <is>
          <t>TAK</t>
        </is>
      </c>
      <c r="G102" s="11" t="inlineStr">
        <is>
          <t>TAK</t>
        </is>
      </c>
      <c r="H102" s="11" t="inlineStr">
        <is>
          <t>TAK</t>
        </is>
      </c>
      <c r="I102" s="11" t="inlineStr">
        <is>
          <t>DZIAŁA</t>
        </is>
      </c>
      <c r="J102" s="12" t="inlineStr">
        <is>
          <t>services.controller.ts:470</t>
        </is>
      </c>
      <c r="K102" s="11" t="inlineStr">
        <is>
          <t>PARYTET</t>
        </is>
      </c>
      <c r="L102" s="11" t="inlineStr">
        <is>
          <t>—</t>
        </is>
      </c>
      <c r="M102" s="11" t="inlineStr">
        <is>
          <t>—</t>
        </is>
      </c>
      <c r="N102" s="12" t="inlineStr"/>
    </row>
    <row r="103">
      <c r="A103" s="11" t="inlineStr">
        <is>
          <t>E-09</t>
        </is>
      </c>
      <c r="B103" s="12" t="inlineStr">
        <is>
          <t>E</t>
        </is>
      </c>
      <c r="C103" s="11" t="inlineStr">
        <is>
          <t>Autoresponder</t>
        </is>
      </c>
      <c r="D103" s="11" t="inlineStr">
        <is>
          <t>TAK</t>
        </is>
      </c>
      <c r="E103" s="11" t="inlineStr">
        <is>
          <t>TAK</t>
        </is>
      </c>
      <c r="F103" s="11" t="inlineStr">
        <is>
          <t>TAK</t>
        </is>
      </c>
      <c r="G103" s="11" t="inlineStr">
        <is>
          <t>TAK</t>
        </is>
      </c>
      <c r="H103" s="11" t="inlineStr">
        <is>
          <t>TAK</t>
        </is>
      </c>
      <c r="I103" s="11" t="inlineStr">
        <is>
          <t>DZIAŁA</t>
        </is>
      </c>
      <c r="J103" s="12" t="inlineStr">
        <is>
          <t>services.controller.ts:484,493</t>
        </is>
      </c>
      <c r="K103" s="11" t="inlineStr">
        <is>
          <t>PARYTET</t>
        </is>
      </c>
      <c r="L103" s="11" t="inlineStr">
        <is>
          <t>—</t>
        </is>
      </c>
      <c r="M103" s="11" t="inlineStr">
        <is>
          <t>—</t>
        </is>
      </c>
      <c r="N103" s="12" t="inlineStr"/>
    </row>
    <row r="104">
      <c r="A104" s="11" t="inlineStr">
        <is>
          <t>E-10</t>
        </is>
      </c>
      <c r="B104" s="12" t="inlineStr">
        <is>
          <t>E</t>
        </is>
      </c>
      <c r="C104" s="11" t="inlineStr">
        <is>
          <t>Catch-all</t>
        </is>
      </c>
      <c r="D104" s="11" t="inlineStr">
        <is>
          <t>TAK</t>
        </is>
      </c>
      <c r="E104" s="11" t="inlineStr">
        <is>
          <t>TAK</t>
        </is>
      </c>
      <c r="F104" s="11" t="inlineStr">
        <is>
          <t>TAK</t>
        </is>
      </c>
      <c r="G104" s="11" t="inlineStr">
        <is>
          <t>TAK</t>
        </is>
      </c>
      <c r="H104" s="11" t="inlineStr">
        <is>
          <t>TAK</t>
        </is>
      </c>
      <c r="I104" s="11" t="inlineStr">
        <is>
          <t>DZIAŁA</t>
        </is>
      </c>
      <c r="J104" s="12" t="inlineStr">
        <is>
          <t>services.controller.ts:585</t>
        </is>
      </c>
      <c r="K104" s="11" t="inlineStr">
        <is>
          <t>PARYTET</t>
        </is>
      </c>
      <c r="L104" s="11" t="inlineStr">
        <is>
          <t>—</t>
        </is>
      </c>
      <c r="M104" s="11" t="inlineStr">
        <is>
          <t>—</t>
        </is>
      </c>
      <c r="N104" s="12" t="inlineStr">
        <is>
          <t>fail/blackhole/adres</t>
        </is>
      </c>
    </row>
    <row r="105">
      <c r="A105" s="11" t="inlineStr">
        <is>
          <t>E-11</t>
        </is>
      </c>
      <c r="B105" s="12" t="inlineStr">
        <is>
          <t>E</t>
        </is>
      </c>
      <c r="C105" s="11" t="inlineStr">
        <is>
          <t>Filtr antyspamowy (próg + tag)</t>
        </is>
      </c>
      <c r="D105" s="11" t="inlineStr">
        <is>
          <t>TAK</t>
        </is>
      </c>
      <c r="E105" s="11" t="inlineStr">
        <is>
          <t>TAK</t>
        </is>
      </c>
      <c r="F105" s="11" t="inlineStr">
        <is>
          <t>TAK</t>
        </is>
      </c>
      <c r="G105" s="11" t="inlineStr">
        <is>
          <t>TAK</t>
        </is>
      </c>
      <c r="H105" s="11" t="inlineStr">
        <is>
          <t>TAK</t>
        </is>
      </c>
      <c r="I105" s="11" t="inlineStr">
        <is>
          <t>DZIAŁA</t>
        </is>
      </c>
      <c r="J105" s="12" t="inlineStr">
        <is>
          <t>services.controller.ts:599</t>
        </is>
      </c>
      <c r="K105" s="11" t="inlineStr">
        <is>
          <t>PARYTET</t>
        </is>
      </c>
      <c r="L105" s="11" t="inlineStr">
        <is>
          <t>—</t>
        </is>
      </c>
      <c r="M105" s="11" t="inlineStr">
        <is>
          <t>—</t>
        </is>
      </c>
      <c r="N105" s="12" t="inlineStr">
        <is>
          <t>SpamAssassin przez DA</t>
        </is>
      </c>
    </row>
    <row r="106">
      <c r="A106" s="11" t="inlineStr">
        <is>
          <t>E-12</t>
        </is>
      </c>
      <c r="B106" s="12" t="inlineStr">
        <is>
          <t>E</t>
        </is>
      </c>
      <c r="C106" s="11" t="inlineStr">
        <is>
          <t>Reguły filtrowania poczty (Sieve)</t>
        </is>
      </c>
      <c r="D106" s="11" t="inlineStr">
        <is>
          <t>TAK</t>
        </is>
      </c>
      <c r="E106" s="11" t="inlineStr">
        <is>
          <t>TAK</t>
        </is>
      </c>
      <c r="F106" s="11" t="inlineStr">
        <is>
          <t>TAK</t>
        </is>
      </c>
      <c r="G106" s="11" t="inlineStr">
        <is>
          <t>TAK</t>
        </is>
      </c>
      <c r="H106" s="11" t="inlineStr">
        <is>
          <t>TAK</t>
        </is>
      </c>
      <c r="I106" s="11" t="inlineStr">
        <is>
          <t>BRAK</t>
        </is>
      </c>
      <c r="J106" s="12" t="inlineStr">
        <is>
          <t>—</t>
        </is>
      </c>
      <c r="K106" s="11" t="inlineStr">
        <is>
          <t>LUKA</t>
        </is>
      </c>
      <c r="L106" s="11" t="inlineStr">
        <is>
          <t>ŚREDNIA</t>
        </is>
      </c>
      <c r="M106" s="11" t="inlineStr">
        <is>
          <t>M</t>
        </is>
      </c>
      <c r="N106" s="12" t="inlineStr">
        <is>
          <t>wszystkie 5 hostingów PL to ma</t>
        </is>
      </c>
    </row>
    <row r="107">
      <c r="A107" s="11" t="inlineStr">
        <is>
          <t>E-13</t>
        </is>
      </c>
      <c r="B107" s="12" t="inlineStr">
        <is>
          <t>E</t>
        </is>
      </c>
      <c r="C107" s="11" t="inlineStr">
        <is>
          <t>Webmail — dostęp</t>
        </is>
      </c>
      <c r="D107" s="11" t="inlineStr">
        <is>
          <t>TAK</t>
        </is>
      </c>
      <c r="E107" s="11" t="inlineStr">
        <is>
          <t>TAK</t>
        </is>
      </c>
      <c r="F107" s="11" t="inlineStr">
        <is>
          <t>TAK</t>
        </is>
      </c>
      <c r="G107" s="11" t="inlineStr">
        <is>
          <t>TAK</t>
        </is>
      </c>
      <c r="H107" s="11" t="inlineStr">
        <is>
          <t>TAK</t>
        </is>
      </c>
      <c r="I107" s="11" t="inlineStr">
        <is>
          <t>CZĘŚCIOWE</t>
        </is>
      </c>
      <c r="J107" s="12" t="inlineStr">
        <is>
          <t>link do DA</t>
        </is>
      </c>
      <c r="K107" s="11" t="inlineStr">
        <is>
          <t>CZĘŚCIOWY</t>
        </is>
      </c>
      <c r="L107" s="11" t="inlineStr">
        <is>
          <t>ŚREDNIA</t>
        </is>
      </c>
      <c r="M107" s="11" t="inlineStr">
        <is>
          <t>S</t>
        </is>
      </c>
      <c r="N107" s="12" t="inlineStr"/>
    </row>
    <row r="108">
      <c r="A108" s="11" t="inlineStr">
        <is>
          <t>E-14</t>
        </is>
      </c>
      <c r="B108" s="12" t="inlineStr">
        <is>
          <t>E</t>
        </is>
      </c>
      <c r="C108" s="11" t="inlineStr">
        <is>
          <t>Webmail — auto-logowanie (SSO)</t>
        </is>
      </c>
      <c r="D108" s="11" t="inlineStr">
        <is>
          <t>TAK</t>
        </is>
      </c>
      <c r="E108" s="11" t="inlineStr">
        <is>
          <t>TAK</t>
        </is>
      </c>
      <c r="F108" s="11" t="inlineStr">
        <is>
          <t>TAK</t>
        </is>
      </c>
      <c r="G108" s="11" t="inlineStr">
        <is>
          <t>TAK</t>
        </is>
      </c>
      <c r="H108" s="11" t="inlineStr">
        <is>
          <t>TAK</t>
        </is>
      </c>
      <c r="I108" s="11" t="inlineStr">
        <is>
          <t>DZIAŁA</t>
        </is>
      </c>
      <c r="J108" s="12" t="inlineStr">
        <is>
          <t>services.controller.ts — POST /services/:id/hosting-sso-url (wspólna trasa z D-11); MailTab.tsx:68</t>
        </is>
      </c>
      <c r="K108" s="11" t="inlineStr">
        <is>
          <t>PARYTET</t>
        </is>
      </c>
      <c r="L108" s="11" t="inlineStr">
        <is>
          <t>—</t>
        </is>
      </c>
      <c r="M108" s="11" t="inlineStr">
        <is>
          <t>S</t>
        </is>
      </c>
      <c r="N108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109">
      <c r="A109" s="11" t="inlineStr">
        <is>
          <t>E-15</t>
        </is>
      </c>
      <c r="B109" s="12" t="inlineStr">
        <is>
          <t>E</t>
        </is>
      </c>
      <c r="C109" s="11" t="inlineStr">
        <is>
          <t>Rekordy SPF — kreator</t>
        </is>
      </c>
      <c r="D109" s="11" t="inlineStr">
        <is>
          <t>TAK</t>
        </is>
      </c>
      <c r="E109" s="11" t="inlineStr">
        <is>
          <t>TAK</t>
        </is>
      </c>
      <c r="F109" s="11" t="inlineStr">
        <is>
          <t>TAK</t>
        </is>
      </c>
      <c r="G109" s="11" t="inlineStr">
        <is>
          <t>TAK</t>
        </is>
      </c>
      <c r="H109" s="11" t="inlineStr">
        <is>
          <t>TAK</t>
        </is>
      </c>
      <c r="I109" s="11" t="inlineStr">
        <is>
          <t>ENDPOINT BEZ UI</t>
        </is>
      </c>
      <c r="J109" s="12" t="inlineStr">
        <is>
          <t>services.controller.ts:114</t>
        </is>
      </c>
      <c r="K109" s="11" t="inlineStr">
        <is>
          <t>LUKA</t>
        </is>
      </c>
      <c r="L109" s="11" t="inlineStr">
        <is>
          <t>WYSOKA</t>
        </is>
      </c>
      <c r="M109" s="11" t="inlineStr">
        <is>
          <t>S</t>
        </is>
      </c>
      <c r="N109" s="12" t="inlineStr">
        <is>
          <t>deliverability-panel.tsx:26 to komponent osierocony — nikt go nie importuje</t>
        </is>
      </c>
    </row>
    <row r="110">
      <c r="A110" s="11" t="inlineStr">
        <is>
          <t>E-16</t>
        </is>
      </c>
      <c r="B110" s="12" t="inlineStr">
        <is>
          <t>E</t>
        </is>
      </c>
      <c r="C110" s="11" t="inlineStr">
        <is>
          <t>Rekordy DKIM — konfiguracja</t>
        </is>
      </c>
      <c r="D110" s="11" t="inlineStr">
        <is>
          <t>TAK</t>
        </is>
      </c>
      <c r="E110" s="11" t="inlineStr">
        <is>
          <t>TAK</t>
        </is>
      </c>
      <c r="F110" s="11" t="inlineStr">
        <is>
          <t>TAK</t>
        </is>
      </c>
      <c r="G110" s="11" t="inlineStr">
        <is>
          <t>TAK</t>
        </is>
      </c>
      <c r="H110" s="11" t="inlineStr">
        <is>
          <t>TAK</t>
        </is>
      </c>
      <c r="I110" s="11" t="inlineStr">
        <is>
          <t>ENDPOINT BEZ UI</t>
        </is>
      </c>
      <c r="J110" s="12" t="inlineStr">
        <is>
          <t>services.controller.ts:114</t>
        </is>
      </c>
      <c r="K110" s="11" t="inlineStr">
        <is>
          <t>LUKA</t>
        </is>
      </c>
      <c r="L110" s="11" t="inlineStr">
        <is>
          <t>WYSOKA</t>
        </is>
      </c>
      <c r="M110" s="11" t="inlineStr">
        <is>
          <t>S</t>
        </is>
      </c>
      <c r="N110" s="12" t="inlineStr">
        <is>
          <t>j.w.</t>
        </is>
      </c>
    </row>
    <row r="111">
      <c r="A111" s="11" t="inlineStr">
        <is>
          <t>E-17</t>
        </is>
      </c>
      <c r="B111" s="12" t="inlineStr">
        <is>
          <t>E</t>
        </is>
      </c>
      <c r="C111" s="11" t="inlineStr">
        <is>
          <t>Rekord DMARC — konfiguracja</t>
        </is>
      </c>
      <c r="D111" s="11" t="inlineStr">
        <is>
          <t>TAK</t>
        </is>
      </c>
      <c r="E111" s="11" t="inlineStr">
        <is>
          <t>TAK</t>
        </is>
      </c>
      <c r="F111" s="11" t="inlineStr">
        <is>
          <t>TAK</t>
        </is>
      </c>
      <c r="G111" s="11" t="inlineStr">
        <is>
          <t>TAK</t>
        </is>
      </c>
      <c r="H111" s="11" t="inlineStr">
        <is>
          <t>TAK</t>
        </is>
      </c>
      <c r="I111" s="11" t="inlineStr">
        <is>
          <t>ENDPOINT BEZ UI</t>
        </is>
      </c>
      <c r="J111" s="12" t="inlineStr">
        <is>
          <t>services.controller.ts:114</t>
        </is>
      </c>
      <c r="K111" s="11" t="inlineStr">
        <is>
          <t>LUKA</t>
        </is>
      </c>
      <c r="L111" s="11" t="inlineStr">
        <is>
          <t>WYSOKA</t>
        </is>
      </c>
      <c r="M111" s="11" t="inlineStr">
        <is>
          <t>S</t>
        </is>
      </c>
      <c r="N111" s="12" t="inlineStr">
        <is>
          <t>j.w.</t>
        </is>
      </c>
    </row>
    <row r="112">
      <c r="A112" s="11" t="inlineStr">
        <is>
          <t>E-18</t>
        </is>
      </c>
      <c r="B112" s="12" t="inlineStr">
        <is>
          <t>E</t>
        </is>
      </c>
      <c r="C112" s="11" t="inlineStr">
        <is>
          <t>Sprawdzenie obecności na RBL</t>
        </is>
      </c>
      <c r="D112" s="11" t="inlineStr">
        <is>
          <t>TAK</t>
        </is>
      </c>
      <c r="E112" s="11" t="inlineStr">
        <is>
          <t>TAK</t>
        </is>
      </c>
      <c r="F112" s="11" t="inlineStr">
        <is>
          <t>CZĘŚĆ</t>
        </is>
      </c>
      <c r="G112" s="11" t="inlineStr">
        <is>
          <t>CZĘŚĆ</t>
        </is>
      </c>
      <c r="H112" s="11" t="inlineStr">
        <is>
          <t>CZĘŚĆ</t>
        </is>
      </c>
      <c r="I112" s="11" t="inlineStr">
        <is>
          <t>ENDPOINT BEZ UI</t>
        </is>
      </c>
      <c r="J112" s="12" t="inlineStr">
        <is>
          <t>services.controller.ts:114</t>
        </is>
      </c>
      <c r="K112" s="11" t="inlineStr">
        <is>
          <t>LUKA</t>
        </is>
      </c>
      <c r="L112" s="11" t="inlineStr">
        <is>
          <t>ŚREDNIA</t>
        </is>
      </c>
      <c r="M112" s="11" t="inlineStr">
        <is>
          <t>S</t>
        </is>
      </c>
      <c r="N112" s="12" t="inlineStr">
        <is>
          <t>backend w pełni działa, brak wejścia z UI</t>
        </is>
      </c>
    </row>
    <row r="113">
      <c r="A113" s="11" t="inlineStr">
        <is>
          <t>E-19</t>
        </is>
      </c>
      <c r="B113" s="12" t="inlineStr">
        <is>
          <t>E</t>
        </is>
      </c>
      <c r="C113" s="11" t="inlineStr">
        <is>
          <t>Podgląd kolejki i logów dostarczania</t>
        </is>
      </c>
      <c r="D113" s="11" t="inlineStr">
        <is>
          <t>TAK</t>
        </is>
      </c>
      <c r="E113" s="11" t="inlineStr">
        <is>
          <t>TAK</t>
        </is>
      </c>
      <c r="F113" s="11" t="inlineStr">
        <is>
          <t>TAK</t>
        </is>
      </c>
      <c r="G113" s="11" t="inlineStr">
        <is>
          <t>CZĘŚĆ</t>
        </is>
      </c>
      <c r="H113" s="11" t="inlineStr">
        <is>
          <t>CZĘŚĆ</t>
        </is>
      </c>
      <c r="I113" s="11" t="inlineStr">
        <is>
          <t>BRAK</t>
        </is>
      </c>
      <c r="J113" s="12" t="inlineStr">
        <is>
          <t>—</t>
        </is>
      </c>
      <c r="K113" s="11" t="inlineStr">
        <is>
          <t>LUKA</t>
        </is>
      </c>
      <c r="L113" s="11" t="inlineStr">
        <is>
          <t>ŚREDNIA</t>
        </is>
      </c>
      <c r="M113" s="11" t="inlineStr">
        <is>
          <t>M</t>
        </is>
      </c>
      <c r="N113" s="12" t="inlineStr">
        <is>
          <t>„gdzie jest mój mail” to najczęstszy ticket poczty</t>
        </is>
      </c>
    </row>
    <row r="114">
      <c r="A114" s="11" t="inlineStr">
        <is>
          <t>E-20</t>
        </is>
      </c>
      <c r="B114" s="12" t="inlineStr">
        <is>
          <t>E</t>
        </is>
      </c>
      <c r="C114" s="11" t="inlineStr">
        <is>
          <t>Limity wysyłki pokazane klientowi</t>
        </is>
      </c>
      <c r="D114" s="11" t="inlineStr">
        <is>
          <t>TAK</t>
        </is>
      </c>
      <c r="E114" s="11" t="inlineStr">
        <is>
          <t>TAK</t>
        </is>
      </c>
      <c r="F114" s="11" t="inlineStr">
        <is>
          <t>TAK</t>
        </is>
      </c>
      <c r="G114" s="11" t="inlineStr">
        <is>
          <t>CZĘŚĆ</t>
        </is>
      </c>
      <c r="H114" s="11" t="inlineStr">
        <is>
          <t>TAK</t>
        </is>
      </c>
      <c r="I114" s="11" t="inlineStr">
        <is>
          <t>BRAK</t>
        </is>
      </c>
      <c r="J114" s="12" t="inlineStr">
        <is>
          <t>—</t>
        </is>
      </c>
      <c r="K114" s="11" t="inlineStr">
        <is>
          <t>LUKA</t>
        </is>
      </c>
      <c r="L114" s="11" t="inlineStr">
        <is>
          <t>ŚREDNIA</t>
        </is>
      </c>
      <c r="M114" s="11" t="inlineStr">
        <is>
          <t>S</t>
        </is>
      </c>
      <c r="N114" s="12" t="inlineStr">
        <is>
          <t>cyber_Folks publikuje jawnie: 1000/dobę, 300/15 min</t>
        </is>
      </c>
    </row>
    <row r="115">
      <c r="A115" s="11" t="inlineStr">
        <is>
          <t>E-21</t>
        </is>
      </c>
      <c r="B115" s="12" t="inlineStr">
        <is>
          <t>E</t>
        </is>
      </c>
      <c r="C115" s="11" t="inlineStr">
        <is>
          <t>Samodzielny import skrzynek przez IMAP</t>
        </is>
      </c>
      <c r="D115" s="11" t="inlineStr">
        <is>
          <t>CZĘŚĆ</t>
        </is>
      </c>
      <c r="E115" s="11" t="inlineStr">
        <is>
          <t>TAK</t>
        </is>
      </c>
      <c r="F115" s="11" t="inlineStr">
        <is>
          <t>CZĘŚĆ</t>
        </is>
      </c>
      <c r="G115" s="11" t="inlineStr">
        <is>
          <t>CZĘŚĆ</t>
        </is>
      </c>
      <c r="H115" s="11" t="inlineStr">
        <is>
          <t>TAK</t>
        </is>
      </c>
      <c r="I115" s="11" t="inlineStr">
        <is>
          <t>CZĘŚCIOWE</t>
        </is>
      </c>
      <c r="J115" s="12" t="inlineStr">
        <is>
          <t>w ramach migracji, nie jako osobne narzędzie</t>
        </is>
      </c>
      <c r="K115" s="11" t="inlineStr">
        <is>
          <t>CZĘŚCIOWY</t>
        </is>
      </c>
      <c r="L115" s="11" t="inlineStr">
        <is>
          <t>ŚREDNIA</t>
        </is>
      </c>
      <c r="M115" s="11" t="inlineStr">
        <is>
          <t>S</t>
        </is>
      </c>
      <c r="N115" s="12" t="inlineStr"/>
    </row>
    <row r="116">
      <c r="A116" s="11" t="inlineStr">
        <is>
          <t>E-22</t>
        </is>
      </c>
      <c r="B116" s="12" t="inlineStr">
        <is>
          <t>E</t>
        </is>
      </c>
      <c r="C116" s="11" t="inlineStr">
        <is>
          <t>Listy mailingowe</t>
        </is>
      </c>
      <c r="D116" s="11" t="inlineStr">
        <is>
          <t>TAK</t>
        </is>
      </c>
      <c r="E116" s="11" t="inlineStr">
        <is>
          <t>TAK</t>
        </is>
      </c>
      <c r="F116" s="11" t="inlineStr">
        <is>
          <t>TAK</t>
        </is>
      </c>
      <c r="G116" s="11" t="inlineStr">
        <is>
          <t>CZĘŚĆ</t>
        </is>
      </c>
      <c r="H116" s="11" t="inlineStr">
        <is>
          <t>NIE</t>
        </is>
      </c>
      <c r="I116" s="11" t="inlineStr">
        <is>
          <t>BRAK</t>
        </is>
      </c>
      <c r="J116" s="12" t="inlineStr">
        <is>
          <t>—</t>
        </is>
      </c>
      <c r="K116" s="11" t="inlineStr">
        <is>
          <t>POZA ZAKRESEM</t>
        </is>
      </c>
      <c r="L116" s="11" t="inlineStr">
        <is>
          <t>NISKA</t>
        </is>
      </c>
      <c r="M116" s="11" t="inlineStr">
        <is>
          <t>—</t>
        </is>
      </c>
      <c r="N116" s="12" t="inlineStr">
        <is>
          <t>zastąpione modułem email-marketing</t>
        </is>
      </c>
    </row>
    <row r="117">
      <c r="A117" s="11" t="inlineStr">
        <is>
          <t>E-23</t>
        </is>
      </c>
      <c r="B117" s="12" t="inlineStr">
        <is>
          <t>E</t>
        </is>
      </c>
      <c r="C117" s="11" t="inlineStr">
        <is>
          <t>Kalendarz i kontakty (CalDAV/CardDAV)</t>
        </is>
      </c>
      <c r="D117" s="11" t="inlineStr">
        <is>
          <t>TAK</t>
        </is>
      </c>
      <c r="E117" s="11" t="inlineStr">
        <is>
          <t>TAK</t>
        </is>
      </c>
      <c r="F117" s="11" t="inlineStr">
        <is>
          <t>CZĘŚĆ</t>
        </is>
      </c>
      <c r="G117" s="11" t="inlineStr">
        <is>
          <t>CZĘŚĆ</t>
        </is>
      </c>
      <c r="H117" s="11" t="inlineStr">
        <is>
          <t>NIE</t>
        </is>
      </c>
      <c r="I117" s="11" t="inlineStr">
        <is>
          <t>BRAK</t>
        </is>
      </c>
      <c r="J117" s="12" t="inlineStr">
        <is>
          <t>—</t>
        </is>
      </c>
      <c r="K117" s="11" t="inlineStr">
        <is>
          <t>LUKA</t>
        </is>
      </c>
      <c r="L117" s="11" t="inlineStr">
        <is>
          <t>NISKA</t>
        </is>
      </c>
      <c r="M117" s="11" t="inlineStr">
        <is>
          <t>L</t>
        </is>
      </c>
      <c r="N117" s="12" t="inlineStr">
        <is>
          <t>dhosting i home.pl mają w produkcie „poczta biznesowa”</t>
        </is>
      </c>
    </row>
    <row r="118">
      <c r="A118" s="11" t="inlineStr">
        <is>
          <t>E-24</t>
        </is>
      </c>
      <c r="B118" s="12" t="inlineStr">
        <is>
          <t>E</t>
        </is>
      </c>
      <c r="C118" s="11" t="inlineStr">
        <is>
          <t>2FA dla webmaila</t>
        </is>
      </c>
      <c r="D118" s="11" t="inlineStr">
        <is>
          <t>CZĘŚĆ</t>
        </is>
      </c>
      <c r="E118" s="11" t="inlineStr">
        <is>
          <t>TAK</t>
        </is>
      </c>
      <c r="F118" s="11" t="inlineStr">
        <is>
          <t>CZĘŚĆ</t>
        </is>
      </c>
      <c r="G118" s="11" t="inlineStr">
        <is>
          <t>CZĘŚĆ</t>
        </is>
      </c>
      <c r="H118" s="11" t="inlineStr">
        <is>
          <t>TAK</t>
        </is>
      </c>
      <c r="I118" s="11" t="inlineStr">
        <is>
          <t>BRAK</t>
        </is>
      </c>
      <c r="J118" s="12" t="inlineStr">
        <is>
          <t>—</t>
        </is>
      </c>
      <c r="K118" s="11" t="inlineStr">
        <is>
          <t>LUKA</t>
        </is>
      </c>
      <c r="L118" s="11" t="inlineStr">
        <is>
          <t>NISKA</t>
        </is>
      </c>
      <c r="M118" s="11" t="inlineStr">
        <is>
          <t>M</t>
        </is>
      </c>
      <c r="N118" s="12" t="inlineStr">
        <is>
          <t>cyber_Folks ma nawet 2FA dla IMAP/SMTP</t>
        </is>
      </c>
    </row>
    <row r="119">
      <c r="A119" s="11" t="inlineStr">
        <is>
          <t>E-25</t>
        </is>
      </c>
      <c r="B119" s="12" t="inlineStr">
        <is>
          <t>E</t>
        </is>
      </c>
      <c r="C119" s="11" t="inlineStr">
        <is>
          <t>Osobny produkt „poczta biznesowa”</t>
        </is>
      </c>
      <c r="D119" s="11" t="inlineStr">
        <is>
          <t>NIE</t>
        </is>
      </c>
      <c r="E119" s="11" t="inlineStr">
        <is>
          <t>NIE</t>
        </is>
      </c>
      <c r="F119" s="11" t="inlineStr">
        <is>
          <t>NIE</t>
        </is>
      </c>
      <c r="G119" s="11" t="inlineStr">
        <is>
          <t>TAK</t>
        </is>
      </c>
      <c r="H119" s="11" t="inlineStr">
        <is>
          <t>NIE</t>
        </is>
      </c>
      <c r="I119" s="11" t="inlineStr">
        <is>
          <t>DZIAŁA</t>
        </is>
      </c>
      <c r="J119" s="12" t="inlineStr">
        <is>
          <t>plans/new-email w admin-panel</t>
        </is>
      </c>
      <c r="K119" s="11" t="inlineStr">
        <is>
          <t>PARYTET</t>
        </is>
      </c>
      <c r="L119" s="11" t="inlineStr">
        <is>
          <t>—</t>
        </is>
      </c>
      <c r="M119" s="11" t="inlineStr">
        <is>
          <t>—</t>
        </is>
      </c>
      <c r="N119" s="12" t="inlineStr">
        <is>
          <t>plan e-mail istnieje jako osobny produkt</t>
        </is>
      </c>
    </row>
    <row r="120">
      <c r="A120" s="11" t="inlineStr">
        <is>
          <t>F-01</t>
        </is>
      </c>
      <c r="B120" s="12" t="inlineStr">
        <is>
          <t>F</t>
        </is>
      </c>
      <c r="C120" s="11" t="inlineStr">
        <is>
          <t>Edytor rekordów DNS (A/CNAME/MX/TXT)</t>
        </is>
      </c>
      <c r="D120" s="11" t="inlineStr">
        <is>
          <t>TAK</t>
        </is>
      </c>
      <c r="E120" s="11" t="inlineStr">
        <is>
          <t>TAK</t>
        </is>
      </c>
      <c r="F120" s="11" t="inlineStr">
        <is>
          <t>TAK</t>
        </is>
      </c>
      <c r="G120" s="11" t="inlineStr">
        <is>
          <t>TAK</t>
        </is>
      </c>
      <c r="H120" s="11" t="inlineStr">
        <is>
          <t>TAK</t>
        </is>
      </c>
      <c r="I120" s="11" t="inlineStr">
        <is>
          <t>ATRAPA</t>
        </is>
      </c>
      <c r="J120" s="12" t="inlineStr">
        <is>
          <t>dns-manager.tsx:79,91 — komponent osierocony; dns/page.tsx:15 przekierowuje gdzie indziej</t>
        </is>
      </c>
      <c r="K120" s="11" t="inlineStr">
        <is>
          <t>LUKA</t>
        </is>
      </c>
      <c r="L120" s="11" t="inlineStr">
        <is>
          <t>WYSOKA</t>
        </is>
      </c>
      <c r="M120" s="11" t="inlineStr">
        <is>
          <t>S</t>
        </is>
      </c>
      <c r="N120" s="12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</row>
    <row r="121">
      <c r="A121" s="11" t="inlineStr">
        <is>
          <t>F-02</t>
        </is>
      </c>
      <c r="B121" s="12" t="inlineStr">
        <is>
          <t>F</t>
        </is>
      </c>
      <c r="C121" s="11" t="inlineStr">
        <is>
          <t>Rekordy SRV / CAA</t>
        </is>
      </c>
      <c r="D121" s="11" t="inlineStr">
        <is>
          <t>TAK</t>
        </is>
      </c>
      <c r="E121" s="11" t="inlineStr">
        <is>
          <t>TAK</t>
        </is>
      </c>
      <c r="F121" s="11" t="inlineStr">
        <is>
          <t>TAK</t>
        </is>
      </c>
      <c r="G121" s="11" t="inlineStr">
        <is>
          <t>TAK</t>
        </is>
      </c>
      <c r="H121" s="11" t="inlineStr">
        <is>
          <t>TAK</t>
        </is>
      </c>
      <c r="I121" s="11" t="inlineStr">
        <is>
          <t>ATRAPA</t>
        </is>
      </c>
      <c r="J121" s="12" t="inlineStr">
        <is>
          <t>j.w.</t>
        </is>
      </c>
      <c r="K121" s="11" t="inlineStr">
        <is>
          <t>LUKA</t>
        </is>
      </c>
      <c r="L121" s="11" t="inlineStr">
        <is>
          <t>WYSOKA</t>
        </is>
      </c>
      <c r="M121" s="11" t="inlineStr">
        <is>
          <t>S</t>
        </is>
      </c>
      <c r="N121" s="12" t="inlineStr"/>
    </row>
    <row r="122">
      <c r="A122" s="11" t="inlineStr">
        <is>
          <t>F-03</t>
        </is>
      </c>
      <c r="B122" s="12" t="inlineStr">
        <is>
          <t>F</t>
        </is>
      </c>
      <c r="C122" s="11" t="inlineStr">
        <is>
          <t>Link do strefy DNS w DirectAdmin</t>
        </is>
      </c>
      <c r="D122" s="11" t="inlineStr">
        <is>
          <t>—</t>
        </is>
      </c>
      <c r="E122" s="11" t="inlineStr">
        <is>
          <t>—</t>
        </is>
      </c>
      <c r="F122" s="11" t="inlineStr">
        <is>
          <t>—</t>
        </is>
      </c>
      <c r="G122" s="11" t="inlineStr">
        <is>
          <t>CZĘŚĆ</t>
        </is>
      </c>
      <c r="H122" s="11" t="inlineStr">
        <is>
          <t>NIE</t>
        </is>
      </c>
      <c r="I122" s="11" t="inlineStr">
        <is>
          <t>DZIAŁA</t>
        </is>
      </c>
      <c r="J122" s="12" t="inlineStr">
        <is>
          <t>services.controller.ts:350</t>
        </is>
      </c>
      <c r="K122" s="11" t="inlineStr">
        <is>
          <t>CZĘŚCIOWY</t>
        </is>
      </c>
      <c r="L122" s="11" t="inlineStr">
        <is>
          <t>—</t>
        </is>
      </c>
      <c r="M122" s="11" t="inlineStr">
        <is>
          <t>—</t>
        </is>
      </c>
      <c r="N122" s="12" t="inlineStr">
        <is>
          <t>obejście braku edytora — pokazuje klientowi obcy panel</t>
        </is>
      </c>
    </row>
    <row r="123">
      <c r="A123" s="11" t="inlineStr">
        <is>
          <t>F-04</t>
        </is>
      </c>
      <c r="B123" s="12" t="inlineStr">
        <is>
          <t>F</t>
        </is>
      </c>
      <c r="C123" s="11" t="inlineStr">
        <is>
          <t>Instrukcja skierowania domeny (NS / rekord A)</t>
        </is>
      </c>
      <c r="D123" s="11" t="inlineStr">
        <is>
          <t>CZĘŚĆ</t>
        </is>
      </c>
      <c r="E123" s="11" t="inlineStr">
        <is>
          <t>CZĘŚĆ</t>
        </is>
      </c>
      <c r="F123" s="11" t="inlineStr">
        <is>
          <t>CZĘŚĆ</t>
        </is>
      </c>
      <c r="G123" s="11" t="inlineStr">
        <is>
          <t>CZĘŚĆ</t>
        </is>
      </c>
      <c r="H123" s="11" t="inlineStr">
        <is>
          <t>TAK</t>
        </is>
      </c>
      <c r="I123" s="11" t="inlineStr">
        <is>
          <t>DZIAŁA</t>
        </is>
      </c>
      <c r="J123" s="12" t="inlineStr">
        <is>
          <t>DomainPointingPanel.tsx:232</t>
        </is>
      </c>
      <c r="K123" s="11" t="inlineStr">
        <is>
          <t>PRZEWAGA</t>
        </is>
      </c>
      <c r="L123" s="11" t="inlineStr">
        <is>
          <t>—</t>
        </is>
      </c>
      <c r="M123" s="11" t="inlineStr">
        <is>
          <t>—</t>
        </is>
      </c>
      <c r="N123" s="12" t="inlineStr"/>
    </row>
    <row r="124">
      <c r="A124" s="11" t="inlineStr">
        <is>
          <t>F-05</t>
        </is>
      </c>
      <c r="B124" s="12" t="inlineStr">
        <is>
          <t>F</t>
        </is>
      </c>
      <c r="C124" s="11" t="inlineStr">
        <is>
          <t>Weryfikacja skierowania domeny na żywo</t>
        </is>
      </c>
      <c r="D124" s="11" t="inlineStr">
        <is>
          <t>NIE</t>
        </is>
      </c>
      <c r="E124" s="11" t="inlineStr">
        <is>
          <t>CZĘŚĆ</t>
        </is>
      </c>
      <c r="F124" s="11" t="inlineStr">
        <is>
          <t>NIE</t>
        </is>
      </c>
      <c r="G124" s="11" t="inlineStr">
        <is>
          <t>CZĘŚĆ</t>
        </is>
      </c>
      <c r="H124" s="11" t="inlineStr">
        <is>
          <t>TAK</t>
        </is>
      </c>
      <c r="I124" s="11" t="inlineStr">
        <is>
          <t>DZIAŁA</t>
        </is>
      </c>
      <c r="J124" s="12" t="inlineStr">
        <is>
          <t>services.controller.ts:365</t>
        </is>
      </c>
      <c r="K124" s="11" t="inlineStr">
        <is>
          <t>PRZEWAGA</t>
        </is>
      </c>
      <c r="L124" s="11" t="inlineStr">
        <is>
          <t>—</t>
        </is>
      </c>
      <c r="M124" s="11" t="inlineStr">
        <is>
          <t>—</t>
        </is>
      </c>
      <c r="N124" s="12" t="inlineStr">
        <is>
          <t>z auto-pollingiem</t>
        </is>
      </c>
    </row>
    <row r="125">
      <c r="A125" s="11" t="inlineStr">
        <is>
          <t>F-06</t>
        </is>
      </c>
      <c r="B125" s="12" t="inlineStr">
        <is>
          <t>F</t>
        </is>
      </c>
      <c r="C125" s="11" t="inlineStr">
        <is>
          <t>DNSSEC</t>
        </is>
      </c>
      <c r="D125" s="11" t="inlineStr">
        <is>
          <t>TAK</t>
        </is>
      </c>
      <c r="E125" s="11" t="inlineStr">
        <is>
          <t>TAK</t>
        </is>
      </c>
      <c r="F125" s="11" t="inlineStr">
        <is>
          <t>TAK</t>
        </is>
      </c>
      <c r="G125" s="11" t="inlineStr">
        <is>
          <t>b.d.</t>
        </is>
      </c>
      <c r="H125" s="11" t="inlineStr">
        <is>
          <t>CZĘŚĆ</t>
        </is>
      </c>
      <c r="I125" s="11" t="inlineStr">
        <is>
          <t>BRAK</t>
        </is>
      </c>
      <c r="J125" s="12" t="inlineStr">
        <is>
          <t>—</t>
        </is>
      </c>
      <c r="K125" s="11" t="inlineStr">
        <is>
          <t>LUKA</t>
        </is>
      </c>
      <c r="L125" s="11" t="inlineStr">
        <is>
          <t>ŚREDNIA</t>
        </is>
      </c>
      <c r="M125" s="11" t="inlineStr">
        <is>
          <t>M</t>
        </is>
      </c>
      <c r="N125" s="12" t="inlineStr">
        <is>
          <t>żaden z 5 hostingów PL nie potwierdza publicznie</t>
        </is>
      </c>
    </row>
    <row r="126">
      <c r="A126" s="11" t="inlineStr">
        <is>
          <t>F-07</t>
        </is>
      </c>
      <c r="B126" s="12" t="inlineStr">
        <is>
          <t>F</t>
        </is>
      </c>
      <c r="C126" s="11" t="inlineStr">
        <is>
          <t>Secondary / slave DNS</t>
        </is>
      </c>
      <c r="D126" s="11" t="inlineStr">
        <is>
          <t>TAK</t>
        </is>
      </c>
      <c r="E126" s="11" t="inlineStr">
        <is>
          <t>TAK</t>
        </is>
      </c>
      <c r="F126" s="11" t="inlineStr">
        <is>
          <t>TAK</t>
        </is>
      </c>
      <c r="G126" s="11" t="inlineStr">
        <is>
          <t>b.d.</t>
        </is>
      </c>
      <c r="H126" s="11" t="inlineStr">
        <is>
          <t>NIE</t>
        </is>
      </c>
      <c r="I126" s="11" t="inlineStr">
        <is>
          <t>BRAK</t>
        </is>
      </c>
      <c r="J126" s="12" t="inlineStr">
        <is>
          <t>—</t>
        </is>
      </c>
      <c r="K126" s="11" t="inlineStr">
        <is>
          <t>POZA ZAKRESEM</t>
        </is>
      </c>
      <c r="L126" s="11" t="inlineStr">
        <is>
          <t>NISKA</t>
        </is>
      </c>
      <c r="M126" s="11" t="inlineStr">
        <is>
          <t>—</t>
        </is>
      </c>
      <c r="N126" s="12" t="inlineStr">
        <is>
          <t>Wtórny DNS ma sens przy własnej infrastrukturze DNS wielolokalizacyjnej; przy jednym operatorze i delegacji na zewnątrz (F-09) nie wnosi odporności, którą obiecuje.</t>
        </is>
      </c>
    </row>
    <row r="127">
      <c r="A127" s="11" t="inlineStr">
        <is>
          <t>F-08</t>
        </is>
      </c>
      <c r="B127" s="12" t="inlineStr">
        <is>
          <t>F</t>
        </is>
      </c>
      <c r="C127" s="11" t="inlineStr">
        <is>
          <t>Własne nameservery (vanity NS)</t>
        </is>
      </c>
      <c r="D127" s="11" t="inlineStr">
        <is>
          <t>TAK</t>
        </is>
      </c>
      <c r="E127" s="11" t="inlineStr">
        <is>
          <t>TAK</t>
        </is>
      </c>
      <c r="F127" s="11" t="inlineStr">
        <is>
          <t>TAK</t>
        </is>
      </c>
      <c r="G127" s="11" t="inlineStr">
        <is>
          <t>CZĘŚĆ</t>
        </is>
      </c>
      <c r="H127" s="11" t="inlineStr">
        <is>
          <t>CZĘŚĆ</t>
        </is>
      </c>
      <c r="I127" s="11" t="inlineStr">
        <is>
          <t>DZIAŁA</t>
        </is>
      </c>
      <c r="J127" s="12" t="inlineStr">
        <is>
          <t>servers.admin.controller.ts:204,209</t>
        </is>
      </c>
      <c r="K127" s="11" t="inlineStr">
        <is>
          <t>PARYTET</t>
        </is>
      </c>
      <c r="L127" s="11" t="inlineStr">
        <is>
          <t>—</t>
        </is>
      </c>
      <c r="M127" s="11" t="inlineStr">
        <is>
          <t>—</t>
        </is>
      </c>
      <c r="N127" s="12" t="inlineStr">
        <is>
          <t>po stronie operatora, per węzeł</t>
        </is>
      </c>
    </row>
    <row r="128">
      <c r="A128" s="11" t="inlineStr">
        <is>
          <t>F-09</t>
        </is>
      </c>
      <c r="B128" s="12" t="inlineStr">
        <is>
          <t>F</t>
        </is>
      </c>
      <c r="C128" s="11" t="inlineStr">
        <is>
          <t>Delegacja domeny na zewnętrzny DNS</t>
        </is>
      </c>
      <c r="D128" s="11" t="inlineStr">
        <is>
          <t>TAK</t>
        </is>
      </c>
      <c r="E128" s="11" t="inlineStr">
        <is>
          <t>TAK</t>
        </is>
      </c>
      <c r="F128" s="11" t="inlineStr">
        <is>
          <t>TAK</t>
        </is>
      </c>
      <c r="G128" s="11" t="inlineStr">
        <is>
          <t>TAK</t>
        </is>
      </c>
      <c r="H128" s="11" t="inlineStr">
        <is>
          <t>TAK</t>
        </is>
      </c>
      <c r="I128" s="11" t="inlineStr">
        <is>
          <t>DZIAŁA</t>
        </is>
      </c>
      <c r="J128" s="12" t="inlineStr">
        <is>
          <t>brak wymuszania własnych NS</t>
        </is>
      </c>
      <c r="K128" s="11" t="inlineStr">
        <is>
          <t>PARYTET</t>
        </is>
      </c>
      <c r="L128" s="11" t="inlineStr">
        <is>
          <t>—</t>
        </is>
      </c>
      <c r="M128" s="11" t="inlineStr">
        <is>
          <t>—</t>
        </is>
      </c>
      <c r="N128" s="12" t="inlineStr">
        <is>
          <t>home.pl tego zabrania — nasza przewaga narracyjna</t>
        </is>
      </c>
    </row>
    <row r="129">
      <c r="A129" s="11" t="inlineStr">
        <is>
          <t>F-10</t>
        </is>
      </c>
      <c r="B129" s="12" t="inlineStr">
        <is>
          <t>F</t>
        </is>
      </c>
      <c r="C129" s="11" t="inlineStr">
        <is>
          <t>Szablony stref DNS</t>
        </is>
      </c>
      <c r="D129" s="11" t="inlineStr">
        <is>
          <t>TAK</t>
        </is>
      </c>
      <c r="E129" s="11" t="inlineStr">
        <is>
          <t>TAK</t>
        </is>
      </c>
      <c r="F129" s="11" t="inlineStr">
        <is>
          <t>TAK</t>
        </is>
      </c>
      <c r="G129" s="11" t="inlineStr">
        <is>
          <t>NIE</t>
        </is>
      </c>
      <c r="H129" s="11" t="inlineStr">
        <is>
          <t>NIE</t>
        </is>
      </c>
      <c r="I129" s="11" t="inlineStr">
        <is>
          <t>BRAK</t>
        </is>
      </c>
      <c r="J129" s="12" t="inlineStr">
        <is>
          <t>—</t>
        </is>
      </c>
      <c r="K129" s="11" t="inlineStr">
        <is>
          <t>POZA ZAKRESEM</t>
        </is>
      </c>
      <c r="L129" s="11" t="inlineStr">
        <is>
          <t>NISKA</t>
        </is>
      </c>
      <c r="M129" s="11" t="inlineStr">
        <is>
          <t>—</t>
        </is>
      </c>
      <c r="N129" s="12" t="inlineStr">
        <is>
          <t>Szablony stref są narzędziem resellera zarządzającego setkami domen. Do rozważenia razem z epikiem E-07, nie wcześniej.</t>
        </is>
      </c>
    </row>
    <row r="130">
      <c r="A130" s="11" t="inlineStr">
        <is>
          <t>F-11</t>
        </is>
      </c>
      <c r="B130" s="12" t="inlineStr">
        <is>
          <t>F</t>
        </is>
      </c>
      <c r="C130" s="11" t="inlineStr">
        <is>
          <t>Zmiana TTL rekordów</t>
        </is>
      </c>
      <c r="D130" s="11" t="inlineStr">
        <is>
          <t>TAK</t>
        </is>
      </c>
      <c r="E130" s="11" t="inlineStr">
        <is>
          <t>TAK</t>
        </is>
      </c>
      <c r="F130" s="11" t="inlineStr">
        <is>
          <t>TAK</t>
        </is>
      </c>
      <c r="G130" s="11" t="inlineStr">
        <is>
          <t>CZĘŚĆ</t>
        </is>
      </c>
      <c r="H130" s="11" t="inlineStr">
        <is>
          <t>TAK</t>
        </is>
      </c>
      <c r="I130" s="11" t="inlineStr">
        <is>
          <t>ATRAPA</t>
        </is>
      </c>
      <c r="J130" s="12" t="inlineStr">
        <is>
          <t>zależne od F-01</t>
        </is>
      </c>
      <c r="K130" s="11" t="inlineStr">
        <is>
          <t>LUKA</t>
        </is>
      </c>
      <c r="L130" s="11" t="inlineStr">
        <is>
          <t>ŚREDNIA</t>
        </is>
      </c>
      <c r="M130" s="11" t="inlineStr">
        <is>
          <t>S</t>
        </is>
      </c>
      <c r="N130" s="12" t="inlineStr"/>
    </row>
    <row r="131">
      <c r="A131" s="11" t="inlineStr">
        <is>
          <t>F-12</t>
        </is>
      </c>
      <c r="B131" s="12" t="inlineStr">
        <is>
          <t>F</t>
        </is>
      </c>
      <c r="C131" s="11" t="inlineStr">
        <is>
          <t>Anycast DNS</t>
        </is>
      </c>
      <c r="D131" s="11" t="inlineStr">
        <is>
          <t>NIE</t>
        </is>
      </c>
      <c r="E131" s="11" t="inlineStr">
        <is>
          <t>NIE</t>
        </is>
      </c>
      <c r="F131" s="11" t="inlineStr">
        <is>
          <t>NIE</t>
        </is>
      </c>
      <c r="G131" s="11" t="inlineStr">
        <is>
          <t>CZĘŚĆ</t>
        </is>
      </c>
      <c r="H131" s="11" t="inlineStr">
        <is>
          <t>CZĘŚĆ</t>
        </is>
      </c>
      <c r="I131" s="11" t="inlineStr">
        <is>
          <t>BRAK</t>
        </is>
      </c>
      <c r="J131" s="12" t="inlineStr">
        <is>
          <t>—</t>
        </is>
      </c>
      <c r="K131" s="11" t="inlineStr">
        <is>
          <t>LUKA</t>
        </is>
      </c>
      <c r="L131" s="11" t="inlineStr">
        <is>
          <t>NISKA</t>
        </is>
      </c>
      <c r="M131" s="11" t="inlineStr">
        <is>
          <t>L</t>
        </is>
      </c>
      <c r="N131" s="12" t="inlineStr">
        <is>
          <t>tylko nazwa.pl na rynku PL</t>
        </is>
      </c>
    </row>
    <row r="132">
      <c r="A132" s="11" t="inlineStr">
        <is>
          <t>G-01</t>
        </is>
      </c>
      <c r="B132" s="12" t="inlineStr">
        <is>
          <t>G</t>
        </is>
      </c>
      <c r="C132" s="11" t="inlineStr">
        <is>
          <t>Certyfikat Let's Encrypt — wystawienie</t>
        </is>
      </c>
      <c r="D132" s="11" t="inlineStr">
        <is>
          <t>TAK</t>
        </is>
      </c>
      <c r="E132" s="11" t="inlineStr">
        <is>
          <t>TAK</t>
        </is>
      </c>
      <c r="F132" s="11" t="inlineStr">
        <is>
          <t>TAK</t>
        </is>
      </c>
      <c r="G132" s="11" t="inlineStr">
        <is>
          <t>TAK</t>
        </is>
      </c>
      <c r="H132" s="11" t="inlineStr">
        <is>
          <t>TAK</t>
        </is>
      </c>
      <c r="I132" s="11" t="inlineStr">
        <is>
          <t>DZIAŁA</t>
        </is>
      </c>
      <c r="J132" s="12" t="inlineStr">
        <is>
          <t>services.controller.ts:741</t>
        </is>
      </c>
      <c r="K132" s="11" t="inlineStr">
        <is>
          <t>PARYTET</t>
        </is>
      </c>
      <c r="L132" s="11" t="inlineStr">
        <is>
          <t>—</t>
        </is>
      </c>
      <c r="M132" s="11" t="inlineStr">
        <is>
          <t>—</t>
        </is>
      </c>
      <c r="N132" s="12" t="inlineStr"/>
    </row>
    <row r="133">
      <c r="A133" s="11" t="inlineStr">
        <is>
          <t>G-02</t>
        </is>
      </c>
      <c r="B133" s="12" t="inlineStr">
        <is>
          <t>G</t>
        </is>
      </c>
      <c r="C133" s="11" t="inlineStr">
        <is>
          <t>Certyfikat z www i bez www</t>
        </is>
      </c>
      <c r="D133" s="11" t="inlineStr">
        <is>
          <t>TAK</t>
        </is>
      </c>
      <c r="E133" s="11" t="inlineStr">
        <is>
          <t>TAK</t>
        </is>
      </c>
      <c r="F133" s="11" t="inlineStr">
        <is>
          <t>TAK</t>
        </is>
      </c>
      <c r="G133" s="11" t="inlineStr">
        <is>
          <t>TAK</t>
        </is>
      </c>
      <c r="H133" s="11" t="inlineStr">
        <is>
          <t>TAK</t>
        </is>
      </c>
      <c r="I133" s="11" t="inlineStr">
        <is>
          <t>DZIAŁA</t>
        </is>
      </c>
      <c r="J133" s="12" t="inlineStr">
        <is>
          <t>HostingSslForms.tsx:93</t>
        </is>
      </c>
      <c r="K133" s="11" t="inlineStr">
        <is>
          <t>PARYTET</t>
        </is>
      </c>
      <c r="L133" s="11" t="inlineStr">
        <is>
          <t>—</t>
        </is>
      </c>
      <c r="M133" s="11" t="inlineStr">
        <is>
          <t>—</t>
        </is>
      </c>
      <c r="N133" s="12" t="inlineStr"/>
    </row>
    <row r="134">
      <c r="A134" s="11" t="inlineStr">
        <is>
          <t>G-03</t>
        </is>
      </c>
      <c r="B134" s="12" t="inlineStr">
        <is>
          <t>G</t>
        </is>
      </c>
      <c r="C134" s="11" t="inlineStr">
        <is>
          <t>Certyfikat wildcard (DNS-01)</t>
        </is>
      </c>
      <c r="D134" s="11" t="inlineStr">
        <is>
          <t>TAK</t>
        </is>
      </c>
      <c r="E134" s="11" t="inlineStr">
        <is>
          <t>TAK</t>
        </is>
      </c>
      <c r="F134" s="11" t="inlineStr">
        <is>
          <t>TAK</t>
        </is>
      </c>
      <c r="G134" s="11" t="inlineStr">
        <is>
          <t>CZĘŚĆ</t>
        </is>
      </c>
      <c r="H134" s="11" t="inlineStr">
        <is>
          <t>CZĘŚĆ</t>
        </is>
      </c>
      <c r="I134" s="11" t="inlineStr">
        <is>
          <t>DZIAŁA</t>
        </is>
      </c>
      <c r="J134" s="12" t="inlineStr">
        <is>
          <t>HostingSslForms.tsx:103</t>
        </is>
      </c>
      <c r="K134" s="11" t="inlineStr">
        <is>
          <t>PRZEWAGA</t>
        </is>
      </c>
      <c r="L134" s="11" t="inlineStr">
        <is>
          <t>—</t>
        </is>
      </c>
      <c r="M134" s="11" t="inlineStr">
        <is>
          <t>—</t>
        </is>
      </c>
      <c r="N134" s="12" t="inlineStr"/>
    </row>
    <row r="135">
      <c r="A135" s="11" t="inlineStr">
        <is>
          <t>G-04</t>
        </is>
      </c>
      <c r="B135" s="12" t="inlineStr">
        <is>
          <t>G</t>
        </is>
      </c>
      <c r="C135" s="11" t="inlineStr">
        <is>
          <t>Automatyczne odnawianie certyfikatu</t>
        </is>
      </c>
      <c r="D135" s="11" t="inlineStr">
        <is>
          <t>TAK</t>
        </is>
      </c>
      <c r="E135" s="11" t="inlineStr">
        <is>
          <t>TAK</t>
        </is>
      </c>
      <c r="F135" s="11" t="inlineStr">
        <is>
          <t>TAK</t>
        </is>
      </c>
      <c r="G135" s="11" t="inlineStr">
        <is>
          <t>TAK</t>
        </is>
      </c>
      <c r="H135" s="11" t="inlineStr">
        <is>
          <t>TAK</t>
        </is>
      </c>
      <c r="I135" s="11" t="inlineStr">
        <is>
          <t>DZIAŁA</t>
        </is>
      </c>
      <c r="J135" s="12" t="inlineStr">
        <is>
          <t>przez DA</t>
        </is>
      </c>
      <c r="K135" s="11" t="inlineStr">
        <is>
          <t>PARYTET</t>
        </is>
      </c>
      <c r="L135" s="11" t="inlineStr">
        <is>
          <t>—</t>
        </is>
      </c>
      <c r="M135" s="11" t="inlineStr">
        <is>
          <t>—</t>
        </is>
      </c>
      <c r="N135" s="12" t="inlineStr"/>
    </row>
    <row r="136">
      <c r="A136" s="11" t="inlineStr">
        <is>
          <t>G-05</t>
        </is>
      </c>
      <c r="B136" s="12" t="inlineStr">
        <is>
          <t>G</t>
        </is>
      </c>
      <c r="C136" s="11" t="inlineStr">
        <is>
          <t>Wgranie własnego certyfikatu i klucza</t>
        </is>
      </c>
      <c r="D136" s="11" t="inlineStr">
        <is>
          <t>TAK</t>
        </is>
      </c>
      <c r="E136" s="11" t="inlineStr">
        <is>
          <t>TAK</t>
        </is>
      </c>
      <c r="F136" s="11" t="inlineStr">
        <is>
          <t>TAK</t>
        </is>
      </c>
      <c r="G136" s="11" t="inlineStr">
        <is>
          <t>TAK</t>
        </is>
      </c>
      <c r="H136" s="11" t="inlineStr">
        <is>
          <t>TAK</t>
        </is>
      </c>
      <c r="I136" s="11" t="inlineStr">
        <is>
          <t>DZIAŁA</t>
        </is>
      </c>
      <c r="J136" s="12" t="inlineStr">
        <is>
          <t>services.controller.ts:754</t>
        </is>
      </c>
      <c r="K136" s="11" t="inlineStr">
        <is>
          <t>PARYTET</t>
        </is>
      </c>
      <c r="L136" s="11" t="inlineStr">
        <is>
          <t>—</t>
        </is>
      </c>
      <c r="M136" s="11" t="inlineStr">
        <is>
          <t>—</t>
        </is>
      </c>
      <c r="N136" s="12" t="inlineStr"/>
    </row>
    <row r="137">
      <c r="A137" s="11" t="inlineStr">
        <is>
          <t>G-06</t>
        </is>
      </c>
      <c r="B137" s="12" t="inlineStr">
        <is>
          <t>G</t>
        </is>
      </c>
      <c r="C137" s="11" t="inlineStr">
        <is>
          <t>Lista certyfikatów ze statusem i datą wygaśnięcia</t>
        </is>
      </c>
      <c r="D137" s="11" t="inlineStr">
        <is>
          <t>TAK</t>
        </is>
      </c>
      <c r="E137" s="11" t="inlineStr">
        <is>
          <t>TAK</t>
        </is>
      </c>
      <c r="F137" s="11" t="inlineStr">
        <is>
          <t>TAK</t>
        </is>
      </c>
      <c r="G137" s="11" t="inlineStr">
        <is>
          <t>CZĘŚĆ</t>
        </is>
      </c>
      <c r="H137" s="11" t="inlineStr">
        <is>
          <t>TAK</t>
        </is>
      </c>
      <c r="I137" s="11" t="inlineStr">
        <is>
          <t>DZIAŁA</t>
        </is>
      </c>
      <c r="J137" s="12" t="inlineStr">
        <is>
          <t>services.controller.ts:736; directadmin.service.ts:2547</t>
        </is>
      </c>
      <c r="K137" s="11" t="inlineStr">
        <is>
          <t>PARYTET</t>
        </is>
      </c>
      <c r="L137" s="11" t="inlineStr">
        <is>
          <t>—</t>
        </is>
      </c>
      <c r="M137" s="11" t="inlineStr">
        <is>
          <t>—</t>
        </is>
      </c>
      <c r="N137" s="12" t="inlineStr">
        <is>
          <t>realny odczyt PEM</t>
        </is>
      </c>
    </row>
    <row r="138">
      <c r="A138" s="11" t="inlineStr">
        <is>
          <t>G-07</t>
        </is>
      </c>
      <c r="B138" s="12" t="inlineStr">
        <is>
          <t>G</t>
        </is>
      </c>
      <c r="C138" s="11" t="inlineStr">
        <is>
          <t>HSTS</t>
        </is>
      </c>
      <c r="D138" s="11" t="inlineStr">
        <is>
          <t>TAK</t>
        </is>
      </c>
      <c r="E138" s="11" t="inlineStr">
        <is>
          <t>TAK</t>
        </is>
      </c>
      <c r="F138" s="11" t="inlineStr">
        <is>
          <t>CZĘŚĆ</t>
        </is>
      </c>
      <c r="G138" s="11" t="inlineStr">
        <is>
          <t>CZĘŚĆ</t>
        </is>
      </c>
      <c r="H138" s="11" t="inlineStr">
        <is>
          <t>CZĘŚĆ</t>
        </is>
      </c>
      <c r="I138" s="11" t="inlineStr">
        <is>
          <t>BRAK</t>
        </is>
      </c>
      <c r="J138" s="12" t="inlineStr">
        <is>
          <t>—</t>
        </is>
      </c>
      <c r="K138" s="11" t="inlineStr">
        <is>
          <t>LUKA</t>
        </is>
      </c>
      <c r="L138" s="11" t="inlineStr">
        <is>
          <t>NISKA</t>
        </is>
      </c>
      <c r="M138" s="11" t="inlineStr">
        <is>
          <t>S</t>
        </is>
      </c>
      <c r="N138" s="12" t="inlineStr"/>
    </row>
    <row r="139">
      <c r="A139" s="11" t="inlineStr">
        <is>
          <t>G-08</t>
        </is>
      </c>
      <c r="B139" s="12" t="inlineStr">
        <is>
          <t>G</t>
        </is>
      </c>
      <c r="C139" s="11" t="inlineStr">
        <is>
          <t>Sprzedaż certyfikatów DV/OV/EV</t>
        </is>
      </c>
      <c r="D139" s="11" t="inlineStr">
        <is>
          <t>NIE</t>
        </is>
      </c>
      <c r="E139" s="11" t="inlineStr">
        <is>
          <t>NIE</t>
        </is>
      </c>
      <c r="F139" s="11" t="inlineStr">
        <is>
          <t>NIE</t>
        </is>
      </c>
      <c r="G139" s="11" t="inlineStr">
        <is>
          <t>TAK</t>
        </is>
      </c>
      <c r="H139" s="11" t="inlineStr">
        <is>
          <t>CZĘŚĆ</t>
        </is>
      </c>
      <c r="I139" s="11" t="inlineStr">
        <is>
          <t>BRAK</t>
        </is>
      </c>
      <c r="J139" s="12" t="inlineStr">
        <is>
          <t>—</t>
        </is>
      </c>
      <c r="K139" s="11" t="inlineStr">
        <is>
          <t>LUKA</t>
        </is>
      </c>
      <c r="L139" s="11" t="inlineStr">
        <is>
          <t>NISKA</t>
        </is>
      </c>
      <c r="M139" s="11" t="inlineStr">
        <is>
          <t>M</t>
        </is>
      </c>
      <c r="N139" s="12" t="inlineStr">
        <is>
          <t>wszystkie 5 hostingów PL to sprzedaje</t>
        </is>
      </c>
    </row>
    <row r="140">
      <c r="A140" s="11" t="inlineStr">
        <is>
          <t>G-09</t>
        </is>
      </c>
      <c r="B140" s="12" t="inlineStr">
        <is>
          <t>G</t>
        </is>
      </c>
      <c r="C140" s="11" t="inlineStr">
        <is>
          <t>WAF — włączenie i tryb pracy</t>
        </is>
      </c>
      <c r="D140" s="11" t="inlineStr">
        <is>
          <t>CZĘŚĆ</t>
        </is>
      </c>
      <c r="E140" s="11" t="inlineStr">
        <is>
          <t>TAK</t>
        </is>
      </c>
      <c r="F140" s="11" t="inlineStr">
        <is>
          <t>CZĘŚĆ</t>
        </is>
      </c>
      <c r="G140" s="11" t="inlineStr">
        <is>
          <t>CZĘŚĆ</t>
        </is>
      </c>
      <c r="H140" s="11" t="inlineStr">
        <is>
          <t>CZĘŚĆ</t>
        </is>
      </c>
      <c r="I140" s="11" t="inlineStr">
        <is>
          <t>DZIAŁA</t>
        </is>
      </c>
      <c r="J140" s="12" t="inlineStr">
        <is>
          <t>services.controller.ts:203</t>
        </is>
      </c>
      <c r="K140" s="11" t="inlineStr">
        <is>
          <t>PRZEWAGA</t>
        </is>
      </c>
      <c r="L140" s="11" t="inlineStr">
        <is>
          <t>—</t>
        </is>
      </c>
      <c r="M140" s="11" t="inlineStr">
        <is>
          <t>—</t>
        </is>
      </c>
      <c r="N140" s="12" t="inlineStr">
        <is>
          <t>OFF/DETECTION/ON per konto; dhosting WAF-u nie ma</t>
        </is>
      </c>
    </row>
    <row r="141">
      <c r="A141" s="11" t="inlineStr">
        <is>
          <t>G-10</t>
        </is>
      </c>
      <c r="B141" s="12" t="inlineStr">
        <is>
          <t>G</t>
        </is>
      </c>
      <c r="C141" s="11" t="inlineStr">
        <is>
          <t>ModSecurity — zarządzanie regułami</t>
        </is>
      </c>
      <c r="D141" s="11" t="inlineStr">
        <is>
          <t>TAK</t>
        </is>
      </c>
      <c r="E141" s="11" t="inlineStr">
        <is>
          <t>TAK</t>
        </is>
      </c>
      <c r="F141" s="11" t="inlineStr">
        <is>
          <t>TAK</t>
        </is>
      </c>
      <c r="G141" s="11" t="inlineStr">
        <is>
          <t>NIE</t>
        </is>
      </c>
      <c r="H141" s="11" t="inlineStr">
        <is>
          <t>NIE</t>
        </is>
      </c>
      <c r="I141" s="11" t="inlineStr">
        <is>
          <t>BRAK</t>
        </is>
      </c>
      <c r="J141" s="12" t="inlineStr">
        <is>
          <t>—</t>
        </is>
      </c>
      <c r="K141" s="11" t="inlineStr">
        <is>
          <t>POZA ZAKRESEM</t>
        </is>
      </c>
      <c r="L141" s="11" t="inlineStr">
        <is>
          <t>NISKA</t>
        </is>
      </c>
      <c r="M141" s="11" t="inlineStr">
        <is>
          <t>—</t>
        </is>
      </c>
      <c r="N141" s="12" t="inlineStr">
        <is>
          <t>poziom operatora</t>
        </is>
      </c>
    </row>
    <row r="142">
      <c r="A142" s="11" t="inlineStr">
        <is>
          <t>G-11</t>
        </is>
      </c>
      <c r="B142" s="12" t="inlineStr">
        <is>
          <t>G</t>
        </is>
      </c>
      <c r="C142" s="11" t="inlineStr">
        <is>
          <t>Skaner malware dla klienta</t>
        </is>
      </c>
      <c r="D142" s="11" t="inlineStr">
        <is>
          <t>PŁATNE</t>
        </is>
      </c>
      <c r="E142" s="11" t="inlineStr">
        <is>
          <t>PŁATNE</t>
        </is>
      </c>
      <c r="F142" s="11" t="inlineStr">
        <is>
          <t>PŁATNE</t>
        </is>
      </c>
      <c r="G142" s="11" t="inlineStr">
        <is>
          <t>CZĘŚĆ</t>
        </is>
      </c>
      <c r="H142" s="11" t="inlineStr">
        <is>
          <t>TAK</t>
        </is>
      </c>
      <c r="I142" s="11" t="inlineStr">
        <is>
          <t>BRAK</t>
        </is>
      </c>
      <c r="J142" s="12" t="inlineStr">
        <is>
          <t>—</t>
        </is>
      </c>
      <c r="K142" s="11" t="inlineStr">
        <is>
          <t>LUKA</t>
        </is>
      </c>
      <c r="L142" s="11" t="inlineStr">
        <is>
          <t>WYSOKA</t>
        </is>
      </c>
      <c r="M142" s="11" t="inlineStr">
        <is>
          <t>L</t>
        </is>
      </c>
      <c r="N142" s="12" t="inlineStr">
        <is>
          <t>Imunify to koszt licencyjny — pozycja do unit economics</t>
        </is>
      </c>
    </row>
    <row r="143">
      <c r="A143" s="11" t="inlineStr">
        <is>
          <t>G-12</t>
        </is>
      </c>
      <c r="B143" s="12" t="inlineStr">
        <is>
          <t>G</t>
        </is>
      </c>
      <c r="C143" s="11" t="inlineStr">
        <is>
          <t>Czyszczenie zainfekowanych plików</t>
        </is>
      </c>
      <c r="D143" s="11" t="inlineStr">
        <is>
          <t>PŁATNE</t>
        </is>
      </c>
      <c r="E143" s="11" t="inlineStr">
        <is>
          <t>PŁATNE</t>
        </is>
      </c>
      <c r="F143" s="11" t="inlineStr">
        <is>
          <t>PŁATNE</t>
        </is>
      </c>
      <c r="G143" s="11" t="inlineStr">
        <is>
          <t>CZĘŚĆ</t>
        </is>
      </c>
      <c r="H143" s="11" t="inlineStr">
        <is>
          <t>CZĘŚĆ</t>
        </is>
      </c>
      <c r="I143" s="11" t="inlineStr">
        <is>
          <t>BRAK</t>
        </is>
      </c>
      <c r="J143" s="12" t="inlineStr">
        <is>
          <t>—</t>
        </is>
      </c>
      <c r="K143" s="11" t="inlineStr">
        <is>
          <t>LUKA</t>
        </is>
      </c>
      <c r="L143" s="11" t="inlineStr">
        <is>
          <t>ŚREDNIA</t>
        </is>
      </c>
      <c r="M143" s="11" t="inlineStr">
        <is>
          <t>L</t>
        </is>
      </c>
      <c r="N143" s="12" t="inlineStr"/>
    </row>
    <row r="144">
      <c r="A144" s="11" t="inlineStr">
        <is>
          <t>G-13</t>
        </is>
      </c>
      <c r="B144" s="12" t="inlineStr">
        <is>
          <t>G</t>
        </is>
      </c>
      <c r="C144" s="11" t="inlineStr">
        <is>
          <t>2FA (TOTP) w panelu klienta</t>
        </is>
      </c>
      <c r="D144" s="11" t="inlineStr">
        <is>
          <t>TAK</t>
        </is>
      </c>
      <c r="E144" s="11" t="inlineStr">
        <is>
          <t>TAK</t>
        </is>
      </c>
      <c r="F144" s="11" t="inlineStr">
        <is>
          <t>TAK</t>
        </is>
      </c>
      <c r="G144" s="11" t="inlineStr">
        <is>
          <t>TAK</t>
        </is>
      </c>
      <c r="H144" s="11" t="inlineStr">
        <is>
          <t>TAK</t>
        </is>
      </c>
      <c r="I144" s="11" t="inlineStr">
        <is>
          <t>DZIAŁA</t>
        </is>
      </c>
      <c r="J144" s="12" t="inlineStr">
        <is>
          <t>auth.controller.ts:206,213</t>
        </is>
      </c>
      <c r="K144" s="11" t="inlineStr">
        <is>
          <t>PARYTET</t>
        </is>
      </c>
      <c r="L144" s="11" t="inlineStr">
        <is>
          <t>—</t>
        </is>
      </c>
      <c r="M144" s="11" t="inlineStr">
        <is>
          <t>—</t>
        </is>
      </c>
      <c r="N144" s="12" t="inlineStr">
        <is>
          <t>u nazwa.pl 2FA jest PŁATNE — nasza przewaga narracyjna</t>
        </is>
      </c>
    </row>
    <row r="145">
      <c r="A145" s="11" t="inlineStr">
        <is>
          <t>G-14</t>
        </is>
      </c>
      <c r="B145" s="12" t="inlineStr">
        <is>
          <t>G</t>
        </is>
      </c>
      <c r="C145" s="11" t="inlineStr">
        <is>
          <t>Kody odzyskiwania do 2FA</t>
        </is>
      </c>
      <c r="D145" s="11" t="inlineStr">
        <is>
          <t>TAK</t>
        </is>
      </c>
      <c r="E145" s="11" t="inlineStr">
        <is>
          <t>TAK</t>
        </is>
      </c>
      <c r="F145" s="11" t="inlineStr">
        <is>
          <t>CZĘŚĆ</t>
        </is>
      </c>
      <c r="G145" s="11" t="inlineStr">
        <is>
          <t>b.d.</t>
        </is>
      </c>
      <c r="H145" s="11" t="inlineStr">
        <is>
          <t>TAK</t>
        </is>
      </c>
      <c r="I145" s="11" t="inlineStr">
        <is>
          <t>DZIAŁA</t>
        </is>
      </c>
      <c r="J145" s="12" t="inlineStr">
        <is>
          <t>auth.controller.ts:206</t>
        </is>
      </c>
      <c r="K145" s="11" t="inlineStr">
        <is>
          <t>PARYTET</t>
        </is>
      </c>
      <c r="L145" s="11" t="inlineStr">
        <is>
          <t>—</t>
        </is>
      </c>
      <c r="M145" s="11" t="inlineStr">
        <is>
          <t>—</t>
        </is>
      </c>
      <c r="N145" s="12" t="inlineStr"/>
    </row>
    <row r="146">
      <c r="A146" s="11" t="inlineStr">
        <is>
          <t>G-15</t>
        </is>
      </c>
      <c r="B146" s="12" t="inlineStr">
        <is>
          <t>G</t>
        </is>
      </c>
      <c r="C146" s="11" t="inlineStr">
        <is>
          <t>Passkeys / WebAuthn</t>
        </is>
      </c>
      <c r="D146" s="11" t="inlineStr">
        <is>
          <t>NIE</t>
        </is>
      </c>
      <c r="E146" s="11" t="inlineStr">
        <is>
          <t>CZĘŚĆ</t>
        </is>
      </c>
      <c r="F146" s="11" t="inlineStr">
        <is>
          <t>NIE</t>
        </is>
      </c>
      <c r="G146" s="11" t="inlineStr">
        <is>
          <t>NIE</t>
        </is>
      </c>
      <c r="H146" s="11" t="inlineStr">
        <is>
          <t>CZĘŚĆ</t>
        </is>
      </c>
      <c r="I146" s="11" t="inlineStr">
        <is>
          <t>DZIAŁA</t>
        </is>
      </c>
      <c r="J146" s="12" t="inlineStr">
        <is>
          <t>auth.controller.ts:260,268,283</t>
        </is>
      </c>
      <c r="K146" s="11" t="inlineStr">
        <is>
          <t>PRZEWAGA</t>
        </is>
      </c>
      <c r="L146" s="11" t="inlineStr">
        <is>
          <t>—</t>
        </is>
      </c>
      <c r="M146" s="11" t="inlineStr">
        <is>
          <t>—</t>
        </is>
      </c>
      <c r="N146" s="12" t="inlineStr">
        <is>
          <t>nikt na rynku PL tego nie ma</t>
        </is>
      </c>
    </row>
    <row r="147">
      <c r="A147" s="11" t="inlineStr">
        <is>
          <t>G-16</t>
        </is>
      </c>
      <c r="B147" s="12" t="inlineStr">
        <is>
          <t>G</t>
        </is>
      </c>
      <c r="C147" s="11" t="inlineStr">
        <is>
          <t>Lista aktywnych sesji i zdalne wylogowanie</t>
        </is>
      </c>
      <c r="D147" s="11" t="inlineStr">
        <is>
          <t>CZĘŚĆ</t>
        </is>
      </c>
      <c r="E147" s="11" t="inlineStr">
        <is>
          <t>TAK</t>
        </is>
      </c>
      <c r="F147" s="11" t="inlineStr">
        <is>
          <t>CZĘŚĆ</t>
        </is>
      </c>
      <c r="G147" s="11" t="inlineStr">
        <is>
          <t>NIE</t>
        </is>
      </c>
      <c r="H147" s="11" t="inlineStr">
        <is>
          <t>CZĘŚĆ</t>
        </is>
      </c>
      <c r="I147" s="11" t="inlineStr">
        <is>
          <t>DZIAŁA</t>
        </is>
      </c>
      <c r="J147" s="12" t="inlineStr">
        <is>
          <t>auth.controller.ts:329,338</t>
        </is>
      </c>
      <c r="K147" s="11" t="inlineStr">
        <is>
          <t>PRZEWAGA</t>
        </is>
      </c>
      <c r="L147" s="11" t="inlineStr">
        <is>
          <t>—</t>
        </is>
      </c>
      <c r="M147" s="11" t="inlineStr">
        <is>
          <t>—</t>
        </is>
      </c>
      <c r="N147" s="12" t="inlineStr"/>
    </row>
    <row r="148">
      <c r="A148" s="11" t="inlineStr">
        <is>
          <t>G-17</t>
        </is>
      </c>
      <c r="B148" s="12" t="inlineStr">
        <is>
          <t>G</t>
        </is>
      </c>
      <c r="C148" s="11" t="inlineStr">
        <is>
          <t>Historia logowań</t>
        </is>
      </c>
      <c r="D148" s="11" t="inlineStr">
        <is>
          <t>TAK</t>
        </is>
      </c>
      <c r="E148" s="11" t="inlineStr">
        <is>
          <t>TAK</t>
        </is>
      </c>
      <c r="F148" s="11" t="inlineStr">
        <is>
          <t>TAK</t>
        </is>
      </c>
      <c r="G148" s="11" t="inlineStr">
        <is>
          <t>CZĘŚĆ</t>
        </is>
      </c>
      <c r="H148" s="11" t="inlineStr">
        <is>
          <t>TAK</t>
        </is>
      </c>
      <c r="I148" s="11" t="inlineStr">
        <is>
          <t>DZIAŁA</t>
        </is>
      </c>
      <c r="J148" s="12" t="inlineStr">
        <is>
          <t>users.controller.ts:38</t>
        </is>
      </c>
      <c r="K148" s="11" t="inlineStr">
        <is>
          <t>PARYTET</t>
        </is>
      </c>
      <c r="L148" s="11" t="inlineStr">
        <is>
          <t>—</t>
        </is>
      </c>
      <c r="M148" s="11" t="inlineStr">
        <is>
          <t>—</t>
        </is>
      </c>
      <c r="N148" s="12" t="inlineStr">
        <is>
          <t>bez geolokalizacji</t>
        </is>
      </c>
    </row>
    <row r="149">
      <c r="A149" s="11" t="inlineStr">
        <is>
          <t>G-18</t>
        </is>
      </c>
      <c r="B149" s="12" t="inlineStr">
        <is>
          <t>G</t>
        </is>
      </c>
      <c r="C149" s="11" t="inlineStr">
        <is>
          <t>Dziennik aktywności konta</t>
        </is>
      </c>
      <c r="D149" s="11" t="inlineStr">
        <is>
          <t>TAK</t>
        </is>
      </c>
      <c r="E149" s="11" t="inlineStr">
        <is>
          <t>TAK</t>
        </is>
      </c>
      <c r="F149" s="11" t="inlineStr">
        <is>
          <t>CZĘŚĆ</t>
        </is>
      </c>
      <c r="G149" s="11" t="inlineStr">
        <is>
          <t>CZĘŚĆ</t>
        </is>
      </c>
      <c r="H149" s="11" t="inlineStr">
        <is>
          <t>CZĘŚĆ</t>
        </is>
      </c>
      <c r="I149" s="11" t="inlineStr">
        <is>
          <t>CZĘŚCIOWE</t>
        </is>
      </c>
      <c r="J149" s="12" t="inlineStr">
        <is>
          <t>users.controller.ts:44</t>
        </is>
      </c>
      <c r="K149" s="11" t="inlineStr">
        <is>
          <t>PARYTET</t>
        </is>
      </c>
      <c r="L149" s="11" t="inlineStr">
        <is>
          <t>ŚREDNIA</t>
        </is>
      </c>
      <c r="M149" s="11" t="inlineStr">
        <is>
          <t>S</t>
        </is>
      </c>
      <c r="N149" s="12" t="inlineStr">
        <is>
          <t>OSŁABIONE: users.service.ts:664-707 filtruje przez białą listę 14 akcji HOSTING_*. Poza dziennikiem zostają logowania, zmiany 2FA, odtworzenia z kopii, publikacje staging, zmiany planu i billing. Rekord nie ma pola aktora.</t>
        </is>
      </c>
    </row>
    <row r="150">
      <c r="A150" s="11" t="inlineStr">
        <is>
          <t>G-19</t>
        </is>
      </c>
      <c r="B150" s="12" t="inlineStr">
        <is>
          <t>G</t>
        </is>
      </c>
      <c r="C150" s="11" t="inlineStr">
        <is>
          <t>Auto-wylogowanie po bezczynności</t>
        </is>
      </c>
      <c r="D150" s="11" t="inlineStr">
        <is>
          <t>CZĘŚĆ</t>
        </is>
      </c>
      <c r="E150" s="11" t="inlineStr">
        <is>
          <t>TAK</t>
        </is>
      </c>
      <c r="F150" s="11" t="inlineStr">
        <is>
          <t>CZĘŚĆ</t>
        </is>
      </c>
      <c r="G150" s="11" t="inlineStr">
        <is>
          <t>b.d.</t>
        </is>
      </c>
      <c r="H150" s="11" t="inlineStr">
        <is>
          <t>CZĘŚĆ</t>
        </is>
      </c>
      <c r="I150" s="11" t="inlineStr">
        <is>
          <t>CZĘŚCIOWE</t>
        </is>
      </c>
      <c r="J150" s="12" t="inlineStr">
        <is>
          <t>session-idle-guard.tsx</t>
        </is>
      </c>
      <c r="K150" s="11" t="inlineStr">
        <is>
          <t>CZĘŚCIOWY</t>
        </is>
      </c>
      <c r="L150" s="11" t="inlineStr">
        <is>
          <t>ŚREDNIA</t>
        </is>
      </c>
      <c r="M150" s="11" t="inlineStr">
        <is>
          <t>S</t>
        </is>
      </c>
      <c r="N150" s="12" t="inlineStr">
        <is>
          <t>OSŁABIONE: wygaszenie to samo usunięcie ciasteczka (dashboard/actions.ts:6-9). UserSession.revokedAt zostaje null, JWT jest ważny do TTL. To timeout UI, nie kontrola bezpieczeństwa.</t>
        </is>
      </c>
    </row>
    <row r="151">
      <c r="A151" s="11" t="inlineStr">
        <is>
          <t>G-20</t>
        </is>
      </c>
      <c r="B151" s="12" t="inlineStr">
        <is>
          <t>G</t>
        </is>
      </c>
      <c r="C151" s="11" t="inlineStr">
        <is>
          <t>Ochrona przed atakiem słownikowym na panel</t>
        </is>
      </c>
      <c r="D151" s="11" t="inlineStr">
        <is>
          <t>TAK</t>
        </is>
      </c>
      <c r="E151" s="11" t="inlineStr">
        <is>
          <t>TAK</t>
        </is>
      </c>
      <c r="F151" s="11" t="inlineStr">
        <is>
          <t>TAK</t>
        </is>
      </c>
      <c r="G151" s="11" t="inlineStr">
        <is>
          <t>TAK</t>
        </is>
      </c>
      <c r="H151" s="11" t="inlineStr">
        <is>
          <t>TAK</t>
        </is>
      </c>
      <c r="I151" s="11" t="inlineStr">
        <is>
          <t>CZĘŚCIOWE</t>
        </is>
      </c>
      <c r="J151" s="12" t="inlineStr">
        <is>
          <t>rate-limit.guard.ts — ZERO testów</t>
        </is>
      </c>
      <c r="K151" s="11" t="inlineStr">
        <is>
          <t>CZĘŚCIOWY</t>
        </is>
      </c>
      <c r="L151" s="11" t="inlineStr">
        <is>
          <t>WYSOKA</t>
        </is>
      </c>
      <c r="M151" s="11" t="inlineStr">
        <is>
          <t>S</t>
        </is>
      </c>
      <c r="N151" s="12" t="inlineStr">
        <is>
          <t>brak dowodu D2 na krytycznym guardzie</t>
        </is>
      </c>
    </row>
    <row r="152">
      <c r="A152" s="11" t="inlineStr">
        <is>
          <t>G-21</t>
        </is>
      </c>
      <c r="B152" s="12" t="inlineStr">
        <is>
          <t>G</t>
        </is>
      </c>
      <c r="C152" s="11" t="inlineStr">
        <is>
          <t>Anty-DDoS</t>
        </is>
      </c>
      <c r="D152" s="11" t="inlineStr">
        <is>
          <t>NIE</t>
        </is>
      </c>
      <c r="E152" s="11" t="inlineStr">
        <is>
          <t>NIE</t>
        </is>
      </c>
      <c r="F152" s="11" t="inlineStr">
        <is>
          <t>NIE</t>
        </is>
      </c>
      <c r="G152" s="11" t="inlineStr">
        <is>
          <t>TAK</t>
        </is>
      </c>
      <c r="H152" s="11" t="inlineStr">
        <is>
          <t>CZĘŚĆ</t>
        </is>
      </c>
      <c r="I152" s="11" t="inlineStr">
        <is>
          <t>BRAK</t>
        </is>
      </c>
      <c r="J152" s="12" t="inlineStr">
        <is>
          <t>—</t>
        </is>
      </c>
      <c r="K152" s="11" t="inlineStr">
        <is>
          <t>LUKA</t>
        </is>
      </c>
      <c r="L152" s="11" t="inlineStr">
        <is>
          <t>ŚREDNIA</t>
        </is>
      </c>
      <c r="M152" s="11" t="inlineStr">
        <is>
          <t>L</t>
        </is>
      </c>
      <c r="N152" s="12" t="inlineStr">
        <is>
          <t>wszystkie 5 hostingów PL to deklaruje — brak w ofercie będzie widoczny</t>
        </is>
      </c>
    </row>
    <row r="153">
      <c r="A153" s="11" t="inlineStr">
        <is>
          <t>G-22</t>
        </is>
      </c>
      <c r="B153" s="12" t="inlineStr">
        <is>
          <t>G</t>
        </is>
      </c>
      <c r="C153" s="11" t="inlineStr">
        <is>
          <t>Powiadomienie o podejrzanym logowaniu</t>
        </is>
      </c>
      <c r="D153" s="11" t="inlineStr">
        <is>
          <t>CZĘŚĆ</t>
        </is>
      </c>
      <c r="E153" s="11" t="inlineStr">
        <is>
          <t>TAK</t>
        </is>
      </c>
      <c r="F153" s="11" t="inlineStr">
        <is>
          <t>CZĘŚĆ</t>
        </is>
      </c>
      <c r="G153" s="11" t="inlineStr">
        <is>
          <t>b.d.</t>
        </is>
      </c>
      <c r="H153" s="11" t="inlineStr">
        <is>
          <t>CZĘŚĆ</t>
        </is>
      </c>
      <c r="I153" s="11" t="inlineStr">
        <is>
          <t>BRAK</t>
        </is>
      </c>
      <c r="J153" s="12" t="inlineStr">
        <is>
          <t>—</t>
        </is>
      </c>
      <c r="K153" s="11" t="inlineStr">
        <is>
          <t>LUKA</t>
        </is>
      </c>
      <c r="L153" s="11" t="inlineStr">
        <is>
          <t>NISKA</t>
        </is>
      </c>
      <c r="M153" s="11" t="inlineStr">
        <is>
          <t>S</t>
        </is>
      </c>
      <c r="N153" s="12" t="inlineStr"/>
    </row>
    <row r="154">
      <c r="A154" s="11" t="inlineStr">
        <is>
          <t>G-23</t>
        </is>
      </c>
      <c r="B154" s="12" t="inlineStr">
        <is>
          <t>G</t>
        </is>
      </c>
      <c r="C154" s="11" t="inlineStr">
        <is>
          <t>Blokada logowania klienta przez operatora</t>
        </is>
      </c>
      <c r="D154" s="11" t="inlineStr">
        <is>
          <t>TAK</t>
        </is>
      </c>
      <c r="E154" s="11" t="inlineStr">
        <is>
          <t>TAK</t>
        </is>
      </c>
      <c r="F154" s="11" t="inlineStr">
        <is>
          <t>TAK</t>
        </is>
      </c>
      <c r="G154" s="11" t="inlineStr">
        <is>
          <t>b.d.</t>
        </is>
      </c>
      <c r="H154" s="11" t="inlineStr">
        <is>
          <t>b.d.</t>
        </is>
      </c>
      <c r="I154" s="11" t="inlineStr">
        <is>
          <t>DZIAŁA</t>
        </is>
      </c>
      <c r="J154" s="12" t="inlineStr">
        <is>
          <t>users.admin.controller.ts:142</t>
        </is>
      </c>
      <c r="K154" s="11" t="inlineStr">
        <is>
          <t>PARYTET</t>
        </is>
      </c>
      <c r="L154" s="11" t="inlineStr">
        <is>
          <t>—</t>
        </is>
      </c>
      <c r="M154" s="11" t="inlineStr">
        <is>
          <t>—</t>
        </is>
      </c>
      <c r="N154" s="12" t="inlineStr">
        <is>
          <t>uwaga: blokuje logowanie, NIE wyłącza hostingu</t>
        </is>
      </c>
    </row>
    <row r="155">
      <c r="A155" s="11" t="inlineStr">
        <is>
          <t>G-24</t>
        </is>
      </c>
      <c r="B155" s="12" t="inlineStr">
        <is>
          <t>G</t>
        </is>
      </c>
      <c r="C155" s="11" t="inlineStr">
        <is>
          <t>Break-glass / dostęp awaryjny operatora</t>
        </is>
      </c>
      <c r="D155" s="11" t="inlineStr">
        <is>
          <t>CZĘŚĆ</t>
        </is>
      </c>
      <c r="E155" s="11" t="inlineStr">
        <is>
          <t>CZĘŚĆ</t>
        </is>
      </c>
      <c r="F155" s="11" t="inlineStr">
        <is>
          <t>CZĘŚĆ</t>
        </is>
      </c>
      <c r="G155" s="11" t="inlineStr">
        <is>
          <t>b.d.</t>
        </is>
      </c>
      <c r="H155" s="11" t="inlineStr">
        <is>
          <t>b.d.</t>
        </is>
      </c>
      <c r="I155" s="11" t="inlineStr">
        <is>
          <t>DZIAŁA</t>
        </is>
      </c>
      <c r="J155" s="12" t="inlineStr">
        <is>
          <t>settings/security/actions.ts:15,23</t>
        </is>
      </c>
      <c r="K155" s="11" t="inlineStr">
        <is>
          <t>PRZEWAGA</t>
        </is>
      </c>
      <c r="L155" s="11" t="inlineStr">
        <is>
          <t>—</t>
        </is>
      </c>
      <c r="M155" s="11" t="inlineStr">
        <is>
          <t>—</t>
        </is>
      </c>
      <c r="N155" s="12" t="inlineStr"/>
    </row>
    <row r="156">
      <c r="A156" s="11" t="inlineStr">
        <is>
          <t>Z-03</t>
        </is>
      </c>
      <c r="B156" s="12" t="inlineStr">
        <is>
          <t>G</t>
        </is>
      </c>
      <c r="C156" s="11" t="inlineStr">
        <is>
          <t>Walidacja danych migracji przed użyciem w poleceniu powłoki</t>
        </is>
      </c>
      <c r="D156" s="11" t="inlineStr">
        <is>
          <t>—</t>
        </is>
      </c>
      <c r="E156" s="11" t="inlineStr">
        <is>
          <t>—</t>
        </is>
      </c>
      <c r="F156" s="11" t="inlineStr">
        <is>
          <t>—</t>
        </is>
      </c>
      <c r="G156" s="11" t="inlineStr">
        <is>
          <t>—</t>
        </is>
      </c>
      <c r="H156" s="11" t="inlineStr">
        <is>
          <t>—</t>
        </is>
      </c>
      <c r="I156" s="11" t="inlineStr">
        <is>
          <t>DZIAŁA</t>
        </is>
      </c>
      <c r="J156" s="12" t="inlineStr">
        <is>
          <t>dto/migration.dto.ts — MIGRACJA_WZORCE + @Matches na 17 polach; ops/scripts/lib/migration-input-guard.sh — vg_require; node-migration-worker.sh — fail-closed source + zero eval</t>
        </is>
      </c>
      <c r="K156" s="11" t="inlineStr">
        <is>
          <t>PARYTET</t>
        </is>
      </c>
      <c r="L156" s="11" t="inlineStr">
        <is>
          <t>—</t>
        </is>
      </c>
      <c r="M156" s="11" t="inlineStr">
        <is>
          <t>M</t>
        </is>
      </c>
      <c r="N156" s="12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</row>
    <row r="157">
      <c r="A157" s="11" t="inlineStr">
        <is>
          <t>H-01</t>
        </is>
      </c>
      <c r="B157" s="12" t="inlineStr">
        <is>
          <t>H</t>
        </is>
      </c>
      <c r="C157" s="11" t="inlineStr">
        <is>
          <t>Kopia zapasowa na żądanie</t>
        </is>
      </c>
      <c r="D157" s="11" t="inlineStr">
        <is>
          <t>TAK</t>
        </is>
      </c>
      <c r="E157" s="11" t="inlineStr">
        <is>
          <t>TAK</t>
        </is>
      </c>
      <c r="F157" s="11" t="inlineStr">
        <is>
          <t>TAK</t>
        </is>
      </c>
      <c r="G157" s="11" t="inlineStr">
        <is>
          <t>TAK</t>
        </is>
      </c>
      <c r="H157" s="11" t="inlineStr">
        <is>
          <t>TAK</t>
        </is>
      </c>
      <c r="I157" s="11" t="inlineStr">
        <is>
          <t>DZIAŁA</t>
        </is>
      </c>
      <c r="J157" s="12" t="inlineStr">
        <is>
          <t>services.controller.ts:915</t>
        </is>
      </c>
      <c r="K157" s="11" t="inlineStr">
        <is>
          <t>PARYTET</t>
        </is>
      </c>
      <c r="L157" s="11" t="inlineStr">
        <is>
          <t>—</t>
        </is>
      </c>
      <c r="M157" s="11" t="inlineStr">
        <is>
          <t>—</t>
        </is>
      </c>
      <c r="N157" s="12" t="inlineStr">
        <is>
          <t>CMD_API_SITE_BACKUP</t>
        </is>
      </c>
    </row>
    <row r="158">
      <c r="A158" s="11" t="inlineStr">
        <is>
          <t>H-02</t>
        </is>
      </c>
      <c r="B158" s="12" t="inlineStr">
        <is>
          <t>H</t>
        </is>
      </c>
      <c r="C158" s="11" t="inlineStr">
        <is>
          <t>Harmonogram kopii (dzienny/tygodniowy)</t>
        </is>
      </c>
      <c r="D158" s="11" t="inlineStr">
        <is>
          <t>TAK</t>
        </is>
      </c>
      <c r="E158" s="11" t="inlineStr">
        <is>
          <t>TAK</t>
        </is>
      </c>
      <c r="F158" s="11" t="inlineStr">
        <is>
          <t>TAK</t>
        </is>
      </c>
      <c r="G158" s="11" t="inlineStr">
        <is>
          <t>TAK</t>
        </is>
      </c>
      <c r="H158" s="11" t="inlineStr">
        <is>
          <t>TAK</t>
        </is>
      </c>
      <c r="I158" s="11" t="inlineStr">
        <is>
          <t>DZIAŁA</t>
        </is>
      </c>
      <c r="J158" s="12" t="inlineStr">
        <is>
          <t>services.controller.ts:926</t>
        </is>
      </c>
      <c r="K158" s="11" t="inlineStr">
        <is>
          <t>PARYTET</t>
        </is>
      </c>
      <c r="L158" s="11" t="inlineStr">
        <is>
          <t>—</t>
        </is>
      </c>
      <c r="M158" s="11" t="inlineStr">
        <is>
          <t>—</t>
        </is>
      </c>
      <c r="N158" s="12" t="inlineStr"/>
    </row>
    <row r="159">
      <c r="A159" s="11" t="inlineStr">
        <is>
          <t>H-03</t>
        </is>
      </c>
      <c r="B159" s="12" t="inlineStr">
        <is>
          <t>H</t>
        </is>
      </c>
      <c r="C159" s="11" t="inlineStr">
        <is>
          <t>Konfigurowalna retencja kopii</t>
        </is>
      </c>
      <c r="D159" s="11" t="inlineStr">
        <is>
          <t>TAK</t>
        </is>
      </c>
      <c r="E159" s="11" t="inlineStr">
        <is>
          <t>TAK</t>
        </is>
      </c>
      <c r="F159" s="11" t="inlineStr">
        <is>
          <t>TAK</t>
        </is>
      </c>
      <c r="G159" s="11" t="inlineStr">
        <is>
          <t>TAK</t>
        </is>
      </c>
      <c r="H159" s="11" t="inlineStr">
        <is>
          <t>TAK</t>
        </is>
      </c>
      <c r="I159" s="11" t="inlineStr">
        <is>
          <t>DZIAŁA</t>
        </is>
      </c>
      <c r="J159" s="12" t="inlineStr">
        <is>
          <t>services.controller.ts:926</t>
        </is>
      </c>
      <c r="K159" s="11" t="inlineStr">
        <is>
          <t>PARYTET</t>
        </is>
      </c>
      <c r="L159" s="11" t="inlineStr">
        <is>
          <t>—</t>
        </is>
      </c>
      <c r="M159" s="11" t="inlineStr">
        <is>
          <t>—</t>
        </is>
      </c>
      <c r="N159" s="12" t="inlineStr"/>
    </row>
    <row r="160">
      <c r="A160" s="11" t="inlineStr">
        <is>
          <t>H-04</t>
        </is>
      </c>
      <c r="B160" s="12" t="inlineStr">
        <is>
          <t>H</t>
        </is>
      </c>
      <c r="C160" s="11" t="inlineStr">
        <is>
          <t>Retencja co najmniej 28 dni w cenie</t>
        </is>
      </c>
      <c r="D160" s="11" t="inlineStr">
        <is>
          <t>—</t>
        </is>
      </c>
      <c r="E160" s="11" t="inlineStr">
        <is>
          <t>—</t>
        </is>
      </c>
      <c r="F160" s="11" t="inlineStr">
        <is>
          <t>—</t>
        </is>
      </c>
      <c r="G160" s="11" t="inlineStr">
        <is>
          <t>CZĘŚĆ</t>
        </is>
      </c>
      <c r="H160" s="11" t="inlineStr">
        <is>
          <t>CZĘŚĆ</t>
        </is>
      </c>
      <c r="I160" s="11" t="inlineStr">
        <is>
          <t>CZĘŚCIOWE</t>
        </is>
      </c>
      <c r="J160" s="12" t="inlineStr">
        <is>
          <t>off-site: 30 dni (node-offsite-backup.sh:101)</t>
        </is>
      </c>
      <c r="K160" s="11" t="inlineStr">
        <is>
          <t>CZĘŚCIOWY</t>
        </is>
      </c>
      <c r="L160" s="11" t="inlineStr">
        <is>
          <t>WYSOKA</t>
        </is>
      </c>
      <c r="M160" s="11" t="inlineStr">
        <is>
          <t>M</t>
        </is>
      </c>
      <c r="N160" s="12" t="inlineStr">
        <is>
          <t>cyber_Folks 28 dni, seohost do 60 dni — to jest poprzeczka rynkowa</t>
        </is>
      </c>
    </row>
    <row r="161">
      <c r="A161" s="11" t="inlineStr">
        <is>
          <t>H-05</t>
        </is>
      </c>
      <c r="B161" s="12" t="inlineStr">
        <is>
          <t>H</t>
        </is>
      </c>
      <c r="C161" s="11" t="inlineStr">
        <is>
          <t>Lista dostępnych kopii</t>
        </is>
      </c>
      <c r="D161" s="11" t="inlineStr">
        <is>
          <t>TAK</t>
        </is>
      </c>
      <c r="E161" s="11" t="inlineStr">
        <is>
          <t>TAK</t>
        </is>
      </c>
      <c r="F161" s="11" t="inlineStr">
        <is>
          <t>TAK</t>
        </is>
      </c>
      <c r="G161" s="11" t="inlineStr">
        <is>
          <t>TAK</t>
        </is>
      </c>
      <c r="H161" s="11" t="inlineStr">
        <is>
          <t>TAK</t>
        </is>
      </c>
      <c r="I161" s="11" t="inlineStr">
        <is>
          <t>DZIAŁA</t>
        </is>
      </c>
      <c r="J161" s="12" t="inlineStr">
        <is>
          <t>services.controller.ts:768</t>
        </is>
      </c>
      <c r="K161" s="11" t="inlineStr">
        <is>
          <t>PARYTET</t>
        </is>
      </c>
      <c r="L161" s="11" t="inlineStr">
        <is>
          <t>—</t>
        </is>
      </c>
      <c r="M161" s="11" t="inlineStr">
        <is>
          <t>—</t>
        </is>
      </c>
      <c r="N161" s="12" t="inlineStr"/>
    </row>
    <row r="162">
      <c r="A162" s="11" t="inlineStr">
        <is>
          <t>H-06</t>
        </is>
      </c>
      <c r="B162" s="12" t="inlineStr">
        <is>
          <t>H</t>
        </is>
      </c>
      <c r="C162" s="11" t="inlineStr">
        <is>
          <t>Samodzielne odtworzenie plików</t>
        </is>
      </c>
      <c r="D162" s="11" t="inlineStr">
        <is>
          <t>TAK</t>
        </is>
      </c>
      <c r="E162" s="11" t="inlineStr">
        <is>
          <t>TAK</t>
        </is>
      </c>
      <c r="F162" s="11" t="inlineStr">
        <is>
          <t>TAK</t>
        </is>
      </c>
      <c r="G162" s="11" t="inlineStr">
        <is>
          <t>TAK</t>
        </is>
      </c>
      <c r="H162" s="11" t="inlineStr">
        <is>
          <t>TAK</t>
        </is>
      </c>
      <c r="I162" s="11" t="inlineStr">
        <is>
          <t>DZIAŁA</t>
        </is>
      </c>
      <c r="J162" s="12" t="inlineStr">
        <is>
          <t>services.controller.ts:811</t>
        </is>
      </c>
      <c r="K162" s="11" t="inlineStr">
        <is>
          <t>PARYTET</t>
        </is>
      </c>
      <c r="L162" s="11" t="inlineStr">
        <is>
          <t>—</t>
        </is>
      </c>
      <c r="M162" s="11" t="inlineStr">
        <is>
          <t>—</t>
        </is>
      </c>
      <c r="N162" s="12" t="inlineStr"/>
    </row>
    <row r="163">
      <c r="A163" s="11" t="inlineStr">
        <is>
          <t>H-07</t>
        </is>
      </c>
      <c r="B163" s="12" t="inlineStr">
        <is>
          <t>H</t>
        </is>
      </c>
      <c r="C163" s="11" t="inlineStr">
        <is>
          <t>Samodzielne odtworzenie bazy danych</t>
        </is>
      </c>
      <c r="D163" s="11" t="inlineStr">
        <is>
          <t>TAK</t>
        </is>
      </c>
      <c r="E163" s="11" t="inlineStr">
        <is>
          <t>TAK</t>
        </is>
      </c>
      <c r="F163" s="11" t="inlineStr">
        <is>
          <t>TAK</t>
        </is>
      </c>
      <c r="G163" s="11" t="inlineStr">
        <is>
          <t>TAK</t>
        </is>
      </c>
      <c r="H163" s="11" t="inlineStr">
        <is>
          <t>TAK</t>
        </is>
      </c>
      <c r="I163" s="11" t="inlineStr">
        <is>
          <t>DZIAŁA</t>
        </is>
      </c>
      <c r="J163" s="12" t="inlineStr">
        <is>
          <t>services.controller.ts:811</t>
        </is>
      </c>
      <c r="K163" s="11" t="inlineStr">
        <is>
          <t>PARYTET</t>
        </is>
      </c>
      <c r="L163" s="11" t="inlineStr">
        <is>
          <t>—</t>
        </is>
      </c>
      <c r="M163" s="11" t="inlineStr">
        <is>
          <t>—</t>
        </is>
      </c>
      <c r="N163" s="12" t="inlineStr"/>
    </row>
    <row r="164">
      <c r="A164" s="11" t="inlineStr">
        <is>
          <t>H-08</t>
        </is>
      </c>
      <c r="B164" s="12" t="inlineStr">
        <is>
          <t>H</t>
        </is>
      </c>
      <c r="C164" s="11" t="inlineStr">
        <is>
          <t>Samodzielne odtworzenie poczty</t>
        </is>
      </c>
      <c r="D164" s="11" t="inlineStr">
        <is>
          <t>TAK</t>
        </is>
      </c>
      <c r="E164" s="11" t="inlineStr">
        <is>
          <t>TAK</t>
        </is>
      </c>
      <c r="F164" s="11" t="inlineStr">
        <is>
          <t>TAK</t>
        </is>
      </c>
      <c r="G164" s="11" t="inlineStr">
        <is>
          <t>CZĘŚĆ</t>
        </is>
      </c>
      <c r="H164" s="11" t="inlineStr">
        <is>
          <t>TAK</t>
        </is>
      </c>
      <c r="I164" s="11" t="inlineStr">
        <is>
          <t>DZIAŁA</t>
        </is>
      </c>
      <c r="J164" s="12" t="inlineStr">
        <is>
          <t>services.controller.ts:811</t>
        </is>
      </c>
      <c r="K164" s="11" t="inlineStr">
        <is>
          <t>PRZEWAGA</t>
        </is>
      </c>
      <c r="L164" s="11" t="inlineStr">
        <is>
          <t>—</t>
        </is>
      </c>
      <c r="M164" s="11" t="inlineStr">
        <is>
          <t>—</t>
        </is>
      </c>
      <c r="N164" s="12" t="inlineStr">
        <is>
          <t>u home.pl i nazwa.pl odtworzenie poczty jest PŁATNE</t>
        </is>
      </c>
    </row>
    <row r="165">
      <c r="A165" s="11" t="inlineStr">
        <is>
          <t>H-09</t>
        </is>
      </c>
      <c r="B165" s="12" t="inlineStr">
        <is>
          <t>H</t>
        </is>
      </c>
      <c r="C165" s="11" t="inlineStr">
        <is>
          <t>Kopia bezpieczeństwa przed odtworzeniem</t>
        </is>
      </c>
      <c r="D165" s="11" t="inlineStr">
        <is>
          <t>CZĘŚĆ</t>
        </is>
      </c>
      <c r="E165" s="11" t="inlineStr">
        <is>
          <t>TAK</t>
        </is>
      </c>
      <c r="F165" s="11" t="inlineStr">
        <is>
          <t>CZĘŚĆ</t>
        </is>
      </c>
      <c r="G165" s="11" t="inlineStr">
        <is>
          <t>b.d.</t>
        </is>
      </c>
      <c r="H165" s="11" t="inlineStr">
        <is>
          <t>CZĘŚĆ</t>
        </is>
      </c>
      <c r="I165" s="11" t="inlineStr">
        <is>
          <t>CZĘŚCIOWE</t>
        </is>
      </c>
      <c r="J165" s="12" t="inlineStr">
        <is>
          <t>hosting-restore.service.ts:167</t>
        </is>
      </c>
      <c r="K165" s="11" t="inlineStr">
        <is>
          <t>CZĘŚCIOWY</t>
        </is>
      </c>
      <c r="L165" s="11" t="inlineStr">
        <is>
          <t>WYSOKA</t>
        </is>
      </c>
      <c r="M165" s="11" t="inlineStr">
        <is>
          <t>S</t>
        </is>
      </c>
      <c r="N165" s="12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</row>
    <row r="166">
      <c r="A166" s="11" t="inlineStr">
        <is>
          <t>H-10</t>
        </is>
      </c>
      <c r="B166" s="12" t="inlineStr">
        <is>
          <t>H</t>
        </is>
      </c>
      <c r="C166" s="11" t="inlineStr">
        <is>
          <t>Odtworzenie pojedynczego pliku</t>
        </is>
      </c>
      <c r="D166" s="11" t="inlineStr">
        <is>
          <t>PŁATNE</t>
        </is>
      </c>
      <c r="E166" s="11" t="inlineStr">
        <is>
          <t>TAK</t>
        </is>
      </c>
      <c r="F166" s="11" t="inlineStr">
        <is>
          <t>CZĘŚĆ</t>
        </is>
      </c>
      <c r="G166" s="11" t="inlineStr">
        <is>
          <t>CZĘŚĆ</t>
        </is>
      </c>
      <c r="H166" s="11" t="inlineStr">
        <is>
          <t>TAK</t>
        </is>
      </c>
      <c r="I166" s="11" t="inlineStr">
        <is>
          <t>BRAK</t>
        </is>
      </c>
      <c r="J166" s="12" t="inlineStr">
        <is>
          <t>—</t>
        </is>
      </c>
      <c r="K166" s="11" t="inlineStr">
        <is>
          <t>LUKA</t>
        </is>
      </c>
      <c r="L166" s="11" t="inlineStr">
        <is>
          <t>WYSOKA</t>
        </is>
      </c>
      <c r="M166" s="11" t="inlineStr">
        <is>
          <t>M</t>
        </is>
      </c>
      <c r="N166" s="12" t="inlineStr">
        <is>
          <t>JetBackup/Plesk to mają; seohost i dhosting też</t>
        </is>
      </c>
    </row>
    <row r="167">
      <c r="A167" s="11" t="inlineStr">
        <is>
          <t>H-11</t>
        </is>
      </c>
      <c r="B167" s="12" t="inlineStr">
        <is>
          <t>H</t>
        </is>
      </c>
      <c r="C167" s="11" t="inlineStr">
        <is>
          <t>Podgląd zawartości archiwum przed odtworzeniem</t>
        </is>
      </c>
      <c r="D167" s="11" t="inlineStr">
        <is>
          <t>PŁATNE</t>
        </is>
      </c>
      <c r="E167" s="11" t="inlineStr">
        <is>
          <t>TAK</t>
        </is>
      </c>
      <c r="F167" s="11" t="inlineStr">
        <is>
          <t>CZĘŚĆ</t>
        </is>
      </c>
      <c r="G167" s="11" t="inlineStr">
        <is>
          <t>CZĘŚĆ</t>
        </is>
      </c>
      <c r="H167" s="11" t="inlineStr">
        <is>
          <t>CZĘŚĆ</t>
        </is>
      </c>
      <c r="I167" s="11" t="inlineStr">
        <is>
          <t>ATRAPA</t>
        </is>
      </c>
      <c r="J167" s="12" t="inlineStr">
        <is>
          <t>services.controller.ts:788-793 — buduje z BIEŻĄCEGO inwentarza konta, nie z archiwum</t>
        </is>
      </c>
      <c r="K167" s="11" t="inlineStr">
        <is>
          <t>LUKA</t>
        </is>
      </c>
      <c r="L167" s="11" t="inlineStr">
        <is>
          <t>WYSOKA</t>
        </is>
      </c>
      <c r="M167" s="11" t="inlineStr">
        <is>
          <t>M</t>
        </is>
      </c>
      <c r="N167" s="12" t="inlineStr">
        <is>
          <t>nazwa funkcji obiecuje coś, czego nie robi</t>
        </is>
      </c>
    </row>
    <row r="168">
      <c r="A168" s="11" t="inlineStr">
        <is>
          <t>H-12</t>
        </is>
      </c>
      <c r="B168" s="12" t="inlineStr">
        <is>
          <t>H</t>
        </is>
      </c>
      <c r="C168" s="11" t="inlineStr">
        <is>
          <t>Status zadania odtwarzania</t>
        </is>
      </c>
      <c r="D168" s="11" t="inlineStr">
        <is>
          <t>TAK</t>
        </is>
      </c>
      <c r="E168" s="11" t="inlineStr">
        <is>
          <t>TAK</t>
        </is>
      </c>
      <c r="F168" s="11" t="inlineStr">
        <is>
          <t>CZĘŚĆ</t>
        </is>
      </c>
      <c r="G168" s="11" t="inlineStr">
        <is>
          <t>CZĘŚĆ</t>
        </is>
      </c>
      <c r="H168" s="11" t="inlineStr">
        <is>
          <t>TAK</t>
        </is>
      </c>
      <c r="I168" s="11" t="inlineStr">
        <is>
          <t>DZIAŁA</t>
        </is>
      </c>
      <c r="J168" s="12" t="inlineStr">
        <is>
          <t>services.controller.ts:828</t>
        </is>
      </c>
      <c r="K168" s="11" t="inlineStr">
        <is>
          <t>PARYTET</t>
        </is>
      </c>
      <c r="L168" s="11" t="inlineStr">
        <is>
          <t>—</t>
        </is>
      </c>
      <c r="M168" s="11" t="inlineStr">
        <is>
          <t>—</t>
        </is>
      </c>
      <c r="N168" s="12" t="inlineStr"/>
    </row>
    <row r="169">
      <c r="A169" s="11" t="inlineStr">
        <is>
          <t>H-13</t>
        </is>
      </c>
      <c r="B169" s="12" t="inlineStr">
        <is>
          <t>H</t>
        </is>
      </c>
      <c r="C169" s="11" t="inlineStr">
        <is>
          <t>Pobranie archiwum kopii lokalnie</t>
        </is>
      </c>
      <c r="D169" s="11" t="inlineStr">
        <is>
          <t>TAK</t>
        </is>
      </c>
      <c r="E169" s="11" t="inlineStr">
        <is>
          <t>TAK</t>
        </is>
      </c>
      <c r="F169" s="11" t="inlineStr">
        <is>
          <t>TAK</t>
        </is>
      </c>
      <c r="G169" s="11" t="inlineStr">
        <is>
          <t>TAK</t>
        </is>
      </c>
      <c r="H169" s="11" t="inlineStr">
        <is>
          <t>TAK</t>
        </is>
      </c>
      <c r="I169" s="11" t="inlineStr">
        <is>
          <t>CZĘŚCIOWE</t>
        </is>
      </c>
      <c r="J169" s="12" t="inlineStr">
        <is>
          <t>services.controller.ts:855 — kopiuje na konto, nie do przeglądarki</t>
        </is>
      </c>
      <c r="K169" s="11" t="inlineStr">
        <is>
          <t>CZĘŚCIOWY</t>
        </is>
      </c>
      <c r="L169" s="11" t="inlineStr">
        <is>
          <t>ŚREDNIA</t>
        </is>
      </c>
      <c r="M169" s="11" t="inlineStr">
        <is>
          <t>S</t>
        </is>
      </c>
      <c r="N169" s="12" t="inlineStr"/>
    </row>
    <row r="170">
      <c r="A170" s="11" t="inlineStr">
        <is>
          <t>H-14</t>
        </is>
      </c>
      <c r="B170" s="12" t="inlineStr">
        <is>
          <t>H</t>
        </is>
      </c>
      <c r="C170" s="11" t="inlineStr">
        <is>
          <t>Kopia off-site (poza węzłem)</t>
        </is>
      </c>
      <c r="D170" s="11" t="inlineStr">
        <is>
          <t>PŁATNE</t>
        </is>
      </c>
      <c r="E170" s="11" t="inlineStr">
        <is>
          <t>TAK</t>
        </is>
      </c>
      <c r="F170" s="11" t="inlineStr">
        <is>
          <t>CZĘŚĆ</t>
        </is>
      </c>
      <c r="G170" s="11" t="inlineStr">
        <is>
          <t>CZĘŚĆ</t>
        </is>
      </c>
      <c r="H170" s="11" t="inlineStr">
        <is>
          <t>CZĘŚĆ</t>
        </is>
      </c>
      <c r="I170" s="11" t="inlineStr">
        <is>
          <t>DZIAŁA</t>
        </is>
      </c>
      <c r="J170" s="12" t="inlineStr">
        <is>
          <t>ops/scripts/node-offsite-backup.sh:93-97 (rclone crypt → S3)</t>
        </is>
      </c>
      <c r="K170" s="11" t="inlineStr">
        <is>
          <t>PRZEWAGA</t>
        </is>
      </c>
      <c r="L170" s="11" t="inlineStr">
        <is>
          <t>—</t>
        </is>
      </c>
      <c r="M170" s="11" t="inlineStr">
        <is>
          <t>—</t>
        </is>
      </c>
      <c r="N170" s="12" t="inlineStr">
        <is>
          <t>szyfrowane po stronie węzła</t>
        </is>
      </c>
    </row>
    <row r="171">
      <c r="A171" s="11" t="inlineStr">
        <is>
          <t>H-15</t>
        </is>
      </c>
      <c r="B171" s="12" t="inlineStr">
        <is>
          <t>H</t>
        </is>
      </c>
      <c r="C171" s="11" t="inlineStr">
        <is>
          <t>Lista kopii off-site dla klienta</t>
        </is>
      </c>
      <c r="D171" s="11" t="inlineStr">
        <is>
          <t>NIE</t>
        </is>
      </c>
      <c r="E171" s="11" t="inlineStr">
        <is>
          <t>CZĘŚĆ</t>
        </is>
      </c>
      <c r="F171" s="11" t="inlineStr">
        <is>
          <t>NIE</t>
        </is>
      </c>
      <c r="G171" s="11" t="inlineStr">
        <is>
          <t>NIE</t>
        </is>
      </c>
      <c r="H171" s="11" t="inlineStr">
        <is>
          <t>NIE</t>
        </is>
      </c>
      <c r="I171" s="11" t="inlineStr">
        <is>
          <t>DZIAŁA</t>
        </is>
      </c>
      <c r="J171" s="12" t="inlineStr">
        <is>
          <t>services.controller.ts:845</t>
        </is>
      </c>
      <c r="K171" s="11" t="inlineStr">
        <is>
          <t>PRZEWAGA</t>
        </is>
      </c>
      <c r="L171" s="11" t="inlineStr">
        <is>
          <t>—</t>
        </is>
      </c>
      <c r="M171" s="11" t="inlineStr">
        <is>
          <t>—</t>
        </is>
      </c>
      <c r="N171" s="12" t="inlineStr"/>
    </row>
    <row r="172">
      <c r="A172" s="11" t="inlineStr">
        <is>
          <t>H-16</t>
        </is>
      </c>
      <c r="B172" s="12" t="inlineStr">
        <is>
          <t>H</t>
        </is>
      </c>
      <c r="C172" s="11" t="inlineStr">
        <is>
          <t>ODTWORZENIE KONTA NA INNY WĘZEŁ</t>
        </is>
      </c>
      <c r="D172" s="11" t="inlineStr">
        <is>
          <t>PŁATNE</t>
        </is>
      </c>
      <c r="E172" s="11" t="inlineStr">
        <is>
          <t>TAK</t>
        </is>
      </c>
      <c r="F172" s="11" t="inlineStr">
        <is>
          <t>CZĘŚĆ</t>
        </is>
      </c>
      <c r="G172" s="11" t="inlineStr">
        <is>
          <t>b.d.</t>
        </is>
      </c>
      <c r="H172" s="11" t="inlineStr">
        <is>
          <t>CZĘŚĆ</t>
        </is>
      </c>
      <c r="I172" s="11" t="inlineStr">
        <is>
          <t>BRAK</t>
        </is>
      </c>
      <c r="J172" s="12" t="inlineStr">
        <is>
          <t>offsite-restore.service.ts:125 kieruje zadanie na account.serverId; node-account-restore.sh:76 przerywa gdy brak katalogu</t>
        </is>
      </c>
      <c r="K172" s="11" t="inlineStr">
        <is>
          <t>LUKA</t>
        </is>
      </c>
      <c r="L172" s="11" t="inlineStr">
        <is>
          <t>WYSOKA</t>
        </is>
      </c>
      <c r="M172" s="11" t="inlineStr">
        <is>
          <t>L</t>
        </is>
      </c>
      <c r="N172" s="12" t="inlineStr">
        <is>
          <t>Skorygowane: ścieżka odtworzenia na NOWYM węźle istnieje jako procedura ops — ops/docs/OFFSITE_RESTORE_RUNBOOK.md, sekcja „Scenariusz utrata węzła”. Nie jest funkcją produktu (runbook sam to nazywa kolejnym krokiem), ale warunek „bez ścieżki odtworzenia” nie jest spełniony.</t>
        </is>
      </c>
    </row>
    <row r="173">
      <c r="A173" s="11" t="inlineStr">
        <is>
          <t>H-17</t>
        </is>
      </c>
      <c r="B173" s="12" t="inlineStr">
        <is>
          <t>H</t>
        </is>
      </c>
      <c r="C173" s="11" t="inlineStr">
        <is>
          <t>Tryb restore skryptu odtwarzającego osiągalny z produktu</t>
        </is>
      </c>
      <c r="D173" s="11" t="inlineStr">
        <is>
          <t>—</t>
        </is>
      </c>
      <c r="E173" s="11" t="inlineStr">
        <is>
          <t>—</t>
        </is>
      </c>
      <c r="F173" s="11" t="inlineStr">
        <is>
          <t>—</t>
        </is>
      </c>
      <c r="G173" s="11" t="inlineStr">
        <is>
          <t>—</t>
        </is>
      </c>
      <c r="H173" s="11" t="inlineStr">
        <is>
          <t>—</t>
        </is>
      </c>
      <c r="I173" s="11" t="inlineStr">
        <is>
          <t>BRAK</t>
        </is>
      </c>
      <c r="J173" s="12" t="inlineStr">
        <is>
          <t>node-account-restore.sh:82-99 ma tryb restore; offsite-restore.service.ts:94 przyjmuje wyłącznie list|fetch</t>
        </is>
      </c>
      <c r="K173" s="11" t="inlineStr">
        <is>
          <t>LUKA</t>
        </is>
      </c>
      <c r="L173" s="11" t="inlineStr">
        <is>
          <t>WYSOKA</t>
        </is>
      </c>
      <c r="M173" s="11" t="inlineStr">
        <is>
          <t>S</t>
        </is>
      </c>
      <c r="N173" s="12" t="inlineStr">
        <is>
          <t>Skorygowane: tryb restore jest martwy z poziomu produktu, ale żywy z CLI (node-account-restore.sh:120-124) i udokumentowany w runbooku.</t>
        </is>
      </c>
    </row>
    <row r="174">
      <c r="A174" s="11" t="inlineStr">
        <is>
          <t>H-18</t>
        </is>
      </c>
      <c r="B174" s="12" t="inlineStr">
        <is>
          <t>H</t>
        </is>
      </c>
      <c r="C174" s="11" t="inlineStr">
        <is>
          <t>Odtworzenie konta przez operatora z panelu</t>
        </is>
      </c>
      <c r="D174" s="11" t="inlineStr">
        <is>
          <t>TAK</t>
        </is>
      </c>
      <c r="E174" s="11" t="inlineStr">
        <is>
          <t>TAK</t>
        </is>
      </c>
      <c r="F174" s="11" t="inlineStr">
        <is>
          <t>TAK</t>
        </is>
      </c>
      <c r="G174" s="11" t="inlineStr">
        <is>
          <t>TAK</t>
        </is>
      </c>
      <c r="H174" s="11" t="inlineStr">
        <is>
          <t>TAK</t>
        </is>
      </c>
      <c r="I174" s="11" t="inlineStr">
        <is>
          <t>ENDPOINT BEZ UI</t>
        </is>
      </c>
      <c r="J174" s="12" t="inlineStr">
        <is>
          <t>subscriptions.admin.controller.ts:69,86 — zero wywołań w admin-panel</t>
        </is>
      </c>
      <c r="K174" s="11" t="inlineStr">
        <is>
          <t>LUKA</t>
        </is>
      </c>
      <c r="L174" s="11" t="inlineStr">
        <is>
          <t>ŚREDNIA</t>
        </is>
      </c>
      <c r="M174" s="11" t="inlineStr">
        <is>
          <t>S</t>
        </is>
      </c>
      <c r="N174" s="12" t="inlineStr">
        <is>
          <t>Skorygowane: klient ma self-restore z kopii lokalnych, operator ma działający endpoint. Brakuje przycisku.</t>
        </is>
      </c>
    </row>
    <row r="175">
      <c r="A175" s="11" t="inlineStr">
        <is>
          <t>H-19</t>
        </is>
      </c>
      <c r="B175" s="12" t="inlineStr">
        <is>
          <t>H</t>
        </is>
      </c>
      <c r="C175" s="11" t="inlineStr">
        <is>
          <t>Automatyczna konfiguracja backupu przy wdrożeniu węzła</t>
        </is>
      </c>
      <c r="D175" s="11" t="inlineStr">
        <is>
          <t>TAK</t>
        </is>
      </c>
      <c r="E175" s="11" t="inlineStr">
        <is>
          <t>TAK</t>
        </is>
      </c>
      <c r="F175" s="11" t="inlineStr">
        <is>
          <t>TAK</t>
        </is>
      </c>
      <c r="G175" s="11" t="inlineStr">
        <is>
          <t>—</t>
        </is>
      </c>
      <c r="H175" s="11" t="inlineStr">
        <is>
          <t>—</t>
        </is>
      </c>
      <c r="I175" s="11" t="inlineStr">
        <is>
          <t>BRAK</t>
        </is>
      </c>
      <c r="J175" s="12" t="inlineStr">
        <is>
          <t>node-onboard-live.sh:240-244 tylko log_warn; wizard węzła (wizard-content.ts:21-40) nie ma kroku backupu</t>
        </is>
      </c>
      <c r="K175" s="11" t="inlineStr">
        <is>
          <t>LUKA</t>
        </is>
      </c>
      <c r="L175" s="11" t="inlineStr">
        <is>
          <t>WYSOKA</t>
        </is>
      </c>
      <c r="M175" s="11" t="inlineStr">
        <is>
          <t>M</t>
        </is>
      </c>
      <c r="N175" s="12" t="inlineStr">
        <is>
          <t>Skorygowane: timer instalowany zawsze (node-onboard-live.sh:239-247), brakuje pliku konfiguracyjnego, a stan jest widoczny w live-readiness (:171-180). Realny problem: ostrzeżenie nie blokuje go-live — dodać twardą bramkę.</t>
        </is>
      </c>
    </row>
    <row r="176">
      <c r="A176" s="11" t="inlineStr">
        <is>
          <t>H-20</t>
        </is>
      </c>
      <c r="B176" s="12" t="inlineStr">
        <is>
          <t>H</t>
        </is>
      </c>
      <c r="C176" s="11" t="inlineStr">
        <is>
          <t>Test odtworzeniowy z datą ostatniego wykonania</t>
        </is>
      </c>
      <c r="D176" s="11" t="inlineStr">
        <is>
          <t>—</t>
        </is>
      </c>
      <c r="E176" s="11" t="inlineStr">
        <is>
          <t>—</t>
        </is>
      </c>
      <c r="F176" s="11" t="inlineStr">
        <is>
          <t>—</t>
        </is>
      </c>
      <c r="G176" s="11" t="inlineStr">
        <is>
          <t>—</t>
        </is>
      </c>
      <c r="H176" s="11" t="inlineStr">
        <is>
          <t>—</t>
        </is>
      </c>
      <c r="I176" s="11" t="inlineStr">
        <is>
          <t>BRAK</t>
        </is>
      </c>
      <c r="J176" s="12" t="inlineStr">
        <is>
          <t>ops/scripts/restore-drill-isolated.sh istnieje jako procedura ręczna; live-readiness.service.ts:175-177 sprawdza tylko czy backup się WYKONAŁ</t>
        </is>
      </c>
      <c r="K176" s="11" t="inlineStr">
        <is>
          <t>LUKA</t>
        </is>
      </c>
      <c r="L176" s="11" t="inlineStr">
        <is>
          <t>BLOKER STARTU</t>
        </is>
      </c>
      <c r="M176" s="11" t="inlineStr">
        <is>
          <t>M</t>
        </is>
      </c>
      <c r="N176" s="12" t="inlineStr">
        <is>
          <t>POTWIERDZONE jako bloker. Runbook wymaga drilla przed LIVE (OFFSITE_RESTORE_RUNBOOK.md:37-40) i nie ma w repo śladu jego wykonania. Backupy i DR wymagają poziomu D4 — data, wynik, właściciel. Bez tego cała warstwa DR jest niepotwierdzona.</t>
        </is>
      </c>
    </row>
    <row r="177">
      <c r="A177" s="11" t="inlineStr">
        <is>
          <t>H-21</t>
        </is>
      </c>
      <c r="B177" s="12" t="inlineStr">
        <is>
          <t>H</t>
        </is>
      </c>
      <c r="C177" s="11" t="inlineStr">
        <is>
          <t>Monitoring wykonania kopii we flocie</t>
        </is>
      </c>
      <c r="D177" s="11" t="inlineStr">
        <is>
          <t>TAK</t>
        </is>
      </c>
      <c r="E177" s="11" t="inlineStr">
        <is>
          <t>TAK</t>
        </is>
      </c>
      <c r="F177" s="11" t="inlineStr">
        <is>
          <t>CZĘŚĆ</t>
        </is>
      </c>
      <c r="G177" s="11" t="inlineStr">
        <is>
          <t>—</t>
        </is>
      </c>
      <c r="H177" s="11" t="inlineStr">
        <is>
          <t>—</t>
        </is>
      </c>
      <c r="I177" s="11" t="inlineStr">
        <is>
          <t>DZIAŁA</t>
        </is>
      </c>
      <c r="J177" s="12" t="inlineStr">
        <is>
          <t>node-backup.agent.controller.ts:44-78</t>
        </is>
      </c>
      <c r="K177" s="11" t="inlineStr">
        <is>
          <t>PARYTET</t>
        </is>
      </c>
      <c r="L177" s="11" t="inlineStr">
        <is>
          <t>—</t>
        </is>
      </c>
      <c r="M177" s="11" t="inlineStr">
        <is>
          <t>—</t>
        </is>
      </c>
      <c r="N177" s="12" t="inlineStr"/>
    </row>
    <row r="178">
      <c r="A178" s="11" t="inlineStr">
        <is>
          <t>H-22</t>
        </is>
      </c>
      <c r="B178" s="12" t="inlineStr">
        <is>
          <t>H</t>
        </is>
      </c>
      <c r="C178" s="11" t="inlineStr">
        <is>
          <t>Panel odtwarzania w widocznym miejscu</t>
        </is>
      </c>
      <c r="D178" s="11" t="inlineStr">
        <is>
          <t>TAK</t>
        </is>
      </c>
      <c r="E178" s="11" t="inlineStr">
        <is>
          <t>TAK</t>
        </is>
      </c>
      <c r="F178" s="11" t="inlineStr">
        <is>
          <t>TAK</t>
        </is>
      </c>
      <c r="G178" s="11" t="inlineStr">
        <is>
          <t>TAK</t>
        </is>
      </c>
      <c r="H178" s="11" t="inlineStr">
        <is>
          <t>TAK</t>
        </is>
      </c>
      <c r="I178" s="11" t="inlineStr">
        <is>
          <t>CZĘŚCIOWE</t>
        </is>
      </c>
      <c r="J178" s="12" t="inlineStr">
        <is>
          <t>panel off-site siedzi w zakładce „Usage”, nie „Kopie zapasowe” (page.tsx:74,128,313,319)</t>
        </is>
      </c>
      <c r="K178" s="11" t="inlineStr">
        <is>
          <t>CZĘŚCIOWY</t>
        </is>
      </c>
      <c r="L178" s="11" t="inlineStr">
        <is>
          <t>WYSOKA</t>
        </is>
      </c>
      <c r="M178" s="11" t="inlineStr">
        <is>
          <t>S</t>
        </is>
      </c>
      <c r="N178" s="12" t="inlineStr">
        <is>
          <t>klient w kryzysie tego nie znajdzie</t>
        </is>
      </c>
    </row>
    <row r="179">
      <c r="A179" s="11" t="inlineStr">
        <is>
          <t>H-23</t>
        </is>
      </c>
      <c r="B179" s="12" t="inlineStr">
        <is>
          <t>H</t>
        </is>
      </c>
      <c r="C179" s="11" t="inlineStr">
        <is>
          <t>Backup bazy control-plane</t>
        </is>
      </c>
      <c r="D179" s="11" t="inlineStr">
        <is>
          <t>—</t>
        </is>
      </c>
      <c r="E179" s="11" t="inlineStr">
        <is>
          <t>—</t>
        </is>
      </c>
      <c r="F179" s="11" t="inlineStr">
        <is>
          <t>—</t>
        </is>
      </c>
      <c r="G179" s="11" t="inlineStr">
        <is>
          <t>—</t>
        </is>
      </c>
      <c r="H179" s="11" t="inlineStr">
        <is>
          <t>—</t>
        </is>
      </c>
      <c r="I179" s="11" t="inlineStr">
        <is>
          <t>DZIAŁA</t>
        </is>
      </c>
      <c r="J179" s="12" t="inlineStr">
        <is>
          <t>ops/backup-postgres.sh, backup-mirror-external.sh, backup-verify.sh</t>
        </is>
      </c>
      <c r="K179" s="11" t="inlineStr">
        <is>
          <t>PARYTET</t>
        </is>
      </c>
      <c r="L179" s="11" t="inlineStr">
        <is>
          <t>—</t>
        </is>
      </c>
      <c r="M179" s="11" t="inlineStr">
        <is>
          <t>—</t>
        </is>
      </c>
      <c r="N179" s="12" t="inlineStr">
        <is>
          <t>poza panelem, infra</t>
        </is>
      </c>
    </row>
    <row r="180">
      <c r="A180" s="11" t="inlineStr">
        <is>
          <t>I-01</t>
        </is>
      </c>
      <c r="B180" s="12" t="inlineStr">
        <is>
          <t>I</t>
        </is>
      </c>
      <c r="C180" s="11" t="inlineStr">
        <is>
          <t>Autoinstalator aplikacji</t>
        </is>
      </c>
      <c r="D180" s="11" t="inlineStr">
        <is>
          <t>PŁATNE</t>
        </is>
      </c>
      <c r="E180" s="11" t="inlineStr">
        <is>
          <t>TAK</t>
        </is>
      </c>
      <c r="F180" s="11" t="inlineStr">
        <is>
          <t>PŁATNE</t>
        </is>
      </c>
      <c r="G180" s="11" t="inlineStr">
        <is>
          <t>TAK</t>
        </is>
      </c>
      <c r="H180" s="11" t="inlineStr">
        <is>
          <t>TAK</t>
        </is>
      </c>
      <c r="I180" s="11" t="inlineStr">
        <is>
          <t>CZĘŚCIOWE</t>
        </is>
      </c>
      <c r="J180" s="12" t="inlineStr">
        <is>
          <t>app-install.service.ts:25,32 — katalog ma 2 pozycje</t>
        </is>
      </c>
      <c r="K180" s="11" t="inlineStr">
        <is>
          <t>CZĘŚCIOWY</t>
        </is>
      </c>
      <c r="L180" s="11" t="inlineStr">
        <is>
          <t>WYSOKA</t>
        </is>
      </c>
      <c r="M180" s="11" t="inlineStr">
        <is>
          <t>M</t>
        </is>
      </c>
      <c r="N180" s="12" t="inlineStr">
        <is>
          <t>Softaculous/Installatron ma ~400 aplikacji; my mamy Nextcloud i PrestaShop | KOREKTA 2026-08-21: niezależnie od ubogiego katalogu, ścieżka wykonania była przerwana — node-app-install.sh nie był kopiowany do obrazu, więc /agent/tasks/app-install/script zwracał 500 i zadanie APP_INSTALL nie mogło się wykonać na produkcji. Naprawione razem z B-01.</t>
        </is>
      </c>
    </row>
    <row r="181">
      <c r="A181" s="11" t="inlineStr">
        <is>
          <t>I-02</t>
        </is>
      </c>
      <c r="B181" s="12" t="inlineStr">
        <is>
          <t>I</t>
        </is>
      </c>
      <c r="C181" s="11" t="inlineStr">
        <is>
          <t>Instalacja WordPressa jednym kliknięciem</t>
        </is>
      </c>
      <c r="D181" s="11" t="inlineStr">
        <is>
          <t>PŁATNE</t>
        </is>
      </c>
      <c r="E181" s="11" t="inlineStr">
        <is>
          <t>TAK</t>
        </is>
      </c>
      <c r="F181" s="11" t="inlineStr">
        <is>
          <t>PŁATNE</t>
        </is>
      </c>
      <c r="G181" s="11" t="inlineStr">
        <is>
          <t>TAK</t>
        </is>
      </c>
      <c r="H181" s="11" t="inlineStr">
        <is>
          <t>TAK</t>
        </is>
      </c>
      <c r="I181" s="11" t="inlineStr">
        <is>
          <t>DZIAŁA</t>
        </is>
      </c>
      <c r="J181" s="12" t="inlineStr">
        <is>
          <t>services.controller.ts:218</t>
        </is>
      </c>
      <c r="K181" s="11" t="inlineStr">
        <is>
          <t>PARYTET</t>
        </is>
      </c>
      <c r="L181" s="11" t="inlineStr">
        <is>
          <t>—</t>
        </is>
      </c>
      <c r="M181" s="11" t="inlineStr">
        <is>
          <t>—</t>
        </is>
      </c>
      <c r="N181" s="12" t="inlineStr">
        <is>
          <t>NodeTask WP_INSTALL + wp-cli</t>
        </is>
      </c>
    </row>
    <row r="182">
      <c r="A182" s="11" t="inlineStr">
        <is>
          <t>I-03</t>
        </is>
      </c>
      <c r="B182" s="12" t="inlineStr">
        <is>
          <t>I</t>
        </is>
      </c>
      <c r="C182" s="11" t="inlineStr">
        <is>
          <t>Status instalacji WordPressa</t>
        </is>
      </c>
      <c r="D182" s="11" t="inlineStr">
        <is>
          <t>CZĘŚĆ</t>
        </is>
      </c>
      <c r="E182" s="11" t="inlineStr">
        <is>
          <t>TAK</t>
        </is>
      </c>
      <c r="F182" s="11" t="inlineStr">
        <is>
          <t>CZĘŚĆ</t>
        </is>
      </c>
      <c r="G182" s="11" t="inlineStr">
        <is>
          <t>TAK</t>
        </is>
      </c>
      <c r="H182" s="11" t="inlineStr">
        <is>
          <t>TAK</t>
        </is>
      </c>
      <c r="I182" s="11" t="inlineStr">
        <is>
          <t>DZIAŁA</t>
        </is>
      </c>
      <c r="J182" s="12" t="inlineStr">
        <is>
          <t>services.controller.ts:213</t>
        </is>
      </c>
      <c r="K182" s="11" t="inlineStr">
        <is>
          <t>PARYTET</t>
        </is>
      </c>
      <c r="L182" s="11" t="inlineStr">
        <is>
          <t>—</t>
        </is>
      </c>
      <c r="M182" s="11" t="inlineStr">
        <is>
          <t>—</t>
        </is>
      </c>
      <c r="N182" s="12" t="inlineStr"/>
    </row>
    <row r="183">
      <c r="A183" s="11" t="inlineStr">
        <is>
          <t>I-04</t>
        </is>
      </c>
      <c r="B183" s="12" t="inlineStr">
        <is>
          <t>I</t>
        </is>
      </c>
      <c r="C183" s="11" t="inlineStr">
        <is>
          <t>Automatyczne aktualizacje WordPressa</t>
        </is>
      </c>
      <c r="D183" s="11" t="inlineStr">
        <is>
          <t>PŁATNE</t>
        </is>
      </c>
      <c r="E183" s="11" t="inlineStr">
        <is>
          <t>TAK</t>
        </is>
      </c>
      <c r="F183" s="11" t="inlineStr">
        <is>
          <t>PŁATNE</t>
        </is>
      </c>
      <c r="G183" s="11" t="inlineStr">
        <is>
          <t>TAK</t>
        </is>
      </c>
      <c r="H183" s="11" t="inlineStr">
        <is>
          <t>TAK</t>
        </is>
      </c>
      <c r="I183" s="11" t="inlineStr">
        <is>
          <t>BRAK</t>
        </is>
      </c>
      <c r="J183" s="12" t="inlineStr">
        <is>
          <t>—</t>
        </is>
      </c>
      <c r="K183" s="11" t="inlineStr">
        <is>
          <t>LUKA</t>
        </is>
      </c>
      <c r="L183" s="11" t="inlineStr">
        <is>
          <t>WYSOKA</t>
        </is>
      </c>
      <c r="M183" s="11" t="inlineStr">
        <is>
          <t>M</t>
        </is>
      </c>
      <c r="N183" s="12" t="inlineStr">
        <is>
          <t>4 z 5 hostingów PL to ma</t>
        </is>
      </c>
    </row>
    <row r="184">
      <c r="A184" s="11" t="inlineStr">
        <is>
          <t>I-05</t>
        </is>
      </c>
      <c r="B184" s="12" t="inlineStr">
        <is>
          <t>I</t>
        </is>
      </c>
      <c r="C184" s="11" t="inlineStr">
        <is>
          <t>Aktualizacje wtyczek i motywów z panelu</t>
        </is>
      </c>
      <c r="D184" s="11" t="inlineStr">
        <is>
          <t>PŁATNE</t>
        </is>
      </c>
      <c r="E184" s="11" t="inlineStr">
        <is>
          <t>TAK</t>
        </is>
      </c>
      <c r="F184" s="11" t="inlineStr">
        <is>
          <t>PŁATNE</t>
        </is>
      </c>
      <c r="G184" s="11" t="inlineStr">
        <is>
          <t>CZĘŚĆ</t>
        </is>
      </c>
      <c r="H184" s="11" t="inlineStr">
        <is>
          <t>TAK</t>
        </is>
      </c>
      <c r="I184" s="11" t="inlineStr">
        <is>
          <t>BRAK</t>
        </is>
      </c>
      <c r="J184" s="12" t="inlineStr">
        <is>
          <t>—</t>
        </is>
      </c>
      <c r="K184" s="11" t="inlineStr">
        <is>
          <t>LUKA</t>
        </is>
      </c>
      <c r="L184" s="11" t="inlineStr">
        <is>
          <t>ŚREDNIA</t>
        </is>
      </c>
      <c r="M184" s="11" t="inlineStr">
        <is>
          <t>M</t>
        </is>
      </c>
      <c r="N184" s="12" t="inlineStr"/>
    </row>
    <row r="185">
      <c r="A185" s="11" t="inlineStr">
        <is>
          <t>I-06</t>
        </is>
      </c>
      <c r="B185" s="12" t="inlineStr">
        <is>
          <t>I</t>
        </is>
      </c>
      <c r="C185" s="11" t="inlineStr">
        <is>
          <t>Smart Updates (test przed aktualizacją)</t>
        </is>
      </c>
      <c r="D185" s="11" t="inlineStr">
        <is>
          <t>NIE</t>
        </is>
      </c>
      <c r="E185" s="11" t="inlineStr">
        <is>
          <t>PŁATNE</t>
        </is>
      </c>
      <c r="F185" s="11" t="inlineStr">
        <is>
          <t>NIE</t>
        </is>
      </c>
      <c r="G185" s="11" t="inlineStr">
        <is>
          <t>NIE</t>
        </is>
      </c>
      <c r="H185" s="11" t="inlineStr">
        <is>
          <t>CZĘŚĆ</t>
        </is>
      </c>
      <c r="I185" s="11" t="inlineStr">
        <is>
          <t>BRAK</t>
        </is>
      </c>
      <c r="J185" s="12" t="inlineStr">
        <is>
          <t>—</t>
        </is>
      </c>
      <c r="K185" s="11" t="inlineStr">
        <is>
          <t>POZA ZAKRESEM</t>
        </is>
      </c>
      <c r="L185" s="11" t="inlineStr">
        <is>
          <t>NISKA</t>
        </is>
      </c>
      <c r="M185" s="11" t="inlineStr">
        <is>
          <t>L</t>
        </is>
      </c>
      <c r="N185" s="12" t="inlineStr">
        <is>
          <t>wyróżnik Pleska, rynek PL tego nie ma</t>
        </is>
      </c>
    </row>
    <row r="186">
      <c r="A186" s="11" t="inlineStr">
        <is>
          <t>I-07</t>
        </is>
      </c>
      <c r="B186" s="12" t="inlineStr">
        <is>
          <t>I</t>
        </is>
      </c>
      <c r="C186" s="11" t="inlineStr">
        <is>
          <t>Skanowanie podatności WordPressa</t>
        </is>
      </c>
      <c r="D186" s="11" t="inlineStr">
        <is>
          <t>NIE</t>
        </is>
      </c>
      <c r="E186" s="11" t="inlineStr">
        <is>
          <t>TAK</t>
        </is>
      </c>
      <c r="F186" s="11" t="inlineStr">
        <is>
          <t>NIE</t>
        </is>
      </c>
      <c r="G186" s="11" t="inlineStr">
        <is>
          <t>CZĘŚĆ</t>
        </is>
      </c>
      <c r="H186" s="11" t="inlineStr">
        <is>
          <t>TAK</t>
        </is>
      </c>
      <c r="I186" s="11" t="inlineStr">
        <is>
          <t>BRAK</t>
        </is>
      </c>
      <c r="J186" s="12" t="inlineStr">
        <is>
          <t>—</t>
        </is>
      </c>
      <c r="K186" s="11" t="inlineStr">
        <is>
          <t>LUKA</t>
        </is>
      </c>
      <c r="L186" s="11" t="inlineStr">
        <is>
          <t>ŚREDNIA</t>
        </is>
      </c>
      <c r="M186" s="11" t="inlineStr">
        <is>
          <t>L</t>
        </is>
      </c>
      <c r="N186" s="12" t="inlineStr">
        <is>
          <t>Plesk używa Patchstack</t>
        </is>
      </c>
    </row>
    <row r="187">
      <c r="A187" s="11" t="inlineStr">
        <is>
          <t>I-08</t>
        </is>
      </c>
      <c r="B187" s="12" t="inlineStr">
        <is>
          <t>I</t>
        </is>
      </c>
      <c r="C187" s="11" t="inlineStr">
        <is>
          <t>Hardening WordPressa (checklist)</t>
        </is>
      </c>
      <c r="D187" s="11" t="inlineStr">
        <is>
          <t>NIE</t>
        </is>
      </c>
      <c r="E187" s="11" t="inlineStr">
        <is>
          <t>TAK</t>
        </is>
      </c>
      <c r="F187" s="11" t="inlineStr">
        <is>
          <t>NIE</t>
        </is>
      </c>
      <c r="G187" s="11" t="inlineStr">
        <is>
          <t>CZĘŚĆ</t>
        </is>
      </c>
      <c r="H187" s="11" t="inlineStr">
        <is>
          <t>CZĘŚĆ</t>
        </is>
      </c>
      <c r="I187" s="11" t="inlineStr">
        <is>
          <t>BRAK</t>
        </is>
      </c>
      <c r="J187" s="12" t="inlineStr">
        <is>
          <t>—</t>
        </is>
      </c>
      <c r="K187" s="11" t="inlineStr">
        <is>
          <t>LUKA</t>
        </is>
      </c>
      <c r="L187" s="11" t="inlineStr">
        <is>
          <t>ŚREDNIA</t>
        </is>
      </c>
      <c r="M187" s="11" t="inlineStr">
        <is>
          <t>M</t>
        </is>
      </c>
      <c r="N187" s="12" t="inlineStr"/>
    </row>
    <row r="188">
      <c r="A188" s="11" t="inlineStr">
        <is>
          <t>I-09</t>
        </is>
      </c>
      <c r="B188" s="12" t="inlineStr">
        <is>
          <t>I</t>
        </is>
      </c>
      <c r="C188" s="11" t="inlineStr">
        <is>
          <t>Staging — utworzenie kopii roboczej</t>
        </is>
      </c>
      <c r="D188" s="11" t="inlineStr">
        <is>
          <t>PŁATNE</t>
        </is>
      </c>
      <c r="E188" s="11" t="inlineStr">
        <is>
          <t>TAK</t>
        </is>
      </c>
      <c r="F188" s="11" t="inlineStr">
        <is>
          <t>PŁATNE</t>
        </is>
      </c>
      <c r="G188" s="11" t="inlineStr">
        <is>
          <t>CZĘŚĆ</t>
        </is>
      </c>
      <c r="H188" s="11" t="inlineStr">
        <is>
          <t>TAK</t>
        </is>
      </c>
      <c r="I188" s="11" t="inlineStr">
        <is>
          <t>DZIAŁA</t>
        </is>
      </c>
      <c r="J188" s="12" t="inlineStr">
        <is>
          <t>services.controller.ts:182</t>
        </is>
      </c>
      <c r="K188" s="11" t="inlineStr">
        <is>
          <t>PRZEWAGA</t>
        </is>
      </c>
      <c r="L188" s="11" t="inlineStr">
        <is>
          <t>—</t>
        </is>
      </c>
      <c r="M188" s="11" t="inlineStr">
        <is>
          <t>—</t>
        </is>
      </c>
      <c r="N188" s="12" t="inlineStr">
        <is>
          <t>tylko 2 z 5 hostingów PL ma staging</t>
        </is>
      </c>
    </row>
    <row r="189">
      <c r="A189" s="11" t="inlineStr">
        <is>
          <t>I-10</t>
        </is>
      </c>
      <c r="B189" s="12" t="inlineStr">
        <is>
          <t>I</t>
        </is>
      </c>
      <c r="C189" s="11" t="inlineStr">
        <is>
          <t>Staging — odświeżenie z produkcji</t>
        </is>
      </c>
      <c r="D189" s="11" t="inlineStr">
        <is>
          <t>PŁATNE</t>
        </is>
      </c>
      <c r="E189" s="11" t="inlineStr">
        <is>
          <t>TAK</t>
        </is>
      </c>
      <c r="F189" s="11" t="inlineStr">
        <is>
          <t>PŁATNE</t>
        </is>
      </c>
      <c r="G189" s="11" t="inlineStr">
        <is>
          <t>CZĘŚĆ</t>
        </is>
      </c>
      <c r="H189" s="11" t="inlineStr">
        <is>
          <t>TAK</t>
        </is>
      </c>
      <c r="I189" s="11" t="inlineStr">
        <is>
          <t>DZIAŁA</t>
        </is>
      </c>
      <c r="J189" s="12" t="inlineStr">
        <is>
          <t>StagingTab.tsx:174</t>
        </is>
      </c>
      <c r="K189" s="11" t="inlineStr">
        <is>
          <t>PRZEWAGA</t>
        </is>
      </c>
      <c r="L189" s="11" t="inlineStr">
        <is>
          <t>—</t>
        </is>
      </c>
      <c r="M189" s="11" t="inlineStr">
        <is>
          <t>—</t>
        </is>
      </c>
      <c r="N189" s="12" t="inlineStr"/>
    </row>
    <row r="190">
      <c r="A190" s="11" t="inlineStr">
        <is>
          <t>I-11</t>
        </is>
      </c>
      <c r="B190" s="12" t="inlineStr">
        <is>
          <t>I</t>
        </is>
      </c>
      <c r="C190" s="11" t="inlineStr">
        <is>
          <t>Staging — publikacja na produkcję</t>
        </is>
      </c>
      <c r="D190" s="11" t="inlineStr">
        <is>
          <t>PŁATNE</t>
        </is>
      </c>
      <c r="E190" s="11" t="inlineStr">
        <is>
          <t>TAK</t>
        </is>
      </c>
      <c r="F190" s="11" t="inlineStr">
        <is>
          <t>PŁATNE</t>
        </is>
      </c>
      <c r="G190" s="11" t="inlineStr">
        <is>
          <t>CZĘŚĆ</t>
        </is>
      </c>
      <c r="H190" s="11" t="inlineStr">
        <is>
          <t>TAK</t>
        </is>
      </c>
      <c r="I190" s="11" t="inlineStr">
        <is>
          <t>CZĘŚCIOWE</t>
        </is>
      </c>
      <c r="J190" s="12" t="inlineStr">
        <is>
          <t>services.controller.ts:187</t>
        </is>
      </c>
      <c r="K190" s="11" t="inlineStr">
        <is>
          <t>CZĘŚCIOWY</t>
        </is>
      </c>
      <c r="L190" s="11" t="inlineStr">
        <is>
          <t>WYSOKA</t>
        </is>
      </c>
      <c r="M190" s="11" t="inlineStr">
        <is>
          <t>S</t>
        </is>
      </c>
      <c r="N190" s="12" t="inlineStr">
        <is>
          <t>OSŁABIONE: node-staging-sync.sh:141-142 backup plików jest twardą bramką, ale :152-153 backup bazy LIVE jest best-effort — linia 158 robi wp db import na produkcji mimo braku kopii.</t>
        </is>
      </c>
    </row>
    <row r="191">
      <c r="A191" s="11" t="inlineStr">
        <is>
          <t>I-12</t>
        </is>
      </c>
      <c r="B191" s="12" t="inlineStr">
        <is>
          <t>I</t>
        </is>
      </c>
      <c r="C191" s="11" t="inlineStr">
        <is>
          <t>Staging — usunięcie</t>
        </is>
      </c>
      <c r="D191" s="11" t="inlineStr">
        <is>
          <t>PŁATNE</t>
        </is>
      </c>
      <c r="E191" s="11" t="inlineStr">
        <is>
          <t>TAK</t>
        </is>
      </c>
      <c r="F191" s="11" t="inlineStr">
        <is>
          <t>PŁATNE</t>
        </is>
      </c>
      <c r="G191" s="11" t="inlineStr">
        <is>
          <t>CZĘŚĆ</t>
        </is>
      </c>
      <c r="H191" s="11" t="inlineStr">
        <is>
          <t>TAK</t>
        </is>
      </c>
      <c r="I191" s="11" t="inlineStr">
        <is>
          <t>DZIAŁA</t>
        </is>
      </c>
      <c r="J191" s="12" t="inlineStr">
        <is>
          <t>services.controller.ts:192</t>
        </is>
      </c>
      <c r="K191" s="11" t="inlineStr">
        <is>
          <t>PRZEWAGA</t>
        </is>
      </c>
      <c r="L191" s="11" t="inlineStr">
        <is>
          <t>—</t>
        </is>
      </c>
      <c r="M191" s="11" t="inlineStr">
        <is>
          <t>—</t>
        </is>
      </c>
      <c r="N191" s="12" t="inlineStr"/>
    </row>
    <row r="192">
      <c r="A192" s="11" t="inlineStr">
        <is>
          <t>I-13</t>
        </is>
      </c>
      <c r="B192" s="12" t="inlineStr">
        <is>
          <t>I</t>
        </is>
      </c>
      <c r="C192" s="11" t="inlineStr">
        <is>
          <t>Klonowanie strony między domenami</t>
        </is>
      </c>
      <c r="D192" s="11" t="inlineStr">
        <is>
          <t>PŁATNE</t>
        </is>
      </c>
      <c r="E192" s="11" t="inlineStr">
        <is>
          <t>TAK</t>
        </is>
      </c>
      <c r="F192" s="11" t="inlineStr">
        <is>
          <t>PŁATNE</t>
        </is>
      </c>
      <c r="G192" s="11" t="inlineStr">
        <is>
          <t>CZĘŚĆ</t>
        </is>
      </c>
      <c r="H192" s="11" t="inlineStr">
        <is>
          <t>TAK</t>
        </is>
      </c>
      <c r="I192" s="11" t="inlineStr">
        <is>
          <t>BRAK</t>
        </is>
      </c>
      <c r="J192" s="12" t="inlineStr">
        <is>
          <t>—</t>
        </is>
      </c>
      <c r="K192" s="11" t="inlineStr">
        <is>
          <t>LUKA</t>
        </is>
      </c>
      <c r="L192" s="11" t="inlineStr">
        <is>
          <t>ŚREDNIA</t>
        </is>
      </c>
      <c r="M192" s="11" t="inlineStr">
        <is>
          <t>M</t>
        </is>
      </c>
      <c r="N192" s="12" t="inlineStr"/>
    </row>
    <row r="193">
      <c r="A193" s="11" t="inlineStr">
        <is>
          <t>I-14</t>
        </is>
      </c>
      <c r="B193" s="12" t="inlineStr">
        <is>
          <t>I</t>
        </is>
      </c>
      <c r="C193" s="11" t="inlineStr">
        <is>
          <t>Masowe zarządzanie wieloma instalacjami WP</t>
        </is>
      </c>
      <c r="D193" s="11" t="inlineStr">
        <is>
          <t>NIE</t>
        </is>
      </c>
      <c r="E193" s="11" t="inlineStr">
        <is>
          <t>TAK</t>
        </is>
      </c>
      <c r="F193" s="11" t="inlineStr">
        <is>
          <t>NIE</t>
        </is>
      </c>
      <c r="G193" s="11" t="inlineStr">
        <is>
          <t>NIE</t>
        </is>
      </c>
      <c r="H193" s="11" t="inlineStr">
        <is>
          <t>CZĘŚĆ</t>
        </is>
      </c>
      <c r="I193" s="11" t="inlineStr">
        <is>
          <t>BRAK</t>
        </is>
      </c>
      <c r="J193" s="12" t="inlineStr">
        <is>
          <t>—</t>
        </is>
      </c>
      <c r="K193" s="11" t="inlineStr">
        <is>
          <t>LUKA</t>
        </is>
      </c>
      <c r="L193" s="11" t="inlineStr">
        <is>
          <t>NISKA</t>
        </is>
      </c>
      <c r="M193" s="11" t="inlineStr">
        <is>
          <t>L</t>
        </is>
      </c>
      <c r="N193" s="12" t="inlineStr">
        <is>
          <t>realna przewaga dla agencji</t>
        </is>
      </c>
    </row>
    <row r="194">
      <c r="A194" s="11" t="inlineStr">
        <is>
          <t>I-15</t>
        </is>
      </c>
      <c r="B194" s="12" t="inlineStr">
        <is>
          <t>I</t>
        </is>
      </c>
      <c r="C194" s="11" t="inlineStr">
        <is>
          <t>Tryb konserwacji WordPressa</t>
        </is>
      </c>
      <c r="D194" s="11" t="inlineStr">
        <is>
          <t>NIE</t>
        </is>
      </c>
      <c r="E194" s="11" t="inlineStr">
        <is>
          <t>TAK</t>
        </is>
      </c>
      <c r="F194" s="11" t="inlineStr">
        <is>
          <t>NIE</t>
        </is>
      </c>
      <c r="G194" s="11" t="inlineStr">
        <is>
          <t>NIE</t>
        </is>
      </c>
      <c r="H194" s="11" t="inlineStr">
        <is>
          <t>CZĘŚĆ</t>
        </is>
      </c>
      <c r="I194" s="11" t="inlineStr">
        <is>
          <t>BRAK</t>
        </is>
      </c>
      <c r="J194" s="12" t="inlineStr">
        <is>
          <t>—</t>
        </is>
      </c>
      <c r="K194" s="11" t="inlineStr">
        <is>
          <t>LUKA</t>
        </is>
      </c>
      <c r="L194" s="11" t="inlineStr">
        <is>
          <t>NISKA</t>
        </is>
      </c>
      <c r="M194" s="11" t="inlineStr">
        <is>
          <t>S</t>
        </is>
      </c>
      <c r="N194" s="12" t="inlineStr"/>
    </row>
    <row r="195">
      <c r="A195" s="11" t="inlineStr">
        <is>
          <t>I-16</t>
        </is>
      </c>
      <c r="B195" s="12" t="inlineStr">
        <is>
          <t>I</t>
        </is>
      </c>
      <c r="C195" s="11" t="inlineStr">
        <is>
          <t>WP-CLI</t>
        </is>
      </c>
      <c r="D195" s="11" t="inlineStr">
        <is>
          <t>TAK</t>
        </is>
      </c>
      <c r="E195" s="11" t="inlineStr">
        <is>
          <t>TAK</t>
        </is>
      </c>
      <c r="F195" s="11" t="inlineStr">
        <is>
          <t>TAK</t>
        </is>
      </c>
      <c r="G195" s="11" t="inlineStr">
        <is>
          <t>CZĘŚĆ</t>
        </is>
      </c>
      <c r="H195" s="11" t="inlineStr">
        <is>
          <t>TAK</t>
        </is>
      </c>
      <c r="I195" s="11" t="inlineStr">
        <is>
          <t>CZĘŚCIOWE</t>
        </is>
      </c>
      <c r="J195" s="12" t="inlineStr">
        <is>
          <t>używane wewnętrznie przy WP_INSTALL</t>
        </is>
      </c>
      <c r="K195" s="11" t="inlineStr">
        <is>
          <t>CZĘŚCIOWY</t>
        </is>
      </c>
      <c r="L195" s="11" t="inlineStr">
        <is>
          <t>ŚREDNIA</t>
        </is>
      </c>
      <c r="M195" s="11" t="inlineStr">
        <is>
          <t>S</t>
        </is>
      </c>
      <c r="N195" s="12" t="inlineStr">
        <is>
          <t>klient nie ma bezpośredniego dostępu (dziedziczy C-21)</t>
        </is>
      </c>
    </row>
    <row r="196">
      <c r="A196" s="11" t="inlineStr">
        <is>
          <t>I-17</t>
        </is>
      </c>
      <c r="B196" s="12" t="inlineStr">
        <is>
          <t>I</t>
        </is>
      </c>
      <c r="C196" s="11" t="inlineStr">
        <is>
          <t>Migracja z innego hostingu — wykrywanie źródła</t>
        </is>
      </c>
      <c r="D196" s="11" t="inlineStr">
        <is>
          <t>NIE</t>
        </is>
      </c>
      <c r="E196" s="11" t="inlineStr">
        <is>
          <t>TAK</t>
        </is>
      </c>
      <c r="F196" s="11" t="inlineStr">
        <is>
          <t>NIE</t>
        </is>
      </c>
      <c r="G196" s="11" t="inlineStr">
        <is>
          <t>CZĘŚĆ</t>
        </is>
      </c>
      <c r="H196" s="11" t="inlineStr">
        <is>
          <t>CZĘŚĆ</t>
        </is>
      </c>
      <c r="I196" s="11" t="inlineStr">
        <is>
          <t>DZIAŁA</t>
        </is>
      </c>
      <c r="J196" s="12" t="inlineStr">
        <is>
          <t>services.controller.ts:978</t>
        </is>
      </c>
      <c r="K196" s="11" t="inlineStr">
        <is>
          <t>PRZEWAGA</t>
        </is>
      </c>
      <c r="L196" s="11" t="inlineStr">
        <is>
          <t>—</t>
        </is>
      </c>
      <c r="M196" s="11" t="inlineStr">
        <is>
          <t>—</t>
        </is>
      </c>
      <c r="N196" s="12" t="inlineStr">
        <is>
          <t>na rynku PL migrację robi dostawca ręcznie</t>
        </is>
      </c>
    </row>
    <row r="197">
      <c r="A197" s="11" t="inlineStr">
        <is>
          <t>I-18</t>
        </is>
      </c>
      <c r="B197" s="12" t="inlineStr">
        <is>
          <t>I</t>
        </is>
      </c>
      <c r="C197" s="11" t="inlineStr">
        <is>
          <t>Migracja — test poświadczeń (preflight)</t>
        </is>
      </c>
      <c r="D197" s="11" t="inlineStr">
        <is>
          <t>NIE</t>
        </is>
      </c>
      <c r="E197" s="11" t="inlineStr">
        <is>
          <t>TAK</t>
        </is>
      </c>
      <c r="F197" s="11" t="inlineStr">
        <is>
          <t>NIE</t>
        </is>
      </c>
      <c r="G197" s="11" t="inlineStr">
        <is>
          <t>NIE</t>
        </is>
      </c>
      <c r="H197" s="11" t="inlineStr">
        <is>
          <t>NIE</t>
        </is>
      </c>
      <c r="I197" s="11" t="inlineStr">
        <is>
          <t>CZĘŚCIOWE</t>
        </is>
      </c>
      <c r="J197" s="12" t="inlineStr">
        <is>
          <t>services.controller.ts:1001</t>
        </is>
      </c>
      <c r="K197" s="11" t="inlineStr">
        <is>
          <t>CZĘŚCIOWY</t>
        </is>
      </c>
      <c r="L197" s="11" t="inlineStr">
        <is>
          <t>ŚREDNIA</t>
        </is>
      </c>
      <c r="M197" s="11" t="inlineStr">
        <is>
          <t>S</t>
        </is>
      </c>
      <c r="N197" s="12" t="inlineStr">
        <is>
          <t>OSŁABIONE: migration-preflight.service.ts:93-131 — dla SFTP/SSH, czyli głównego kanału plików, testowany jest wyłącznie baner portu. Literówka w haśle przejdzie preflight.</t>
        </is>
      </c>
    </row>
    <row r="198">
      <c r="A198" s="11" t="inlineStr">
        <is>
          <t>I-19</t>
        </is>
      </c>
      <c r="B198" s="12" t="inlineStr">
        <is>
          <t>I</t>
        </is>
      </c>
      <c r="C198" s="11" t="inlineStr">
        <is>
          <t>Migracja — uruchomienie (pliki + baza + poczta)</t>
        </is>
      </c>
      <c r="D198" s="11" t="inlineStr">
        <is>
          <t>NIE</t>
        </is>
      </c>
      <c r="E198" s="11" t="inlineStr">
        <is>
          <t>TAK</t>
        </is>
      </c>
      <c r="F198" s="11" t="inlineStr">
        <is>
          <t>NIE</t>
        </is>
      </c>
      <c r="G198" s="11" t="inlineStr">
        <is>
          <t>CZĘŚĆ</t>
        </is>
      </c>
      <c r="H198" s="11" t="inlineStr">
        <is>
          <t>CZĘŚĆ</t>
        </is>
      </c>
      <c r="I198" s="11" t="inlineStr">
        <is>
          <t>DZIAŁA</t>
        </is>
      </c>
      <c r="J198" s="12" t="inlineStr">
        <is>
          <t>migration-orchestrator.service.ts:636,655</t>
        </is>
      </c>
      <c r="K198" s="11" t="inlineStr">
        <is>
          <t>PRZEWAGA</t>
        </is>
      </c>
      <c r="L198" s="11" t="inlineStr">
        <is>
          <t>—</t>
        </is>
      </c>
      <c r="M198" s="11" t="inlineStr">
        <is>
          <t>—</t>
        </is>
      </c>
      <c r="N198" s="12" t="inlineStr">
        <is>
          <t>rsync + mysqldump; test D1 (11 przypadków)</t>
        </is>
      </c>
    </row>
    <row r="199">
      <c r="A199" s="11" t="inlineStr">
        <is>
          <t>I-20</t>
        </is>
      </c>
      <c r="B199" s="12" t="inlineStr">
        <is>
          <t>I</t>
        </is>
      </c>
      <c r="C199" s="11" t="inlineStr">
        <is>
          <t>Migracja — delta-sync przed przełączeniem</t>
        </is>
      </c>
      <c r="D199" s="11" t="inlineStr">
        <is>
          <t>NIE</t>
        </is>
      </c>
      <c r="E199" s="11" t="inlineStr">
        <is>
          <t>CZĘŚĆ</t>
        </is>
      </c>
      <c r="F199" s="11" t="inlineStr">
        <is>
          <t>NIE</t>
        </is>
      </c>
      <c r="G199" s="11" t="inlineStr">
        <is>
          <t>NIE</t>
        </is>
      </c>
      <c r="H199" s="11" t="inlineStr">
        <is>
          <t>NIE</t>
        </is>
      </c>
      <c r="I199" s="11" t="inlineStr">
        <is>
          <t>DZIAŁA</t>
        </is>
      </c>
      <c r="J199" s="12" t="inlineStr">
        <is>
          <t>services.controller.ts:1041</t>
        </is>
      </c>
      <c r="K199" s="11" t="inlineStr">
        <is>
          <t>PRZEWAGA</t>
        </is>
      </c>
      <c r="L199" s="11" t="inlineStr">
        <is>
          <t>—</t>
        </is>
      </c>
      <c r="M199" s="11" t="inlineStr">
        <is>
          <t>—</t>
        </is>
      </c>
      <c r="N199" s="12" t="inlineStr">
        <is>
          <t>realny wyróżnik: minimalizuje przestój</t>
        </is>
      </c>
    </row>
    <row r="200">
      <c r="A200" s="11" t="inlineStr">
        <is>
          <t>I-21</t>
        </is>
      </c>
      <c r="B200" s="12" t="inlineStr">
        <is>
          <t>I</t>
        </is>
      </c>
      <c r="C200" s="11" t="inlineStr">
        <is>
          <t>Migracja — plan i weryfikacja cutoveru</t>
        </is>
      </c>
      <c r="D200" s="11" t="inlineStr">
        <is>
          <t>NIE</t>
        </is>
      </c>
      <c r="E200" s="11" t="inlineStr">
        <is>
          <t>NIE</t>
        </is>
      </c>
      <c r="F200" s="11" t="inlineStr">
        <is>
          <t>NIE</t>
        </is>
      </c>
      <c r="G200" s="11" t="inlineStr">
        <is>
          <t>NIE</t>
        </is>
      </c>
      <c r="H200" s="11" t="inlineStr">
        <is>
          <t>NIE</t>
        </is>
      </c>
      <c r="I200" s="11" t="inlineStr">
        <is>
          <t>DZIAŁA</t>
        </is>
      </c>
      <c r="J200" s="12" t="inlineStr">
        <is>
          <t>services.controller.ts:1052,1062</t>
        </is>
      </c>
      <c r="K200" s="11" t="inlineStr">
        <is>
          <t>PRZEWAGA</t>
        </is>
      </c>
      <c r="L200" s="11" t="inlineStr">
        <is>
          <t>—</t>
        </is>
      </c>
      <c r="M200" s="11" t="inlineStr">
        <is>
          <t>—</t>
        </is>
      </c>
      <c r="N200" s="12" t="inlineStr"/>
    </row>
    <row r="201">
      <c r="A201" s="11" t="inlineStr">
        <is>
          <t>I-22</t>
        </is>
      </c>
      <c r="B201" s="12" t="inlineStr">
        <is>
          <t>I</t>
        </is>
      </c>
      <c r="C201" s="11" t="inlineStr">
        <is>
          <t>Migracja — cockpit operatora</t>
        </is>
      </c>
      <c r="D201" s="11" t="inlineStr">
        <is>
          <t>NIE</t>
        </is>
      </c>
      <c r="E201" s="11" t="inlineStr">
        <is>
          <t>TAK</t>
        </is>
      </c>
      <c r="F201" s="11" t="inlineStr">
        <is>
          <t>NIE</t>
        </is>
      </c>
      <c r="G201" s="11" t="inlineStr">
        <is>
          <t>—</t>
        </is>
      </c>
      <c r="H201" s="11" t="inlineStr">
        <is>
          <t>—</t>
        </is>
      </c>
      <c r="I201" s="11" t="inlineStr">
        <is>
          <t>CZĘŚCIOWE</t>
        </is>
      </c>
      <c r="J201" s="12" t="inlineStr">
        <is>
          <t>migrations.staff.controller.ts:75,90,126</t>
        </is>
      </c>
      <c r="K201" s="11" t="inlineStr">
        <is>
          <t>CZĘŚCIOWY</t>
        </is>
      </c>
      <c r="L201" s="11" t="inlineStr">
        <is>
          <t>ŚREDNIA</t>
        </is>
      </c>
      <c r="M201" s="11" t="inlineStr">
        <is>
          <t>S</t>
        </is>
      </c>
      <c r="N201" s="12" t="inlineStr">
        <is>
          <t>OSŁABIONE: cockpit ma UI tylko w panelu admina; apps/staff-panel nie ma strony migracji, a logowanie do admina odrzuca STAFF. Uprawnienie MIGRATIONS_MANAGE dla roli STAFF jest bezużyteczne.</t>
        </is>
      </c>
    </row>
    <row r="202">
      <c r="A202" s="11" t="inlineStr">
        <is>
          <t>J-01</t>
        </is>
      </c>
      <c r="B202" s="12" t="inlineStr">
        <is>
          <t>J</t>
        </is>
      </c>
      <c r="C202" s="11" t="inlineStr">
        <is>
          <t>LiteSpeed / serwer o wysokiej wydajności</t>
        </is>
      </c>
      <c r="D202" s="11" t="inlineStr">
        <is>
          <t>PŁATNE</t>
        </is>
      </c>
      <c r="E202" s="11" t="inlineStr">
        <is>
          <t>CZĘŚĆ</t>
        </is>
      </c>
      <c r="F202" s="11" t="inlineStr">
        <is>
          <t>PŁATNE</t>
        </is>
      </c>
      <c r="G202" s="11" t="inlineStr">
        <is>
          <t>CZĘŚĆ</t>
        </is>
      </c>
      <c r="H202" s="11" t="inlineStr">
        <is>
          <t>CZĘŚĆ</t>
        </is>
      </c>
      <c r="I202" s="11" t="inlineStr">
        <is>
          <t>b.d.</t>
        </is>
      </c>
      <c r="J202" s="12" t="inlineStr">
        <is>
          <t>decyzja infrastrukturalna, poza kodem panelu</t>
        </is>
      </c>
      <c r="K202" s="11" t="inlineStr">
        <is>
          <t>CZĘŚCIOWY</t>
        </is>
      </c>
      <c r="L202" s="11" t="inlineStr">
        <is>
          <t>WYSOKA</t>
        </is>
      </c>
      <c r="M202" s="11" t="inlineStr">
        <is>
          <t>—</t>
        </is>
      </c>
      <c r="N202" s="12" t="inlineStr">
        <is>
          <t>koszt licencji — pozycja do unit economics</t>
        </is>
      </c>
    </row>
    <row r="203">
      <c r="A203" s="11" t="inlineStr">
        <is>
          <t>J-02</t>
        </is>
      </c>
      <c r="B203" s="12" t="inlineStr">
        <is>
          <t>J</t>
        </is>
      </c>
      <c r="C203" s="11" t="inlineStr">
        <is>
          <t>Cache stron (LSCache) sterowany z panelu</t>
        </is>
      </c>
      <c r="D203" s="11" t="inlineStr">
        <is>
          <t>PŁATNE</t>
        </is>
      </c>
      <c r="E203" s="11" t="inlineStr">
        <is>
          <t>TAK</t>
        </is>
      </c>
      <c r="F203" s="11" t="inlineStr">
        <is>
          <t>PŁATNE</t>
        </is>
      </c>
      <c r="G203" s="11" t="inlineStr">
        <is>
          <t>CZĘŚĆ</t>
        </is>
      </c>
      <c r="H203" s="11" t="inlineStr">
        <is>
          <t>TAK</t>
        </is>
      </c>
      <c r="I203" s="11" t="inlineStr">
        <is>
          <t>BRAK</t>
        </is>
      </c>
      <c r="J203" s="12" t="inlineStr">
        <is>
          <t>—</t>
        </is>
      </c>
      <c r="K203" s="11" t="inlineStr">
        <is>
          <t>LUKA</t>
        </is>
      </c>
      <c r="L203" s="11" t="inlineStr">
        <is>
          <t>WYSOKA</t>
        </is>
      </c>
      <c r="M203" s="11" t="inlineStr">
        <is>
          <t>M</t>
        </is>
      </c>
      <c r="N203" s="12" t="inlineStr"/>
    </row>
    <row r="204">
      <c r="A204" s="11" t="inlineStr">
        <is>
          <t>J-03</t>
        </is>
      </c>
      <c r="B204" s="12" t="inlineStr">
        <is>
          <t>J</t>
        </is>
      </c>
      <c r="C204" s="11" t="inlineStr">
        <is>
          <t>Cache obiektowy (Redis) dla WordPressa</t>
        </is>
      </c>
      <c r="D204" s="11" t="inlineStr">
        <is>
          <t>CZĘŚĆ</t>
        </is>
      </c>
      <c r="E204" s="11" t="inlineStr">
        <is>
          <t>TAK</t>
        </is>
      </c>
      <c r="F204" s="11" t="inlineStr">
        <is>
          <t>CZĘŚĆ</t>
        </is>
      </c>
      <c r="G204" s="11" t="inlineStr">
        <is>
          <t>TAK</t>
        </is>
      </c>
      <c r="H204" s="11" t="inlineStr">
        <is>
          <t>TAK</t>
        </is>
      </c>
      <c r="I204" s="11" t="inlineStr">
        <is>
          <t>BRAK</t>
        </is>
      </c>
      <c r="J204" s="12" t="inlineStr">
        <is>
          <t>—</t>
        </is>
      </c>
      <c r="K204" s="11" t="inlineStr">
        <is>
          <t>LUKA</t>
        </is>
      </c>
      <c r="L204" s="11" t="inlineStr">
        <is>
          <t>WYSOKA</t>
        </is>
      </c>
      <c r="M204" s="11" t="inlineStr">
        <is>
          <t>M</t>
        </is>
      </c>
      <c r="N204" s="12" t="inlineStr">
        <is>
          <t>patrz D-15</t>
        </is>
      </c>
    </row>
    <row r="205">
      <c r="A205" s="11" t="inlineStr">
        <is>
          <t>J-04</t>
        </is>
      </c>
      <c r="B205" s="12" t="inlineStr">
        <is>
          <t>J</t>
        </is>
      </c>
      <c r="C205" s="11" t="inlineStr">
        <is>
          <t>HTTP/3</t>
        </is>
      </c>
      <c r="D205" s="11" t="inlineStr">
        <is>
          <t>TAK</t>
        </is>
      </c>
      <c r="E205" s="11" t="inlineStr">
        <is>
          <t>TAK</t>
        </is>
      </c>
      <c r="F205" s="11" t="inlineStr">
        <is>
          <t>TAK</t>
        </is>
      </c>
      <c r="G205" s="11" t="inlineStr">
        <is>
          <t>TAK</t>
        </is>
      </c>
      <c r="H205" s="11" t="inlineStr">
        <is>
          <t>TAK</t>
        </is>
      </c>
      <c r="I205" s="11" t="inlineStr">
        <is>
          <t>b.d.</t>
        </is>
      </c>
      <c r="J205" s="12" t="inlineStr">
        <is>
          <t>poza kodem panelu</t>
        </is>
      </c>
      <c r="K205" s="11" t="inlineStr">
        <is>
          <t>CZĘŚCIOWY</t>
        </is>
      </c>
      <c r="L205" s="11" t="inlineStr">
        <is>
          <t>ŚREDNIA</t>
        </is>
      </c>
      <c r="M205" s="11" t="inlineStr">
        <is>
          <t>—</t>
        </is>
      </c>
      <c r="N205" s="12" t="inlineStr">
        <is>
          <t>4 z 5 hostingów PL już ma</t>
        </is>
      </c>
    </row>
    <row r="206">
      <c r="A206" s="11" t="inlineStr">
        <is>
          <t>J-05</t>
        </is>
      </c>
      <c r="B206" s="12" t="inlineStr">
        <is>
          <t>J</t>
        </is>
      </c>
      <c r="C206" s="11" t="inlineStr">
        <is>
          <t>CDN</t>
        </is>
      </c>
      <c r="D206" s="11" t="inlineStr">
        <is>
          <t>CZĘŚĆ</t>
        </is>
      </c>
      <c r="E206" s="11" t="inlineStr">
        <is>
          <t>TAK</t>
        </is>
      </c>
      <c r="F206" s="11" t="inlineStr">
        <is>
          <t>CZĘŚĆ</t>
        </is>
      </c>
      <c r="G206" s="11" t="inlineStr">
        <is>
          <t>PŁATNE</t>
        </is>
      </c>
      <c r="H206" s="11" t="inlineStr">
        <is>
          <t>TAK</t>
        </is>
      </c>
      <c r="I206" s="11" t="inlineStr">
        <is>
          <t>BRAK</t>
        </is>
      </c>
      <c r="J206" s="12" t="inlineStr">
        <is>
          <t>—</t>
        </is>
      </c>
      <c r="K206" s="11" t="inlineStr">
        <is>
          <t>LUKA</t>
        </is>
      </c>
      <c r="L206" s="11" t="inlineStr">
        <is>
          <t>NISKA</t>
        </is>
      </c>
      <c r="M206" s="11" t="inlineStr">
        <is>
          <t>L</t>
        </is>
      </c>
      <c r="N206" s="12" t="inlineStr">
        <is>
          <t>na rynku PL płatny dodatek</t>
        </is>
      </c>
    </row>
    <row r="207">
      <c r="A207" s="11" t="inlineStr">
        <is>
          <t>J-06</t>
        </is>
      </c>
      <c r="B207" s="12" t="inlineStr">
        <is>
          <t>J</t>
        </is>
      </c>
      <c r="C207" s="11" t="inlineStr">
        <is>
          <t>Optymalizacja obrazów</t>
        </is>
      </c>
      <c r="D207" s="11" t="inlineStr">
        <is>
          <t>NIE</t>
        </is>
      </c>
      <c r="E207" s="11" t="inlineStr">
        <is>
          <t>TAK</t>
        </is>
      </c>
      <c r="F207" s="11" t="inlineStr">
        <is>
          <t>NIE</t>
        </is>
      </c>
      <c r="G207" s="11" t="inlineStr">
        <is>
          <t>NIE</t>
        </is>
      </c>
      <c r="H207" s="11" t="inlineStr">
        <is>
          <t>TAK</t>
        </is>
      </c>
      <c r="I207" s="11" t="inlineStr">
        <is>
          <t>BRAK</t>
        </is>
      </c>
      <c r="J207" s="12" t="inlineStr">
        <is>
          <t>—</t>
        </is>
      </c>
      <c r="K207" s="11" t="inlineStr">
        <is>
          <t>LUKA</t>
        </is>
      </c>
      <c r="L207" s="11" t="inlineStr">
        <is>
          <t>NISKA</t>
        </is>
      </c>
      <c r="M207" s="11" t="inlineStr">
        <is>
          <t>M</t>
        </is>
      </c>
      <c r="N207" s="12" t="inlineStr"/>
    </row>
    <row r="208">
      <c r="A208" s="11" t="inlineStr">
        <is>
          <t>J-07</t>
        </is>
      </c>
      <c r="B208" s="12" t="inlineStr">
        <is>
          <t>J</t>
        </is>
      </c>
      <c r="C208" s="11" t="inlineStr">
        <is>
          <t>Dedykowany adres IP</t>
        </is>
      </c>
      <c r="D208" s="11" t="inlineStr">
        <is>
          <t>TAK</t>
        </is>
      </c>
      <c r="E208" s="11" t="inlineStr">
        <is>
          <t>TAK</t>
        </is>
      </c>
      <c r="F208" s="11" t="inlineStr">
        <is>
          <t>TAK</t>
        </is>
      </c>
      <c r="G208" s="11" t="inlineStr">
        <is>
          <t>PŁATNE</t>
        </is>
      </c>
      <c r="H208" s="11" t="inlineStr">
        <is>
          <t>CZĘŚĆ</t>
        </is>
      </c>
      <c r="I208" s="11" t="inlineStr">
        <is>
          <t>CZĘŚCIOWE</t>
        </is>
      </c>
      <c r="J208" s="12" t="inlineStr">
        <is>
          <t>addons — jako dodatek typu workorder</t>
        </is>
      </c>
      <c r="K208" s="11" t="inlineStr">
        <is>
          <t>CZĘŚCIOWY</t>
        </is>
      </c>
      <c r="L208" s="11" t="inlineStr">
        <is>
          <t>ŚREDNIA</t>
        </is>
      </c>
      <c r="M208" s="11" t="inlineStr">
        <is>
          <t>S</t>
        </is>
      </c>
      <c r="N208" s="12" t="inlineStr">
        <is>
          <t>addon.service.ts:120 — realizacja przez zgłoszenie do BOK, nie automat</t>
        </is>
      </c>
    </row>
    <row r="209">
      <c r="A209" s="11" t="inlineStr">
        <is>
          <t>J-08</t>
        </is>
      </c>
      <c r="B209" s="12" t="inlineStr">
        <is>
          <t>J</t>
        </is>
      </c>
      <c r="C209" s="11" t="inlineStr">
        <is>
          <t>Autoskalowanie zasobów</t>
        </is>
      </c>
      <c r="D209" s="11" t="inlineStr">
        <is>
          <t>NIE</t>
        </is>
      </c>
      <c r="E209" s="11" t="inlineStr">
        <is>
          <t>NIE</t>
        </is>
      </c>
      <c r="F209" s="11" t="inlineStr">
        <is>
          <t>NIE</t>
        </is>
      </c>
      <c r="G209" s="11" t="inlineStr">
        <is>
          <t>CZĘŚĆ</t>
        </is>
      </c>
      <c r="H209" s="11" t="inlineStr">
        <is>
          <t>TAK</t>
        </is>
      </c>
      <c r="I209" s="11" t="inlineStr">
        <is>
          <t>DZIAŁA</t>
        </is>
      </c>
      <c r="J209" s="12" t="inlineStr">
        <is>
          <t>autoscaling-engine.service.ts:64 (cron 1 min)</t>
        </is>
      </c>
      <c r="K209" s="11" t="inlineStr">
        <is>
          <t>PRZEWAGA</t>
        </is>
      </c>
      <c r="L209" s="11" t="inlineStr">
        <is>
          <t>—</t>
        </is>
      </c>
      <c r="M209" s="11" t="inlineStr">
        <is>
          <t>—</t>
        </is>
      </c>
      <c r="N209" s="12" t="inlineStr">
        <is>
          <t>tylko dhosting ma coś podobnego na rynku PL</t>
        </is>
      </c>
    </row>
    <row r="210">
      <c r="A210" s="11" t="inlineStr">
        <is>
          <t>J-09</t>
        </is>
      </c>
      <c r="B210" s="12" t="inlineStr">
        <is>
          <t>J</t>
        </is>
      </c>
      <c r="C210" s="11" t="inlineStr">
        <is>
          <t>Limit miesięcznego kosztu autoskalowania</t>
        </is>
      </c>
      <c r="D210" s="11" t="inlineStr">
        <is>
          <t>NIE</t>
        </is>
      </c>
      <c r="E210" s="11" t="inlineStr">
        <is>
          <t>NIE</t>
        </is>
      </c>
      <c r="F210" s="11" t="inlineStr">
        <is>
          <t>NIE</t>
        </is>
      </c>
      <c r="G210" s="11" t="inlineStr">
        <is>
          <t>NIE</t>
        </is>
      </c>
      <c r="H210" s="11" t="inlineStr">
        <is>
          <t>CZĘŚĆ</t>
        </is>
      </c>
      <c r="I210" s="11" t="inlineStr">
        <is>
          <t>DZIAŁA</t>
        </is>
      </c>
      <c r="J210" s="12" t="inlineStr">
        <is>
          <t>subscriptions.controller.ts:120; test autoscaling-engine.cap.spec.ts</t>
        </is>
      </c>
      <c r="K210" s="11" t="inlineStr">
        <is>
          <t>PRZEWAGA</t>
        </is>
      </c>
      <c r="L210" s="11" t="inlineStr">
        <is>
          <t>—</t>
        </is>
      </c>
      <c r="M210" s="11" t="inlineStr">
        <is>
          <t>—</t>
        </is>
      </c>
      <c r="N210" s="12" t="inlineStr">
        <is>
          <t>cap egzekwowany w silniku, test D1</t>
        </is>
      </c>
    </row>
    <row r="211">
      <c r="A211" s="11" t="inlineStr">
        <is>
          <t>J-10</t>
        </is>
      </c>
      <c r="B211" s="12" t="inlineStr">
        <is>
          <t>J</t>
        </is>
      </c>
      <c r="C211" s="11" t="inlineStr">
        <is>
          <t>Kalkulator kosztu skalowania</t>
        </is>
      </c>
      <c r="D211" s="11" t="inlineStr">
        <is>
          <t>NIE</t>
        </is>
      </c>
      <c r="E211" s="11" t="inlineStr">
        <is>
          <t>NIE</t>
        </is>
      </c>
      <c r="F211" s="11" t="inlineStr">
        <is>
          <t>NIE</t>
        </is>
      </c>
      <c r="G211" s="11" t="inlineStr">
        <is>
          <t>NIE</t>
        </is>
      </c>
      <c r="H211" s="11" t="inlineStr">
        <is>
          <t>CZĘŚĆ</t>
        </is>
      </c>
      <c r="I211" s="11" t="inlineStr">
        <is>
          <t>DZIAŁA</t>
        </is>
      </c>
      <c r="J211" s="12" t="inlineStr">
        <is>
          <t>autoscaling.controller.ts:12</t>
        </is>
      </c>
      <c r="K211" s="11" t="inlineStr">
        <is>
          <t>PRZEWAGA</t>
        </is>
      </c>
      <c r="L211" s="11" t="inlineStr">
        <is>
          <t>—</t>
        </is>
      </c>
      <c r="M211" s="11" t="inlineStr">
        <is>
          <t>—</t>
        </is>
      </c>
      <c r="N211" s="12" t="inlineStr"/>
    </row>
    <row r="212">
      <c r="A212" s="11" t="inlineStr">
        <is>
          <t>J-11</t>
        </is>
      </c>
      <c r="B212" s="12" t="inlineStr">
        <is>
          <t>J</t>
        </is>
      </c>
      <c r="C212" s="11" t="inlineStr">
        <is>
          <t>Historia zdarzeń skalowania</t>
        </is>
      </c>
      <c r="D212" s="11" t="inlineStr">
        <is>
          <t>NIE</t>
        </is>
      </c>
      <c r="E212" s="11" t="inlineStr">
        <is>
          <t>NIE</t>
        </is>
      </c>
      <c r="F212" s="11" t="inlineStr">
        <is>
          <t>NIE</t>
        </is>
      </c>
      <c r="G212" s="11" t="inlineStr">
        <is>
          <t>NIE</t>
        </is>
      </c>
      <c r="H212" s="11" t="inlineStr">
        <is>
          <t>CZĘŚĆ</t>
        </is>
      </c>
      <c r="I212" s="11" t="inlineStr">
        <is>
          <t>DZIAŁA</t>
        </is>
      </c>
      <c r="J212" s="12" t="inlineStr">
        <is>
          <t>subscriptions.controller.ts:138</t>
        </is>
      </c>
      <c r="K212" s="11" t="inlineStr">
        <is>
          <t>PRZEWAGA</t>
        </is>
      </c>
      <c r="L212" s="11" t="inlineStr">
        <is>
          <t>—</t>
        </is>
      </c>
      <c r="M212" s="11" t="inlineStr">
        <is>
          <t>—</t>
        </is>
      </c>
      <c r="N212" s="12" t="inlineStr"/>
    </row>
    <row r="213">
      <c r="A213" s="11" t="inlineStr">
        <is>
          <t>K-01</t>
        </is>
      </c>
      <c r="B213" s="12" t="inlineStr">
        <is>
          <t>K</t>
        </is>
      </c>
      <c r="C213" s="11" t="inlineStr">
        <is>
          <t>Zużycie CPU / RAM / IO na wykresie</t>
        </is>
      </c>
      <c r="D213" s="11" t="inlineStr">
        <is>
          <t>TAK</t>
        </is>
      </c>
      <c r="E213" s="11" t="inlineStr">
        <is>
          <t>TAK</t>
        </is>
      </c>
      <c r="F213" s="11" t="inlineStr">
        <is>
          <t>TAK</t>
        </is>
      </c>
      <c r="G213" s="11" t="inlineStr">
        <is>
          <t>TAK</t>
        </is>
      </c>
      <c r="H213" s="11" t="inlineStr">
        <is>
          <t>TAK</t>
        </is>
      </c>
      <c r="I213" s="11" t="inlineStr">
        <is>
          <t>DZIAŁA</t>
        </is>
      </c>
      <c r="J213" s="12" t="inlineStr">
        <is>
          <t>services.controller.ts:881</t>
        </is>
      </c>
      <c r="K213" s="11" t="inlineStr">
        <is>
          <t>PARYTET</t>
        </is>
      </c>
      <c r="L213" s="11" t="inlineStr">
        <is>
          <t>—</t>
        </is>
      </c>
      <c r="M213" s="11" t="inlineStr">
        <is>
          <t>—</t>
        </is>
      </c>
      <c r="N213" s="12" t="inlineStr">
        <is>
          <t>realna telemetria LVE, 24 h / 7 d</t>
        </is>
      </c>
    </row>
    <row r="214">
      <c r="A214" s="11" t="inlineStr">
        <is>
          <t>K-02</t>
        </is>
      </c>
      <c r="B214" s="12" t="inlineStr">
        <is>
          <t>K</t>
        </is>
      </c>
      <c r="C214" s="11" t="inlineStr">
        <is>
          <t>Zużycie powierzchni i transferu</t>
        </is>
      </c>
      <c r="D214" s="11" t="inlineStr">
        <is>
          <t>TAK</t>
        </is>
      </c>
      <c r="E214" s="11" t="inlineStr">
        <is>
          <t>TAK</t>
        </is>
      </c>
      <c r="F214" s="11" t="inlineStr">
        <is>
          <t>TAK</t>
        </is>
      </c>
      <c r="G214" s="11" t="inlineStr">
        <is>
          <t>TAK</t>
        </is>
      </c>
      <c r="H214" s="11" t="inlineStr">
        <is>
          <t>TAK</t>
        </is>
      </c>
      <c r="I214" s="11" t="inlineStr">
        <is>
          <t>DZIAŁA</t>
        </is>
      </c>
      <c r="J214" s="12" t="inlineStr">
        <is>
          <t>services.controller.ts:936</t>
        </is>
      </c>
      <c r="K214" s="11" t="inlineStr">
        <is>
          <t>PARYTET</t>
        </is>
      </c>
      <c r="L214" s="11" t="inlineStr">
        <is>
          <t>—</t>
        </is>
      </c>
      <c r="M214" s="11" t="inlineStr">
        <is>
          <t>—</t>
        </is>
      </c>
      <c r="N214" s="12" t="inlineStr"/>
    </row>
    <row r="215">
      <c r="A215" s="11" t="inlineStr">
        <is>
          <t>K-03</t>
        </is>
      </c>
      <c r="B215" s="12" t="inlineStr">
        <is>
          <t>K</t>
        </is>
      </c>
      <c r="C215" s="11" t="inlineStr">
        <is>
          <t>Licznik inodów</t>
        </is>
      </c>
      <c r="D215" s="11" t="inlineStr">
        <is>
          <t>TAK</t>
        </is>
      </c>
      <c r="E215" s="11" t="inlineStr">
        <is>
          <t>TAK</t>
        </is>
      </c>
      <c r="F215" s="11" t="inlineStr">
        <is>
          <t>TAK</t>
        </is>
      </c>
      <c r="G215" s="11" t="inlineStr">
        <is>
          <t>b.d.</t>
        </is>
      </c>
      <c r="H215" s="11" t="inlineStr">
        <is>
          <t>CZĘŚĆ</t>
        </is>
      </c>
      <c r="I215" s="11" t="inlineStr">
        <is>
          <t>BRAK</t>
        </is>
      </c>
      <c r="J215" s="12" t="inlineStr">
        <is>
          <t>—</t>
        </is>
      </c>
      <c r="K215" s="11" t="inlineStr">
        <is>
          <t>LUKA</t>
        </is>
      </c>
      <c r="L215" s="11" t="inlineStr">
        <is>
          <t>ŚREDNIA</t>
        </is>
      </c>
      <c r="M215" s="11" t="inlineStr">
        <is>
          <t>S</t>
        </is>
      </c>
      <c r="N215" s="12" t="inlineStr">
        <is>
          <t>żaden hosting PL nie publikuje — okazja na transparentność</t>
        </is>
      </c>
    </row>
    <row r="216">
      <c r="A216" s="11" t="inlineStr">
        <is>
          <t>K-04</t>
        </is>
      </c>
      <c r="B216" s="12" t="inlineStr">
        <is>
          <t>K</t>
        </is>
      </c>
      <c r="C216" s="11" t="inlineStr">
        <is>
          <t>Logi dostępu WWW (access log)</t>
        </is>
      </c>
      <c r="D216" s="11" t="inlineStr">
        <is>
          <t>TAK</t>
        </is>
      </c>
      <c r="E216" s="11" t="inlineStr">
        <is>
          <t>TAK</t>
        </is>
      </c>
      <c r="F216" s="11" t="inlineStr">
        <is>
          <t>TAK</t>
        </is>
      </c>
      <c r="G216" s="11" t="inlineStr">
        <is>
          <t>TAK</t>
        </is>
      </c>
      <c r="H216" s="11" t="inlineStr">
        <is>
          <t>TAK</t>
        </is>
      </c>
      <c r="I216" s="11" t="inlineStr">
        <is>
          <t>BRAK</t>
        </is>
      </c>
      <c r="J216" s="12" t="inlineStr">
        <is>
          <t>—</t>
        </is>
      </c>
      <c r="K216" s="11" t="inlineStr">
        <is>
          <t>LUKA</t>
        </is>
      </c>
      <c r="L216" s="11" t="inlineStr">
        <is>
          <t>WYSOKA</t>
        </is>
      </c>
      <c r="M216" s="11" t="inlineStr">
        <is>
          <t>M</t>
        </is>
      </c>
      <c r="N216" s="12" t="inlineStr">
        <is>
          <t>wszystkie 5 hostingów PL to ma; seohost reklamuje jako darmowe</t>
        </is>
      </c>
    </row>
    <row r="217">
      <c r="A217" s="11" t="inlineStr">
        <is>
          <t>K-05</t>
        </is>
      </c>
      <c r="B217" s="12" t="inlineStr">
        <is>
          <t>K</t>
        </is>
      </c>
      <c r="C217" s="11" t="inlineStr">
        <is>
          <t>Logi błędów PHP</t>
        </is>
      </c>
      <c r="D217" s="11" t="inlineStr">
        <is>
          <t>TAK</t>
        </is>
      </c>
      <c r="E217" s="11" t="inlineStr">
        <is>
          <t>TAK</t>
        </is>
      </c>
      <c r="F217" s="11" t="inlineStr">
        <is>
          <t>TAK</t>
        </is>
      </c>
      <c r="G217" s="11" t="inlineStr">
        <is>
          <t>TAK</t>
        </is>
      </c>
      <c r="H217" s="11" t="inlineStr">
        <is>
          <t>TAK</t>
        </is>
      </c>
      <c r="I217" s="11" t="inlineStr">
        <is>
          <t>BRAK</t>
        </is>
      </c>
      <c r="J217" s="12" t="inlineStr">
        <is>
          <t>—</t>
        </is>
      </c>
      <c r="K217" s="11" t="inlineStr">
        <is>
          <t>LUKA</t>
        </is>
      </c>
      <c r="L217" s="11" t="inlineStr">
        <is>
          <t>WYSOKA</t>
        </is>
      </c>
      <c r="M217" s="11" t="inlineStr">
        <is>
          <t>M</t>
        </is>
      </c>
      <c r="N217" s="12" t="inlineStr">
        <is>
          <t>j.w. — bez tego klient nie zdiagnozuje własnej strony</t>
        </is>
      </c>
    </row>
    <row r="218">
      <c r="A218" s="11" t="inlineStr">
        <is>
          <t>K-06</t>
        </is>
      </c>
      <c r="B218" s="12" t="inlineStr">
        <is>
          <t>K</t>
        </is>
      </c>
      <c r="C218" s="11" t="inlineStr">
        <is>
          <t>Surowe logi do pobrania</t>
        </is>
      </c>
      <c r="D218" s="11" t="inlineStr">
        <is>
          <t>TAK</t>
        </is>
      </c>
      <c r="E218" s="11" t="inlineStr">
        <is>
          <t>TAK</t>
        </is>
      </c>
      <c r="F218" s="11" t="inlineStr">
        <is>
          <t>TAK</t>
        </is>
      </c>
      <c r="G218" s="11" t="inlineStr">
        <is>
          <t>CZĘŚĆ</t>
        </is>
      </c>
      <c r="H218" s="11" t="inlineStr">
        <is>
          <t>CZĘŚĆ</t>
        </is>
      </c>
      <c r="I218" s="11" t="inlineStr">
        <is>
          <t>BRAK</t>
        </is>
      </c>
      <c r="J218" s="12" t="inlineStr">
        <is>
          <t>—</t>
        </is>
      </c>
      <c r="K218" s="11" t="inlineStr">
        <is>
          <t>LUKA</t>
        </is>
      </c>
      <c r="L218" s="11" t="inlineStr">
        <is>
          <t>ŚREDNIA</t>
        </is>
      </c>
      <c r="M218" s="11" t="inlineStr">
        <is>
          <t>S</t>
        </is>
      </c>
      <c r="N218" s="12" t="inlineStr"/>
    </row>
    <row r="219">
      <c r="A219" s="11" t="inlineStr">
        <is>
          <t>K-07</t>
        </is>
      </c>
      <c r="B219" s="12" t="inlineStr">
        <is>
          <t>K</t>
        </is>
      </c>
      <c r="C219" s="11" t="inlineStr">
        <is>
          <t>Statystyki odwiedzin (AWStats/Webalizer)</t>
        </is>
      </c>
      <c r="D219" s="11" t="inlineStr">
        <is>
          <t>TAK</t>
        </is>
      </c>
      <c r="E219" s="11" t="inlineStr">
        <is>
          <t>TAK</t>
        </is>
      </c>
      <c r="F219" s="11" t="inlineStr">
        <is>
          <t>TAK</t>
        </is>
      </c>
      <c r="G219" s="11" t="inlineStr">
        <is>
          <t>CZĘŚĆ</t>
        </is>
      </c>
      <c r="H219" s="11" t="inlineStr">
        <is>
          <t>NIE</t>
        </is>
      </c>
      <c r="I219" s="11" t="inlineStr">
        <is>
          <t>BRAK</t>
        </is>
      </c>
      <c r="J219" s="12" t="inlineStr">
        <is>
          <t>—</t>
        </is>
      </c>
      <c r="K219" s="11" t="inlineStr">
        <is>
          <t>POZA ZAKRESEM</t>
        </is>
      </c>
      <c r="L219" s="11" t="inlineStr">
        <is>
          <t>NISKA</t>
        </is>
      </c>
      <c r="M219" s="11" t="inlineStr">
        <is>
          <t>—</t>
        </is>
      </c>
      <c r="N219" s="12" t="inlineStr">
        <is>
          <t>zastąpione własną analityką (K-12)</t>
        </is>
      </c>
    </row>
    <row r="220">
      <c r="A220" s="11" t="inlineStr">
        <is>
          <t>K-08</t>
        </is>
      </c>
      <c r="B220" s="12" t="inlineStr">
        <is>
          <t>K</t>
        </is>
      </c>
      <c r="C220" s="11" t="inlineStr">
        <is>
          <t>Powiadomienia o przekroczeniu limitów</t>
        </is>
      </c>
      <c r="D220" s="11" t="inlineStr">
        <is>
          <t>TAK</t>
        </is>
      </c>
      <c r="E220" s="11" t="inlineStr">
        <is>
          <t>TAK</t>
        </is>
      </c>
      <c r="F220" s="11" t="inlineStr">
        <is>
          <t>TAK</t>
        </is>
      </c>
      <c r="G220" s="11" t="inlineStr">
        <is>
          <t>CZĘŚĆ</t>
        </is>
      </c>
      <c r="H220" s="11" t="inlineStr">
        <is>
          <t>TAK</t>
        </is>
      </c>
      <c r="I220" s="11" t="inlineStr">
        <is>
          <t>CZĘŚCIOWE</t>
        </is>
      </c>
      <c r="J220" s="12" t="inlineStr">
        <is>
          <t>monitoring dostępności działa; brak alertów o limitach zasobów</t>
        </is>
      </c>
      <c r="K220" s="11" t="inlineStr">
        <is>
          <t>CZĘŚCIOWY</t>
        </is>
      </c>
      <c r="L220" s="11" t="inlineStr">
        <is>
          <t>ŚREDNIA</t>
        </is>
      </c>
      <c r="M220" s="11" t="inlineStr">
        <is>
          <t>S</t>
        </is>
      </c>
      <c r="N220" s="12" t="inlineStr"/>
    </row>
    <row r="221">
      <c r="A221" s="11" t="inlineStr">
        <is>
          <t>K-09</t>
        </is>
      </c>
      <c r="B221" s="12" t="inlineStr">
        <is>
          <t>K</t>
        </is>
      </c>
      <c r="C221" s="11" t="inlineStr">
        <is>
          <t>Health-check usługi (DNS/TLS/poczta/HTTP)</t>
        </is>
      </c>
      <c r="D221" s="11" t="inlineStr">
        <is>
          <t>NIE</t>
        </is>
      </c>
      <c r="E221" s="11" t="inlineStr">
        <is>
          <t>CZĘŚĆ</t>
        </is>
      </c>
      <c r="F221" s="11" t="inlineStr">
        <is>
          <t>NIE</t>
        </is>
      </c>
      <c r="G221" s="11" t="inlineStr">
        <is>
          <t>NIE</t>
        </is>
      </c>
      <c r="H221" s="11" t="inlineStr">
        <is>
          <t>CZĘŚĆ</t>
        </is>
      </c>
      <c r="I221" s="11" t="inlineStr">
        <is>
          <t>DZIAŁA</t>
        </is>
      </c>
      <c r="J221" s="12" t="inlineStr">
        <is>
          <t>services.controller.ts:865</t>
        </is>
      </c>
      <c r="K221" s="11" t="inlineStr">
        <is>
          <t>PRZEWAGA</t>
        </is>
      </c>
      <c r="L221" s="11" t="inlineStr">
        <is>
          <t>—</t>
        </is>
      </c>
      <c r="M221" s="11" t="inlineStr">
        <is>
          <t>—</t>
        </is>
      </c>
      <c r="N221" s="12" t="inlineStr">
        <is>
          <t>z podpowiedziami „co zrobić”</t>
        </is>
      </c>
    </row>
    <row r="222">
      <c r="A222" s="11" t="inlineStr">
        <is>
          <t>K-10</t>
        </is>
      </c>
      <c r="B222" s="12" t="inlineStr">
        <is>
          <t>K</t>
        </is>
      </c>
      <c r="C222" s="11" t="inlineStr">
        <is>
          <t>Monitoring dostępności strony</t>
        </is>
      </c>
      <c r="D222" s="11" t="inlineStr">
        <is>
          <t>NIE</t>
        </is>
      </c>
      <c r="E222" s="11" t="inlineStr">
        <is>
          <t>TAK</t>
        </is>
      </c>
      <c r="F222" s="11" t="inlineStr">
        <is>
          <t>NIE</t>
        </is>
      </c>
      <c r="G222" s="11" t="inlineStr">
        <is>
          <t>CZĘŚĆ</t>
        </is>
      </c>
      <c r="H222" s="11" t="inlineStr">
        <is>
          <t>TAK</t>
        </is>
      </c>
      <c r="I222" s="11" t="inlineStr">
        <is>
          <t>DZIAŁA</t>
        </is>
      </c>
      <c r="J222" s="12" t="inlineStr">
        <is>
          <t>services.controller.ts:147,157</t>
        </is>
      </c>
      <c r="K222" s="11" t="inlineStr">
        <is>
          <t>PRZEWAGA</t>
        </is>
      </c>
      <c r="L222" s="11" t="inlineStr">
        <is>
          <t>—</t>
        </is>
      </c>
      <c r="M222" s="11" t="inlineStr">
        <is>
          <t>—</t>
        </is>
      </c>
      <c r="N222" s="12" t="inlineStr">
        <is>
          <t>z powiadomieniami e-mail</t>
        </is>
      </c>
    </row>
    <row r="223">
      <c r="A223" s="11" t="inlineStr">
        <is>
          <t>K-11</t>
        </is>
      </c>
      <c r="B223" s="12" t="inlineStr">
        <is>
          <t>K</t>
        </is>
      </c>
      <c r="C223" s="11" t="inlineStr">
        <is>
          <t>Powiadomienia o wykrytej niedostępności</t>
        </is>
      </c>
      <c r="D223" s="11" t="inlineStr">
        <is>
          <t>NIE</t>
        </is>
      </c>
      <c r="E223" s="11" t="inlineStr">
        <is>
          <t>TAK</t>
        </is>
      </c>
      <c r="F223" s="11" t="inlineStr">
        <is>
          <t>NIE</t>
        </is>
      </c>
      <c r="G223" s="11" t="inlineStr">
        <is>
          <t>CZĘŚĆ</t>
        </is>
      </c>
      <c r="H223" s="11" t="inlineStr">
        <is>
          <t>TAK</t>
        </is>
      </c>
      <c r="I223" s="11" t="inlineStr">
        <is>
          <t>DZIAŁA</t>
        </is>
      </c>
      <c r="J223" s="12" t="inlineStr">
        <is>
          <t>services.controller.ts:157</t>
        </is>
      </c>
      <c r="K223" s="11" t="inlineStr">
        <is>
          <t>PRZEWAGA</t>
        </is>
      </c>
      <c r="L223" s="11" t="inlineStr">
        <is>
          <t>—</t>
        </is>
      </c>
      <c r="M223" s="11" t="inlineStr">
        <is>
          <t>—</t>
        </is>
      </c>
      <c r="N223" s="12" t="inlineStr"/>
    </row>
    <row r="224">
      <c r="A224" s="11" t="inlineStr">
        <is>
          <t>K-12</t>
        </is>
      </c>
      <c r="B224" s="12" t="inlineStr">
        <is>
          <t>K</t>
        </is>
      </c>
      <c r="C224" s="11" t="inlineStr">
        <is>
          <t>Analityka odwiedzin bez cookies</t>
        </is>
      </c>
      <c r="D224" s="11" t="inlineStr">
        <is>
          <t>NIE</t>
        </is>
      </c>
      <c r="E224" s="11" t="inlineStr">
        <is>
          <t>NIE</t>
        </is>
      </c>
      <c r="F224" s="11" t="inlineStr">
        <is>
          <t>NIE</t>
        </is>
      </c>
      <c r="G224" s="11" t="inlineStr">
        <is>
          <t>NIE</t>
        </is>
      </c>
      <c r="H224" s="11" t="inlineStr">
        <is>
          <t>NIE</t>
        </is>
      </c>
      <c r="I224" s="11" t="inlineStr">
        <is>
          <t>DZIAŁA</t>
        </is>
      </c>
      <c r="J224" s="12" t="inlineStr">
        <is>
          <t>analytics-sites.controller.ts:30,51; retencja 90 dni (analytics-sites.service.ts:49)</t>
        </is>
      </c>
      <c r="K224" s="11" t="inlineStr">
        <is>
          <t>PRZEWAGA</t>
        </is>
      </c>
      <c r="L224" s="11" t="inlineStr">
        <is>
          <t>—</t>
        </is>
      </c>
      <c r="M224" s="11" t="inlineStr">
        <is>
          <t>—</t>
        </is>
      </c>
      <c r="N224" s="12" t="inlineStr">
        <is>
          <t>nikt na rynku PL tego nie ma</t>
        </is>
      </c>
    </row>
    <row r="225">
      <c r="A225" s="11" t="inlineStr">
        <is>
          <t>K-13</t>
        </is>
      </c>
      <c r="B225" s="12" t="inlineStr">
        <is>
          <t>K</t>
        </is>
      </c>
      <c r="C225" s="11" t="inlineStr">
        <is>
          <t>Analityka — snippet do wklejenia</t>
        </is>
      </c>
      <c r="D225" s="11" t="inlineStr">
        <is>
          <t>NIE</t>
        </is>
      </c>
      <c r="E225" s="11" t="inlineStr">
        <is>
          <t>NIE</t>
        </is>
      </c>
      <c r="F225" s="11" t="inlineStr">
        <is>
          <t>NIE</t>
        </is>
      </c>
      <c r="G225" s="11" t="inlineStr">
        <is>
          <t>NIE</t>
        </is>
      </c>
      <c r="H225" s="11" t="inlineStr">
        <is>
          <t>NIE</t>
        </is>
      </c>
      <c r="I225" s="11" t="inlineStr">
        <is>
          <t>DZIAŁA</t>
        </is>
      </c>
      <c r="J225" s="12" t="inlineStr">
        <is>
          <t>analytics-public.controller.ts</t>
        </is>
      </c>
      <c r="K225" s="11" t="inlineStr">
        <is>
          <t>PRZEWAGA</t>
        </is>
      </c>
      <c r="L225" s="11" t="inlineStr">
        <is>
          <t>—</t>
        </is>
      </c>
      <c r="M225" s="11" t="inlineStr">
        <is>
          <t>—</t>
        </is>
      </c>
      <c r="N225" s="12" t="inlineStr"/>
    </row>
    <row r="226">
      <c r="A226" s="11" t="inlineStr">
        <is>
          <t>K-14</t>
        </is>
      </c>
      <c r="B226" s="12" t="inlineStr">
        <is>
          <t>K</t>
        </is>
      </c>
      <c r="C226" s="11" t="inlineStr">
        <is>
          <t>Wolne zapytania SQL</t>
        </is>
      </c>
      <c r="D226" s="11" t="inlineStr">
        <is>
          <t>TAK</t>
        </is>
      </c>
      <c r="E226" s="11" t="inlineStr">
        <is>
          <t>TAK</t>
        </is>
      </c>
      <c r="F226" s="11" t="inlineStr">
        <is>
          <t>CZĘŚĆ</t>
        </is>
      </c>
      <c r="G226" s="11" t="inlineStr">
        <is>
          <t>NIE</t>
        </is>
      </c>
      <c r="H226" s="11" t="inlineStr">
        <is>
          <t>CZĘŚĆ</t>
        </is>
      </c>
      <c r="I226" s="11" t="inlineStr">
        <is>
          <t>BRAK</t>
        </is>
      </c>
      <c r="J226" s="12" t="inlineStr">
        <is>
          <t>—</t>
        </is>
      </c>
      <c r="K226" s="11" t="inlineStr">
        <is>
          <t>LUKA</t>
        </is>
      </c>
      <c r="L226" s="11" t="inlineStr">
        <is>
          <t>NISKA</t>
        </is>
      </c>
      <c r="M226" s="11" t="inlineStr">
        <is>
          <t>M</t>
        </is>
      </c>
      <c r="N226" s="12" t="inlineStr"/>
    </row>
    <row r="227">
      <c r="A227" s="11" t="inlineStr">
        <is>
          <t>L-01</t>
        </is>
      </c>
      <c r="B227" s="12" t="inlineStr">
        <is>
          <t>L</t>
        </is>
      </c>
      <c r="C227" s="11" t="inlineStr">
        <is>
          <t>Zadanie cron — dodanie</t>
        </is>
      </c>
      <c r="D227" s="11" t="inlineStr">
        <is>
          <t>TAK</t>
        </is>
      </c>
      <c r="E227" s="11" t="inlineStr">
        <is>
          <t>TAK</t>
        </is>
      </c>
      <c r="F227" s="11" t="inlineStr">
        <is>
          <t>TAK</t>
        </is>
      </c>
      <c r="G227" s="11" t="inlineStr">
        <is>
          <t>TAK</t>
        </is>
      </c>
      <c r="H227" s="11" t="inlineStr">
        <is>
          <t>TAK</t>
        </is>
      </c>
      <c r="I227" s="11" t="inlineStr">
        <is>
          <t>DZIAŁA</t>
        </is>
      </c>
      <c r="J227" s="12" t="inlineStr">
        <is>
          <t>services.controller.ts:640</t>
        </is>
      </c>
      <c r="K227" s="11" t="inlineStr">
        <is>
          <t>PARYTET</t>
        </is>
      </c>
      <c r="L227" s="11" t="inlineStr">
        <is>
          <t>—</t>
        </is>
      </c>
      <c r="M227" s="11" t="inlineStr">
        <is>
          <t>—</t>
        </is>
      </c>
      <c r="N227" s="12" t="inlineStr">
        <is>
          <t>presety harmonogramu</t>
        </is>
      </c>
    </row>
    <row r="228">
      <c r="A228" s="11" t="inlineStr">
        <is>
          <t>L-02</t>
        </is>
      </c>
      <c r="B228" s="12" t="inlineStr">
        <is>
          <t>L</t>
        </is>
      </c>
      <c r="C228" s="11" t="inlineStr">
        <is>
          <t>Zadanie cron — usunięcie</t>
        </is>
      </c>
      <c r="D228" s="11" t="inlineStr">
        <is>
          <t>TAK</t>
        </is>
      </c>
      <c r="E228" s="11" t="inlineStr">
        <is>
          <t>TAK</t>
        </is>
      </c>
      <c r="F228" s="11" t="inlineStr">
        <is>
          <t>TAK</t>
        </is>
      </c>
      <c r="G228" s="11" t="inlineStr">
        <is>
          <t>TAK</t>
        </is>
      </c>
      <c r="H228" s="11" t="inlineStr">
        <is>
          <t>TAK</t>
        </is>
      </c>
      <c r="I228" s="11" t="inlineStr">
        <is>
          <t>DZIAŁA</t>
        </is>
      </c>
      <c r="J228" s="12" t="inlineStr">
        <is>
          <t>services.controller.ts:657</t>
        </is>
      </c>
      <c r="K228" s="11" t="inlineStr">
        <is>
          <t>PARYTET</t>
        </is>
      </c>
      <c r="L228" s="11" t="inlineStr">
        <is>
          <t>—</t>
        </is>
      </c>
      <c r="M228" s="11" t="inlineStr">
        <is>
          <t>—</t>
        </is>
      </c>
      <c r="N228" s="12" t="inlineStr"/>
    </row>
    <row r="229">
      <c r="A229" s="11" t="inlineStr">
        <is>
          <t>L-03</t>
        </is>
      </c>
      <c r="B229" s="12" t="inlineStr">
        <is>
          <t>L</t>
        </is>
      </c>
      <c r="C229" s="11" t="inlineStr">
        <is>
          <t>Zadanie cron — edycja</t>
        </is>
      </c>
      <c r="D229" s="11" t="inlineStr">
        <is>
          <t>TAK</t>
        </is>
      </c>
      <c r="E229" s="11" t="inlineStr">
        <is>
          <t>TAK</t>
        </is>
      </c>
      <c r="F229" s="11" t="inlineStr">
        <is>
          <t>TAK</t>
        </is>
      </c>
      <c r="G229" s="11" t="inlineStr">
        <is>
          <t>TAK</t>
        </is>
      </c>
      <c r="H229" s="11" t="inlineStr">
        <is>
          <t>TAK</t>
        </is>
      </c>
      <c r="I229" s="11" t="inlineStr">
        <is>
          <t>BRAK</t>
        </is>
      </c>
      <c r="J229" s="12" t="inlineStr">
        <is>
          <t>—</t>
        </is>
      </c>
      <c r="K229" s="11" t="inlineStr">
        <is>
          <t>LUKA</t>
        </is>
      </c>
      <c r="L229" s="11" t="inlineStr">
        <is>
          <t>ŚREDNIA</t>
        </is>
      </c>
      <c r="M229" s="11" t="inlineStr">
        <is>
          <t>S</t>
        </is>
      </c>
      <c r="N229" s="12" t="inlineStr">
        <is>
          <t>obecnie usuń i dodaj ponownie</t>
        </is>
      </c>
    </row>
    <row r="230">
      <c r="A230" s="11" t="inlineStr">
        <is>
          <t>L-04</t>
        </is>
      </c>
      <c r="B230" s="12" t="inlineStr">
        <is>
          <t>L</t>
        </is>
      </c>
      <c r="C230" s="11" t="inlineStr">
        <is>
          <t>Cron z interwałem 1 minuty</t>
        </is>
      </c>
      <c r="D230" s="11" t="inlineStr">
        <is>
          <t>TAK</t>
        </is>
      </c>
      <c r="E230" s="11" t="inlineStr">
        <is>
          <t>TAK</t>
        </is>
      </c>
      <c r="F230" s="11" t="inlineStr">
        <is>
          <t>TAK</t>
        </is>
      </c>
      <c r="G230" s="11" t="inlineStr">
        <is>
          <t>CZĘŚĆ</t>
        </is>
      </c>
      <c r="H230" s="11" t="inlineStr">
        <is>
          <t>TAK</t>
        </is>
      </c>
      <c r="I230" s="11" t="inlineStr">
        <is>
          <t>b.d.</t>
        </is>
      </c>
      <c r="J230" s="12" t="inlineStr">
        <is>
          <t>zależne od konfiguracji DA</t>
        </is>
      </c>
      <c r="K230" s="11" t="inlineStr">
        <is>
          <t>CZĘŚCIOWY</t>
        </is>
      </c>
      <c r="L230" s="11" t="inlineStr">
        <is>
          <t>NISKA</t>
        </is>
      </c>
      <c r="M230" s="11" t="inlineStr">
        <is>
          <t>S</t>
        </is>
      </c>
      <c r="N230" s="12" t="inlineStr">
        <is>
          <t>cyber_Folks ma minimum 60 min — okazja</t>
        </is>
      </c>
    </row>
    <row r="231">
      <c r="A231" s="11" t="inlineStr">
        <is>
          <t>L-05</t>
        </is>
      </c>
      <c r="B231" s="12" t="inlineStr">
        <is>
          <t>L</t>
        </is>
      </c>
      <c r="C231" s="11" t="inlineStr">
        <is>
          <t>Cron z wyborem wersji PHP</t>
        </is>
      </c>
      <c r="D231" s="11" t="inlineStr">
        <is>
          <t>TAK</t>
        </is>
      </c>
      <c r="E231" s="11" t="inlineStr">
        <is>
          <t>TAK</t>
        </is>
      </c>
      <c r="F231" s="11" t="inlineStr">
        <is>
          <t>TAK</t>
        </is>
      </c>
      <c r="G231" s="11" t="inlineStr">
        <is>
          <t>CZĘŚĆ</t>
        </is>
      </c>
      <c r="H231" s="11" t="inlineStr">
        <is>
          <t>CZĘŚĆ</t>
        </is>
      </c>
      <c r="I231" s="11" t="inlineStr">
        <is>
          <t>BRAK</t>
        </is>
      </c>
      <c r="J231" s="12" t="inlineStr">
        <is>
          <t>—</t>
        </is>
      </c>
      <c r="K231" s="11" t="inlineStr">
        <is>
          <t>LUKA</t>
        </is>
      </c>
      <c r="L231" s="11" t="inlineStr">
        <is>
          <t>ŚREDNIA</t>
        </is>
      </c>
      <c r="M231" s="11" t="inlineStr">
        <is>
          <t>S</t>
        </is>
      </c>
      <c r="N231" s="12" t="inlineStr">
        <is>
          <t>seohost to reklamuje</t>
        </is>
      </c>
    </row>
    <row r="232">
      <c r="A232" s="11" t="inlineStr">
        <is>
          <t>L-06</t>
        </is>
      </c>
      <c r="B232" s="12" t="inlineStr">
        <is>
          <t>L</t>
        </is>
      </c>
      <c r="C232" s="11" t="inlineStr">
        <is>
          <t>Podgląd wyniku ostatniego wykonania crona</t>
        </is>
      </c>
      <c r="D232" s="11" t="inlineStr">
        <is>
          <t>TAK</t>
        </is>
      </c>
      <c r="E232" s="11" t="inlineStr">
        <is>
          <t>TAK</t>
        </is>
      </c>
      <c r="F232" s="11" t="inlineStr">
        <is>
          <t>CZĘŚĆ</t>
        </is>
      </c>
      <c r="G232" s="11" t="inlineStr">
        <is>
          <t>NIE</t>
        </is>
      </c>
      <c r="H232" s="11" t="inlineStr">
        <is>
          <t>CZĘŚĆ</t>
        </is>
      </c>
      <c r="I232" s="11" t="inlineStr">
        <is>
          <t>BRAK</t>
        </is>
      </c>
      <c r="J232" s="12" t="inlineStr">
        <is>
          <t>—</t>
        </is>
      </c>
      <c r="K232" s="11" t="inlineStr">
        <is>
          <t>LUKA</t>
        </is>
      </c>
      <c r="L232" s="11" t="inlineStr">
        <is>
          <t>ŚREDNIA</t>
        </is>
      </c>
      <c r="M232" s="11" t="inlineStr">
        <is>
          <t>M</t>
        </is>
      </c>
      <c r="N232" s="12" t="inlineStr"/>
    </row>
    <row r="233">
      <c r="A233" s="11" t="inlineStr">
        <is>
          <t>L-07</t>
        </is>
      </c>
      <c r="B233" s="12" t="inlineStr">
        <is>
          <t>L</t>
        </is>
      </c>
      <c r="C233" s="11" t="inlineStr">
        <is>
          <t>Publiczne API — odczyt</t>
        </is>
      </c>
      <c r="D233" s="11" t="inlineStr">
        <is>
          <t>TAK</t>
        </is>
      </c>
      <c r="E233" s="11" t="inlineStr">
        <is>
          <t>TAK</t>
        </is>
      </c>
      <c r="F233" s="11" t="inlineStr">
        <is>
          <t>TAK</t>
        </is>
      </c>
      <c r="G233" s="11" t="inlineStr">
        <is>
          <t>NIE</t>
        </is>
      </c>
      <c r="H233" s="11" t="inlineStr">
        <is>
          <t>TAK</t>
        </is>
      </c>
      <c r="I233" s="11" t="inlineStr">
        <is>
          <t>CZĘŚCIOWE</t>
        </is>
      </c>
      <c r="J233" s="12" t="inlineStr">
        <is>
          <t>public-api.controller.ts:22-98 — 5 endpointów GET</t>
        </is>
      </c>
      <c r="K233" s="11" t="inlineStr">
        <is>
          <t>PRZEWAGA</t>
        </is>
      </c>
      <c r="L233" s="11" t="inlineStr">
        <is>
          <t>—</t>
        </is>
      </c>
      <c r="M233" s="11" t="inlineStr">
        <is>
          <t>—</t>
        </is>
      </c>
      <c r="N233" s="12" t="inlineStr">
        <is>
          <t>żaden hosting PL nie ma publicznego API</t>
        </is>
      </c>
    </row>
    <row r="234">
      <c r="A234" s="11" t="inlineStr">
        <is>
          <t>L-08</t>
        </is>
      </c>
      <c r="B234" s="12" t="inlineStr">
        <is>
          <t>L</t>
        </is>
      </c>
      <c r="C234" s="11" t="inlineStr">
        <is>
          <t>Publiczne API — zapis</t>
        </is>
      </c>
      <c r="D234" s="11" t="inlineStr">
        <is>
          <t>TAK</t>
        </is>
      </c>
      <c r="E234" s="11" t="inlineStr">
        <is>
          <t>TAK</t>
        </is>
      </c>
      <c r="F234" s="11" t="inlineStr">
        <is>
          <t>TAK</t>
        </is>
      </c>
      <c r="G234" s="11" t="inlineStr">
        <is>
          <t>NIE</t>
        </is>
      </c>
      <c r="H234" s="11" t="inlineStr">
        <is>
          <t>TAK</t>
        </is>
      </c>
      <c r="I234" s="11" t="inlineStr">
        <is>
          <t>BRAK</t>
        </is>
      </c>
      <c r="J234" s="12" t="inlineStr">
        <is>
          <t>api-scopes.ts:3 — 3 zakresy read-only; przyznane w api-tokens-client.tsx:158</t>
        </is>
      </c>
      <c r="K234" s="11" t="inlineStr">
        <is>
          <t>LUKA</t>
        </is>
      </c>
      <c r="L234" s="11" t="inlineStr">
        <is>
          <t>ŚREDNIA</t>
        </is>
      </c>
      <c r="M234" s="11" t="inlineStr">
        <is>
          <t>L</t>
        </is>
      </c>
      <c r="N234" s="12" t="inlineStr">
        <is>
          <t>strona obiecuje „CI/CD, Terraform, skrypty” przy samych GET-ach</t>
        </is>
      </c>
    </row>
    <row r="235">
      <c r="A235" s="11" t="inlineStr">
        <is>
          <t>L-09</t>
        </is>
      </c>
      <c r="B235" s="12" t="inlineStr">
        <is>
          <t>L</t>
        </is>
      </c>
      <c r="C235" s="11" t="inlineStr">
        <is>
          <t>Tokeny API z zakresami uprawnień</t>
        </is>
      </c>
      <c r="D235" s="11" t="inlineStr">
        <is>
          <t>TAK</t>
        </is>
      </c>
      <c r="E235" s="11" t="inlineStr">
        <is>
          <t>TAK</t>
        </is>
      </c>
      <c r="F235" s="11" t="inlineStr">
        <is>
          <t>TAK</t>
        </is>
      </c>
      <c r="G235" s="11" t="inlineStr">
        <is>
          <t>NIE</t>
        </is>
      </c>
      <c r="H235" s="11" t="inlineStr">
        <is>
          <t>TAK</t>
        </is>
      </c>
      <c r="I235" s="11" t="inlineStr">
        <is>
          <t>CZĘŚCIOWE</t>
        </is>
      </c>
      <c r="J235" s="12" t="inlineStr">
        <is>
          <t>api-tokens.controller.ts:35</t>
        </is>
      </c>
      <c r="K235" s="11" t="inlineStr">
        <is>
          <t>CZĘŚCIOWY</t>
        </is>
      </c>
      <c r="L235" s="11" t="inlineStr">
        <is>
          <t>NISKA</t>
        </is>
      </c>
      <c r="M235" s="11" t="inlineStr">
        <is>
          <t>S</t>
        </is>
      </c>
      <c r="N235" s="12" t="inlineStr"/>
    </row>
    <row r="236">
      <c r="A236" s="11" t="inlineStr">
        <is>
          <t>L-10</t>
        </is>
      </c>
      <c r="B236" s="12" t="inlineStr">
        <is>
          <t>L</t>
        </is>
      </c>
      <c r="C236" s="11" t="inlineStr">
        <is>
          <t>Webhooki dla klienta</t>
        </is>
      </c>
      <c r="D236" s="11" t="inlineStr">
        <is>
          <t>CZĘŚĆ</t>
        </is>
      </c>
      <c r="E236" s="11" t="inlineStr">
        <is>
          <t>TAK</t>
        </is>
      </c>
      <c r="F236" s="11" t="inlineStr">
        <is>
          <t>NIE</t>
        </is>
      </c>
      <c r="G236" s="11" t="inlineStr">
        <is>
          <t>NIE</t>
        </is>
      </c>
      <c r="H236" s="11" t="inlineStr">
        <is>
          <t>CZĘŚĆ</t>
        </is>
      </c>
      <c r="I236" s="11" t="inlineStr">
        <is>
          <t>BRAK</t>
        </is>
      </c>
      <c r="J236" s="12" t="inlineStr">
        <is>
          <t>—</t>
        </is>
      </c>
      <c r="K236" s="11" t="inlineStr">
        <is>
          <t>LUKA</t>
        </is>
      </c>
      <c r="L236" s="11" t="inlineStr">
        <is>
          <t>NISKA</t>
        </is>
      </c>
      <c r="M236" s="11" t="inlineStr">
        <is>
          <t>M</t>
        </is>
      </c>
      <c r="N236" s="12" t="inlineStr"/>
    </row>
    <row r="237">
      <c r="A237" s="11" t="inlineStr">
        <is>
          <t>L-11</t>
        </is>
      </c>
      <c r="B237" s="12" t="inlineStr">
        <is>
          <t>L</t>
        </is>
      </c>
      <c r="C237" s="11" t="inlineStr">
        <is>
          <t>Asystent AI w panelu</t>
        </is>
      </c>
      <c r="D237" s="11" t="inlineStr">
        <is>
          <t>NIE</t>
        </is>
      </c>
      <c r="E237" s="11" t="inlineStr">
        <is>
          <t>NIE</t>
        </is>
      </c>
      <c r="F237" s="11" t="inlineStr">
        <is>
          <t>NIE</t>
        </is>
      </c>
      <c r="G237" s="11" t="inlineStr">
        <is>
          <t>CZĘŚĆ</t>
        </is>
      </c>
      <c r="H237" s="11" t="inlineStr">
        <is>
          <t>TAK</t>
        </is>
      </c>
      <c r="I237" s="11" t="inlineStr">
        <is>
          <t>FLAGA</t>
        </is>
      </c>
      <c r="J237" s="12" t="inlineStr">
        <is>
          <t>HostingAssistant.tsx:61; ai-provider.service.ts:21 — AI_API_KEY domyślnie pusty</t>
        </is>
      </c>
      <c r="K237" s="11" t="inlineStr">
        <is>
          <t>CZĘŚCIOWY</t>
        </is>
      </c>
      <c r="L237" s="11" t="inlineStr">
        <is>
          <t>ŚREDNIA</t>
        </is>
      </c>
      <c r="M237" s="11" t="inlineStr">
        <is>
          <t>S</t>
        </is>
      </c>
      <c r="N237" s="12" t="inlineStr">
        <is>
          <t>funkcja wygląda na wbudowaną, a bez klucza milczy</t>
        </is>
      </c>
    </row>
    <row r="238">
      <c r="A238" s="11" t="inlineStr">
        <is>
          <t>L-12</t>
        </is>
      </c>
      <c r="B238" s="12" t="inlineStr">
        <is>
          <t>L</t>
        </is>
      </c>
      <c r="C238" s="11" t="inlineStr">
        <is>
          <t>Prognoza zużycia zasobów (AI)</t>
        </is>
      </c>
      <c r="D238" s="11" t="inlineStr">
        <is>
          <t>NIE</t>
        </is>
      </c>
      <c r="E238" s="11" t="inlineStr">
        <is>
          <t>NIE</t>
        </is>
      </c>
      <c r="F238" s="11" t="inlineStr">
        <is>
          <t>NIE</t>
        </is>
      </c>
      <c r="G238" s="11" t="inlineStr">
        <is>
          <t>NIE</t>
        </is>
      </c>
      <c r="H238" s="11" t="inlineStr">
        <is>
          <t>CZĘŚĆ</t>
        </is>
      </c>
      <c r="I238" s="11" t="inlineStr">
        <is>
          <t>FLAGA</t>
        </is>
      </c>
      <c r="J238" s="12" t="inlineStr">
        <is>
          <t>hosting-forecast-actions.ts:7; fallback ServiceForecastPanel.tsx:97</t>
        </is>
      </c>
      <c r="K238" s="11" t="inlineStr">
        <is>
          <t>CZĘŚCIOWY</t>
        </is>
      </c>
      <c r="L238" s="11" t="inlineStr">
        <is>
          <t>NISKA</t>
        </is>
      </c>
      <c r="M238" s="11" t="inlineStr">
        <is>
          <t>S</t>
        </is>
      </c>
      <c r="N238" s="12" t="inlineStr"/>
    </row>
    <row r="239">
      <c r="A239" s="11" t="inlineStr">
        <is>
          <t>M-01</t>
        </is>
      </c>
      <c r="B239" s="12" t="inlineStr">
        <is>
          <t>M</t>
        </is>
      </c>
      <c r="C239" s="11" t="inlineStr">
        <is>
          <t>Faktura VAT dostępna w panelu</t>
        </is>
      </c>
      <c r="D239" s="11" t="inlineStr">
        <is>
          <t>NIE</t>
        </is>
      </c>
      <c r="E239" s="11" t="inlineStr">
        <is>
          <t>NIE</t>
        </is>
      </c>
      <c r="F239" s="11" t="inlineStr">
        <is>
          <t>NIE</t>
        </is>
      </c>
      <c r="G239" s="11" t="inlineStr">
        <is>
          <t>TAK</t>
        </is>
      </c>
      <c r="H239" s="11" t="inlineStr">
        <is>
          <t>TAK</t>
        </is>
      </c>
      <c r="I239" s="11" t="inlineStr">
        <is>
          <t>DZIAŁA</t>
        </is>
      </c>
      <c r="J239" s="12" t="inlineStr">
        <is>
          <t>invoices.controller.ts:23,46</t>
        </is>
      </c>
      <c r="K239" s="11" t="inlineStr">
        <is>
          <t>PARYTET</t>
        </is>
      </c>
      <c r="L239" s="11" t="inlineStr">
        <is>
          <t>—</t>
        </is>
      </c>
      <c r="M239" s="11" t="inlineStr">
        <is>
          <t>—</t>
        </is>
      </c>
      <c r="N239" s="12" t="inlineStr"/>
    </row>
    <row r="240">
      <c r="A240" s="11" t="inlineStr">
        <is>
          <t>M-02</t>
        </is>
      </c>
      <c r="B240" s="12" t="inlineStr">
        <is>
          <t>M</t>
        </is>
      </c>
      <c r="C240" s="11" t="inlineStr">
        <is>
          <t>Numeracja faktur odporna na wyścigi</t>
        </is>
      </c>
      <c r="D240" s="11" t="inlineStr">
        <is>
          <t>NIE</t>
        </is>
      </c>
      <c r="E240" s="11" t="inlineStr">
        <is>
          <t>NIE</t>
        </is>
      </c>
      <c r="F240" s="11" t="inlineStr">
        <is>
          <t>NIE</t>
        </is>
      </c>
      <c r="G240" s="11" t="inlineStr">
        <is>
          <t>TAK</t>
        </is>
      </c>
      <c r="H240" s="11" t="inlineStr">
        <is>
          <t>TAK</t>
        </is>
      </c>
      <c r="I240" s="11" t="inlineStr">
        <is>
          <t>DZIAŁA</t>
        </is>
      </c>
      <c r="J240" s="12" t="inlineStr">
        <is>
          <t>invoices.service.ts:245-267 (ON CONFLICT ... seq+1)</t>
        </is>
      </c>
      <c r="K240" s="11" t="inlineStr">
        <is>
          <t>PARYTET</t>
        </is>
      </c>
      <c r="L240" s="11" t="inlineStr">
        <is>
          <t>WYSOKA</t>
        </is>
      </c>
      <c r="M240" s="11" t="inlineStr">
        <is>
          <t>—</t>
        </is>
      </c>
      <c r="N240" s="12" t="inlineStr">
        <is>
          <t>poprawnie zrobione, ale ZERO testów przy raw SQL</t>
        </is>
      </c>
    </row>
    <row r="241">
      <c r="A241" s="11" t="inlineStr">
        <is>
          <t>M-03</t>
        </is>
      </c>
      <c r="B241" s="12" t="inlineStr">
        <is>
          <t>M</t>
        </is>
      </c>
      <c r="C241" s="11" t="inlineStr">
        <is>
          <t>Numer nadawany dopiero przy opłaceniu</t>
        </is>
      </c>
      <c r="D241" s="11" t="inlineStr">
        <is>
          <t>NIE</t>
        </is>
      </c>
      <c r="E241" s="11" t="inlineStr">
        <is>
          <t>NIE</t>
        </is>
      </c>
      <c r="F241" s="11" t="inlineStr">
        <is>
          <t>NIE</t>
        </is>
      </c>
      <c r="G241" s="11" t="inlineStr">
        <is>
          <t>b.d.</t>
        </is>
      </c>
      <c r="H241" s="11" t="inlineStr">
        <is>
          <t>b.d.</t>
        </is>
      </c>
      <c r="I241" s="11" t="inlineStr">
        <is>
          <t>DZIAŁA</t>
        </is>
      </c>
      <c r="J241" s="12" t="inlineStr">
        <is>
          <t>invoices.service.ts:183-189</t>
        </is>
      </c>
      <c r="K241" s="11" t="inlineStr">
        <is>
          <t>PRZEWAGA</t>
        </is>
      </c>
      <c r="L241" s="11" t="inlineStr">
        <is>
          <t>—</t>
        </is>
      </c>
      <c r="M241" s="11" t="inlineStr">
        <is>
          <t>—</t>
        </is>
      </c>
      <c r="N241" s="12" t="inlineStr">
        <is>
          <t>nie „pali” sekwencji</t>
        </is>
      </c>
    </row>
    <row r="242">
      <c r="A242" s="11" t="inlineStr">
        <is>
          <t>M-04</t>
        </is>
      </c>
      <c r="B242" s="12" t="inlineStr">
        <is>
          <t>M</t>
        </is>
      </c>
      <c r="C242" s="11" t="inlineStr">
        <is>
          <t>Snapshot danych sprzedawcy i nabywcy (art. 106e)</t>
        </is>
      </c>
      <c r="D242" s="11" t="inlineStr">
        <is>
          <t>NIE</t>
        </is>
      </c>
      <c r="E242" s="11" t="inlineStr">
        <is>
          <t>NIE</t>
        </is>
      </c>
      <c r="F242" s="11" t="inlineStr">
        <is>
          <t>NIE</t>
        </is>
      </c>
      <c r="G242" s="11" t="inlineStr">
        <is>
          <t>TAK</t>
        </is>
      </c>
      <c r="H242" s="11" t="inlineStr">
        <is>
          <t>TAK</t>
        </is>
      </c>
      <c r="I242" s="11" t="inlineStr">
        <is>
          <t>DZIAŁA</t>
        </is>
      </c>
      <c r="J242" s="12" t="inlineStr">
        <is>
          <t>invoices.service.ts:292-300,355-374</t>
        </is>
      </c>
      <c r="K242" s="11" t="inlineStr">
        <is>
          <t>PARYTET</t>
        </is>
      </c>
      <c r="L242" s="11" t="inlineStr">
        <is>
          <t>—</t>
        </is>
      </c>
      <c r="M242" s="11" t="inlineStr">
        <is>
          <t>—</t>
        </is>
      </c>
      <c r="N242" s="12" t="inlineStr"/>
    </row>
    <row r="243">
      <c r="A243" s="11" t="inlineStr">
        <is>
          <t>M-05</t>
        </is>
      </c>
      <c r="B243" s="12" t="inlineStr">
        <is>
          <t>M</t>
        </is>
      </c>
      <c r="C243" s="11" t="inlineStr">
        <is>
          <t>PDF faktury</t>
        </is>
      </c>
      <c r="D243" s="11" t="inlineStr">
        <is>
          <t>NIE</t>
        </is>
      </c>
      <c r="E243" s="11" t="inlineStr">
        <is>
          <t>NIE</t>
        </is>
      </c>
      <c r="F243" s="11" t="inlineStr">
        <is>
          <t>NIE</t>
        </is>
      </c>
      <c r="G243" s="11" t="inlineStr">
        <is>
          <t>TAK</t>
        </is>
      </c>
      <c r="H243" s="11" t="inlineStr">
        <is>
          <t>TAK</t>
        </is>
      </c>
      <c r="I243" s="11" t="inlineStr">
        <is>
          <t>DZIAŁA</t>
        </is>
      </c>
      <c r="J243" s="12" t="inlineStr">
        <is>
          <t>invoice-pdf.service.ts (493 l.)</t>
        </is>
      </c>
      <c r="K243" s="11" t="inlineStr">
        <is>
          <t>PARYTET</t>
        </is>
      </c>
      <c r="L243" s="11" t="inlineStr">
        <is>
          <t>—</t>
        </is>
      </c>
      <c r="M243" s="11" t="inlineStr">
        <is>
          <t>—</t>
        </is>
      </c>
      <c r="N243" s="12" t="inlineStr">
        <is>
          <t>ZERO testów</t>
        </is>
      </c>
    </row>
    <row r="244">
      <c r="A244" s="11" t="inlineStr">
        <is>
          <t>M-06</t>
        </is>
      </c>
      <c r="B244" s="12" t="inlineStr">
        <is>
          <t>M</t>
        </is>
      </c>
      <c r="C244" s="11" t="inlineStr">
        <is>
          <t>FAKTURA KORYGUJĄCA</t>
        </is>
      </c>
      <c r="D244" s="11" t="inlineStr">
        <is>
          <t>NIE</t>
        </is>
      </c>
      <c r="E244" s="11" t="inlineStr">
        <is>
          <t>NIE</t>
        </is>
      </c>
      <c r="F244" s="11" t="inlineStr">
        <is>
          <t>NIE</t>
        </is>
      </c>
      <c r="G244" s="11" t="inlineStr">
        <is>
          <t>TAK</t>
        </is>
      </c>
      <c r="H244" s="11" t="inlineStr">
        <is>
          <t>TAK</t>
        </is>
      </c>
      <c r="I244" s="11" t="inlineStr">
        <is>
          <t>BRAK</t>
        </is>
      </c>
      <c r="J244" s="12" t="inlineStr">
        <is>
          <t>zero wystąpień korekty w apps/api i schema.prisma; fa3-xml.builder.ts:177 zawsze &lt;RodzajFaktury&gt;VAT</t>
        </is>
      </c>
      <c r="K244" s="11" t="inlineStr">
        <is>
          <t>LUKA</t>
        </is>
      </c>
      <c r="L244" s="11" t="inlineStr">
        <is>
          <t>BLOKER STARTU</t>
        </is>
      </c>
      <c r="M244" s="11" t="inlineStr">
        <is>
          <t>L</t>
        </is>
      </c>
      <c r="N244" s="12" t="inlineStr">
        <is>
          <t>pierwszy zwrot, pierwsza rezygnacja w trakcie okresu, pierwsza literówka w NIP — i operator wychodzi poza system</t>
        </is>
      </c>
    </row>
    <row r="245">
      <c r="A245" s="11" t="inlineStr">
        <is>
          <t>M-07</t>
        </is>
      </c>
      <c r="B245" s="12" t="inlineStr">
        <is>
          <t>M</t>
        </is>
      </c>
      <c r="C245" s="11" t="inlineStr">
        <is>
          <t>DUPLIKAT FAKTURY</t>
        </is>
      </c>
      <c r="D245" s="11" t="inlineStr">
        <is>
          <t>NIE</t>
        </is>
      </c>
      <c r="E245" s="11" t="inlineStr">
        <is>
          <t>NIE</t>
        </is>
      </c>
      <c r="F245" s="11" t="inlineStr">
        <is>
          <t>NIE</t>
        </is>
      </c>
      <c r="G245" s="11" t="inlineStr">
        <is>
          <t>TAK</t>
        </is>
      </c>
      <c r="H245" s="11" t="inlineStr">
        <is>
          <t>TAK</t>
        </is>
      </c>
      <c r="I245" s="11" t="inlineStr">
        <is>
          <t>BRAK</t>
        </is>
      </c>
      <c r="J245" s="12" t="inlineStr">
        <is>
          <t>brak flagi isDuplicate, brak endpointu</t>
        </is>
      </c>
      <c r="K245" s="11" t="inlineStr">
        <is>
          <t>LUKA</t>
        </is>
      </c>
      <c r="L245" s="11" t="inlineStr">
        <is>
          <t>ŚREDNIA</t>
        </is>
      </c>
      <c r="M245" s="11" t="inlineStr">
        <is>
          <t>M</t>
        </is>
      </c>
      <c r="N245" s="12" t="inlineStr">
        <is>
          <t>Skorygowane: brak flagi potwierdzony, ale przy fakturze ustrukturyzowanej i PDF wystawianym na żądanie duplikat nie blokuje sprzedaży.</t>
        </is>
      </c>
    </row>
    <row r="246">
      <c r="A246" s="11" t="inlineStr">
        <is>
          <t>M-08</t>
        </is>
      </c>
      <c r="B246" s="12" t="inlineStr">
        <is>
          <t>M</t>
        </is>
      </c>
      <c r="C246" s="11" t="inlineStr">
        <is>
          <t>Anulowanie faktury (VOID) z panelu</t>
        </is>
      </c>
      <c r="D246" s="11" t="inlineStr">
        <is>
          <t>NIE</t>
        </is>
      </c>
      <c r="E246" s="11" t="inlineStr">
        <is>
          <t>NIE</t>
        </is>
      </c>
      <c r="F246" s="11" t="inlineStr">
        <is>
          <t>NIE</t>
        </is>
      </c>
      <c r="G246" s="11" t="inlineStr">
        <is>
          <t>CZĘŚĆ</t>
        </is>
      </c>
      <c r="H246" s="11" t="inlineStr">
        <is>
          <t>CZĘŚĆ</t>
        </is>
      </c>
      <c r="I246" s="11" t="inlineStr">
        <is>
          <t>BRAK</t>
        </is>
      </c>
      <c r="J246" s="12" t="inlineStr">
        <is>
          <t>InvoiceStatus.VOID w schema.prisma:1354 nigdy nie ustawiany</t>
        </is>
      </c>
      <c r="K246" s="11" t="inlineStr">
        <is>
          <t>LUKA</t>
        </is>
      </c>
      <c r="L246" s="11" t="inlineStr">
        <is>
          <t>WYSOKA</t>
        </is>
      </c>
      <c r="M246" s="11" t="inlineStr">
        <is>
          <t>S</t>
        </is>
      </c>
      <c r="N246" s="12" t="inlineStr"/>
    </row>
    <row r="247">
      <c r="A247" s="11" t="inlineStr">
        <is>
          <t>M-09</t>
        </is>
      </c>
      <c r="B247" s="12" t="inlineStr">
        <is>
          <t>M</t>
        </is>
      </c>
      <c r="C247" s="11" t="inlineStr">
        <is>
          <t>Stawki VAT inne niż 23%</t>
        </is>
      </c>
      <c r="D247" s="11" t="inlineStr">
        <is>
          <t>NIE</t>
        </is>
      </c>
      <c r="E247" s="11" t="inlineStr">
        <is>
          <t>NIE</t>
        </is>
      </c>
      <c r="F247" s="11" t="inlineStr">
        <is>
          <t>NIE</t>
        </is>
      </c>
      <c r="G247" s="11" t="inlineStr">
        <is>
          <t>TAK</t>
        </is>
      </c>
      <c r="H247" s="11" t="inlineStr">
        <is>
          <t>TAK</t>
        </is>
      </c>
      <c r="I247" s="11" t="inlineStr">
        <is>
          <t>BRAK</t>
        </is>
      </c>
      <c r="J247" s="12" t="inlineStr">
        <is>
          <t>invoices.service.ts:17 — DEFAULT_VAT_RATE = 23 na sztywno</t>
        </is>
      </c>
      <c r="K247" s="11" t="inlineStr">
        <is>
          <t>LUKA</t>
        </is>
      </c>
      <c r="L247" s="11" t="inlineStr">
        <is>
          <t>WYSOKA</t>
        </is>
      </c>
      <c r="M247" s="11" t="inlineStr">
        <is>
          <t>M</t>
        </is>
      </c>
      <c r="N247" s="12" t="inlineStr">
        <is>
          <t>Skorygowane: sztywne 23% dotyczy tylko ścieżki finalizacji (invoices.service.ts:17,296) — model i KSeF obsługują stawki (fa-xml.types.ts:152). Blokerem staje się dopiero przy pierwszym kliencie spoza PL.</t>
        </is>
      </c>
    </row>
    <row r="248">
      <c r="A248" s="11" t="inlineStr">
        <is>
          <t>M-10</t>
        </is>
      </c>
      <c r="B248" s="12" t="inlineStr">
        <is>
          <t>M</t>
        </is>
      </c>
      <c r="C248" s="11" t="inlineStr">
        <is>
          <t>Faktury w walucie obcej z przeliczeniem VAT</t>
        </is>
      </c>
      <c r="D248" s="11" t="inlineStr">
        <is>
          <t>NIE</t>
        </is>
      </c>
      <c r="E248" s="11" t="inlineStr">
        <is>
          <t>NIE</t>
        </is>
      </c>
      <c r="F248" s="11" t="inlineStr">
        <is>
          <t>NIE</t>
        </is>
      </c>
      <c r="G248" s="11" t="inlineStr">
        <is>
          <t>CZĘŚĆ</t>
        </is>
      </c>
      <c r="H248" s="11" t="inlineStr">
        <is>
          <t>TAK</t>
        </is>
      </c>
      <c r="I248" s="11" t="inlineStr">
        <is>
          <t>CZĘŚCIOWE</t>
        </is>
      </c>
      <c r="J248" s="12" t="inlineStr">
        <is>
          <t>invoice-pdf.service.ts:61 formatuje PLN/EUR/USD; brak kursu i przeliczenia (art. 31a)</t>
        </is>
      </c>
      <c r="K248" s="11" t="inlineStr">
        <is>
          <t>CZĘŚCIOWY</t>
        </is>
      </c>
      <c r="L248" s="11" t="inlineStr">
        <is>
          <t>WYSOKA</t>
        </is>
      </c>
      <c r="M248" s="11" t="inlineStr">
        <is>
          <t>M</t>
        </is>
      </c>
      <c r="N248" s="12" t="inlineStr">
        <is>
          <t>KSeF odrzuca wszystko poza PLN (fa3-xml.builder.ts:64-66)</t>
        </is>
      </c>
    </row>
    <row r="249">
      <c r="A249" s="11" t="inlineStr">
        <is>
          <t>M-11</t>
        </is>
      </c>
      <c r="B249" s="12" t="inlineStr">
        <is>
          <t>M</t>
        </is>
      </c>
      <c r="C249" s="11" t="inlineStr">
        <is>
          <t>KSeF — wysyłka faktury</t>
        </is>
      </c>
      <c r="D249" s="11" t="inlineStr">
        <is>
          <t>NIE</t>
        </is>
      </c>
      <c r="E249" s="11" t="inlineStr">
        <is>
          <t>NIE</t>
        </is>
      </c>
      <c r="F249" s="11" t="inlineStr">
        <is>
          <t>NIE</t>
        </is>
      </c>
      <c r="G249" s="11" t="inlineStr">
        <is>
          <t>CZĘŚĆ</t>
        </is>
      </c>
      <c r="H249" s="11" t="inlineStr">
        <is>
          <t>NIE</t>
        </is>
      </c>
      <c r="I249" s="11" t="inlineStr">
        <is>
          <t>FLAGA</t>
        </is>
      </c>
      <c r="J249" s="12" t="inlineStr">
        <is>
          <t>ksef-v2.client.ts:138-165; FA(3) 1-0E; API v2</t>
        </is>
      </c>
      <c r="K249" s="11" t="inlineStr">
        <is>
          <t>PRZEWAGA</t>
        </is>
      </c>
      <c r="L249" s="11" t="inlineStr">
        <is>
          <t>—</t>
        </is>
      </c>
      <c r="M249" s="11" t="inlineStr">
        <is>
          <t>—</t>
        </is>
      </c>
      <c r="N249" s="12" t="inlineStr">
        <is>
          <t>OSŁABIONE: KSEF_ENABLED default '0', KSEF_ENV default 'test' (platform-settings.keys.ts:136-137). Po włączeniu bez zmiany env faktury idą na środowisko testowe MF.</t>
        </is>
      </c>
    </row>
    <row r="250">
      <c r="A250" s="11" t="inlineStr">
        <is>
          <t>M-12</t>
        </is>
      </c>
      <c r="B250" s="12" t="inlineStr">
        <is>
          <t>M</t>
        </is>
      </c>
      <c r="C250" s="11" t="inlineStr">
        <is>
          <t>KSeF — uwierzytelnianie tokenem</t>
        </is>
      </c>
      <c r="D250" s="11" t="inlineStr">
        <is>
          <t>NIE</t>
        </is>
      </c>
      <c r="E250" s="11" t="inlineStr">
        <is>
          <t>NIE</t>
        </is>
      </c>
      <c r="F250" s="11" t="inlineStr">
        <is>
          <t>NIE</t>
        </is>
      </c>
      <c r="G250" s="11" t="inlineStr">
        <is>
          <t>—</t>
        </is>
      </c>
      <c r="H250" s="11" t="inlineStr">
        <is>
          <t>—</t>
        </is>
      </c>
      <c r="I250" s="11" t="inlineStr">
        <is>
          <t>DZIAŁA</t>
        </is>
      </c>
      <c r="J250" s="12" t="inlineStr">
        <is>
          <t>ksef-v2.client.ts:256-379 (challenge → RSA-OAEP → redeem)</t>
        </is>
      </c>
      <c r="K250" s="11" t="inlineStr">
        <is>
          <t>PARYTET</t>
        </is>
      </c>
      <c r="L250" s="11" t="inlineStr">
        <is>
          <t>—</t>
        </is>
      </c>
      <c r="M250" s="11" t="inlineStr">
        <is>
          <t>—</t>
        </is>
      </c>
      <c r="N250" s="12" t="inlineStr">
        <is>
          <t>ZERO testów na całym kliencie (487 l. kryptografii)</t>
        </is>
      </c>
    </row>
    <row r="251">
      <c r="A251" s="11" t="inlineStr">
        <is>
          <t>M-13</t>
        </is>
      </c>
      <c r="B251" s="12" t="inlineStr">
        <is>
          <t>M</t>
        </is>
      </c>
      <c r="C251" s="11" t="inlineStr">
        <is>
          <t>KSeF — szyfrowanie sesji</t>
        </is>
      </c>
      <c r="D251" s="11" t="inlineStr">
        <is>
          <t>NIE</t>
        </is>
      </c>
      <c r="E251" s="11" t="inlineStr">
        <is>
          <t>NIE</t>
        </is>
      </c>
      <c r="F251" s="11" t="inlineStr">
        <is>
          <t>NIE</t>
        </is>
      </c>
      <c r="G251" s="11" t="inlineStr">
        <is>
          <t>—</t>
        </is>
      </c>
      <c r="H251" s="11" t="inlineStr">
        <is>
          <t>—</t>
        </is>
      </c>
      <c r="I251" s="11" t="inlineStr">
        <is>
          <t>DZIAŁA</t>
        </is>
      </c>
      <c r="J251" s="12" t="inlineStr">
        <is>
          <t>ksef-v2.client.ts:427-441 (RSA-OAEP + AES-256-CBC)</t>
        </is>
      </c>
      <c r="K251" s="11" t="inlineStr">
        <is>
          <t>PARYTET</t>
        </is>
      </c>
      <c r="L251" s="11" t="inlineStr">
        <is>
          <t>—</t>
        </is>
      </c>
      <c r="M251" s="11" t="inlineStr">
        <is>
          <t>—</t>
        </is>
      </c>
      <c r="N251" s="12" t="inlineStr"/>
    </row>
    <row r="252">
      <c r="A252" s="11" t="inlineStr">
        <is>
          <t>M-14</t>
        </is>
      </c>
      <c r="B252" s="12" t="inlineStr">
        <is>
          <t>M</t>
        </is>
      </c>
      <c r="C252" s="11" t="inlineStr">
        <is>
          <t>KSeF — numer i UPO widoczne dla klienta</t>
        </is>
      </c>
      <c r="D252" s="11" t="inlineStr">
        <is>
          <t>NIE</t>
        </is>
      </c>
      <c r="E252" s="11" t="inlineStr">
        <is>
          <t>NIE</t>
        </is>
      </c>
      <c r="F252" s="11" t="inlineStr">
        <is>
          <t>NIE</t>
        </is>
      </c>
      <c r="G252" s="11" t="inlineStr">
        <is>
          <t>TAK</t>
        </is>
      </c>
      <c r="H252" s="11" t="inlineStr">
        <is>
          <t>NIE</t>
        </is>
      </c>
      <c r="I252" s="11" t="inlineStr">
        <is>
          <t>BRAK</t>
        </is>
      </c>
      <c r="J252" s="12" t="inlineStr">
        <is>
          <t>zero wystąpień „ksef” w apps/client-panel</t>
        </is>
      </c>
      <c r="K252" s="11" t="inlineStr">
        <is>
          <t>LUKA</t>
        </is>
      </c>
      <c r="L252" s="11" t="inlineStr">
        <is>
          <t>WYSOKA</t>
        </is>
      </c>
      <c r="M252" s="11" t="inlineStr">
        <is>
          <t>S</t>
        </is>
      </c>
      <c r="N252" s="12" t="inlineStr">
        <is>
          <t>dhosting pokazuje numer KSeF i QR na fakturze</t>
        </is>
      </c>
    </row>
    <row r="253">
      <c r="A253" s="11" t="inlineStr">
        <is>
          <t>M-15</t>
        </is>
      </c>
      <c r="B253" s="12" t="inlineStr">
        <is>
          <t>M</t>
        </is>
      </c>
      <c r="C253" s="11" t="inlineStr">
        <is>
          <t>KSeF — pobranie UPO przez operatora</t>
        </is>
      </c>
      <c r="D253" s="11" t="inlineStr">
        <is>
          <t>NIE</t>
        </is>
      </c>
      <c r="E253" s="11" t="inlineStr">
        <is>
          <t>NIE</t>
        </is>
      </c>
      <c r="F253" s="11" t="inlineStr">
        <is>
          <t>NIE</t>
        </is>
      </c>
      <c r="G253" s="11" t="inlineStr">
        <is>
          <t>—</t>
        </is>
      </c>
      <c r="H253" s="11" t="inlineStr">
        <is>
          <t>—</t>
        </is>
      </c>
      <c r="I253" s="11" t="inlineStr">
        <is>
          <t>ENDPOINT BEZ UI</t>
        </is>
      </c>
      <c r="J253" s="12" t="inlineStr">
        <is>
          <t>ksef.admin.controller.ts:38; zero wystąpień UPO w admin-panel</t>
        </is>
      </c>
      <c r="K253" s="11" t="inlineStr">
        <is>
          <t>LUKA</t>
        </is>
      </c>
      <c r="L253" s="11" t="inlineStr">
        <is>
          <t>ŚREDNIA</t>
        </is>
      </c>
      <c r="M253" s="11" t="inlineStr">
        <is>
          <t>S</t>
        </is>
      </c>
      <c r="N253" s="12" t="inlineStr">
        <is>
          <t>Skorygowane: UPO jest dostępne w portalu MF, więc warunek dokumentu księgowego nie jest naruszony. Brakuje wygody.</t>
        </is>
      </c>
    </row>
    <row r="254">
      <c r="A254" s="11" t="inlineStr">
        <is>
          <t>M-16</t>
        </is>
      </c>
      <c r="B254" s="12" t="inlineStr">
        <is>
          <t>M</t>
        </is>
      </c>
      <c r="C254" s="11" t="inlineStr">
        <is>
          <t>KSeF — tryb offline/awaryjny</t>
        </is>
      </c>
      <c r="D254" s="11" t="inlineStr">
        <is>
          <t>NIE</t>
        </is>
      </c>
      <c r="E254" s="11" t="inlineStr">
        <is>
          <t>NIE</t>
        </is>
      </c>
      <c r="F254" s="11" t="inlineStr">
        <is>
          <t>NIE</t>
        </is>
      </c>
      <c r="G254" s="11" t="inlineStr">
        <is>
          <t>CZĘŚĆ</t>
        </is>
      </c>
      <c r="H254" s="11" t="inlineStr">
        <is>
          <t>NIE</t>
        </is>
      </c>
      <c r="I254" s="11" t="inlineStr">
        <is>
          <t>BRAK</t>
        </is>
      </c>
      <c r="J254" s="12" t="inlineStr">
        <is>
          <t>KsefStatus.OFFLINE w schema.prisma:1432 nigdy nie ustawiany</t>
        </is>
      </c>
      <c r="K254" s="11" t="inlineStr">
        <is>
          <t>LUKA</t>
        </is>
      </c>
      <c r="L254" s="11" t="inlineStr">
        <is>
          <t>BLOKER STARTU</t>
        </is>
      </c>
      <c r="M254" s="11" t="inlineStr">
        <is>
          <t>M</t>
        </is>
      </c>
      <c r="N254" s="12" t="inlineStr">
        <is>
          <t>awaria KSeF zostawia fakturę w PENDING, bez kodu QR offline</t>
        </is>
      </c>
    </row>
    <row r="255">
      <c r="A255" s="11" t="inlineStr">
        <is>
          <t>M-17</t>
        </is>
      </c>
      <c r="B255" s="12" t="inlineStr">
        <is>
          <t>M</t>
        </is>
      </c>
      <c r="C255" s="11" t="inlineStr">
        <is>
          <t>KSeF — walidacja XSD przed wysyłką</t>
        </is>
      </c>
      <c r="D255" s="11" t="inlineStr">
        <is>
          <t>NIE</t>
        </is>
      </c>
      <c r="E255" s="11" t="inlineStr">
        <is>
          <t>NIE</t>
        </is>
      </c>
      <c r="F255" s="11" t="inlineStr">
        <is>
          <t>NIE</t>
        </is>
      </c>
      <c r="G255" s="11" t="inlineStr">
        <is>
          <t>—</t>
        </is>
      </c>
      <c r="H255" s="11" t="inlineStr">
        <is>
          <t>—</t>
        </is>
      </c>
      <c r="I255" s="11" t="inlineStr">
        <is>
          <t>BRAK</t>
        </is>
      </c>
      <c r="J255" s="12" t="inlineStr">
        <is>
          <t>fa3-xml.builder.ts składa XML stringowo; komentarz ksef-v2.client.ts:61-62 sam to wskazuje</t>
        </is>
      </c>
      <c r="K255" s="11" t="inlineStr">
        <is>
          <t>LUKA</t>
        </is>
      </c>
      <c r="L255" s="11" t="inlineStr">
        <is>
          <t>BLOKER STARTU</t>
        </is>
      </c>
      <c r="M255" s="11" t="inlineStr">
        <is>
          <t>S</t>
        </is>
      </c>
      <c r="N255" s="12" t="inlineStr">
        <is>
          <t>smoke na api-test MF nie został wykonany</t>
        </is>
      </c>
    </row>
    <row r="256">
      <c r="A256" s="11" t="inlineStr">
        <is>
          <t>M-18</t>
        </is>
      </c>
      <c r="B256" s="12" t="inlineStr">
        <is>
          <t>M</t>
        </is>
      </c>
      <c r="C256" s="11" t="inlineStr">
        <is>
          <t>Płatności kartą</t>
        </is>
      </c>
      <c r="D256" s="11" t="inlineStr">
        <is>
          <t>NIE</t>
        </is>
      </c>
      <c r="E256" s="11" t="inlineStr">
        <is>
          <t>NIE</t>
        </is>
      </c>
      <c r="F256" s="11" t="inlineStr">
        <is>
          <t>NIE</t>
        </is>
      </c>
      <c r="G256" s="11" t="inlineStr">
        <is>
          <t>TAK</t>
        </is>
      </c>
      <c r="H256" s="11" t="inlineStr">
        <is>
          <t>TAK</t>
        </is>
      </c>
      <c r="I256" s="11" t="inlineStr">
        <is>
          <t>DZIAŁA</t>
        </is>
      </c>
      <c r="J256" s="12" t="inlineStr">
        <is>
          <t>stripe.client.ts:308</t>
        </is>
      </c>
      <c r="K256" s="11" t="inlineStr">
        <is>
          <t>PARYTET</t>
        </is>
      </c>
      <c r="L256" s="11" t="inlineStr">
        <is>
          <t>—</t>
        </is>
      </c>
      <c r="M256" s="11" t="inlineStr">
        <is>
          <t>—</t>
        </is>
      </c>
      <c r="N256" s="12" t="inlineStr"/>
    </row>
    <row r="257">
      <c r="A257" s="11" t="inlineStr">
        <is>
          <t>M-19</t>
        </is>
      </c>
      <c r="B257" s="12" t="inlineStr">
        <is>
          <t>M</t>
        </is>
      </c>
      <c r="C257" s="11" t="inlineStr">
        <is>
          <t>Płatności BLIK / Przelewy24</t>
        </is>
      </c>
      <c r="D257" s="11" t="inlineStr">
        <is>
          <t>NIE</t>
        </is>
      </c>
      <c r="E257" s="11" t="inlineStr">
        <is>
          <t>NIE</t>
        </is>
      </c>
      <c r="F257" s="11" t="inlineStr">
        <is>
          <t>NIE</t>
        </is>
      </c>
      <c r="G257" s="11" t="inlineStr">
        <is>
          <t>TAK</t>
        </is>
      </c>
      <c r="H257" s="11" t="inlineStr">
        <is>
          <t>CZĘŚĆ</t>
        </is>
      </c>
      <c r="I257" s="11" t="inlineStr">
        <is>
          <t>DZIAŁA</t>
        </is>
      </c>
      <c r="J257" s="12" t="inlineStr">
        <is>
          <t>stripe.client.ts:309 (p24)</t>
        </is>
      </c>
      <c r="K257" s="11" t="inlineStr">
        <is>
          <t>PARYTET</t>
        </is>
      </c>
      <c r="L257" s="11" t="inlineStr">
        <is>
          <t>—</t>
        </is>
      </c>
      <c r="M257" s="11" t="inlineStr">
        <is>
          <t>—</t>
        </is>
      </c>
      <c r="N257" s="12" t="inlineStr">
        <is>
          <t>przez Stripe, nie bezpośrednio</t>
        </is>
      </c>
    </row>
    <row r="258">
      <c r="A258" s="11" t="inlineStr">
        <is>
          <t>M-20</t>
        </is>
      </c>
      <c r="B258" s="12" t="inlineStr">
        <is>
          <t>M</t>
        </is>
      </c>
      <c r="C258" s="11" t="inlineStr">
        <is>
          <t>Płatności cykliczne / automatyczne odnowienia</t>
        </is>
      </c>
      <c r="D258" s="11" t="inlineStr">
        <is>
          <t>NIE</t>
        </is>
      </c>
      <c r="E258" s="11" t="inlineStr">
        <is>
          <t>NIE</t>
        </is>
      </c>
      <c r="F258" s="11" t="inlineStr">
        <is>
          <t>NIE</t>
        </is>
      </c>
      <c r="G258" s="11" t="inlineStr">
        <is>
          <t>TAK</t>
        </is>
      </c>
      <c r="H258" s="11" t="inlineStr">
        <is>
          <t>TAK</t>
        </is>
      </c>
      <c r="I258" s="11" t="inlineStr">
        <is>
          <t>DZIAŁA</t>
        </is>
      </c>
      <c r="J258" s="12" t="inlineStr">
        <is>
          <t>renewal.scheduler.ts:17-29,45 (idempotencja na subscriptionId+period)</t>
        </is>
      </c>
      <c r="K258" s="11" t="inlineStr">
        <is>
          <t>PARYTET</t>
        </is>
      </c>
      <c r="L258" s="11" t="inlineStr">
        <is>
          <t>WYSOKA</t>
        </is>
      </c>
      <c r="M258" s="11" t="inlineStr">
        <is>
          <t>—</t>
        </is>
      </c>
      <c r="N258" s="12" t="inlineStr">
        <is>
          <t>ZERO testów na ścieżce, która sama wyłącza usługę klientowi</t>
        </is>
      </c>
    </row>
    <row r="259">
      <c r="A259" s="11" t="inlineStr">
        <is>
          <t>M-21</t>
        </is>
      </c>
      <c r="B259" s="12" t="inlineStr">
        <is>
          <t>M</t>
        </is>
      </c>
      <c r="C259" s="11" t="inlineStr">
        <is>
          <t>Portfel / przedpłata</t>
        </is>
      </c>
      <c r="D259" s="11" t="inlineStr">
        <is>
          <t>NIE</t>
        </is>
      </c>
      <c r="E259" s="11" t="inlineStr">
        <is>
          <t>NIE</t>
        </is>
      </c>
      <c r="F259" s="11" t="inlineStr">
        <is>
          <t>NIE</t>
        </is>
      </c>
      <c r="G259" s="11" t="inlineStr">
        <is>
          <t>CZĘŚĆ</t>
        </is>
      </c>
      <c r="H259" s="11" t="inlineStr">
        <is>
          <t>CZĘŚĆ</t>
        </is>
      </c>
      <c r="I259" s="11" t="inlineStr">
        <is>
          <t>DZIAŁA</t>
        </is>
      </c>
      <c r="J259" s="12" t="inlineStr">
        <is>
          <t>billing.controller.ts:44; wallet-ledger.service.spec.ts (test D1)</t>
        </is>
      </c>
      <c r="K259" s="11" t="inlineStr">
        <is>
          <t>PRZEWAGA</t>
        </is>
      </c>
      <c r="L259" s="11" t="inlineStr">
        <is>
          <t>—</t>
        </is>
      </c>
      <c r="M259" s="11" t="inlineStr">
        <is>
          <t>—</t>
        </is>
      </c>
      <c r="N259" s="12" t="inlineStr"/>
    </row>
    <row r="260">
      <c r="A260" s="11" t="inlineStr">
        <is>
          <t>M-22</t>
        </is>
      </c>
      <c r="B260" s="12" t="inlineStr">
        <is>
          <t>M</t>
        </is>
      </c>
      <c r="C260" s="11" t="inlineStr">
        <is>
          <t>Auto-doładowanie portfela</t>
        </is>
      </c>
      <c r="D260" s="11" t="inlineStr">
        <is>
          <t>NIE</t>
        </is>
      </c>
      <c r="E260" s="11" t="inlineStr">
        <is>
          <t>NIE</t>
        </is>
      </c>
      <c r="F260" s="11" t="inlineStr">
        <is>
          <t>NIE</t>
        </is>
      </c>
      <c r="G260" s="11" t="inlineStr">
        <is>
          <t>NIE</t>
        </is>
      </c>
      <c r="H260" s="11" t="inlineStr">
        <is>
          <t>CZĘŚĆ</t>
        </is>
      </c>
      <c r="I260" s="11" t="inlineStr">
        <is>
          <t>DZIAŁA</t>
        </is>
      </c>
      <c r="J260" s="12" t="inlineStr">
        <is>
          <t>billing.controller.ts:107</t>
        </is>
      </c>
      <c r="K260" s="11" t="inlineStr">
        <is>
          <t>PRZEWAGA</t>
        </is>
      </c>
      <c r="L260" s="11" t="inlineStr">
        <is>
          <t>—</t>
        </is>
      </c>
      <c r="M260" s="11" t="inlineStr">
        <is>
          <t>—</t>
        </is>
      </c>
      <c r="N260" s="12" t="inlineStr">
        <is>
          <t>ZERO testów (wallet-auto-topup.service.ts, 258 l.)</t>
        </is>
      </c>
    </row>
    <row r="261">
      <c r="A261" s="11" t="inlineStr">
        <is>
          <t>M-23</t>
        </is>
      </c>
      <c r="B261" s="12" t="inlineStr">
        <is>
          <t>M</t>
        </is>
      </c>
      <c r="C261" s="11" t="inlineStr">
        <is>
          <t>Kody promocyjne</t>
        </is>
      </c>
      <c r="D261" s="11" t="inlineStr">
        <is>
          <t>NIE</t>
        </is>
      </c>
      <c r="E261" s="11" t="inlineStr">
        <is>
          <t>NIE</t>
        </is>
      </c>
      <c r="F261" s="11" t="inlineStr">
        <is>
          <t>NIE</t>
        </is>
      </c>
      <c r="G261" s="11" t="inlineStr">
        <is>
          <t>TAK</t>
        </is>
      </c>
      <c r="H261" s="11" t="inlineStr">
        <is>
          <t>TAK</t>
        </is>
      </c>
      <c r="I261" s="11" t="inlineStr">
        <is>
          <t>DZIAŁA</t>
        </is>
      </c>
      <c r="J261" s="12" t="inlineStr">
        <is>
          <t>promo.service.ts (559 l.); billing.controller.ts:91</t>
        </is>
      </c>
      <c r="K261" s="11" t="inlineStr">
        <is>
          <t>PARYTET</t>
        </is>
      </c>
      <c r="L261" s="11" t="inlineStr">
        <is>
          <t>ŚREDNIA</t>
        </is>
      </c>
      <c r="M261" s="11" t="inlineStr">
        <is>
          <t>—</t>
        </is>
      </c>
      <c r="N261" s="12" t="inlineStr">
        <is>
          <t>ZERO testów</t>
        </is>
      </c>
    </row>
    <row r="262">
      <c r="A262" s="11" t="inlineStr">
        <is>
          <t>M-24</t>
        </is>
      </c>
      <c r="B262" s="12" t="inlineStr">
        <is>
          <t>M</t>
        </is>
      </c>
      <c r="C262" s="11" t="inlineStr">
        <is>
          <t>Proforma przed odnowieniem</t>
        </is>
      </c>
      <c r="D262" s="11" t="inlineStr">
        <is>
          <t>NIE</t>
        </is>
      </c>
      <c r="E262" s="11" t="inlineStr">
        <is>
          <t>NIE</t>
        </is>
      </c>
      <c r="F262" s="11" t="inlineStr">
        <is>
          <t>NIE</t>
        </is>
      </c>
      <c r="G262" s="11" t="inlineStr">
        <is>
          <t>TAK</t>
        </is>
      </c>
      <c r="H262" s="11" t="inlineStr">
        <is>
          <t>CZĘŚĆ</t>
        </is>
      </c>
      <c r="I262" s="11" t="inlineStr">
        <is>
          <t>CZĘŚCIOWE</t>
        </is>
      </c>
      <c r="J262" s="12" t="inlineStr">
        <is>
          <t>renewal-reminder.scheduler.ts — przypomnienie, nie proforma</t>
        </is>
      </c>
      <c r="K262" s="11" t="inlineStr">
        <is>
          <t>CZĘŚCIOWY</t>
        </is>
      </c>
      <c r="L262" s="11" t="inlineStr">
        <is>
          <t>ŚREDNIA</t>
        </is>
      </c>
      <c r="M262" s="11" t="inlineStr">
        <is>
          <t>S</t>
        </is>
      </c>
      <c r="N262" s="12" t="inlineStr">
        <is>
          <t>wszystkie 5 hostingów PL wystawia proformę</t>
        </is>
      </c>
    </row>
    <row r="263">
      <c r="A263" s="11" t="inlineStr">
        <is>
          <t>M-25</t>
        </is>
      </c>
      <c r="B263" s="12" t="inlineStr">
        <is>
          <t>M</t>
        </is>
      </c>
      <c r="C263" s="11" t="inlineStr">
        <is>
          <t>Automatyczne zawieszenie za brak płatności</t>
        </is>
      </c>
      <c r="D263" s="11" t="inlineStr">
        <is>
          <t>TAK</t>
        </is>
      </c>
      <c r="E263" s="11" t="inlineStr">
        <is>
          <t>TAK</t>
        </is>
      </c>
      <c r="F263" s="11" t="inlineStr">
        <is>
          <t>TAK</t>
        </is>
      </c>
      <c r="G263" s="11" t="inlineStr">
        <is>
          <t>TAK</t>
        </is>
      </c>
      <c r="H263" s="11" t="inlineStr">
        <is>
          <t>TAK</t>
        </is>
      </c>
      <c r="I263" s="11" t="inlineStr">
        <is>
          <t>DZIAŁA</t>
        </is>
      </c>
      <c r="J263" s="12" t="inlineStr">
        <is>
          <t>renewal.scheduler.ts:250-303 (grace 3 dni); subscriptions.service.ts:597-645</t>
        </is>
      </c>
      <c r="K263" s="11" t="inlineStr">
        <is>
          <t>PARYTET</t>
        </is>
      </c>
      <c r="L263" s="11" t="inlineStr">
        <is>
          <t>WYSOKA</t>
        </is>
      </c>
      <c r="M263" s="11" t="inlineStr">
        <is>
          <t>—</t>
        </is>
      </c>
      <c r="N263" s="12" t="inlineStr">
        <is>
          <t>ZERO testów</t>
        </is>
      </c>
    </row>
    <row r="264">
      <c r="A264" s="11" t="inlineStr">
        <is>
          <t>M-26</t>
        </is>
      </c>
      <c r="B264" s="12" t="inlineStr">
        <is>
          <t>M</t>
        </is>
      </c>
      <c r="C264" s="11" t="inlineStr">
        <is>
          <t>Usunięcie zapisanej karty przez klienta</t>
        </is>
      </c>
      <c r="D264" s="11" t="inlineStr">
        <is>
          <t>NIE</t>
        </is>
      </c>
      <c r="E264" s="11" t="inlineStr">
        <is>
          <t>NIE</t>
        </is>
      </c>
      <c r="F264" s="11" t="inlineStr">
        <is>
          <t>NIE</t>
        </is>
      </c>
      <c r="G264" s="11" t="inlineStr">
        <is>
          <t>TAK</t>
        </is>
      </c>
      <c r="H264" s="11" t="inlineStr">
        <is>
          <t>TAK</t>
        </is>
      </c>
      <c r="I264" s="11" t="inlineStr">
        <is>
          <t>BRAK</t>
        </is>
      </c>
      <c r="J264" s="12" t="inlineStr">
        <is>
          <t>billing.controller.ts:38 tylko GET, brak DELETE</t>
        </is>
      </c>
      <c r="K264" s="11" t="inlineStr">
        <is>
          <t>LUKA</t>
        </is>
      </c>
      <c r="L264" s="11" t="inlineStr">
        <is>
          <t>WYSOKA</t>
        </is>
      </c>
      <c r="M264" s="11" t="inlineStr">
        <is>
          <t>S</t>
        </is>
      </c>
      <c r="N264" s="12" t="inlineStr">
        <is>
          <t>wymóg konsumencki</t>
        </is>
      </c>
    </row>
    <row r="265">
      <c r="A265" s="11" t="inlineStr">
        <is>
          <t>M-27</t>
        </is>
      </c>
      <c r="B265" s="12" t="inlineStr">
        <is>
          <t>M</t>
        </is>
      </c>
      <c r="C265" s="11" t="inlineStr">
        <is>
          <t>Dodanie karty niezależnie od zakupu</t>
        </is>
      </c>
      <c r="D265" s="11" t="inlineStr">
        <is>
          <t>NIE</t>
        </is>
      </c>
      <c r="E265" s="11" t="inlineStr">
        <is>
          <t>NIE</t>
        </is>
      </c>
      <c r="F265" s="11" t="inlineStr">
        <is>
          <t>NIE</t>
        </is>
      </c>
      <c r="G265" s="11" t="inlineStr">
        <is>
          <t>TAK</t>
        </is>
      </c>
      <c r="H265" s="11" t="inlineStr">
        <is>
          <t>TAK</t>
        </is>
      </c>
      <c r="I265" s="11" t="inlineStr">
        <is>
          <t>BRAK</t>
        </is>
      </c>
      <c r="J265" s="12" t="inlineStr">
        <is>
          <t>karta zapisuje się tylko przy okazji Stripe Checkout</t>
        </is>
      </c>
      <c r="K265" s="11" t="inlineStr">
        <is>
          <t>LUKA</t>
        </is>
      </c>
      <c r="L265" s="11" t="inlineStr">
        <is>
          <t>ŚREDNIA</t>
        </is>
      </c>
      <c r="M265" s="11" t="inlineStr">
        <is>
          <t>S</t>
        </is>
      </c>
      <c r="N265" s="12" t="inlineStr"/>
    </row>
    <row r="266">
      <c r="A266" s="11" t="inlineStr">
        <is>
          <t>M-28</t>
        </is>
      </c>
      <c r="B266" s="12" t="inlineStr">
        <is>
          <t>M</t>
        </is>
      </c>
      <c r="C266" s="11" t="inlineStr">
        <is>
          <t>Eksport historii transakcji do CSV</t>
        </is>
      </c>
      <c r="D266" s="11" t="inlineStr">
        <is>
          <t>NIE</t>
        </is>
      </c>
      <c r="E266" s="11" t="inlineStr">
        <is>
          <t>NIE</t>
        </is>
      </c>
      <c r="F266" s="11" t="inlineStr">
        <is>
          <t>NIE</t>
        </is>
      </c>
      <c r="G266" s="11" t="inlineStr">
        <is>
          <t>CZĘŚĆ</t>
        </is>
      </c>
      <c r="H266" s="11" t="inlineStr">
        <is>
          <t>CZĘŚĆ</t>
        </is>
      </c>
      <c r="I266" s="11" t="inlineStr">
        <is>
          <t>ENDPOINT BEZ UI</t>
        </is>
      </c>
      <c r="J266" s="12" t="inlineStr">
        <is>
          <t>billing.controller.ts:70 — zero odwołań w panelu</t>
        </is>
      </c>
      <c r="K266" s="11" t="inlineStr">
        <is>
          <t>LUKA</t>
        </is>
      </c>
      <c r="L266" s="11" t="inlineStr">
        <is>
          <t>NISKA</t>
        </is>
      </c>
      <c r="M266" s="11" t="inlineStr">
        <is>
          <t>S</t>
        </is>
      </c>
      <c r="N266" s="12" t="inlineStr"/>
    </row>
    <row r="267">
      <c r="A267" s="11" t="inlineStr">
        <is>
          <t>M-29</t>
        </is>
      </c>
      <c r="B267" s="12" t="inlineStr">
        <is>
          <t>M</t>
        </is>
      </c>
      <c r="C267" s="11" t="inlineStr">
        <is>
          <t>Ręczne uznanie portfela klienta przez operatora</t>
        </is>
      </c>
      <c r="D267" s="11" t="inlineStr">
        <is>
          <t>NIE</t>
        </is>
      </c>
      <c r="E267" s="11" t="inlineStr">
        <is>
          <t>NIE</t>
        </is>
      </c>
      <c r="F267" s="11" t="inlineStr">
        <is>
          <t>NIE</t>
        </is>
      </c>
      <c r="G267" s="11" t="inlineStr">
        <is>
          <t>—</t>
        </is>
      </c>
      <c r="H267" s="11" t="inlineStr">
        <is>
          <t>—</t>
        </is>
      </c>
      <c r="I267" s="11" t="inlineStr">
        <is>
          <t>DZIAŁA</t>
        </is>
      </c>
      <c r="J267" s="12" t="inlineStr">
        <is>
          <t>billing.admin.controller.ts:35</t>
        </is>
      </c>
      <c r="K267" s="11" t="inlineStr">
        <is>
          <t>PARYTET</t>
        </is>
      </c>
      <c r="L267" s="11" t="inlineStr">
        <is>
          <t>—</t>
        </is>
      </c>
      <c r="M267" s="11" t="inlineStr">
        <is>
          <t>—</t>
        </is>
      </c>
      <c r="N267" s="12" t="inlineStr"/>
    </row>
    <row r="268">
      <c r="A268" s="11" t="inlineStr">
        <is>
          <t>M-30</t>
        </is>
      </c>
      <c r="B268" s="12" t="inlineStr">
        <is>
          <t>M</t>
        </is>
      </c>
      <c r="C268" s="11" t="inlineStr">
        <is>
          <t>Katalog produktów i cenniki</t>
        </is>
      </c>
      <c r="D268" s="11" t="inlineStr">
        <is>
          <t>NIE</t>
        </is>
      </c>
      <c r="E268" s="11" t="inlineStr">
        <is>
          <t>NIE</t>
        </is>
      </c>
      <c r="F268" s="11" t="inlineStr">
        <is>
          <t>NIE</t>
        </is>
      </c>
      <c r="G268" s="11" t="inlineStr">
        <is>
          <t>TAK</t>
        </is>
      </c>
      <c r="H268" s="11" t="inlineStr">
        <is>
          <t>TAK</t>
        </is>
      </c>
      <c r="I268" s="11" t="inlineStr">
        <is>
          <t>DZIAŁA</t>
        </is>
      </c>
      <c r="J268" s="12" t="inlineStr">
        <is>
          <t>plans.admin.controller.ts:45,51,66</t>
        </is>
      </c>
      <c r="K268" s="11" t="inlineStr">
        <is>
          <t>PARYTET</t>
        </is>
      </c>
      <c r="L268" s="11" t="inlineStr">
        <is>
          <t>—</t>
        </is>
      </c>
      <c r="M268" s="11" t="inlineStr">
        <is>
          <t>—</t>
        </is>
      </c>
      <c r="N268" s="12" t="inlineStr"/>
    </row>
    <row r="269">
      <c r="A269" s="11" t="inlineStr">
        <is>
          <t>M-31</t>
        </is>
      </c>
      <c r="B269" s="12" t="inlineStr">
        <is>
          <t>M</t>
        </is>
      </c>
      <c r="C269" s="11" t="inlineStr">
        <is>
          <t>Prorata przy zmianie planu</t>
        </is>
      </c>
      <c r="D269" s="11" t="inlineStr">
        <is>
          <t>NIE</t>
        </is>
      </c>
      <c r="E269" s="11" t="inlineStr">
        <is>
          <t>NIE</t>
        </is>
      </c>
      <c r="F269" s="11" t="inlineStr">
        <is>
          <t>NIE</t>
        </is>
      </c>
      <c r="G269" s="11" t="inlineStr">
        <is>
          <t>CZĘŚĆ</t>
        </is>
      </c>
      <c r="H269" s="11" t="inlineStr">
        <is>
          <t>TAK</t>
        </is>
      </c>
      <c r="I269" s="11" t="inlineStr">
        <is>
          <t>DZIAŁA</t>
        </is>
      </c>
      <c r="J269" s="12" t="inlineStr">
        <is>
          <t>plan-proration.util.ts:47; test D1 (7 przypadków, cross-interval)</t>
        </is>
      </c>
      <c r="K269" s="11" t="inlineStr">
        <is>
          <t>PRZEWAGA</t>
        </is>
      </c>
      <c r="L269" s="11" t="inlineStr">
        <is>
          <t>—</t>
        </is>
      </c>
      <c r="M269" s="11" t="inlineStr">
        <is>
          <t>—</t>
        </is>
      </c>
      <c r="N269" s="12" t="inlineStr">
        <is>
          <t>jedna z najlepiej pokrytych rzeczy w repo</t>
        </is>
      </c>
    </row>
    <row r="270">
      <c r="A270" s="11" t="inlineStr">
        <is>
          <t>M-32</t>
        </is>
      </c>
      <c r="B270" s="12" t="inlineStr">
        <is>
          <t>M</t>
        </is>
      </c>
      <c r="C270" s="11" t="inlineStr">
        <is>
          <t>Kolejka provisioningu z retry</t>
        </is>
      </c>
      <c r="D270" s="11" t="inlineStr">
        <is>
          <t>TAK</t>
        </is>
      </c>
      <c r="E270" s="11" t="inlineStr">
        <is>
          <t>TAK</t>
        </is>
      </c>
      <c r="F270" s="11" t="inlineStr">
        <is>
          <t>TAK</t>
        </is>
      </c>
      <c r="G270" s="11" t="inlineStr">
        <is>
          <t>—</t>
        </is>
      </c>
      <c r="H270" s="11" t="inlineStr">
        <is>
          <t>—</t>
        </is>
      </c>
      <c r="I270" s="11" t="inlineStr">
        <is>
          <t>DZIAŁA</t>
        </is>
      </c>
      <c r="J270" s="12" t="inlineStr">
        <is>
          <t>provisioning-queue.admin.controller.ts:31,58</t>
        </is>
      </c>
      <c r="K270" s="11" t="inlineStr">
        <is>
          <t>PARYTET</t>
        </is>
      </c>
      <c r="L270" s="11" t="inlineStr">
        <is>
          <t>—</t>
        </is>
      </c>
      <c r="M270" s="11" t="inlineStr">
        <is>
          <t>—</t>
        </is>
      </c>
      <c r="N270" s="12" t="inlineStr"/>
    </row>
    <row r="271">
      <c r="A271" s="11" t="inlineStr">
        <is>
          <t>M-33</t>
        </is>
      </c>
      <c r="B271" s="12" t="inlineStr">
        <is>
          <t>M</t>
        </is>
      </c>
      <c r="C271" s="11" t="inlineStr">
        <is>
          <t>Dodatki płatne (IP, wsparcie priorytetowe)</t>
        </is>
      </c>
      <c r="D271" s="11" t="inlineStr">
        <is>
          <t>TAK</t>
        </is>
      </c>
      <c r="E271" s="11" t="inlineStr">
        <is>
          <t>TAK</t>
        </is>
      </c>
      <c r="F271" s="11" t="inlineStr">
        <is>
          <t>TAK</t>
        </is>
      </c>
      <c r="G271" s="11" t="inlineStr">
        <is>
          <t>TAK</t>
        </is>
      </c>
      <c r="H271" s="11" t="inlineStr">
        <is>
          <t>TAK</t>
        </is>
      </c>
      <c r="I271" s="11" t="inlineStr">
        <is>
          <t>CZĘŚCIOWE</t>
        </is>
      </c>
      <c r="J271" s="12" t="inlineStr">
        <is>
          <t>addon.service.ts:120 — 2 z 3 to workorder do BOK</t>
        </is>
      </c>
      <c r="K271" s="11" t="inlineStr">
        <is>
          <t>CZĘŚCIOWY</t>
        </is>
      </c>
      <c r="L271" s="11" t="inlineStr">
        <is>
          <t>NISKA</t>
        </is>
      </c>
      <c r="M271" s="11" t="inlineStr">
        <is>
          <t>M</t>
        </is>
      </c>
      <c r="N271" s="12" t="inlineStr"/>
    </row>
    <row r="272">
      <c r="A272" s="11" t="inlineStr">
        <is>
          <t>Z-01</t>
        </is>
      </c>
      <c r="B272" s="12" t="inlineStr">
        <is>
          <t>M</t>
        </is>
      </c>
      <c r="C272" s="11" t="inlineStr">
        <is>
          <t>Faktura VAT dla płatności portfelem</t>
        </is>
      </c>
      <c r="D272" s="11" t="inlineStr">
        <is>
          <t>NIE</t>
        </is>
      </c>
      <c r="E272" s="11" t="inlineStr">
        <is>
          <t>NIE</t>
        </is>
      </c>
      <c r="F272" s="11" t="inlineStr">
        <is>
          <t>NIE</t>
        </is>
      </c>
      <c r="G272" s="11" t="inlineStr">
        <is>
          <t>TAK</t>
        </is>
      </c>
      <c r="H272" s="11" t="inlineStr">
        <is>
          <t>TAK</t>
        </is>
      </c>
      <c r="I272" s="11" t="inlineStr">
        <is>
          <t>BRAK</t>
        </is>
      </c>
      <c r="J272" s="12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K272" s="11" t="inlineStr">
        <is>
          <t>LUKA</t>
        </is>
      </c>
      <c r="L272" s="11" t="inlineStr">
        <is>
          <t>BLOKER STARTU</t>
        </is>
      </c>
      <c r="M272" s="11" t="inlineStr">
        <is>
          <t>L</t>
        </is>
      </c>
      <c r="N272" s="12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</row>
    <row r="273">
      <c r="A273" s="11" t="inlineStr">
        <is>
          <t>Z-02</t>
        </is>
      </c>
      <c r="B273" s="12" t="inlineStr">
        <is>
          <t>M</t>
        </is>
      </c>
      <c r="C273" s="11" t="inlineStr">
        <is>
          <t>Blokada zamówienia usługi bez opłaty przez klienta</t>
        </is>
      </c>
      <c r="D273" s="11" t="inlineStr">
        <is>
          <t>TAK</t>
        </is>
      </c>
      <c r="E273" s="11" t="inlineStr">
        <is>
          <t>TAK</t>
        </is>
      </c>
      <c r="F273" s="11" t="inlineStr">
        <is>
          <t>TAK</t>
        </is>
      </c>
      <c r="G273" s="11" t="inlineStr">
        <is>
          <t>TAK</t>
        </is>
      </c>
      <c r="H273" s="11" t="inlineStr">
        <is>
          <t>TAK</t>
        </is>
      </c>
      <c r="I273" s="11" t="inlineStr">
        <is>
          <t>DZIAŁA</t>
        </is>
      </c>
      <c r="J273" s="12" t="inlineStr">
        <is>
          <t>dto/subscription.dto.ts — @IsIn(CLIENT_PAYMENT_SOURCES); subscriptions.service.ts — ForbiddenException dla MANUAL bez allowManual; test subscriptions.create-guard.spec.ts</t>
        </is>
      </c>
      <c r="K273" s="11" t="inlineStr">
        <is>
          <t>PARYTET</t>
        </is>
      </c>
      <c r="L273" s="11" t="inlineStr">
        <is>
          <t>—</t>
        </is>
      </c>
      <c r="M273" s="11" t="inlineStr">
        <is>
          <t>S</t>
        </is>
      </c>
      <c r="N273" s="12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</row>
    <row r="274">
      <c r="A274" s="11" t="inlineStr">
        <is>
          <t>Z-05</t>
        </is>
      </c>
      <c r="B274" s="12" t="inlineStr">
        <is>
          <t>M</t>
        </is>
      </c>
      <c r="C274" s="11" t="inlineStr">
        <is>
          <t>Odporność webhooka płatności na błąd w trakcie obsługi</t>
        </is>
      </c>
      <c r="D274" s="11" t="inlineStr">
        <is>
          <t>NIE</t>
        </is>
      </c>
      <c r="E274" s="11" t="inlineStr">
        <is>
          <t>NIE</t>
        </is>
      </c>
      <c r="F274" s="11" t="inlineStr">
        <is>
          <t>NIE</t>
        </is>
      </c>
      <c r="G274" s="11" t="inlineStr">
        <is>
          <t>TAK</t>
        </is>
      </c>
      <c r="H274" s="11" t="inlineStr">
        <is>
          <t>TAK</t>
        </is>
      </c>
      <c r="I274" s="11" t="inlineStr">
        <is>
          <t>BRAK</t>
        </is>
      </c>
      <c r="J274" s="12" t="inlineStr">
        <is>
          <t>billing.service.ts:444-453 — wiersz stripeWebhookEvent zapisywany PRZED handlerem (:455), poza transakcją, bez cofnięcia przy wyjątku; ponowienie ze Stripe trafia w :448-451 i zwraca duplicate:true; uznanie portfela (:523) nigdy nie następuje</t>
        </is>
      </c>
      <c r="K274" s="11" t="inlineStr">
        <is>
          <t>LUKA</t>
        </is>
      </c>
      <c r="L274" s="11" t="inlineStr">
        <is>
          <t>BLOKER STARTU</t>
        </is>
      </c>
      <c r="M274" s="11" t="inlineStr">
        <is>
          <t>M</t>
        </is>
      </c>
      <c r="N274" s="12" t="inlineStr">
        <is>
          <t>Klient zapłacił, saldo się nie pojawiło, system uważa zdarzenie za obsłużone i odrzuca ponowienia. Odzysk wyłącznie ręcznie w bazie — brak endpointu do ponownego przetworzenia.</t>
        </is>
      </c>
    </row>
    <row r="275">
      <c r="A275" s="11" t="inlineStr">
        <is>
          <t>Z-06</t>
        </is>
      </c>
      <c r="B275" s="12" t="inlineStr">
        <is>
          <t>M</t>
        </is>
      </c>
      <c r="C275" s="11" t="inlineStr">
        <is>
          <t>Klucz idempotencji obciążenia za dodatek</t>
        </is>
      </c>
      <c r="D275" s="11" t="inlineStr">
        <is>
          <t>NIE</t>
        </is>
      </c>
      <c r="E275" s="11" t="inlineStr">
        <is>
          <t>NIE</t>
        </is>
      </c>
      <c r="F275" s="11" t="inlineStr">
        <is>
          <t>NIE</t>
        </is>
      </c>
      <c r="G275" s="11" t="inlineStr">
        <is>
          <t>TAK</t>
        </is>
      </c>
      <c r="H275" s="11" t="inlineStr">
        <is>
          <t>TAK</t>
        </is>
      </c>
      <c r="I275" s="11" t="inlineStr">
        <is>
          <t>ATRAPA</t>
        </is>
      </c>
      <c r="J275" s="12" t="inlineStr">
        <is>
          <t>addon.service.ts:110 — idempotencyKey zawiera Date.now(), więc mechanizm z wallet-ledger.service.ts:94-105 nigdy nie zadziała; addon.controller.ts:17 dopuszcza 10 wywołań na godzinę</t>
        </is>
      </c>
      <c r="K275" s="11" t="inlineStr">
        <is>
          <t>LUKA</t>
        </is>
      </c>
      <c r="L275" s="11" t="inlineStr">
        <is>
          <t>BLOKER STARTU</t>
        </is>
      </c>
      <c r="M275" s="11" t="inlineStr">
        <is>
          <t>S</t>
        </is>
      </c>
      <c r="N275" s="12" t="inlineStr">
        <is>
          <t>Podwójne kliknięcie, ponowienie przeglądarki albo timeout = do 10 obciążeń za ten sam dodatek w godzinę. Bez ścieżki zwrotu w systemie, bo nie ma ani refundu, ani korekty faktury.</t>
        </is>
      </c>
    </row>
    <row r="276">
      <c r="A276" s="11" t="inlineStr">
        <is>
          <t>Z-07</t>
        </is>
      </c>
      <c r="B276" s="12" t="inlineStr">
        <is>
          <t>M</t>
        </is>
      </c>
      <c r="C276" s="11" t="inlineStr">
        <is>
          <t>Ponowienie płatności portfelem w okresie karencji</t>
        </is>
      </c>
      <c r="D276" s="11" t="inlineStr">
        <is>
          <t>NIE</t>
        </is>
      </c>
      <c r="E276" s="11" t="inlineStr">
        <is>
          <t>NIE</t>
        </is>
      </c>
      <c r="F276" s="11" t="inlineStr">
        <is>
          <t>NIE</t>
        </is>
      </c>
      <c r="G276" s="11" t="inlineStr">
        <is>
          <t>TAK</t>
        </is>
      </c>
      <c r="H276" s="11" t="inlineStr">
        <is>
          <t>TAK</t>
        </is>
      </c>
      <c r="I276" s="11" t="inlineStr">
        <is>
          <t>BRAK</t>
        </is>
      </c>
      <c r="J276" s="12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  <c r="K276" s="11" t="inlineStr">
        <is>
          <t>LUKA</t>
        </is>
      </c>
      <c r="L276" s="11" t="inlineStr">
        <is>
          <t>WYSOKA</t>
        </is>
      </c>
      <c r="M276" s="11" t="inlineStr">
        <is>
          <t>M</t>
        </is>
      </c>
      <c r="N276" s="12" t="inlineStr">
        <is>
          <t>Klient płacący portfelem doładowuje saldo w karencji i i tak zostaje zawieszony po 3 dniach. Obejście operatorskie istnieje (subscriptions.admin.controller.ts:210 z chargeRenewal), ale wymaga ręcznej reakcji.</t>
        </is>
      </c>
    </row>
    <row r="277">
      <c r="A277" s="11" t="inlineStr">
        <is>
          <t>Z-08</t>
        </is>
      </c>
      <c r="B277" s="12" t="inlineStr">
        <is>
          <t>M</t>
        </is>
      </c>
      <c r="C277" s="11" t="inlineStr">
        <is>
          <t>Przegląd istniejących subskrypcji MANUAL założonych przez klientów</t>
        </is>
      </c>
      <c r="D277" s="11" t="inlineStr">
        <is>
          <t>—</t>
        </is>
      </c>
      <c r="E277" s="11" t="inlineStr">
        <is>
          <t>—</t>
        </is>
      </c>
      <c r="F277" s="11" t="inlineStr">
        <is>
          <t>—</t>
        </is>
      </c>
      <c r="G277" s="11" t="inlineStr">
        <is>
          <t>—</t>
        </is>
      </c>
      <c r="H277" s="11" t="inlineStr">
        <is>
          <t>—</t>
        </is>
      </c>
      <c r="I277" s="11" t="inlineStr">
        <is>
          <t>BRAK</t>
        </is>
      </c>
      <c r="J277" s="12" t="inlineStr">
        <is>
          <t>brak jakiegokolwiek zapytania/raportu; luka Z-02 była otwarta do 2026-08-21</t>
        </is>
      </c>
      <c r="K277" s="11" t="inlineStr">
        <is>
          <t>LUKA</t>
        </is>
      </c>
      <c r="L277" s="11" t="inlineStr">
        <is>
          <t>ŚREDNIA</t>
        </is>
      </c>
      <c r="M277" s="11" t="inlineStr">
        <is>
          <t>S</t>
        </is>
      </c>
      <c r="N277" s="12" t="inlineStr">
        <is>
          <t>Odkryte przy zamykaniu Z-02. Poprawka blokuje nowe nadużycia, ale nie mówi, czy ktoś zdążył skorzystać. Jednorazowe zapytanie: subskrypcje z paymentSource=MANUAL, data utworzenia, właściciel, czy jest faktura. Nie funkcja produktu — pozycja znika po wykonaniu i udokumentowaniu wyniku.</t>
        </is>
      </c>
    </row>
    <row r="278">
      <c r="A278" s="11" t="inlineStr">
        <is>
          <t>Z-09</t>
        </is>
      </c>
      <c r="B278" s="12" t="inlineStr">
        <is>
          <t>G</t>
        </is>
      </c>
      <c r="C278" s="11" t="inlineStr">
        <is>
          <t>Ograniczenie hostów, do których łączy się worker migracji (SSRF z węzła)</t>
        </is>
      </c>
      <c r="D278" s="11" t="inlineStr">
        <is>
          <t>—</t>
        </is>
      </c>
      <c r="E278" s="11" t="inlineStr">
        <is>
          <t>—</t>
        </is>
      </c>
      <c r="F278" s="11" t="inlineStr">
        <is>
          <t>—</t>
        </is>
      </c>
      <c r="G278" s="11" t="inlineStr">
        <is>
          <t>—</t>
        </is>
      </c>
      <c r="H278" s="11" t="inlineStr">
        <is>
          <t>—</t>
        </is>
      </c>
      <c r="I278" s="11" t="inlineStr">
        <is>
          <t>BRAK</t>
        </is>
      </c>
      <c r="J278" s="12" t="inlineStr">
        <is>
          <t>node-migration-worker.sh — host źródła pochodzi z formularza i nie jest niczym ograniczony</t>
        </is>
      </c>
      <c r="K278" s="11" t="inlineStr">
        <is>
          <t>LUKA</t>
        </is>
      </c>
      <c r="L278" s="11" t="inlineStr">
        <is>
          <t>ŚREDNIA</t>
        </is>
      </c>
      <c r="M278" s="11" t="inlineStr">
        <is>
          <t>M</t>
        </is>
      </c>
      <c r="N278" s="12" t="inlineStr">
        <is>
          <t>Odkryte przy zamykaniu Z-03. Walidacja znaków nie mówi nic o tym, DOKĄD worker się łączy. Klient może podać 127.0.0.1 albo adres z sieci wewnętrznej węzła i użyć workera jako sondy. Do zrobienia: odrzucanie adresów prywatnych i loopbacka po rozwiązaniu nazwy, z uwzględnieniem rebindingu DNS (sprawdzenie przy każdym połączeniu, nie tylko przy walidacji formularza).</t>
        </is>
      </c>
    </row>
    <row r="279">
      <c r="A279" s="11" t="inlineStr">
        <is>
          <t>Z-10</t>
        </is>
      </c>
      <c r="B279" s="12" t="inlineStr">
        <is>
          <t>O</t>
        </is>
      </c>
      <c r="C279" s="11" t="inlineStr">
        <is>
          <t>Izolacja rekordów między kontami klientów + dziennik odmów subkont</t>
        </is>
      </c>
      <c r="D279" s="11" t="inlineStr">
        <is>
          <t>TAK</t>
        </is>
      </c>
      <c r="E279" s="11" t="inlineStr">
        <is>
          <t>TAK</t>
        </is>
      </c>
      <c r="F279" s="11" t="inlineStr">
        <is>
          <t>CZĘŚĆ</t>
        </is>
      </c>
      <c r="G279" s="11" t="inlineStr">
        <is>
          <t>CZĘŚĆ</t>
        </is>
      </c>
      <c r="H279" s="11" t="inlineStr">
        <is>
          <t>TAK</t>
        </is>
      </c>
      <c r="I279" s="11" t="inlineStr">
        <is>
          <t>b.d.</t>
        </is>
      </c>
      <c r="J279" s="12" t="inlineStr">
        <is>
          <t>brak systematycznego przeglądu; każdy serwis sprawdza właściciela zasobu po swojemu</t>
        </is>
      </c>
      <c r="K279" s="11" t="inlineStr">
        <is>
          <t>LUKA</t>
        </is>
      </c>
      <c r="L279" s="11" t="inlineStr">
        <is>
          <t>WYSOKA</t>
        </is>
      </c>
      <c r="M279" s="11" t="inlineStr">
        <is>
          <t>L</t>
        </is>
      </c>
      <c r="N279" s="12" t="inlineStr">
        <is>
          <t>Odkryte przy zamykaniu Z-04. Strażnik uprawnień odpowiada na pytanie „czy subkonto może wykonać ten RODZAJ operacji", nie „czy ten konkretny rekord należy do właściciela sesji". To drugie robi każdy serwis po swojemu i nikt tego nie przejrzał całościowo. Przy okazji: odmowa dla subkonta nie trafia do dziennika audytu, a jest sygnałem operacyjnym w obie strony (próba nadużycia albo za ostra klasyfikacja trasy).</t>
        </is>
      </c>
    </row>
    <row r="280">
      <c r="A280" s="11" t="inlineStr">
        <is>
          <t>N-01</t>
        </is>
      </c>
      <c r="B280" s="12" t="inlineStr">
        <is>
          <t>N</t>
        </is>
      </c>
      <c r="C280" s="11" t="inlineStr">
        <is>
          <t>System zgłoszeń dla klienta</t>
        </is>
      </c>
      <c r="D280" s="11" t="inlineStr">
        <is>
          <t>NIE</t>
        </is>
      </c>
      <c r="E280" s="11" t="inlineStr">
        <is>
          <t>NIE</t>
        </is>
      </c>
      <c r="F280" s="11" t="inlineStr">
        <is>
          <t>TAK</t>
        </is>
      </c>
      <c r="G280" s="11" t="inlineStr">
        <is>
          <t>TAK</t>
        </is>
      </c>
      <c r="H280" s="11" t="inlineStr">
        <is>
          <t>TAK</t>
        </is>
      </c>
      <c r="I280" s="11" t="inlineStr">
        <is>
          <t>DZIAŁA</t>
        </is>
      </c>
      <c r="J280" s="12" t="inlineStr">
        <is>
          <t>tickets.controller.ts:92,98</t>
        </is>
      </c>
      <c r="K280" s="11" t="inlineStr">
        <is>
          <t>PARYTET</t>
        </is>
      </c>
      <c r="L280" s="11" t="inlineStr">
        <is>
          <t>—</t>
        </is>
      </c>
      <c r="M280" s="11" t="inlineStr">
        <is>
          <t>—</t>
        </is>
      </c>
      <c r="N280" s="12" t="inlineStr"/>
    </row>
    <row r="281">
      <c r="A281" s="11" t="inlineStr">
        <is>
          <t>N-02</t>
        </is>
      </c>
      <c r="B281" s="12" t="inlineStr">
        <is>
          <t>N</t>
        </is>
      </c>
      <c r="C281" s="11" t="inlineStr">
        <is>
          <t>Załączniki w zgłoszeniu</t>
        </is>
      </c>
      <c r="D281" s="11" t="inlineStr">
        <is>
          <t>NIE</t>
        </is>
      </c>
      <c r="E281" s="11" t="inlineStr">
        <is>
          <t>NIE</t>
        </is>
      </c>
      <c r="F281" s="11" t="inlineStr">
        <is>
          <t>CZĘŚĆ</t>
        </is>
      </c>
      <c r="G281" s="11" t="inlineStr">
        <is>
          <t>TAK</t>
        </is>
      </c>
      <c r="H281" s="11" t="inlineStr">
        <is>
          <t>TAK</t>
        </is>
      </c>
      <c r="I281" s="11" t="inlineStr">
        <is>
          <t>DZIAŁA</t>
        </is>
      </c>
      <c r="J281" s="12" t="inlineStr">
        <is>
          <t>tickets.controller.ts:98,245</t>
        </is>
      </c>
      <c r="K281" s="11" t="inlineStr">
        <is>
          <t>PARYTET</t>
        </is>
      </c>
      <c r="L281" s="11" t="inlineStr">
        <is>
          <t>—</t>
        </is>
      </c>
      <c r="M281" s="11" t="inlineStr">
        <is>
          <t>—</t>
        </is>
      </c>
      <c r="N281" s="12" t="inlineStr"/>
    </row>
    <row r="282">
      <c r="A282" s="11" t="inlineStr">
        <is>
          <t>N-03</t>
        </is>
      </c>
      <c r="B282" s="12" t="inlineStr">
        <is>
          <t>N</t>
        </is>
      </c>
      <c r="C282" s="11" t="inlineStr">
        <is>
          <t>Ocena obsługi (CSAT)</t>
        </is>
      </c>
      <c r="D282" s="11" t="inlineStr">
        <is>
          <t>NIE</t>
        </is>
      </c>
      <c r="E282" s="11" t="inlineStr">
        <is>
          <t>NIE</t>
        </is>
      </c>
      <c r="F282" s="11" t="inlineStr">
        <is>
          <t>NIE</t>
        </is>
      </c>
      <c r="G282" s="11" t="inlineStr">
        <is>
          <t>CZĘŚĆ</t>
        </is>
      </c>
      <c r="H282" s="11" t="inlineStr">
        <is>
          <t>CZĘŚĆ</t>
        </is>
      </c>
      <c r="I282" s="11" t="inlineStr">
        <is>
          <t>DZIAŁA</t>
        </is>
      </c>
      <c r="J282" s="12" t="inlineStr">
        <is>
          <t>tickets.controller.ts:279</t>
        </is>
      </c>
      <c r="K282" s="11" t="inlineStr">
        <is>
          <t>PRZEWAGA</t>
        </is>
      </c>
      <c r="L282" s="11" t="inlineStr">
        <is>
          <t>—</t>
        </is>
      </c>
      <c r="M282" s="11" t="inlineStr">
        <is>
          <t>—</t>
        </is>
      </c>
      <c r="N282" s="12" t="inlineStr"/>
    </row>
    <row r="283">
      <c r="A283" s="11" t="inlineStr">
        <is>
          <t>N-04</t>
        </is>
      </c>
      <c r="B283" s="12" t="inlineStr">
        <is>
          <t>N</t>
        </is>
      </c>
      <c r="C283" s="11" t="inlineStr">
        <is>
          <t>Baza wiedzy po polsku</t>
        </is>
      </c>
      <c r="D283" s="11" t="inlineStr">
        <is>
          <t>NIE</t>
        </is>
      </c>
      <c r="E283" s="11" t="inlineStr">
        <is>
          <t>NIE</t>
        </is>
      </c>
      <c r="F283" s="11" t="inlineStr">
        <is>
          <t>NIE</t>
        </is>
      </c>
      <c r="G283" s="11" t="inlineStr">
        <is>
          <t>TAK</t>
        </is>
      </c>
      <c r="H283" s="11" t="inlineStr">
        <is>
          <t>TAK</t>
        </is>
      </c>
      <c r="I283" s="11" t="inlineStr">
        <is>
          <t>DZIAŁA</t>
        </is>
      </c>
      <c r="J283" s="12" t="inlineStr">
        <is>
          <t>kb.public.controller.ts:226</t>
        </is>
      </c>
      <c r="K283" s="11" t="inlineStr">
        <is>
          <t>PARYTET</t>
        </is>
      </c>
      <c r="L283" s="11" t="inlineStr">
        <is>
          <t>—</t>
        </is>
      </c>
      <c r="M283" s="11" t="inlineStr">
        <is>
          <t>—</t>
        </is>
      </c>
      <c r="N283" s="12" t="inlineStr"/>
    </row>
    <row r="284">
      <c r="A284" s="11" t="inlineStr">
        <is>
          <t>N-05</t>
        </is>
      </c>
      <c r="B284" s="12" t="inlineStr">
        <is>
          <t>N</t>
        </is>
      </c>
      <c r="C284" s="11" t="inlineStr">
        <is>
          <t>Podpowiedzi artykułów przy zgłoszeniu</t>
        </is>
      </c>
      <c r="D284" s="11" t="inlineStr">
        <is>
          <t>NIE</t>
        </is>
      </c>
      <c r="E284" s="11" t="inlineStr">
        <is>
          <t>NIE</t>
        </is>
      </c>
      <c r="F284" s="11" t="inlineStr">
        <is>
          <t>NIE</t>
        </is>
      </c>
      <c r="G284" s="11" t="inlineStr">
        <is>
          <t>NIE</t>
        </is>
      </c>
      <c r="H284" s="11" t="inlineStr">
        <is>
          <t>CZĘŚĆ</t>
        </is>
      </c>
      <c r="I284" s="11" t="inlineStr">
        <is>
          <t>FLAGA</t>
        </is>
      </c>
      <c r="J284" s="12" t="inlineStr">
        <is>
          <t>ai.controller.ts:53 — AI_API_KEY</t>
        </is>
      </c>
      <c r="K284" s="11" t="inlineStr">
        <is>
          <t>CZĘŚCIOWY</t>
        </is>
      </c>
      <c r="L284" s="11" t="inlineStr">
        <is>
          <t>NISKA</t>
        </is>
      </c>
      <c r="M284" s="11" t="inlineStr">
        <is>
          <t>S</t>
        </is>
      </c>
      <c r="N284" s="12" t="inlineStr"/>
    </row>
    <row r="285">
      <c r="A285" s="11" t="inlineStr">
        <is>
          <t>N-06</t>
        </is>
      </c>
      <c r="B285" s="12" t="inlineStr">
        <is>
          <t>N</t>
        </is>
      </c>
      <c r="C285" s="11" t="inlineStr">
        <is>
          <t>Publiczna strona statusu usług</t>
        </is>
      </c>
      <c r="D285" s="11" t="inlineStr">
        <is>
          <t>NIE</t>
        </is>
      </c>
      <c r="E285" s="11" t="inlineStr">
        <is>
          <t>NIE</t>
        </is>
      </c>
      <c r="F285" s="11" t="inlineStr">
        <is>
          <t>NIE</t>
        </is>
      </c>
      <c r="G285" s="11" t="inlineStr">
        <is>
          <t>CZĘŚĆ</t>
        </is>
      </c>
      <c r="H285" s="11" t="inlineStr">
        <is>
          <t>TAK</t>
        </is>
      </c>
      <c r="I285" s="11" t="inlineStr">
        <is>
          <t>DZIAŁA</t>
        </is>
      </c>
      <c r="J285" s="12" t="inlineStr">
        <is>
          <t>probes-admin.controller.ts:33; apps/status-page</t>
        </is>
      </c>
      <c r="K285" s="11" t="inlineStr">
        <is>
          <t>PRZEWAGA</t>
        </is>
      </c>
      <c r="L285" s="11" t="inlineStr">
        <is>
          <t>—</t>
        </is>
      </c>
      <c r="M285" s="11" t="inlineStr">
        <is>
          <t>—</t>
        </is>
      </c>
      <c r="N285" s="12" t="inlineStr">
        <is>
          <t>tylko cyber_Folks i dhosting mają na rynku PL</t>
        </is>
      </c>
    </row>
    <row r="286">
      <c r="A286" s="11" t="inlineStr">
        <is>
          <t>N-07</t>
        </is>
      </c>
      <c r="B286" s="12" t="inlineStr">
        <is>
          <t>N</t>
        </is>
      </c>
      <c r="C286" s="11" t="inlineStr">
        <is>
          <t>Ręczne tworzenie incydentu na status page</t>
        </is>
      </c>
      <c r="D286" s="11" t="inlineStr">
        <is>
          <t>NIE</t>
        </is>
      </c>
      <c r="E286" s="11" t="inlineStr">
        <is>
          <t>NIE</t>
        </is>
      </c>
      <c r="F286" s="11" t="inlineStr">
        <is>
          <t>NIE</t>
        </is>
      </c>
      <c r="G286" s="11" t="inlineStr">
        <is>
          <t>CZĘŚĆ</t>
        </is>
      </c>
      <c r="H286" s="11" t="inlineStr">
        <is>
          <t>TAK</t>
        </is>
      </c>
      <c r="I286" s="11" t="inlineStr">
        <is>
          <t>ENDPOINT BEZ UI</t>
        </is>
      </c>
      <c r="J286" s="12" t="inlineStr">
        <is>
          <t>product-ops.admin.controller.ts:371; brak UI tworzenia</t>
        </is>
      </c>
      <c r="K286" s="11" t="inlineStr">
        <is>
          <t>LUKA</t>
        </is>
      </c>
      <c r="L286" s="11" t="inlineStr">
        <is>
          <t>WYSOKA</t>
        </is>
      </c>
      <c r="M286" s="11" t="inlineStr">
        <is>
          <t>S</t>
        </is>
      </c>
      <c r="N286" s="12" t="inlineStr">
        <is>
          <t>w kryzysie nie ma jak zakomunikować awarii</t>
        </is>
      </c>
    </row>
    <row r="287">
      <c r="A287" s="11" t="inlineStr">
        <is>
          <t>N-08</t>
        </is>
      </c>
      <c r="B287" s="12" t="inlineStr">
        <is>
          <t>N</t>
        </is>
      </c>
      <c r="C287" s="11" t="inlineStr">
        <is>
          <t>Edycja i zamknięcie incydentu</t>
        </is>
      </c>
      <c r="D287" s="11" t="inlineStr">
        <is>
          <t>NIE</t>
        </is>
      </c>
      <c r="E287" s="11" t="inlineStr">
        <is>
          <t>NIE</t>
        </is>
      </c>
      <c r="F287" s="11" t="inlineStr">
        <is>
          <t>NIE</t>
        </is>
      </c>
      <c r="G287" s="11" t="inlineStr">
        <is>
          <t>CZĘŚĆ</t>
        </is>
      </c>
      <c r="H287" s="11" t="inlineStr">
        <is>
          <t>TAK</t>
        </is>
      </c>
      <c r="I287" s="11" t="inlineStr">
        <is>
          <t>DZIAŁA</t>
        </is>
      </c>
      <c r="J287" s="12" t="inlineStr">
        <is>
          <t>status/actions.ts:158,177</t>
        </is>
      </c>
      <c r="K287" s="11" t="inlineStr">
        <is>
          <t>PARYTET</t>
        </is>
      </c>
      <c r="L287" s="11" t="inlineStr">
        <is>
          <t>—</t>
        </is>
      </c>
      <c r="M287" s="11" t="inlineStr">
        <is>
          <t>—</t>
        </is>
      </c>
      <c r="N287" s="12" t="inlineStr"/>
    </row>
    <row r="288">
      <c r="A288" s="11" t="inlineStr">
        <is>
          <t>N-09</t>
        </is>
      </c>
      <c r="B288" s="12" t="inlineStr">
        <is>
          <t>N</t>
        </is>
      </c>
      <c r="C288" s="11" t="inlineStr">
        <is>
          <t>Powiadomienia w panelu (dzwonek)</t>
        </is>
      </c>
      <c r="D288" s="11" t="inlineStr">
        <is>
          <t>NIE</t>
        </is>
      </c>
      <c r="E288" s="11" t="inlineStr">
        <is>
          <t>CZĘŚĆ</t>
        </is>
      </c>
      <c r="F288" s="11" t="inlineStr">
        <is>
          <t>NIE</t>
        </is>
      </c>
      <c r="G288" s="11" t="inlineStr">
        <is>
          <t>CZĘŚĆ</t>
        </is>
      </c>
      <c r="H288" s="11" t="inlineStr">
        <is>
          <t>TAK</t>
        </is>
      </c>
      <c r="I288" s="11" t="inlineStr">
        <is>
          <t>DZIAŁA</t>
        </is>
      </c>
      <c r="J288" s="12" t="inlineStr">
        <is>
          <t>notifications.controller.ts:12,20,26</t>
        </is>
      </c>
      <c r="K288" s="11" t="inlineStr">
        <is>
          <t>PARYTET</t>
        </is>
      </c>
      <c r="L288" s="11" t="inlineStr">
        <is>
          <t>—</t>
        </is>
      </c>
      <c r="M288" s="11" t="inlineStr">
        <is>
          <t>—</t>
        </is>
      </c>
      <c r="N288" s="12" t="inlineStr"/>
    </row>
    <row r="289">
      <c r="A289" s="11" t="inlineStr">
        <is>
          <t>N-10</t>
        </is>
      </c>
      <c r="B289" s="12" t="inlineStr">
        <is>
          <t>N</t>
        </is>
      </c>
      <c r="C289" s="11" t="inlineStr">
        <is>
          <t>Preferencje powiadomień e-mail</t>
        </is>
      </c>
      <c r="D289" s="11" t="inlineStr">
        <is>
          <t>NIE</t>
        </is>
      </c>
      <c r="E289" s="11" t="inlineStr">
        <is>
          <t>CZĘŚĆ</t>
        </is>
      </c>
      <c r="F289" s="11" t="inlineStr">
        <is>
          <t>NIE</t>
        </is>
      </c>
      <c r="G289" s="11" t="inlineStr">
        <is>
          <t>CZĘŚĆ</t>
        </is>
      </c>
      <c r="H289" s="11" t="inlineStr">
        <is>
          <t>TAK</t>
        </is>
      </c>
      <c r="I289" s="11" t="inlineStr">
        <is>
          <t>CZĘŚCIOWE</t>
        </is>
      </c>
      <c r="J289" s="12" t="inlineStr">
        <is>
          <t>notifications-tab.tsx:70 — sekcja „Zawsze włączone” to statyczny tekst bez backendu</t>
        </is>
      </c>
      <c r="K289" s="11" t="inlineStr">
        <is>
          <t>CZĘŚCIOWY</t>
        </is>
      </c>
      <c r="L289" s="11" t="inlineStr">
        <is>
          <t>ŚREDNIA</t>
        </is>
      </c>
      <c r="M289" s="11" t="inlineStr">
        <is>
          <t>S</t>
        </is>
      </c>
      <c r="N289" s="12" t="inlineStr">
        <is>
          <t>sterowalne są tylko zgody marketingowe</t>
        </is>
      </c>
    </row>
    <row r="290">
      <c r="A290" s="11" t="inlineStr">
        <is>
          <t>N-11</t>
        </is>
      </c>
      <c r="B290" s="12" t="inlineStr">
        <is>
          <t>N</t>
        </is>
      </c>
      <c r="C290" s="11" t="inlineStr">
        <is>
          <t>Ogłoszenia i okna serwisowe</t>
        </is>
      </c>
      <c r="D290" s="11" t="inlineStr">
        <is>
          <t>CZĘŚĆ</t>
        </is>
      </c>
      <c r="E290" s="11" t="inlineStr">
        <is>
          <t>TAK</t>
        </is>
      </c>
      <c r="F290" s="11" t="inlineStr">
        <is>
          <t>CZĘŚĆ</t>
        </is>
      </c>
      <c r="G290" s="11" t="inlineStr">
        <is>
          <t>CZĘŚĆ</t>
        </is>
      </c>
      <c r="H290" s="11" t="inlineStr">
        <is>
          <t>CZĘŚĆ</t>
        </is>
      </c>
      <c r="I290" s="11" t="inlineStr">
        <is>
          <t>ENDPOINT BEZ UI</t>
        </is>
      </c>
      <c r="J290" s="12" t="inlineStr">
        <is>
          <t>product-ops.admin.controller.ts:281,307,342,427; product-ops/data.ts:78-85 to same GET-y</t>
        </is>
      </c>
      <c r="K290" s="11" t="inlineStr">
        <is>
          <t>LUKA</t>
        </is>
      </c>
      <c r="L290" s="11" t="inlineStr">
        <is>
          <t>WYSOKA</t>
        </is>
      </c>
      <c r="M290" s="11" t="inlineStr">
        <is>
          <t>M</t>
        </is>
      </c>
      <c r="N290" s="12" t="inlineStr">
        <is>
          <t>cały panel Product Ops/NOC jest read-only</t>
        </is>
      </c>
    </row>
    <row r="291">
      <c r="A291" s="11" t="inlineStr">
        <is>
          <t>N-12</t>
        </is>
      </c>
      <c r="B291" s="12" t="inlineStr">
        <is>
          <t>N</t>
        </is>
      </c>
      <c r="C291" s="11" t="inlineStr">
        <is>
          <t>Feature flagi z panelu operatora</t>
        </is>
      </c>
      <c r="D291" s="11" t="inlineStr">
        <is>
          <t>NIE</t>
        </is>
      </c>
      <c r="E291" s="11" t="inlineStr">
        <is>
          <t>CZĘŚĆ</t>
        </is>
      </c>
      <c r="F291" s="11" t="inlineStr">
        <is>
          <t>NIE</t>
        </is>
      </c>
      <c r="G291" s="11" t="inlineStr">
        <is>
          <t>—</t>
        </is>
      </c>
      <c r="H291" s="11" t="inlineStr">
        <is>
          <t>—</t>
        </is>
      </c>
      <c r="I291" s="11" t="inlineStr">
        <is>
          <t>ENDPOINT BEZ UI</t>
        </is>
      </c>
      <c r="J291" s="12" t="inlineStr">
        <is>
          <t>product-ops.admin.controller.ts:342</t>
        </is>
      </c>
      <c r="K291" s="11" t="inlineStr">
        <is>
          <t>LUKA</t>
        </is>
      </c>
      <c r="L291" s="11" t="inlineStr">
        <is>
          <t>ŚREDNIA</t>
        </is>
      </c>
      <c r="M291" s="11" t="inlineStr">
        <is>
          <t>S</t>
        </is>
      </c>
      <c r="N291" s="12" t="inlineStr"/>
    </row>
    <row r="292">
      <c r="A292" s="11" t="inlineStr">
        <is>
          <t>N-13</t>
        </is>
      </c>
      <c r="B292" s="12" t="inlineStr">
        <is>
          <t>N</t>
        </is>
      </c>
      <c r="C292" s="11" t="inlineStr">
        <is>
          <t>KOLEJKA OBSŁUGI NADUŻYĆ (ABUSE)</t>
        </is>
      </c>
      <c r="D292" s="11" t="inlineStr">
        <is>
          <t>TAK</t>
        </is>
      </c>
      <c r="E292" s="11" t="inlineStr">
        <is>
          <t>TAK</t>
        </is>
      </c>
      <c r="F292" s="11" t="inlineStr">
        <is>
          <t>CZĘŚĆ</t>
        </is>
      </c>
      <c r="G292" s="11" t="inlineStr">
        <is>
          <t>TAK</t>
        </is>
      </c>
      <c r="H292" s="11" t="inlineStr">
        <is>
          <t>TAK</t>
        </is>
      </c>
      <c r="I292" s="11" t="inlineStr">
        <is>
          <t>BRAK</t>
        </is>
      </c>
      <c r="J292" s="12" t="inlineStr">
        <is>
          <t>brak modułu, encji i trasy; jest tylko outbound-abuse.guard.ts:7-18 bez UI</t>
        </is>
      </c>
      <c r="K292" s="11" t="inlineStr">
        <is>
          <t>LUKA</t>
        </is>
      </c>
      <c r="L292" s="11" t="inlineStr">
        <is>
          <t>WYSOKA</t>
        </is>
      </c>
      <c r="M292" s="11" t="inlineStr">
        <is>
          <t>L</t>
        </is>
      </c>
      <c r="N292" s="12" t="inlineStr">
        <is>
          <t>Skorygowane: powierzchnia abuse częściowo istnieje — outbound-cordon.admin.controller.ts:25,31, uprawnienie ABUSE_MANAGE (staff-permissions.catalog.ts:21), zarezerwowany adres abuse@, throttling na węźle. Brakuje kolejki i procesu, nie możliwości zatrzymania szkody.</t>
        </is>
      </c>
    </row>
    <row r="293">
      <c r="A293" s="11" t="inlineStr">
        <is>
          <t>N-14</t>
        </is>
      </c>
      <c r="B293" s="12" t="inlineStr">
        <is>
          <t>N</t>
        </is>
      </c>
      <c r="C293" s="11" t="inlineStr">
        <is>
          <t>Cordon wysyłki poczty (auto-blokada spamu)</t>
        </is>
      </c>
      <c r="D293" s="11" t="inlineStr">
        <is>
          <t>CZĘŚĆ</t>
        </is>
      </c>
      <c r="E293" s="11" t="inlineStr">
        <is>
          <t>TAK</t>
        </is>
      </c>
      <c r="F293" s="11" t="inlineStr">
        <is>
          <t>CZĘŚĆ</t>
        </is>
      </c>
      <c r="G293" s="11" t="inlineStr">
        <is>
          <t>—</t>
        </is>
      </c>
      <c r="H293" s="11" t="inlineStr">
        <is>
          <t>—</t>
        </is>
      </c>
      <c r="I293" s="11" t="inlineStr">
        <is>
          <t>ENDPOINT BEZ UI</t>
        </is>
      </c>
      <c r="J293" s="12" t="inlineStr">
        <is>
          <t>outbound-cordon.admin.controller.ts:20,25,32; zero „cordon” w admin-panel</t>
        </is>
      </c>
      <c r="K293" s="11" t="inlineStr">
        <is>
          <t>LUKA</t>
        </is>
      </c>
      <c r="L293" s="11" t="inlineStr">
        <is>
          <t>WYSOKA</t>
        </is>
      </c>
      <c r="M293" s="11" t="inlineStr">
        <is>
          <t>S</t>
        </is>
      </c>
      <c r="N293" s="12" t="inlineStr">
        <is>
          <t>mechanizm działa, operator nie może go zobaczyć ani zdjąć</t>
        </is>
      </c>
    </row>
    <row r="294">
      <c r="A294" s="11" t="inlineStr">
        <is>
          <t>N-15</t>
        </is>
      </c>
      <c r="B294" s="12" t="inlineStr">
        <is>
          <t>N</t>
        </is>
      </c>
      <c r="C294" s="11" t="inlineStr">
        <is>
          <t>Migracja z innego hostingu wykonywana przez dostawcę</t>
        </is>
      </c>
      <c r="D294" s="11" t="inlineStr">
        <is>
          <t>NIE</t>
        </is>
      </c>
      <c r="E294" s="11" t="inlineStr">
        <is>
          <t>NIE</t>
        </is>
      </c>
      <c r="F294" s="11" t="inlineStr">
        <is>
          <t>NIE</t>
        </is>
      </c>
      <c r="G294" s="11" t="inlineStr">
        <is>
          <t>TAK</t>
        </is>
      </c>
      <c r="H294" s="11" t="inlineStr">
        <is>
          <t>CZĘŚĆ</t>
        </is>
      </c>
      <c r="I294" s="11" t="inlineStr">
        <is>
          <t>DZIAŁA</t>
        </is>
      </c>
      <c r="J294" s="12" t="inlineStr">
        <is>
          <t>cockpit migracji + kreator klienta</t>
        </is>
      </c>
      <c r="K294" s="11" t="inlineStr">
        <is>
          <t>PRZEWAGA</t>
        </is>
      </c>
      <c r="L294" s="11" t="inlineStr">
        <is>
          <t>—</t>
        </is>
      </c>
      <c r="M294" s="11" t="inlineStr">
        <is>
          <t>—</t>
        </is>
      </c>
      <c r="N294" s="12" t="inlineStr">
        <is>
          <t>4 z 5 hostingów PL robi ręcznie; u nas to produkt</t>
        </is>
      </c>
    </row>
    <row r="295">
      <c r="A295" s="11" t="inlineStr">
        <is>
          <t>N-16</t>
        </is>
      </c>
      <c r="B295" s="12" t="inlineStr">
        <is>
          <t>N</t>
        </is>
      </c>
      <c r="C295" s="11" t="inlineStr">
        <is>
          <t>SLA z zapisanymi kredytami</t>
        </is>
      </c>
      <c r="D295" s="11" t="inlineStr">
        <is>
          <t>NIE</t>
        </is>
      </c>
      <c r="E295" s="11" t="inlineStr">
        <is>
          <t>NIE</t>
        </is>
      </c>
      <c r="F295" s="11" t="inlineStr">
        <is>
          <t>NIE</t>
        </is>
      </c>
      <c r="G295" s="11" t="inlineStr">
        <is>
          <t>CZĘŚĆ</t>
        </is>
      </c>
      <c r="H295" s="11" t="inlineStr">
        <is>
          <t>NIE</t>
        </is>
      </c>
      <c r="I295" s="11" t="inlineStr">
        <is>
          <t>FLAGA</t>
        </is>
      </c>
      <c r="J295" s="12" t="inlineStr">
        <is>
          <t>sla-credit.scheduler.ts:79 — if (!policy.enabled) return; SLA_CREDITS_ENABLED default '0' (platform-settings.keys.ts:116)</t>
        </is>
      </c>
      <c r="K295" s="11" t="inlineStr">
        <is>
          <t>CZĘŚCIOWY</t>
        </is>
      </c>
      <c r="L295" s="11" t="inlineStr">
        <is>
          <t>WYSOKA</t>
        </is>
      </c>
      <c r="M295" s="11" t="inlineStr">
        <is>
          <t>S</t>
        </is>
      </c>
      <c r="N295" s="12" t="inlineStr">
        <is>
          <t>OSŁABIONE: funkcja jest domyślnie martwa, a live-readiness nie ma checka SLA — flaga może zostać wyłączona bez żadnego sygnału. Regulamin obiecuje kredyty, kod ich nie nalicza.</t>
        </is>
      </c>
    </row>
    <row r="296">
      <c r="A296" s="11" t="inlineStr">
        <is>
          <t>N-17</t>
        </is>
      </c>
      <c r="B296" s="12" t="inlineStr">
        <is>
          <t>N</t>
        </is>
      </c>
      <c r="C296" s="11" t="inlineStr">
        <is>
          <t>Szablony odpowiedzi obsługi</t>
        </is>
      </c>
      <c r="D296" s="11" t="inlineStr">
        <is>
          <t>NIE</t>
        </is>
      </c>
      <c r="E296" s="11" t="inlineStr">
        <is>
          <t>NIE</t>
        </is>
      </c>
      <c r="F296" s="11" t="inlineStr">
        <is>
          <t>CZĘŚĆ</t>
        </is>
      </c>
      <c r="G296" s="11" t="inlineStr">
        <is>
          <t>—</t>
        </is>
      </c>
      <c r="H296" s="11" t="inlineStr">
        <is>
          <t>—</t>
        </is>
      </c>
      <c r="I296" s="11" t="inlineStr">
        <is>
          <t>DZIAŁA</t>
        </is>
      </c>
      <c r="J296" s="12" t="inlineStr">
        <is>
          <t>settings/canned-responses/actions.ts:23</t>
        </is>
      </c>
      <c r="K296" s="11" t="inlineStr">
        <is>
          <t>PARYTET</t>
        </is>
      </c>
      <c r="L296" s="11" t="inlineStr">
        <is>
          <t>—</t>
        </is>
      </c>
      <c r="M296" s="11" t="inlineStr">
        <is>
          <t>—</t>
        </is>
      </c>
      <c r="N296" s="12" t="inlineStr"/>
    </row>
    <row r="297">
      <c r="A297" s="11" t="inlineStr">
        <is>
          <t>N-18</t>
        </is>
      </c>
      <c r="B297" s="12" t="inlineStr">
        <is>
          <t>N</t>
        </is>
      </c>
      <c r="C297" s="11" t="inlineStr">
        <is>
          <t>CRM klienta 360 dla obsługi</t>
        </is>
      </c>
      <c r="D297" s="11" t="inlineStr">
        <is>
          <t>NIE</t>
        </is>
      </c>
      <c r="E297" s="11" t="inlineStr">
        <is>
          <t>NIE</t>
        </is>
      </c>
      <c r="F297" s="11" t="inlineStr">
        <is>
          <t>NIE</t>
        </is>
      </c>
      <c r="G297" s="11" t="inlineStr">
        <is>
          <t>—</t>
        </is>
      </c>
      <c r="H297" s="11" t="inlineStr">
        <is>
          <t>—</t>
        </is>
      </c>
      <c r="I297" s="11" t="inlineStr">
        <is>
          <t>DZIAŁA</t>
        </is>
      </c>
      <c r="J297" s="12" t="inlineStr">
        <is>
          <t>crm-profile-data.ts; users.admin.controller.ts:109,120</t>
        </is>
      </c>
      <c r="K297" s="11" t="inlineStr">
        <is>
          <t>PRZEWAGA</t>
        </is>
      </c>
      <c r="L297" s="11" t="inlineStr">
        <is>
          <t>—</t>
        </is>
      </c>
      <c r="M297" s="11" t="inlineStr">
        <is>
          <t>—</t>
        </is>
      </c>
      <c r="N297" s="12" t="inlineStr"/>
    </row>
    <row r="298">
      <c r="A298" s="11" t="inlineStr">
        <is>
          <t>N-19</t>
        </is>
      </c>
      <c r="B298" s="12" t="inlineStr">
        <is>
          <t>N</t>
        </is>
      </c>
      <c r="C298" s="11" t="inlineStr">
        <is>
          <t>Sugestia AI odpowiedzi na zgłoszenie</t>
        </is>
      </c>
      <c r="D298" s="11" t="inlineStr">
        <is>
          <t>NIE</t>
        </is>
      </c>
      <c r="E298" s="11" t="inlineStr">
        <is>
          <t>NIE</t>
        </is>
      </c>
      <c r="F298" s="11" t="inlineStr">
        <is>
          <t>NIE</t>
        </is>
      </c>
      <c r="G298" s="11" t="inlineStr">
        <is>
          <t>NIE</t>
        </is>
      </c>
      <c r="H298" s="11" t="inlineStr">
        <is>
          <t>CZĘŚĆ</t>
        </is>
      </c>
      <c r="I298" s="11" t="inlineStr">
        <is>
          <t>DZIAŁA</t>
        </is>
      </c>
      <c r="J298" s="12" t="inlineStr">
        <is>
          <t>ai-chat.service.ts (223 l.)</t>
        </is>
      </c>
      <c r="K298" s="11" t="inlineStr">
        <is>
          <t>PRZEWAGA</t>
        </is>
      </c>
      <c r="L298" s="11" t="inlineStr">
        <is>
          <t>—</t>
        </is>
      </c>
      <c r="M298" s="11" t="inlineStr">
        <is>
          <t>—</t>
        </is>
      </c>
      <c r="N298" s="12" t="inlineStr">
        <is>
          <t>OSŁABIONE: wynik renderowany jako surowy JSON.stringify w &lt;pre&gt; (ticket-detail-panel.tsx:346-349), bez możliwości wstawienia do odpowiedzi.</t>
        </is>
      </c>
    </row>
    <row r="299">
      <c r="A299" s="11" t="inlineStr">
        <is>
          <t>N-20</t>
        </is>
      </c>
      <c r="B299" s="12" t="inlineStr">
        <is>
          <t>N</t>
        </is>
      </c>
      <c r="C299" s="11" t="inlineStr">
        <is>
          <t>Link ze zgłoszenia do szczegółu (admin)</t>
        </is>
      </c>
      <c r="D299" s="11" t="inlineStr">
        <is>
          <t>—</t>
        </is>
      </c>
      <c r="E299" s="11" t="inlineStr">
        <is>
          <t>—</t>
        </is>
      </c>
      <c r="F299" s="11" t="inlineStr">
        <is>
          <t>—</t>
        </is>
      </c>
      <c r="G299" s="11" t="inlineStr">
        <is>
          <t>—</t>
        </is>
      </c>
      <c r="H299" s="11" t="inlineStr">
        <is>
          <t>—</t>
        </is>
      </c>
      <c r="I299" s="11" t="inlineStr">
        <is>
          <t>ATRAPA</t>
        </is>
      </c>
      <c r="J299" s="12" t="inlineStr">
        <is>
          <t>tickets/page.tsx:24 → /tickets/${id}; trasa nie istnieje w admin-panel</t>
        </is>
      </c>
      <c r="K299" s="11" t="inlineStr">
        <is>
          <t>LUKA</t>
        </is>
      </c>
      <c r="L299" s="11" t="inlineStr">
        <is>
          <t>ŚREDNIA</t>
        </is>
      </c>
      <c r="M299" s="11" t="inlineStr">
        <is>
          <t>S</t>
        </is>
      </c>
      <c r="N299" s="12" t="inlineStr"/>
    </row>
    <row r="300">
      <c r="A300" s="11" t="inlineStr">
        <is>
          <t>N-21</t>
        </is>
      </c>
      <c r="B300" s="12" t="inlineStr">
        <is>
          <t>N</t>
        </is>
      </c>
      <c r="C300" s="11" t="inlineStr">
        <is>
          <t>Wsparcie telefoniczne</t>
        </is>
      </c>
      <c r="D300" s="11" t="inlineStr">
        <is>
          <t>NIE</t>
        </is>
      </c>
      <c r="E300" s="11" t="inlineStr">
        <is>
          <t>NIE</t>
        </is>
      </c>
      <c r="F300" s="11" t="inlineStr">
        <is>
          <t>NIE</t>
        </is>
      </c>
      <c r="G300" s="11" t="inlineStr">
        <is>
          <t>TAK</t>
        </is>
      </c>
      <c r="H300" s="11" t="inlineStr">
        <is>
          <t>CZĘŚĆ</t>
        </is>
      </c>
      <c r="I300" s="11" t="inlineStr">
        <is>
          <t>BRAK</t>
        </is>
      </c>
      <c r="J300" s="12" t="inlineStr">
        <is>
          <t>poza produktem</t>
        </is>
      </c>
      <c r="K300" s="11" t="inlineStr">
        <is>
          <t>LUKA</t>
        </is>
      </c>
      <c r="L300" s="11" t="inlineStr">
        <is>
          <t>ŚREDNIA</t>
        </is>
      </c>
      <c r="M300" s="11" t="inlineStr">
        <is>
          <t>—</t>
        </is>
      </c>
      <c r="N300" s="12" t="inlineStr">
        <is>
          <t>home.pl i nazwa.pl mają telefon 24/7 — decyzja operacyjna, nie produktowa</t>
        </is>
      </c>
    </row>
    <row r="301">
      <c r="A301" s="11" t="inlineStr">
        <is>
          <t>O-01</t>
        </is>
      </c>
      <c r="B301" s="12" t="inlineStr">
        <is>
          <t>O</t>
        </is>
      </c>
      <c r="C301" s="11" t="inlineStr">
        <is>
          <t>Subkonta z uprawnieniami (IAM)</t>
        </is>
      </c>
      <c r="D301" s="11" t="inlineStr">
        <is>
          <t>TAK</t>
        </is>
      </c>
      <c r="E301" s="11" t="inlineStr">
        <is>
          <t>TAK</t>
        </is>
      </c>
      <c r="F301" s="11" t="inlineStr">
        <is>
          <t>CZĘŚĆ</t>
        </is>
      </c>
      <c r="G301" s="11" t="inlineStr">
        <is>
          <t>CZĘŚĆ</t>
        </is>
      </c>
      <c r="H301" s="11" t="inlineStr">
        <is>
          <t>TAK</t>
        </is>
      </c>
      <c r="I301" s="11" t="inlineStr">
        <is>
          <t>DZIAŁA</t>
        </is>
      </c>
      <c r="J301" s="12" t="inlineStr">
        <is>
          <t>customer-iam.controller.ts:42,53,63,69</t>
        </is>
      </c>
      <c r="K301" s="11" t="inlineStr">
        <is>
          <t>PRZEWAGA</t>
        </is>
      </c>
      <c r="L301" s="11" t="inlineStr">
        <is>
          <t>—</t>
        </is>
      </c>
      <c r="M301" s="11" t="inlineStr">
        <is>
          <t>—</t>
        </is>
      </c>
      <c r="N301" s="12" t="inlineStr">
        <is>
          <t>tylko home.pl ma coś podobnego na rynku PL</t>
        </is>
      </c>
    </row>
    <row r="302">
      <c r="A302" s="11" t="inlineStr">
        <is>
          <t>O-02</t>
        </is>
      </c>
      <c r="B302" s="12" t="inlineStr">
        <is>
          <t>O</t>
        </is>
      </c>
      <c r="C302" s="11" t="inlineStr">
        <is>
          <t>Aktywacja subkonta z zaproszenia</t>
        </is>
      </c>
      <c r="D302" s="11" t="inlineStr">
        <is>
          <t>TAK</t>
        </is>
      </c>
      <c r="E302" s="11" t="inlineStr">
        <is>
          <t>TAK</t>
        </is>
      </c>
      <c r="F302" s="11" t="inlineStr">
        <is>
          <t>CZĘŚĆ</t>
        </is>
      </c>
      <c r="G302" s="11" t="inlineStr">
        <is>
          <t>CZĘŚĆ</t>
        </is>
      </c>
      <c r="H302" s="11" t="inlineStr">
        <is>
          <t>TAK</t>
        </is>
      </c>
      <c r="I302" s="11" t="inlineStr">
        <is>
          <t>DZIAŁA</t>
        </is>
      </c>
      <c r="J302" s="12" t="inlineStr">
        <is>
          <t>customer-iam.controller.ts:47</t>
        </is>
      </c>
      <c r="K302" s="11" t="inlineStr">
        <is>
          <t>PARYTET</t>
        </is>
      </c>
      <c r="L302" s="11" t="inlineStr">
        <is>
          <t>—</t>
        </is>
      </c>
      <c r="M302" s="11" t="inlineStr">
        <is>
          <t>—</t>
        </is>
      </c>
      <c r="N302" s="12" t="inlineStr"/>
    </row>
    <row r="303">
      <c r="A303" s="11" t="inlineStr">
        <is>
          <t>O-03</t>
        </is>
      </c>
      <c r="B303" s="12" t="inlineStr">
        <is>
          <t>O</t>
        </is>
      </c>
      <c r="C303" s="11" t="inlineStr">
        <is>
          <t>Dziennik audytu działań subkont</t>
        </is>
      </c>
      <c r="D303" s="11" t="inlineStr">
        <is>
          <t>CZĘŚĆ</t>
        </is>
      </c>
      <c r="E303" s="11" t="inlineStr">
        <is>
          <t>TAK</t>
        </is>
      </c>
      <c r="F303" s="11" t="inlineStr">
        <is>
          <t>NIE</t>
        </is>
      </c>
      <c r="G303" s="11" t="inlineStr">
        <is>
          <t>NIE</t>
        </is>
      </c>
      <c r="H303" s="11" t="inlineStr">
        <is>
          <t>CZĘŚĆ</t>
        </is>
      </c>
      <c r="I303" s="11" t="inlineStr">
        <is>
          <t>CZĘŚCIOWE</t>
        </is>
      </c>
      <c r="J303" s="12" t="inlineStr">
        <is>
          <t>customer-iam.controller.ts:36</t>
        </is>
      </c>
      <c r="K303" s="11" t="inlineStr">
        <is>
          <t>CZĘŚCIOWY</t>
        </is>
      </c>
      <c r="L303" s="11" t="inlineStr">
        <is>
          <t>ŚREDNIA</t>
        </is>
      </c>
      <c r="M303" s="11" t="inlineStr">
        <is>
          <t>M</t>
        </is>
      </c>
      <c r="N303" s="12" t="inlineStr">
        <is>
          <t>OSŁABIONE: customer-iam.service.ts:72-88 filtruje action startsWith CUSTOMER_IAM_ — istnieje 5 takich akcji. To dziennik zarządzania subkontami, nie ich działań.</t>
        </is>
      </c>
    </row>
    <row r="304">
      <c r="A304" s="11" t="inlineStr">
        <is>
          <t>O-04</t>
        </is>
      </c>
      <c r="B304" s="12" t="inlineStr">
        <is>
          <t>O</t>
        </is>
      </c>
      <c r="C304" s="11" t="inlineStr">
        <is>
          <t>Egzekwowanie uprawnień w nawigacji i API</t>
        </is>
      </c>
      <c r="D304" s="11" t="inlineStr">
        <is>
          <t>TAK</t>
        </is>
      </c>
      <c r="E304" s="11" t="inlineStr">
        <is>
          <t>TAK</t>
        </is>
      </c>
      <c r="F304" s="11" t="inlineStr">
        <is>
          <t>CZĘŚĆ</t>
        </is>
      </c>
      <c r="G304" s="11" t="inlineStr">
        <is>
          <t>—</t>
        </is>
      </c>
      <c r="H304" s="11" t="inlineStr">
        <is>
          <t>—</t>
        </is>
      </c>
      <c r="I304" s="11" t="inlineStr">
        <is>
          <t>DZIAŁA</t>
        </is>
      </c>
      <c r="J304" s="12" t="inlineStr">
        <is>
          <t>middleware.ts:39; customer-permissions.guard.ts:9; test D1</t>
        </is>
      </c>
      <c r="K304" s="11" t="inlineStr">
        <is>
          <t>PARYTET</t>
        </is>
      </c>
      <c r="L304" s="11" t="inlineStr">
        <is>
          <t>—</t>
        </is>
      </c>
      <c r="M304" s="11" t="inlineStr">
        <is>
          <t>—</t>
        </is>
      </c>
      <c r="N304" s="12" t="inlineStr"/>
    </row>
    <row r="305">
      <c r="A305" s="11" t="inlineStr">
        <is>
          <t>O-05</t>
        </is>
      </c>
      <c r="B305" s="12" t="inlineStr">
        <is>
          <t>O</t>
        </is>
      </c>
      <c r="C305" s="11" t="inlineStr">
        <is>
          <t>Reseller — przegląd klientów</t>
        </is>
      </c>
      <c r="D305" s="11" t="inlineStr">
        <is>
          <t>TAK</t>
        </is>
      </c>
      <c r="E305" s="11" t="inlineStr">
        <is>
          <t>TAK</t>
        </is>
      </c>
      <c r="F305" s="11" t="inlineStr">
        <is>
          <t>TAK</t>
        </is>
      </c>
      <c r="G305" s="11" t="inlineStr">
        <is>
          <t>CZĘŚĆ</t>
        </is>
      </c>
      <c r="H305" s="11" t="inlineStr">
        <is>
          <t>CZĘŚĆ</t>
        </is>
      </c>
      <c r="I305" s="11" t="inlineStr">
        <is>
          <t>CZĘŚCIOWE</t>
        </is>
      </c>
      <c r="J305" s="12" t="inlineStr">
        <is>
          <t>reseller.controller.ts:12,17 — 2 GET-y, zero mutacji</t>
        </is>
      </c>
      <c r="K305" s="11" t="inlineStr">
        <is>
          <t>CZĘŚCIOWY</t>
        </is>
      </c>
      <c r="L305" s="11" t="inlineStr">
        <is>
          <t>ŚREDNIA</t>
        </is>
      </c>
      <c r="M305" s="11" t="inlineStr">
        <is>
          <t>L</t>
        </is>
      </c>
      <c r="N305" s="12" t="inlineStr"/>
    </row>
    <row r="306">
      <c r="A306" s="11" t="inlineStr">
        <is>
          <t>O-06</t>
        </is>
      </c>
      <c r="B306" s="12" t="inlineStr">
        <is>
          <t>O</t>
        </is>
      </c>
      <c r="C306" s="11" t="inlineStr">
        <is>
          <t>Reseller — zakładanie kont klientom</t>
        </is>
      </c>
      <c r="D306" s="11" t="inlineStr">
        <is>
          <t>TAK</t>
        </is>
      </c>
      <c r="E306" s="11" t="inlineStr">
        <is>
          <t>TAK</t>
        </is>
      </c>
      <c r="F306" s="11" t="inlineStr">
        <is>
          <t>TAK</t>
        </is>
      </c>
      <c r="G306" s="11" t="inlineStr">
        <is>
          <t>CZĘŚĆ</t>
        </is>
      </c>
      <c r="H306" s="11" t="inlineStr">
        <is>
          <t>CZĘŚĆ</t>
        </is>
      </c>
      <c r="I306" s="11" t="inlineStr">
        <is>
          <t>BRAK</t>
        </is>
      </c>
      <c r="J306" s="12" t="inlineStr">
        <is>
          <t>—</t>
        </is>
      </c>
      <c r="K306" s="11" t="inlineStr">
        <is>
          <t>LUKA</t>
        </is>
      </c>
      <c r="L306" s="11" t="inlineStr">
        <is>
          <t>ŚREDNIA</t>
        </is>
      </c>
      <c r="M306" s="11" t="inlineStr">
        <is>
          <t>L</t>
        </is>
      </c>
      <c r="N306" s="12" t="inlineStr">
        <is>
          <t>bez tego reseller nie jest produktem</t>
        </is>
      </c>
    </row>
    <row r="307">
      <c r="A307" s="11" t="inlineStr">
        <is>
          <t>O-07</t>
        </is>
      </c>
      <c r="B307" s="12" t="inlineStr">
        <is>
          <t>O</t>
        </is>
      </c>
      <c r="C307" s="11" t="inlineStr">
        <is>
          <t>Reseller — ustawianie własnej marży</t>
        </is>
      </c>
      <c r="D307" s="11" t="inlineStr">
        <is>
          <t>TAK</t>
        </is>
      </c>
      <c r="E307" s="11" t="inlineStr">
        <is>
          <t>TAK</t>
        </is>
      </c>
      <c r="F307" s="11" t="inlineStr">
        <is>
          <t>TAK</t>
        </is>
      </c>
      <c r="G307" s="11" t="inlineStr">
        <is>
          <t>CZĘŚĆ</t>
        </is>
      </c>
      <c r="H307" s="11" t="inlineStr">
        <is>
          <t>CZĘŚĆ</t>
        </is>
      </c>
      <c r="I307" s="11" t="inlineStr">
        <is>
          <t>CZĘŚCIOWE</t>
        </is>
      </c>
      <c r="J307" s="12" t="inlineStr">
        <is>
          <t>reseller.admin.controller.ts:44,50 — tylko operator, nie reseller</t>
        </is>
      </c>
      <c r="K307" s="11" t="inlineStr">
        <is>
          <t>CZĘŚCIOWY</t>
        </is>
      </c>
      <c r="L307" s="11" t="inlineStr">
        <is>
          <t>NISKA</t>
        </is>
      </c>
      <c r="M307" s="11" t="inlineStr">
        <is>
          <t>M</t>
        </is>
      </c>
      <c r="N307" s="12" t="inlineStr"/>
    </row>
    <row r="308">
      <c r="A308" s="11" t="inlineStr">
        <is>
          <t>O-08</t>
        </is>
      </c>
      <c r="B308" s="12" t="inlineStr">
        <is>
          <t>O</t>
        </is>
      </c>
      <c r="C308" s="11" t="inlineStr">
        <is>
          <t>Reseller — samodzielne włączenie programu</t>
        </is>
      </c>
      <c r="D308" s="11" t="inlineStr">
        <is>
          <t>CZĘŚĆ</t>
        </is>
      </c>
      <c r="E308" s="11" t="inlineStr">
        <is>
          <t>CZĘŚĆ</t>
        </is>
      </c>
      <c r="F308" s="11" t="inlineStr">
        <is>
          <t>CZĘŚĆ</t>
        </is>
      </c>
      <c r="G308" s="11" t="inlineStr">
        <is>
          <t>CZĘŚĆ</t>
        </is>
      </c>
      <c r="H308" s="11" t="inlineStr">
        <is>
          <t>CZĘŚĆ</t>
        </is>
      </c>
      <c r="I308" s="11" t="inlineStr">
        <is>
          <t>ATRAPA</t>
        </is>
      </c>
      <c r="J308" s="12" t="inlineStr">
        <is>
          <t>reseller-client.tsx:49 — jedyna akcja to „Napisz do nas”</t>
        </is>
      </c>
      <c r="K308" s="11" t="inlineStr">
        <is>
          <t>LUKA</t>
        </is>
      </c>
      <c r="L308" s="11" t="inlineStr">
        <is>
          <t>NISKA</t>
        </is>
      </c>
      <c r="M308" s="11" t="inlineStr">
        <is>
          <t>M</t>
        </is>
      </c>
      <c r="N308" s="12" t="inlineStr">
        <is>
          <t>strona sprzedażowa bez operacji zapisu</t>
        </is>
      </c>
    </row>
    <row r="309">
      <c r="A309" s="11" t="inlineStr">
        <is>
          <t>O-09</t>
        </is>
      </c>
      <c r="B309" s="12" t="inlineStr">
        <is>
          <t>O</t>
        </is>
      </c>
      <c r="C309" s="11" t="inlineStr">
        <is>
          <t>White-label / własna marka resellera</t>
        </is>
      </c>
      <c r="D309" s="11" t="inlineStr">
        <is>
          <t>TAK</t>
        </is>
      </c>
      <c r="E309" s="11" t="inlineStr">
        <is>
          <t>TAK</t>
        </is>
      </c>
      <c r="F309" s="11" t="inlineStr">
        <is>
          <t>TAK</t>
        </is>
      </c>
      <c r="G309" s="11" t="inlineStr">
        <is>
          <t>CZĘŚĆ</t>
        </is>
      </c>
      <c r="H309" s="11" t="inlineStr">
        <is>
          <t>CZĘŚĆ</t>
        </is>
      </c>
      <c r="I309" s="11" t="inlineStr">
        <is>
          <t>CZĘŚCIOWE</t>
        </is>
      </c>
      <c r="J309" s="12" t="inlineStr">
        <is>
          <t>reseller.admin.controller.ts:44 (brand po stronie operatora)</t>
        </is>
      </c>
      <c r="K309" s="11" t="inlineStr">
        <is>
          <t>CZĘŚCIOWY</t>
        </is>
      </c>
      <c r="L309" s="11" t="inlineStr">
        <is>
          <t>NISKA</t>
        </is>
      </c>
      <c r="M309" s="11" t="inlineStr">
        <is>
          <t>L</t>
        </is>
      </c>
      <c r="N309" s="12" t="inlineStr">
        <is>
          <t>seohost to reklamuje jako wyróżnik</t>
        </is>
      </c>
    </row>
    <row r="310">
      <c r="A310" s="11" t="inlineStr">
        <is>
          <t>O-10</t>
        </is>
      </c>
      <c r="B310" s="12" t="inlineStr">
        <is>
          <t>O</t>
        </is>
      </c>
      <c r="C310" s="11" t="inlineStr">
        <is>
          <t>Role i uprawnienia operatorów</t>
        </is>
      </c>
      <c r="D310" s="11" t="inlineStr">
        <is>
          <t>TAK</t>
        </is>
      </c>
      <c r="E310" s="11" t="inlineStr">
        <is>
          <t>TAK</t>
        </is>
      </c>
      <c r="F310" s="11" t="inlineStr">
        <is>
          <t>TAK</t>
        </is>
      </c>
      <c r="G310" s="11" t="inlineStr">
        <is>
          <t>—</t>
        </is>
      </c>
      <c r="H310" s="11" t="inlineStr">
        <is>
          <t>—</t>
        </is>
      </c>
      <c r="I310" s="11" t="inlineStr">
        <is>
          <t>DZIAŁA</t>
        </is>
      </c>
      <c r="J310" s="12" t="inlineStr">
        <is>
          <t>staff-roles.admin.controller.ts:31,36,41</t>
        </is>
      </c>
      <c r="K310" s="11" t="inlineStr">
        <is>
          <t>PARYTET</t>
        </is>
      </c>
      <c r="L310" s="11" t="inlineStr">
        <is>
          <t>—</t>
        </is>
      </c>
      <c r="M310" s="11" t="inlineStr">
        <is>
          <t>—</t>
        </is>
      </c>
      <c r="N310" s="12" t="inlineStr"/>
    </row>
    <row r="311">
      <c r="A311" s="11" t="inlineStr">
        <is>
          <t>O-11</t>
        </is>
      </c>
      <c r="B311" s="12" t="inlineStr">
        <is>
          <t>O</t>
        </is>
      </c>
      <c r="C311" s="11" t="inlineStr">
        <is>
          <t>Zarządzanie operatorami</t>
        </is>
      </c>
      <c r="D311" s="11" t="inlineStr">
        <is>
          <t>TAK</t>
        </is>
      </c>
      <c r="E311" s="11" t="inlineStr">
        <is>
          <t>TAK</t>
        </is>
      </c>
      <c r="F311" s="11" t="inlineStr">
        <is>
          <t>TAK</t>
        </is>
      </c>
      <c r="G311" s="11" t="inlineStr">
        <is>
          <t>—</t>
        </is>
      </c>
      <c r="H311" s="11" t="inlineStr">
        <is>
          <t>—</t>
        </is>
      </c>
      <c r="I311" s="11" t="inlineStr">
        <is>
          <t>DZIAŁA</t>
        </is>
      </c>
      <c r="J311" s="12" t="inlineStr">
        <is>
          <t>staff-roles.admin.controller.ts:51,56,61</t>
        </is>
      </c>
      <c r="K311" s="11" t="inlineStr">
        <is>
          <t>PARYTET</t>
        </is>
      </c>
      <c r="L311" s="11" t="inlineStr">
        <is>
          <t>—</t>
        </is>
      </c>
      <c r="M311" s="11" t="inlineStr">
        <is>
          <t>—</t>
        </is>
      </c>
      <c r="N311" s="12" t="inlineStr"/>
    </row>
    <row r="312">
      <c r="A312" s="11" t="inlineStr">
        <is>
          <t>O-12</t>
        </is>
      </c>
      <c r="B312" s="12" t="inlineStr">
        <is>
          <t>O</t>
        </is>
      </c>
      <c r="C312" s="11" t="inlineStr">
        <is>
          <t>Program partnerski / afiliacyjny</t>
        </is>
      </c>
      <c r="D312" s="11" t="inlineStr">
        <is>
          <t>NIE</t>
        </is>
      </c>
      <c r="E312" s="11" t="inlineStr">
        <is>
          <t>NIE</t>
        </is>
      </c>
      <c r="F312" s="11" t="inlineStr">
        <is>
          <t>NIE</t>
        </is>
      </c>
      <c r="G312" s="11" t="inlineStr">
        <is>
          <t>CZĘŚĆ</t>
        </is>
      </c>
      <c r="H312" s="11" t="inlineStr">
        <is>
          <t>TAK</t>
        </is>
      </c>
      <c r="I312" s="11" t="inlineStr">
        <is>
          <t>DZIAŁA</t>
        </is>
      </c>
      <c r="J312" s="12" t="inlineStr">
        <is>
          <t>partners.controller.ts:18,28,34</t>
        </is>
      </c>
      <c r="K312" s="11" t="inlineStr">
        <is>
          <t>PARYTET</t>
        </is>
      </c>
      <c r="L312" s="11" t="inlineStr">
        <is>
          <t>—</t>
        </is>
      </c>
      <c r="M312" s="11" t="inlineStr">
        <is>
          <t>—</t>
        </is>
      </c>
      <c r="N312" s="12" t="inlineStr">
        <is>
          <t>wypłata na portfel lub IBAN</t>
        </is>
      </c>
    </row>
    <row r="313">
      <c r="A313" s="11" t="inlineStr">
        <is>
          <t>Z-04</t>
        </is>
      </c>
      <c r="B313" s="12" t="inlineStr">
        <is>
          <t>O</t>
        </is>
      </c>
      <c r="C313" s="11" t="inlineStr">
        <is>
          <t>Guard uprawnień subkont — domyślna odmowa</t>
        </is>
      </c>
      <c r="D313" s="11" t="inlineStr">
        <is>
          <t>TAK</t>
        </is>
      </c>
      <c r="E313" s="11" t="inlineStr">
        <is>
          <t>TAK</t>
        </is>
      </c>
      <c r="F313" s="11" t="inlineStr">
        <is>
          <t>CZĘŚĆ</t>
        </is>
      </c>
      <c r="G313" s="11" t="inlineStr">
        <is>
          <t>CZĘŚĆ</t>
        </is>
      </c>
      <c r="H313" s="11" t="inlineStr">
        <is>
          <t>TAK</t>
        </is>
      </c>
      <c r="I313" s="11" t="inlineStr">
        <is>
          <t>DZIAŁA</t>
        </is>
      </c>
      <c r="J313" s="12" t="inlineStr">
        <is>
          <t>customer-permissions.guard.ts — typ WymogTrasy, REGULY_TRAS, domyślne 'ODMOWA'; customer-permissions-coverage.spec.ts — 55 tras zamkniętych, lista jawna</t>
        </is>
      </c>
      <c r="K313" s="11" t="inlineStr">
        <is>
          <t>PARYTET</t>
        </is>
      </c>
      <c r="L313" s="11" t="inlineStr">
        <is>
          <t>—</t>
        </is>
      </c>
      <c r="M313" s="11" t="inlineStr">
        <is>
          <t>S</t>
        </is>
      </c>
      <c r="N313" s="12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</row>
    <row r="314">
      <c r="A314" s="11" t="inlineStr">
        <is>
          <t>P-01</t>
        </is>
      </c>
      <c r="B314" s="12" t="inlineStr">
        <is>
          <t>P</t>
        </is>
      </c>
      <c r="C314" s="11" t="inlineStr">
        <is>
          <t>Eksport danych osobowych (art. 20)</t>
        </is>
      </c>
      <c r="D314" s="11" t="inlineStr">
        <is>
          <t>NIE</t>
        </is>
      </c>
      <c r="E314" s="11" t="inlineStr">
        <is>
          <t>CZĘŚĆ</t>
        </is>
      </c>
      <c r="F314" s="11" t="inlineStr">
        <is>
          <t>NIE</t>
        </is>
      </c>
      <c r="G314" s="11" t="inlineStr">
        <is>
          <t>CZĘŚĆ</t>
        </is>
      </c>
      <c r="H314" s="11" t="inlineStr">
        <is>
          <t>CZĘŚĆ</t>
        </is>
      </c>
      <c r="I314" s="11" t="inlineStr">
        <is>
          <t>DZIAŁA</t>
        </is>
      </c>
      <c r="J314" s="12" t="inlineStr">
        <is>
          <t>data-export.service.ts:43-76 (ZIP, 12 sekcji, 13 tabel, TTL 7 dni)</t>
        </is>
      </c>
      <c r="K314" s="11" t="inlineStr">
        <is>
          <t>PRZEWAGA</t>
        </is>
      </c>
      <c r="L314" s="11" t="inlineStr">
        <is>
          <t>—</t>
        </is>
      </c>
      <c r="M314" s="11" t="inlineStr">
        <is>
          <t>—</t>
        </is>
      </c>
      <c r="N314" s="12" t="inlineStr">
        <is>
          <t>ZERO testów</t>
        </is>
      </c>
    </row>
    <row r="315">
      <c r="A315" s="11" t="inlineStr">
        <is>
          <t>P-02</t>
        </is>
      </c>
      <c r="B315" s="12" t="inlineStr">
        <is>
          <t>P</t>
        </is>
      </c>
      <c r="C315" s="11" t="inlineStr">
        <is>
          <t>Żądanie usunięcia konta (art. 17)</t>
        </is>
      </c>
      <c r="D315" s="11" t="inlineStr">
        <is>
          <t>NIE</t>
        </is>
      </c>
      <c r="E315" s="11" t="inlineStr">
        <is>
          <t>CZĘŚĆ</t>
        </is>
      </c>
      <c r="F315" s="11" t="inlineStr">
        <is>
          <t>NIE</t>
        </is>
      </c>
      <c r="G315" s="11" t="inlineStr">
        <is>
          <t>CZĘŚĆ</t>
        </is>
      </c>
      <c r="H315" s="11" t="inlineStr">
        <is>
          <t>CZĘŚĆ</t>
        </is>
      </c>
      <c r="I315" s="11" t="inlineStr">
        <is>
          <t>DZIAŁA</t>
        </is>
      </c>
      <c r="J315" s="12" t="inlineStr">
        <is>
          <t>account-deletion.service.ts:29,308,383-432</t>
        </is>
      </c>
      <c r="K315" s="11" t="inlineStr">
        <is>
          <t>PRZEWAGA</t>
        </is>
      </c>
      <c r="L315" s="11" t="inlineStr">
        <is>
          <t>WYSOKA</t>
        </is>
      </c>
      <c r="M315" s="11" t="inlineStr">
        <is>
          <t>—</t>
        </is>
      </c>
      <c r="N315" s="12" t="inlineStr">
        <is>
          <t>ZERO testów na operacji NIEODWRACALNEJ (twarde kasowanie konta DA)</t>
        </is>
      </c>
    </row>
    <row r="316">
      <c r="A316" s="11" t="inlineStr">
        <is>
          <t>P-03</t>
        </is>
      </c>
      <c r="B316" s="12" t="inlineStr">
        <is>
          <t>P</t>
        </is>
      </c>
      <c r="C316" s="11" t="inlineStr">
        <is>
          <t>Wycofanie żądania usunięcia</t>
        </is>
      </c>
      <c r="D316" s="11" t="inlineStr">
        <is>
          <t>NIE</t>
        </is>
      </c>
      <c r="E316" s="11" t="inlineStr">
        <is>
          <t>NIE</t>
        </is>
      </c>
      <c r="F316" s="11" t="inlineStr">
        <is>
          <t>NIE</t>
        </is>
      </c>
      <c r="G316" s="11" t="inlineStr">
        <is>
          <t>b.d.</t>
        </is>
      </c>
      <c r="H316" s="11" t="inlineStr">
        <is>
          <t>b.d.</t>
        </is>
      </c>
      <c r="I316" s="11" t="inlineStr">
        <is>
          <t>DZIAŁA</t>
        </is>
      </c>
      <c r="J316" s="12" t="inlineStr">
        <is>
          <t>account-deletion.controller.ts:62</t>
        </is>
      </c>
      <c r="K316" s="11" t="inlineStr">
        <is>
          <t>PRZEWAGA</t>
        </is>
      </c>
      <c r="L316" s="11" t="inlineStr">
        <is>
          <t>—</t>
        </is>
      </c>
      <c r="M316" s="11" t="inlineStr">
        <is>
          <t>—</t>
        </is>
      </c>
      <c r="N316" s="12" t="inlineStr">
        <is>
          <t>karencja 14 dni</t>
        </is>
      </c>
    </row>
    <row r="317">
      <c r="A317" s="11" t="inlineStr">
        <is>
          <t>P-04</t>
        </is>
      </c>
      <c r="B317" s="12" t="inlineStr">
        <is>
          <t>P</t>
        </is>
      </c>
      <c r="C317" s="11" t="inlineStr">
        <is>
          <t>Historia zgód klienta</t>
        </is>
      </c>
      <c r="D317" s="11" t="inlineStr">
        <is>
          <t>NIE</t>
        </is>
      </c>
      <c r="E317" s="11" t="inlineStr">
        <is>
          <t>CZĘŚĆ</t>
        </is>
      </c>
      <c r="F317" s="11" t="inlineStr">
        <is>
          <t>NIE</t>
        </is>
      </c>
      <c r="G317" s="11" t="inlineStr">
        <is>
          <t>CZĘŚĆ</t>
        </is>
      </c>
      <c r="H317" s="11" t="inlineStr">
        <is>
          <t>CZĘŚĆ</t>
        </is>
      </c>
      <c r="I317" s="11" t="inlineStr">
        <is>
          <t>DZIAŁA</t>
        </is>
      </c>
      <c r="J317" s="12" t="inlineStr">
        <is>
          <t>consents.controller.ts:70</t>
        </is>
      </c>
      <c r="K317" s="11" t="inlineStr">
        <is>
          <t>PARYTET</t>
        </is>
      </c>
      <c r="L317" s="11" t="inlineStr">
        <is>
          <t>—</t>
        </is>
      </c>
      <c r="M317" s="11" t="inlineStr">
        <is>
          <t>—</t>
        </is>
      </c>
      <c r="N317" s="12" t="inlineStr"/>
    </row>
    <row r="318">
      <c r="A318" s="11" t="inlineStr">
        <is>
          <t>P-05</t>
        </is>
      </c>
      <c r="B318" s="12" t="inlineStr">
        <is>
          <t>P</t>
        </is>
      </c>
      <c r="C318" s="11" t="inlineStr">
        <is>
          <t>Ponowna akceptacja przy zmianie regulaminu</t>
        </is>
      </c>
      <c r="D318" s="11" t="inlineStr">
        <is>
          <t>NIE</t>
        </is>
      </c>
      <c r="E318" s="11" t="inlineStr">
        <is>
          <t>NIE</t>
        </is>
      </c>
      <c r="F318" s="11" t="inlineStr">
        <is>
          <t>NIE</t>
        </is>
      </c>
      <c r="G318" s="11" t="inlineStr">
        <is>
          <t>CZĘŚĆ</t>
        </is>
      </c>
      <c r="H318" s="11" t="inlineStr">
        <is>
          <t>CZĘŚĆ</t>
        </is>
      </c>
      <c r="I318" s="11" t="inlineStr">
        <is>
          <t>DZIAŁA</t>
        </is>
      </c>
      <c r="J318" s="12" t="inlineStr">
        <is>
          <t>reconsent-modal.tsx:169; consents.controller.ts:76</t>
        </is>
      </c>
      <c r="K318" s="11" t="inlineStr">
        <is>
          <t>PRZEWAGA</t>
        </is>
      </c>
      <c r="L318" s="11" t="inlineStr">
        <is>
          <t>—</t>
        </is>
      </c>
      <c r="M318" s="11" t="inlineStr">
        <is>
          <t>—</t>
        </is>
      </c>
      <c r="N318" s="12" t="inlineStr"/>
    </row>
    <row r="319">
      <c r="A319" s="11" t="inlineStr">
        <is>
          <t>P-06</t>
        </is>
      </c>
      <c r="B319" s="12" t="inlineStr">
        <is>
          <t>P</t>
        </is>
      </c>
      <c r="C319" s="11" t="inlineStr">
        <is>
          <t>Umowa powierzenia (DPA) do pobrania</t>
        </is>
      </c>
      <c r="D319" s="11" t="inlineStr">
        <is>
          <t>NIE</t>
        </is>
      </c>
      <c r="E319" s="11" t="inlineStr">
        <is>
          <t>CZĘŚĆ</t>
        </is>
      </c>
      <c r="F319" s="11" t="inlineStr">
        <is>
          <t>NIE</t>
        </is>
      </c>
      <c r="G319" s="11" t="inlineStr">
        <is>
          <t>CZĘŚĆ</t>
        </is>
      </c>
      <c r="H319" s="11" t="inlineStr">
        <is>
          <t>CZĘŚĆ</t>
        </is>
      </c>
      <c r="I319" s="11" t="inlineStr">
        <is>
          <t>DZIAŁA</t>
        </is>
      </c>
      <c r="J319" s="12" t="inlineStr">
        <is>
          <t>dpa.controller.ts:23; dpa-pdf.service.ts</t>
        </is>
      </c>
      <c r="K319" s="11" t="inlineStr">
        <is>
          <t>PRZEWAGA</t>
        </is>
      </c>
      <c r="L319" s="11" t="inlineStr">
        <is>
          <t>—</t>
        </is>
      </c>
      <c r="M319" s="11" t="inlineStr">
        <is>
          <t>—</t>
        </is>
      </c>
      <c r="N319" s="12" t="inlineStr"/>
    </row>
    <row r="320">
      <c r="A320" s="11" t="inlineStr">
        <is>
          <t>P-07</t>
        </is>
      </c>
      <c r="B320" s="12" t="inlineStr">
        <is>
          <t>P</t>
        </is>
      </c>
      <c r="C320" s="11" t="inlineStr">
        <is>
          <t>Dokumenty prawne z historią wersji</t>
        </is>
      </c>
      <c r="D320" s="11" t="inlineStr">
        <is>
          <t>NIE</t>
        </is>
      </c>
      <c r="E320" s="11" t="inlineStr">
        <is>
          <t>NIE</t>
        </is>
      </c>
      <c r="F320" s="11" t="inlineStr">
        <is>
          <t>NIE</t>
        </is>
      </c>
      <c r="G320" s="11" t="inlineStr">
        <is>
          <t>CZĘŚĆ</t>
        </is>
      </c>
      <c r="H320" s="11" t="inlineStr">
        <is>
          <t>CZĘŚĆ</t>
        </is>
      </c>
      <c r="I320" s="11" t="inlineStr">
        <is>
          <t>DZIAŁA</t>
        </is>
      </c>
      <c r="J320" s="12" t="inlineStr">
        <is>
          <t>legal-documents.controller.ts:36,49</t>
        </is>
      </c>
      <c r="K320" s="11" t="inlineStr">
        <is>
          <t>PRZEWAGA</t>
        </is>
      </c>
      <c r="L320" s="11" t="inlineStr">
        <is>
          <t>—</t>
        </is>
      </c>
      <c r="M320" s="11" t="inlineStr">
        <is>
          <t>—</t>
        </is>
      </c>
      <c r="N320" s="12" t="inlineStr">
        <is>
          <t>brakujący dokument → „Dokument w przygotowaniu”</t>
        </is>
      </c>
    </row>
    <row r="321">
      <c r="A321" s="11" t="inlineStr">
        <is>
          <t>P-08</t>
        </is>
      </c>
      <c r="B321" s="12" t="inlineStr">
        <is>
          <t>P</t>
        </is>
      </c>
      <c r="C321" s="11" t="inlineStr">
        <is>
          <t>Retencja i anonimizacja logów</t>
        </is>
      </c>
      <c r="D321" s="11" t="inlineStr">
        <is>
          <t>NIE</t>
        </is>
      </c>
      <c r="E321" s="11" t="inlineStr">
        <is>
          <t>CZĘŚĆ</t>
        </is>
      </c>
      <c r="F321" s="11" t="inlineStr">
        <is>
          <t>NIE</t>
        </is>
      </c>
      <c r="G321" s="11" t="inlineStr">
        <is>
          <t>b.d.</t>
        </is>
      </c>
      <c r="H321" s="11" t="inlineStr">
        <is>
          <t>b.d.</t>
        </is>
      </c>
      <c r="I321" s="11" t="inlineStr">
        <is>
          <t>DZIAŁA</t>
        </is>
      </c>
      <c r="J321" s="12" t="inlineStr">
        <is>
          <t>retention.scheduler.ts:29,30,87,95</t>
        </is>
      </c>
      <c r="K321" s="11" t="inlineStr">
        <is>
          <t>PRZEWAGA</t>
        </is>
      </c>
      <c r="L321" s="11" t="inlineStr">
        <is>
          <t>—</t>
        </is>
      </c>
      <c r="M321" s="11" t="inlineStr">
        <is>
          <t>—</t>
        </is>
      </c>
      <c r="N321" s="12" t="inlineStr">
        <is>
          <t>ZERO testów</t>
        </is>
      </c>
    </row>
    <row r="322">
      <c r="A322" s="11" t="inlineStr">
        <is>
          <t>P-09</t>
        </is>
      </c>
      <c r="B322" s="12" t="inlineStr">
        <is>
          <t>P</t>
        </is>
      </c>
      <c r="C322" s="11" t="inlineStr">
        <is>
          <t>Zgody marketingowe (opt-in/out)</t>
        </is>
      </c>
      <c r="D322" s="11" t="inlineStr">
        <is>
          <t>NIE</t>
        </is>
      </c>
      <c r="E322" s="11" t="inlineStr">
        <is>
          <t>NIE</t>
        </is>
      </c>
      <c r="F322" s="11" t="inlineStr">
        <is>
          <t>NIE</t>
        </is>
      </c>
      <c r="G322" s="11" t="inlineStr">
        <is>
          <t>TAK</t>
        </is>
      </c>
      <c r="H322" s="11" t="inlineStr">
        <is>
          <t>TAK</t>
        </is>
      </c>
      <c r="I322" s="11" t="inlineStr">
        <is>
          <t>DZIAŁA</t>
        </is>
      </c>
      <c r="J322" s="12" t="inlineStr">
        <is>
          <t>consents.controller.ts:99</t>
        </is>
      </c>
      <c r="K322" s="11" t="inlineStr">
        <is>
          <t>PARYTET</t>
        </is>
      </c>
      <c r="L322" s="11" t="inlineStr">
        <is>
          <t>—</t>
        </is>
      </c>
      <c r="M322" s="11" t="inlineStr">
        <is>
          <t>—</t>
        </is>
      </c>
      <c r="N322" s="12" t="inlineStr"/>
    </row>
    <row r="323">
      <c r="A323" s="11" t="inlineStr">
        <is>
          <t>P-10</t>
        </is>
      </c>
      <c r="B323" s="12" t="inlineStr">
        <is>
          <t>P</t>
        </is>
      </c>
      <c r="C323" s="11" t="inlineStr">
        <is>
          <t>Baner zgody na cookies</t>
        </is>
      </c>
      <c r="D323" s="11" t="inlineStr">
        <is>
          <t>NIE</t>
        </is>
      </c>
      <c r="E323" s="11" t="inlineStr">
        <is>
          <t>NIE</t>
        </is>
      </c>
      <c r="F323" s="11" t="inlineStr">
        <is>
          <t>NIE</t>
        </is>
      </c>
      <c r="G323" s="11" t="inlineStr">
        <is>
          <t>TAK</t>
        </is>
      </c>
      <c r="H323" s="11" t="inlineStr">
        <is>
          <t>TAK</t>
        </is>
      </c>
      <c r="I323" s="11" t="inlineStr">
        <is>
          <t>DZIAŁA</t>
        </is>
      </c>
      <c r="J323" s="12" t="inlineStr">
        <is>
          <t>cookie-consent.tsx</t>
        </is>
      </c>
      <c r="K323" s="11" t="inlineStr">
        <is>
          <t>PARYTET</t>
        </is>
      </c>
      <c r="L323" s="11" t="inlineStr">
        <is>
          <t>—</t>
        </is>
      </c>
      <c r="M323" s="11" t="inlineStr">
        <is>
          <t>—</t>
        </is>
      </c>
      <c r="N323" s="12" t="inlineStr"/>
    </row>
    <row r="324">
      <c r="A324" s="11" t="inlineStr">
        <is>
          <t>P-11</t>
        </is>
      </c>
      <c r="B324" s="12" t="inlineStr">
        <is>
          <t>P</t>
        </is>
      </c>
      <c r="C324" s="11" t="inlineStr">
        <is>
          <t>Rejestr czynności przetwarzania (art. 30)</t>
        </is>
      </c>
      <c r="D324" s="11" t="inlineStr">
        <is>
          <t>NIE</t>
        </is>
      </c>
      <c r="E324" s="11" t="inlineStr">
        <is>
          <t>NIE</t>
        </is>
      </c>
      <c r="F324" s="11" t="inlineStr">
        <is>
          <t>NIE</t>
        </is>
      </c>
      <c r="G324" s="11" t="inlineStr">
        <is>
          <t>b.d.</t>
        </is>
      </c>
      <c r="H324" s="11" t="inlineStr">
        <is>
          <t>b.d.</t>
        </is>
      </c>
      <c r="I324" s="11" t="inlineStr">
        <is>
          <t>BRAK</t>
        </is>
      </c>
      <c r="J324" s="12" t="inlineStr">
        <is>
          <t>docs/legal/rcpd.md — sekcje A (administrator), B (procesor, art. 30 ust. 2), C (art. 32), D (przeglądy)</t>
        </is>
      </c>
      <c r="K324" s="11" t="inlineStr">
        <is>
          <t>LUKA</t>
        </is>
      </c>
      <c r="L324" s="11" t="inlineStr">
        <is>
          <t>ŚREDNIA</t>
        </is>
      </c>
      <c r="M324" s="11" t="inlineStr">
        <is>
          <t>M</t>
        </is>
      </c>
      <c r="N324" s="12" t="inlineStr">
        <is>
          <t>KOREKTA DOWODU: wcześniejszy zapis „brak encji i widoku” był mylący. Art. 30 wymaga formy pisemnej lub elektronicznej — dokument ją spełnia. Do pilnowania zostaje dyscyplina przeglądów i dat.</t>
        </is>
      </c>
    </row>
    <row r="325">
      <c r="A325" s="11" t="inlineStr">
        <is>
          <t>P-12</t>
        </is>
      </c>
      <c r="B325" s="12" t="inlineStr">
        <is>
          <t>P</t>
        </is>
      </c>
      <c r="C325" s="11" t="inlineStr">
        <is>
          <t>Dostępność panelu wg WCAG 2.1 AA (EAA)</t>
        </is>
      </c>
      <c r="D325" s="11" t="inlineStr">
        <is>
          <t>NIE</t>
        </is>
      </c>
      <c r="E325" s="11" t="inlineStr">
        <is>
          <t>CZĘŚĆ</t>
        </is>
      </c>
      <c r="F325" s="11" t="inlineStr">
        <is>
          <t>NIE</t>
        </is>
      </c>
      <c r="G325" s="11" t="inlineStr">
        <is>
          <t>b.d.</t>
        </is>
      </c>
      <c r="H325" s="11" t="inlineStr">
        <is>
          <t>b.d.</t>
        </is>
      </c>
      <c r="I325" s="11" t="inlineStr">
        <is>
          <t>BRAK</t>
        </is>
      </c>
      <c r="J325" s="12" t="inlineStr">
        <is>
          <t>docs/legal/EAA_AUDYT_DOSTEPNOSCI_2026-07-07.md — audyt wykonany, skip-link i focus-visible naprawione w commicie z 2026-07-07</t>
        </is>
      </c>
      <c r="K325" s="11" t="inlineStr">
        <is>
          <t>LUKA</t>
        </is>
      </c>
      <c r="L325" s="11" t="inlineStr">
        <is>
          <t>ŚREDNIA</t>
        </is>
      </c>
      <c r="M325" s="11" t="inlineStr">
        <is>
          <t>L</t>
        </is>
      </c>
      <c r="N325" s="12" t="inlineStr">
        <is>
          <t>KOREKTA DOWODU: wcześniejszy zapis „brak audytu w repo” był FAŁSZYWY. Audyt istnieje. Dokument powołuje się na zwolnienie mikroprzedsiębiorcy (art. 4 ust. 2 ustawy z 26.04.2024) — warto potwierdzić z prawnikiem i pilnować progów 10 osób / 2 mln EUR.</t>
        </is>
      </c>
    </row>
    <row r="326">
      <c r="A326" s="11" t="inlineStr">
        <is>
          <t>P-13</t>
        </is>
      </c>
      <c r="B326" s="12" t="inlineStr">
        <is>
          <t>P</t>
        </is>
      </c>
      <c r="C326" s="11" t="inlineStr">
        <is>
          <t>Deklaracja lokalizacji danych</t>
        </is>
      </c>
      <c r="D326" s="11" t="inlineStr">
        <is>
          <t>NIE</t>
        </is>
      </c>
      <c r="E326" s="11" t="inlineStr">
        <is>
          <t>NIE</t>
        </is>
      </c>
      <c r="F326" s="11" t="inlineStr">
        <is>
          <t>NIE</t>
        </is>
      </c>
      <c r="G326" s="11" t="inlineStr">
        <is>
          <t>TAK</t>
        </is>
      </c>
      <c r="H326" s="11" t="inlineStr">
        <is>
          <t>CZĘŚĆ</t>
        </is>
      </c>
      <c r="I326" s="11" t="inlineStr">
        <is>
          <t>b.d.</t>
        </is>
      </c>
      <c r="J326" s="12" t="inlineStr">
        <is>
          <t>poza kodem</t>
        </is>
      </c>
      <c r="K326" s="11" t="inlineStr">
        <is>
          <t>CZĘŚCIOWY</t>
        </is>
      </c>
      <c r="L326" s="11" t="inlineStr">
        <is>
          <t>ŚREDNIA</t>
        </is>
      </c>
      <c r="M326" s="11" t="inlineStr">
        <is>
          <t>S</t>
        </is>
      </c>
      <c r="N326" s="12" t="inlineStr">
        <is>
          <t>wszystkie 5 hostingów PL to eksponuje</t>
        </is>
      </c>
    </row>
    <row r="327">
      <c r="A327" s="11" t="inlineStr">
        <is>
          <t>P-14</t>
        </is>
      </c>
      <c r="B327" s="12" t="inlineStr">
        <is>
          <t>P</t>
        </is>
      </c>
      <c r="C327" s="11" t="inlineStr">
        <is>
          <t>Certyfikacja ISO 27001</t>
        </is>
      </c>
      <c r="D327" s="11" t="inlineStr">
        <is>
          <t>NIE</t>
        </is>
      </c>
      <c r="E327" s="11" t="inlineStr">
        <is>
          <t>NIE</t>
        </is>
      </c>
      <c r="F327" s="11" t="inlineStr">
        <is>
          <t>NIE</t>
        </is>
      </c>
      <c r="G327" s="11" t="inlineStr">
        <is>
          <t>CZĘŚĆ</t>
        </is>
      </c>
      <c r="H327" s="11" t="inlineStr">
        <is>
          <t>CZĘŚĆ</t>
        </is>
      </c>
      <c r="I327" s="11" t="inlineStr">
        <is>
          <t>BRAK</t>
        </is>
      </c>
      <c r="J327" s="12" t="inlineStr">
        <is>
          <t>—</t>
        </is>
      </c>
      <c r="K327" s="11" t="inlineStr">
        <is>
          <t>LUKA</t>
        </is>
      </c>
      <c r="L327" s="11" t="inlineStr">
        <is>
          <t>NISKA</t>
        </is>
      </c>
      <c r="M327" s="11" t="inlineStr">
        <is>
          <t>L</t>
        </is>
      </c>
      <c r="N327" s="12" t="inlineStr">
        <is>
          <t>home.pl i nazwa.pl mają — element przetargowy w B2B</t>
        </is>
      </c>
    </row>
    <row r="328">
      <c r="A328" s="11" t="inlineStr">
        <is>
          <t>P-15</t>
        </is>
      </c>
      <c r="B328" s="12" t="inlineStr">
        <is>
          <t>P</t>
        </is>
      </c>
      <c r="C328" s="11" t="inlineStr">
        <is>
          <t>Podpisane DPA z subprocesorami</t>
        </is>
      </c>
      <c r="D328" s="11" t="inlineStr">
        <is>
          <t>—</t>
        </is>
      </c>
      <c r="E328" s="11" t="inlineStr">
        <is>
          <t>—</t>
        </is>
      </c>
      <c r="F328" s="11" t="inlineStr">
        <is>
          <t>—</t>
        </is>
      </c>
      <c r="G328" s="11" t="inlineStr">
        <is>
          <t>—</t>
        </is>
      </c>
      <c r="H328" s="11" t="inlineStr">
        <is>
          <t>—</t>
        </is>
      </c>
      <c r="I328" s="11" t="inlineStr">
        <is>
          <t>BRAK</t>
        </is>
      </c>
      <c r="J328" s="12" t="inlineStr">
        <is>
          <t>docs/legal/dpa-subprocessors-tracking.md — wszystkie pozycje w statusie „do podpisania” lub „do akceptacji”, kolumna Data pusta</t>
        </is>
      </c>
      <c r="K328" s="11" t="inlineStr">
        <is>
          <t>LUKA</t>
        </is>
      </c>
      <c r="L328" s="11" t="inlineStr">
        <is>
          <t>BLOKER STARTU</t>
        </is>
      </c>
      <c r="M328" s="11" t="inlineStr">
        <is>
          <t>M</t>
        </is>
      </c>
      <c r="N328" s="12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</row>
    <row r="329">
      <c r="A329" s="11" t="inlineStr">
        <is>
          <t>Q-01</t>
        </is>
      </c>
      <c r="B329" s="12" t="inlineStr">
        <is>
          <t>Q</t>
        </is>
      </c>
      <c r="C329" s="11" t="inlineStr">
        <is>
          <t>Program eko / punkty za oszczędność</t>
        </is>
      </c>
      <c r="D329" s="11" t="inlineStr">
        <is>
          <t>NIE</t>
        </is>
      </c>
      <c r="E329" s="11" t="inlineStr">
        <is>
          <t>NIE</t>
        </is>
      </c>
      <c r="F329" s="11" t="inlineStr">
        <is>
          <t>NIE</t>
        </is>
      </c>
      <c r="G329" s="11" t="inlineStr">
        <is>
          <t>NIE</t>
        </is>
      </c>
      <c r="H329" s="11" t="inlineStr">
        <is>
          <t>NIE</t>
        </is>
      </c>
      <c r="I329" s="11" t="inlineStr">
        <is>
          <t>FLAGA</t>
        </is>
      </c>
      <c r="J329" s="12" t="inlineStr">
        <is>
          <t>users.controller.ts:58,91; FEATURE_ECO domyślnie true</t>
        </is>
      </c>
      <c r="K329" s="11" t="inlineStr">
        <is>
          <t>PRZEWAGA</t>
        </is>
      </c>
      <c r="L329" s="11" t="inlineStr">
        <is>
          <t>—</t>
        </is>
      </c>
      <c r="M329" s="11" t="inlineStr">
        <is>
          <t>—</t>
        </is>
      </c>
      <c r="N329" s="12" t="inlineStr">
        <is>
          <t>nikt na rynku PL</t>
        </is>
      </c>
    </row>
    <row r="330">
      <c r="A330" s="11" t="inlineStr">
        <is>
          <t>Q-02</t>
        </is>
      </c>
      <c r="B330" s="12" t="inlineStr">
        <is>
          <t>Q</t>
        </is>
      </c>
      <c r="C330" s="11" t="inlineStr">
        <is>
          <t>Raport energetyczny usługi</t>
        </is>
      </c>
      <c r="D330" s="11" t="inlineStr">
        <is>
          <t>NIE</t>
        </is>
      </c>
      <c r="E330" s="11" t="inlineStr">
        <is>
          <t>NIE</t>
        </is>
      </c>
      <c r="F330" s="11" t="inlineStr">
        <is>
          <t>NIE</t>
        </is>
      </c>
      <c r="G330" s="11" t="inlineStr">
        <is>
          <t>NIE</t>
        </is>
      </c>
      <c r="H330" s="11" t="inlineStr">
        <is>
          <t>NIE</t>
        </is>
      </c>
      <c r="I330" s="11" t="inlineStr">
        <is>
          <t>CZĘŚCIOWE</t>
        </is>
      </c>
      <c r="J330" s="12" t="inlineStr">
        <is>
          <t>eco-report.service.ts:9 — jawnie deklarowany jako szacunek</t>
        </is>
      </c>
      <c r="K330" s="11" t="inlineStr">
        <is>
          <t>PRZEWAGA</t>
        </is>
      </c>
      <c r="L330" s="11" t="inlineStr">
        <is>
          <t>—</t>
        </is>
      </c>
      <c r="M330" s="11" t="inlineStr">
        <is>
          <t>—</t>
        </is>
      </c>
      <c r="N330" s="12" t="inlineStr">
        <is>
          <t>metodologia opisana — uczciwe podejście</t>
        </is>
      </c>
    </row>
    <row r="331">
      <c r="A331" s="11" t="inlineStr">
        <is>
          <t>Q-03</t>
        </is>
      </c>
      <c r="B331" s="12" t="inlineStr">
        <is>
          <t>Q</t>
        </is>
      </c>
      <c r="C331" s="11" t="inlineStr">
        <is>
          <t>Badge eko do osadzenia na stronie klienta</t>
        </is>
      </c>
      <c r="D331" s="11" t="inlineStr">
        <is>
          <t>NIE</t>
        </is>
      </c>
      <c r="E331" s="11" t="inlineStr">
        <is>
          <t>NIE</t>
        </is>
      </c>
      <c r="F331" s="11" t="inlineStr">
        <is>
          <t>NIE</t>
        </is>
      </c>
      <c r="G331" s="11" t="inlineStr">
        <is>
          <t>NIE</t>
        </is>
      </c>
      <c r="H331" s="11" t="inlineStr">
        <is>
          <t>NIE</t>
        </is>
      </c>
      <c r="I331" s="11" t="inlineStr">
        <is>
          <t>DZIAŁA</t>
        </is>
      </c>
      <c r="J331" s="12" t="inlineStr">
        <is>
          <t>eco-public.controller.ts:32,74; test D1</t>
        </is>
      </c>
      <c r="K331" s="11" t="inlineStr">
        <is>
          <t>PRZEWAGA</t>
        </is>
      </c>
      <c r="L331" s="11" t="inlineStr">
        <is>
          <t>—</t>
        </is>
      </c>
      <c r="M331" s="11" t="inlineStr">
        <is>
          <t>—</t>
        </is>
      </c>
      <c r="N331" s="12" t="inlineStr">
        <is>
          <t>4 warianty + pixel odsłon</t>
        </is>
      </c>
    </row>
    <row r="332">
      <c r="A332" s="11" t="inlineStr">
        <is>
          <t>Q-04</t>
        </is>
      </c>
      <c r="B332" s="12" t="inlineStr">
        <is>
          <t>Q</t>
        </is>
      </c>
      <c r="C332" s="11" t="inlineStr">
        <is>
          <t>Tryb eko usługi</t>
        </is>
      </c>
      <c r="D332" s="11" t="inlineStr">
        <is>
          <t>NIE</t>
        </is>
      </c>
      <c r="E332" s="11" t="inlineStr">
        <is>
          <t>NIE</t>
        </is>
      </c>
      <c r="F332" s="11" t="inlineStr">
        <is>
          <t>NIE</t>
        </is>
      </c>
      <c r="G332" s="11" t="inlineStr">
        <is>
          <t>NIE</t>
        </is>
      </c>
      <c r="H332" s="11" t="inlineStr">
        <is>
          <t>NIE</t>
        </is>
      </c>
      <c r="I332" s="11" t="inlineStr">
        <is>
          <t>DZIAŁA</t>
        </is>
      </c>
      <c r="J332" s="12" t="inlineStr">
        <is>
          <t>subscriptions.controller.ts:73</t>
        </is>
      </c>
      <c r="K332" s="11" t="inlineStr">
        <is>
          <t>PRZEWAGA</t>
        </is>
      </c>
      <c r="L332" s="11" t="inlineStr">
        <is>
          <t>—</t>
        </is>
      </c>
      <c r="M332" s="11" t="inlineStr">
        <is>
          <t>—</t>
        </is>
      </c>
      <c r="N332" s="12" t="inlineStr">
        <is>
          <t>wpływa m.in. na politykę backupów</t>
        </is>
      </c>
    </row>
    <row r="333">
      <c r="A333" s="11" t="inlineStr">
        <is>
          <t>Q-05</t>
        </is>
      </c>
      <c r="B333" s="12" t="inlineStr">
        <is>
          <t>Q</t>
        </is>
      </c>
      <c r="C333" s="11" t="inlineStr">
        <is>
          <t>E-mail marketing wbudowany w panel</t>
        </is>
      </c>
      <c r="D333" s="11" t="inlineStr">
        <is>
          <t>NIE</t>
        </is>
      </c>
      <c r="E333" s="11" t="inlineStr">
        <is>
          <t>NIE</t>
        </is>
      </c>
      <c r="F333" s="11" t="inlineStr">
        <is>
          <t>NIE</t>
        </is>
      </c>
      <c r="G333" s="11" t="inlineStr">
        <is>
          <t>CZĘŚĆ</t>
        </is>
      </c>
      <c r="H333" s="11" t="inlineStr">
        <is>
          <t>NIE</t>
        </is>
      </c>
      <c r="I333" s="11" t="inlineStr">
        <is>
          <t>DZIAŁA</t>
        </is>
      </c>
      <c r="J333" s="12" t="inlineStr">
        <is>
          <t>email-marketing.controller.ts:36,81,119,139</t>
        </is>
      </c>
      <c r="K333" s="11" t="inlineStr">
        <is>
          <t>PRZEWAGA</t>
        </is>
      </c>
      <c r="L333" s="11" t="inlineStr">
        <is>
          <t>—</t>
        </is>
      </c>
      <c r="M333" s="11" t="inlineStr">
        <is>
          <t>—</t>
        </is>
      </c>
      <c r="N333" s="12" t="inlineStr">
        <is>
          <t>double opt-in + cordon antyspamowy</t>
        </is>
      </c>
    </row>
    <row r="334">
      <c r="A334" s="11" t="inlineStr">
        <is>
          <t>Q-06</t>
        </is>
      </c>
      <c r="B334" s="12" t="inlineStr">
        <is>
          <t>Q</t>
        </is>
      </c>
      <c r="C334" s="11" t="inlineStr">
        <is>
          <t>VPS / cloud w tym samym panelu</t>
        </is>
      </c>
      <c r="D334" s="11" t="inlineStr">
        <is>
          <t>NIE</t>
        </is>
      </c>
      <c r="E334" s="11" t="inlineStr">
        <is>
          <t>NIE</t>
        </is>
      </c>
      <c r="F334" s="11" t="inlineStr">
        <is>
          <t>NIE</t>
        </is>
      </c>
      <c r="G334" s="11" t="inlineStr">
        <is>
          <t>TAK</t>
        </is>
      </c>
      <c r="H334" s="11" t="inlineStr">
        <is>
          <t>TAK</t>
        </is>
      </c>
      <c r="I334" s="11" t="inlineStr">
        <is>
          <t>FLAGA</t>
        </is>
      </c>
      <c r="J334" s="12" t="inlineStr">
        <is>
          <t>vps.controller.ts:53,59,69; HETZNER_API_TOKEN</t>
        </is>
      </c>
      <c r="K334" s="11" t="inlineStr">
        <is>
          <t>CZĘŚCIOWY</t>
        </is>
      </c>
      <c r="L334" s="11" t="inlineStr">
        <is>
          <t>ŚREDNIA</t>
        </is>
      </c>
      <c r="M334" s="11" t="inlineStr">
        <is>
          <t>M</t>
        </is>
      </c>
      <c r="N334" s="12" t="inlineStr">
        <is>
          <t>bez tokenu menu prowadzi do pustego stanu</t>
        </is>
      </c>
    </row>
    <row r="335">
      <c r="A335" s="11" t="inlineStr">
        <is>
          <t>Q-07</t>
        </is>
      </c>
      <c r="B335" s="12" t="inlineStr">
        <is>
          <t>Q</t>
        </is>
      </c>
      <c r="C335" s="11" t="inlineStr">
        <is>
          <t>VPS — konsola / VNC</t>
        </is>
      </c>
      <c r="D335" s="11" t="inlineStr">
        <is>
          <t>NIE</t>
        </is>
      </c>
      <c r="E335" s="11" t="inlineStr">
        <is>
          <t>NIE</t>
        </is>
      </c>
      <c r="F335" s="11" t="inlineStr">
        <is>
          <t>NIE</t>
        </is>
      </c>
      <c r="G335" s="11" t="inlineStr">
        <is>
          <t>CZĘŚĆ</t>
        </is>
      </c>
      <c r="H335" s="11" t="inlineStr">
        <is>
          <t>CZĘŚĆ</t>
        </is>
      </c>
      <c r="I335" s="11" t="inlineStr">
        <is>
          <t>BRAK</t>
        </is>
      </c>
      <c r="J335" s="12" t="inlineStr">
        <is>
          <t>—</t>
        </is>
      </c>
      <c r="K335" s="11" t="inlineStr">
        <is>
          <t>LUKA</t>
        </is>
      </c>
      <c r="L335" s="11" t="inlineStr">
        <is>
          <t>NISKA</t>
        </is>
      </c>
      <c r="M335" s="11" t="inlineStr">
        <is>
          <t>M</t>
        </is>
      </c>
      <c r="N335" s="12" t="inlineStr"/>
    </row>
    <row r="336">
      <c r="A336" s="11" t="inlineStr">
        <is>
          <t>Q-08</t>
        </is>
      </c>
      <c r="B336" s="12" t="inlineStr">
        <is>
          <t>Q</t>
        </is>
      </c>
      <c r="C336" s="11" t="inlineStr">
        <is>
          <t>VPS — snapshoty i rebuild</t>
        </is>
      </c>
      <c r="D336" s="11" t="inlineStr">
        <is>
          <t>NIE</t>
        </is>
      </c>
      <c r="E336" s="11" t="inlineStr">
        <is>
          <t>NIE</t>
        </is>
      </c>
      <c r="F336" s="11" t="inlineStr">
        <is>
          <t>NIE</t>
        </is>
      </c>
      <c r="G336" s="11" t="inlineStr">
        <is>
          <t>CZĘŚĆ</t>
        </is>
      </c>
      <c r="H336" s="11" t="inlineStr">
        <is>
          <t>TAK</t>
        </is>
      </c>
      <c r="I336" s="11" t="inlineStr">
        <is>
          <t>BRAK</t>
        </is>
      </c>
      <c r="J336" s="12" t="inlineStr">
        <is>
          <t>—</t>
        </is>
      </c>
      <c r="K336" s="11" t="inlineStr">
        <is>
          <t>LUKA</t>
        </is>
      </c>
      <c r="L336" s="11" t="inlineStr">
        <is>
          <t>NISKA</t>
        </is>
      </c>
      <c r="M336" s="11" t="inlineStr">
        <is>
          <t>M</t>
        </is>
      </c>
      <c r="N336" s="12" t="inlineStr"/>
    </row>
    <row r="337">
      <c r="A337" s="11" t="inlineStr">
        <is>
          <t>Q-09</t>
        </is>
      </c>
      <c r="B337" s="12" t="inlineStr">
        <is>
          <t>Q</t>
        </is>
      </c>
      <c r="C337" s="11" t="inlineStr">
        <is>
          <t>Panel responsywny na telefonie</t>
        </is>
      </c>
      <c r="D337" s="11" t="inlineStr">
        <is>
          <t>CZĘŚĆ</t>
        </is>
      </c>
      <c r="E337" s="11" t="inlineStr">
        <is>
          <t>TAK</t>
        </is>
      </c>
      <c r="F337" s="11" t="inlineStr">
        <is>
          <t>CZĘŚĆ</t>
        </is>
      </c>
      <c r="G337" s="11" t="inlineStr">
        <is>
          <t>CZĘŚĆ</t>
        </is>
      </c>
      <c r="H337" s="11" t="inlineStr">
        <is>
          <t>TAK</t>
        </is>
      </c>
      <c r="I337" s="11" t="inlineStr">
        <is>
          <t>b.d.</t>
        </is>
      </c>
      <c r="J337" s="12" t="inlineStr">
        <is>
          <t>brak audytu w repo</t>
        </is>
      </c>
      <c r="K337" s="11" t="inlineStr">
        <is>
          <t>CZĘŚCIOWY</t>
        </is>
      </c>
      <c r="L337" s="11" t="inlineStr">
        <is>
          <t>WYSOKA</t>
        </is>
      </c>
      <c r="M337" s="11" t="inlineStr">
        <is>
          <t>M</t>
        </is>
      </c>
      <c r="N337" s="12" t="inlineStr">
        <is>
          <t>twardy wymóg zapisany w decyzji brandingowej DA</t>
        </is>
      </c>
    </row>
    <row r="338">
      <c r="A338" s="11" t="inlineStr">
        <is>
          <t>Q-10</t>
        </is>
      </c>
      <c r="B338" s="12" t="inlineStr">
        <is>
          <t>Q</t>
        </is>
      </c>
      <c r="C338" s="11" t="inlineStr">
        <is>
          <t>Natywna aplikacja mobilna</t>
        </is>
      </c>
      <c r="D338" s="11" t="inlineStr">
        <is>
          <t>NIE</t>
        </is>
      </c>
      <c r="E338" s="11" t="inlineStr">
        <is>
          <t>NIE</t>
        </is>
      </c>
      <c r="F338" s="11" t="inlineStr">
        <is>
          <t>NIE</t>
        </is>
      </c>
      <c r="G338" s="11" t="inlineStr">
        <is>
          <t>CZĘŚĆ</t>
        </is>
      </c>
      <c r="H338" s="11" t="inlineStr">
        <is>
          <t>CZĘŚĆ</t>
        </is>
      </c>
      <c r="I338" s="11" t="inlineStr">
        <is>
          <t>BRAK</t>
        </is>
      </c>
      <c r="J338" s="12" t="inlineStr">
        <is>
          <t>—</t>
        </is>
      </c>
      <c r="K338" s="11" t="inlineStr">
        <is>
          <t>POZA ZAKRESEM</t>
        </is>
      </c>
      <c r="L338" s="11" t="inlineStr">
        <is>
          <t>NISKA</t>
        </is>
      </c>
      <c r="M338" s="11" t="inlineStr">
        <is>
          <t>—</t>
        </is>
      </c>
      <c r="N338" s="12" t="inlineStr">
        <is>
          <t>tylko home.pl (iOS)</t>
        </is>
      </c>
    </row>
    <row r="339">
      <c r="A339" s="11" t="inlineStr">
        <is>
          <t>Q-11</t>
        </is>
      </c>
      <c r="B339" s="12" t="inlineStr">
        <is>
          <t>Q</t>
        </is>
      </c>
      <c r="C339" s="11" t="inlineStr">
        <is>
          <t>Tryb prosty / zaawansowany panelu</t>
        </is>
      </c>
      <c r="D339" s="11" t="inlineStr">
        <is>
          <t>NIE</t>
        </is>
      </c>
      <c r="E339" s="11" t="inlineStr">
        <is>
          <t>NIE</t>
        </is>
      </c>
      <c r="F339" s="11" t="inlineStr">
        <is>
          <t>NIE</t>
        </is>
      </c>
      <c r="G339" s="11" t="inlineStr">
        <is>
          <t>NIE</t>
        </is>
      </c>
      <c r="H339" s="11" t="inlineStr">
        <is>
          <t>CZĘŚĆ</t>
        </is>
      </c>
      <c r="I339" s="11" t="inlineStr">
        <is>
          <t>DZIAŁA</t>
        </is>
      </c>
      <c r="J339" s="12" t="inlineStr">
        <is>
          <t>page.tsx:139 — ukrywa 7 zakładek</t>
        </is>
      </c>
      <c r="K339" s="11" t="inlineStr">
        <is>
          <t>PRZEWAGA</t>
        </is>
      </c>
      <c r="L339" s="11" t="inlineStr">
        <is>
          <t>—</t>
        </is>
      </c>
      <c r="M339" s="11" t="inlineStr">
        <is>
          <t>—</t>
        </is>
      </c>
      <c r="N339" s="12" t="inlineStr"/>
    </row>
    <row r="340">
      <c r="A340" s="11" t="inlineStr">
        <is>
          <t>Q-12</t>
        </is>
      </c>
      <c r="B340" s="12" t="inlineStr">
        <is>
          <t>Q</t>
        </is>
      </c>
      <c r="C340" s="11" t="inlineStr">
        <is>
          <t>Kreator pierwszych kroków (onboarding)</t>
        </is>
      </c>
      <c r="D340" s="11" t="inlineStr">
        <is>
          <t>NIE</t>
        </is>
      </c>
      <c r="E340" s="11" t="inlineStr">
        <is>
          <t>CZĘŚĆ</t>
        </is>
      </c>
      <c r="F340" s="11" t="inlineStr">
        <is>
          <t>NIE</t>
        </is>
      </c>
      <c r="G340" s="11" t="inlineStr">
        <is>
          <t>CZĘŚĆ</t>
        </is>
      </c>
      <c r="H340" s="11" t="inlineStr">
        <is>
          <t>TAK</t>
        </is>
      </c>
      <c r="I340" s="11" t="inlineStr">
        <is>
          <t>DZIAŁA</t>
        </is>
      </c>
      <c r="J340" s="12" t="inlineStr">
        <is>
          <t>onboarding-wizard.tsx:52</t>
        </is>
      </c>
      <c r="K340" s="11" t="inlineStr">
        <is>
          <t>PARYTET</t>
        </is>
      </c>
      <c r="L340" s="11" t="inlineStr">
        <is>
          <t>—</t>
        </is>
      </c>
      <c r="M340" s="11" t="inlineStr">
        <is>
          <t>—</t>
        </is>
      </c>
      <c r="N340" s="12" t="inlineStr">
        <is>
          <t>tylko nawigacja</t>
        </is>
      </c>
    </row>
    <row r="341">
      <c r="A341" s="11" t="inlineStr">
        <is>
          <t>Q-13</t>
        </is>
      </c>
      <c r="B341" s="12" t="inlineStr">
        <is>
          <t>Q</t>
        </is>
      </c>
      <c r="C341" s="11" t="inlineStr">
        <is>
          <t>Command palette dla operatora</t>
        </is>
      </c>
      <c r="D341" s="11" t="inlineStr">
        <is>
          <t>NIE</t>
        </is>
      </c>
      <c r="E341" s="11" t="inlineStr">
        <is>
          <t>NIE</t>
        </is>
      </c>
      <c r="F341" s="11" t="inlineStr">
        <is>
          <t>NIE</t>
        </is>
      </c>
      <c r="G341" s="11" t="inlineStr">
        <is>
          <t>—</t>
        </is>
      </c>
      <c r="H341" s="11" t="inlineStr">
        <is>
          <t>—</t>
        </is>
      </c>
      <c r="I341" s="11" t="inlineStr">
        <is>
          <t>DZIAŁA</t>
        </is>
      </c>
      <c r="J341" s="12" t="inlineStr">
        <is>
          <t>command-palette-actions.ts</t>
        </is>
      </c>
      <c r="K341" s="11" t="inlineStr">
        <is>
          <t>PRZEWAGA</t>
        </is>
      </c>
      <c r="L341" s="11" t="inlineStr">
        <is>
          <t>—</t>
        </is>
      </c>
      <c r="M341" s="11" t="inlineStr">
        <is>
          <t>—</t>
        </is>
      </c>
      <c r="N341" s="12" t="inlineStr"/>
    </row>
    <row r="342">
      <c r="A342" s="11" t="inlineStr">
        <is>
          <t>Q-14</t>
        </is>
      </c>
      <c r="B342" s="12" t="inlineStr">
        <is>
          <t>Q</t>
        </is>
      </c>
      <c r="C342" s="11" t="inlineStr">
        <is>
          <t>Kreator uruchomienia węzła</t>
        </is>
      </c>
      <c r="D342" s="11" t="inlineStr">
        <is>
          <t>TAK</t>
        </is>
      </c>
      <c r="E342" s="11" t="inlineStr">
        <is>
          <t>TAK</t>
        </is>
      </c>
      <c r="F342" s="11" t="inlineStr">
        <is>
          <t>TAK</t>
        </is>
      </c>
      <c r="G342" s="11" t="inlineStr">
        <is>
          <t>—</t>
        </is>
      </c>
      <c r="H342" s="11" t="inlineStr">
        <is>
          <t>—</t>
        </is>
      </c>
      <c r="I342" s="11" t="inlineStr">
        <is>
          <t>CZĘŚCIOWE</t>
        </is>
      </c>
      <c r="J342" s="12" t="inlineStr">
        <is>
          <t>node-wizard.tsx:277,288 — realnie tylko init + bootstrap; 7 z 9 kroków to treść runbooka (wizard-content.ts:21-40)</t>
        </is>
      </c>
      <c r="K342" s="11" t="inlineStr">
        <is>
          <t>CZĘŚCIOWY</t>
        </is>
      </c>
      <c r="L342" s="11" t="inlineStr">
        <is>
          <t>WYSOKA</t>
        </is>
      </c>
      <c r="M342" s="11" t="inlineStr">
        <is>
          <t>M</t>
        </is>
      </c>
      <c r="N342" s="12" t="inlineStr">
        <is>
          <t>w tym brakuje kroku konfiguracji backupu — patrz H-19</t>
        </is>
      </c>
    </row>
    <row r="343">
      <c r="A343" s="11" t="inlineStr">
        <is>
          <t>Q-15</t>
        </is>
      </c>
      <c r="B343" s="12" t="inlineStr">
        <is>
          <t>Q</t>
        </is>
      </c>
      <c r="C343" s="11" t="inlineStr">
        <is>
          <t>Live-readiness (checklista przed startem)</t>
        </is>
      </c>
      <c r="D343" s="11" t="inlineStr">
        <is>
          <t>NIE</t>
        </is>
      </c>
      <c r="E343" s="11" t="inlineStr">
        <is>
          <t>NIE</t>
        </is>
      </c>
      <c r="F343" s="11" t="inlineStr">
        <is>
          <t>NIE</t>
        </is>
      </c>
      <c r="G343" s="11" t="inlineStr">
        <is>
          <t>—</t>
        </is>
      </c>
      <c r="H343" s="11" t="inlineStr">
        <is>
          <t>—</t>
        </is>
      </c>
      <c r="I343" s="11" t="inlineStr">
        <is>
          <t>DZIAŁA</t>
        </is>
      </c>
      <c r="J343" s="12" t="inlineStr">
        <is>
          <t>live-readiness.service.ts — 14 checków</t>
        </is>
      </c>
      <c r="K343" s="11" t="inlineStr">
        <is>
          <t>PRZEWAGA</t>
        </is>
      </c>
      <c r="L343" s="11" t="inlineStr">
        <is>
          <t>—</t>
        </is>
      </c>
      <c r="M343" s="11" t="inlineStr">
        <is>
          <t>—</t>
        </is>
      </c>
      <c r="N343" s="12" t="inlineStr">
        <is>
          <t>dobre narzędzie; nie sprawdza odtwarzalności kopii</t>
        </is>
      </c>
    </row>
    <row r="344">
      <c r="A344" s="11" t="inlineStr">
        <is>
          <t>Q-16</t>
        </is>
      </c>
      <c r="B344" s="12" t="inlineStr">
        <is>
          <t>Q</t>
        </is>
      </c>
      <c r="C344" s="11" t="inlineStr">
        <is>
          <t>Metryki biznesowe (MRR, churn)</t>
        </is>
      </c>
      <c r="D344" s="11" t="inlineStr">
        <is>
          <t>NIE</t>
        </is>
      </c>
      <c r="E344" s="11" t="inlineStr">
        <is>
          <t>NIE</t>
        </is>
      </c>
      <c r="F344" s="11" t="inlineStr">
        <is>
          <t>NIE</t>
        </is>
      </c>
      <c r="G344" s="11" t="inlineStr">
        <is>
          <t>—</t>
        </is>
      </c>
      <c r="H344" s="11" t="inlineStr">
        <is>
          <t>—</t>
        </is>
      </c>
      <c r="I344" s="11" t="inlineStr">
        <is>
          <t>DZIAŁA</t>
        </is>
      </c>
      <c r="J344" s="12" t="inlineStr">
        <is>
          <t>business-metrics.admin.controller.ts:15; test D1</t>
        </is>
      </c>
      <c r="K344" s="11" t="inlineStr">
        <is>
          <t>PARYTET</t>
        </is>
      </c>
      <c r="L344" s="11" t="inlineStr">
        <is>
          <t>—</t>
        </is>
      </c>
      <c r="M344" s="11" t="inlineStr">
        <is>
          <t>—</t>
        </is>
      </c>
      <c r="N344" s="12" t="inlineStr"/>
    </row>
    <row r="345">
      <c r="A345" s="11" t="inlineStr">
        <is>
          <t>Q-17</t>
        </is>
      </c>
      <c r="B345" s="12" t="inlineStr">
        <is>
          <t>Q</t>
        </is>
      </c>
      <c r="C345" s="11" t="inlineStr">
        <is>
          <t>Grafana SSO dla operatora</t>
        </is>
      </c>
      <c r="D345" s="11" t="inlineStr">
        <is>
          <t>NIE</t>
        </is>
      </c>
      <c r="E345" s="11" t="inlineStr">
        <is>
          <t>CZĘŚĆ</t>
        </is>
      </c>
      <c r="F345" s="11" t="inlineStr">
        <is>
          <t>NIE</t>
        </is>
      </c>
      <c r="G345" s="11" t="inlineStr">
        <is>
          <t>—</t>
        </is>
      </c>
      <c r="H345" s="11" t="inlineStr">
        <is>
          <t>—</t>
        </is>
      </c>
      <c r="I345" s="11" t="inlineStr">
        <is>
          <t>DZIAŁA</t>
        </is>
      </c>
      <c r="J345" s="12" t="inlineStr">
        <is>
          <t>grafana-auth.controller.ts</t>
        </is>
      </c>
      <c r="K345" s="11" t="inlineStr">
        <is>
          <t>PRZEWAGA</t>
        </is>
      </c>
      <c r="L345" s="11" t="inlineStr">
        <is>
          <t>—</t>
        </is>
      </c>
      <c r="M345" s="11" t="inlineStr">
        <is>
          <t>—</t>
        </is>
      </c>
      <c r="N345" s="12" t="inlineStr"/>
    </row>
    <row r="346">
      <c r="A346" s="11" t="inlineStr">
        <is>
          <t>Q-18</t>
        </is>
      </c>
      <c r="B346" s="12" t="inlineStr">
        <is>
          <t>Q</t>
        </is>
      </c>
      <c r="C346" s="11" t="inlineStr">
        <is>
          <t>VPN WireGuard dla dostępu operatorskiego</t>
        </is>
      </c>
      <c r="D346" s="11" t="inlineStr">
        <is>
          <t>NIE</t>
        </is>
      </c>
      <c r="E346" s="11" t="inlineStr">
        <is>
          <t>NIE</t>
        </is>
      </c>
      <c r="F346" s="11" t="inlineStr">
        <is>
          <t>NIE</t>
        </is>
      </c>
      <c r="G346" s="11" t="inlineStr">
        <is>
          <t>—</t>
        </is>
      </c>
      <c r="H346" s="11" t="inlineStr">
        <is>
          <t>—</t>
        </is>
      </c>
      <c r="I346" s="11" t="inlineStr">
        <is>
          <t>DZIAŁA</t>
        </is>
      </c>
      <c r="J346" s="12" t="inlineStr">
        <is>
          <t>vpn.admin.controller.ts:29; vpn.service.ts:14-25</t>
        </is>
      </c>
      <c r="K346" s="11" t="inlineStr">
        <is>
          <t>PRZEWAGA</t>
        </is>
      </c>
      <c r="L346" s="11" t="inlineStr">
        <is>
          <t>—</t>
        </is>
      </c>
      <c r="M346" s="11" t="inlineStr">
        <is>
          <t>—</t>
        </is>
      </c>
      <c r="N346" s="12" t="inlineStr"/>
    </row>
    <row r="347">
      <c r="A347" s="11" t="inlineStr">
        <is>
          <t>X-01</t>
        </is>
      </c>
      <c r="B347" s="12" t="inlineStr">
        <is>
          <t>X</t>
        </is>
      </c>
      <c r="C347" s="11" t="inlineStr">
        <is>
          <t>CI uruchamiające testy</t>
        </is>
      </c>
      <c r="D347" s="11" t="inlineStr">
        <is>
          <t>—</t>
        </is>
      </c>
      <c r="E347" s="11" t="inlineStr">
        <is>
          <t>—</t>
        </is>
      </c>
      <c r="F347" s="11" t="inlineStr">
        <is>
          <t>—</t>
        </is>
      </c>
      <c r="G347" s="11" t="inlineStr">
        <is>
          <t>—</t>
        </is>
      </c>
      <c r="H347" s="11" t="inlineStr">
        <is>
          <t>—</t>
        </is>
      </c>
      <c r="I347" s="11" t="inlineStr">
        <is>
          <t>DZIAŁA</t>
        </is>
      </c>
      <c r="J347" s="12" t="inlineStr">
        <is>
          <t>.github/workflows/ci.yml — typecheck, testy API, build, smoke migracji Prisma, gitleaks, pnpm audit, Trivy, dependabot</t>
        </is>
      </c>
      <c r="K347" s="11" t="inlineStr">
        <is>
          <t>PARYTET</t>
        </is>
      </c>
      <c r="L347" s="11" t="inlineStr">
        <is>
          <t>—</t>
        </is>
      </c>
      <c r="M347" s="11" t="inlineStr">
        <is>
          <t>S</t>
        </is>
      </c>
      <c r="N347" s="12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</row>
    <row r="348">
      <c r="A348" s="11" t="inlineStr">
        <is>
          <t>X-02</t>
        </is>
      </c>
      <c r="B348" s="12" t="inlineStr">
        <is>
          <t>X</t>
        </is>
      </c>
      <c r="C348" s="11" t="inlineStr">
        <is>
          <t>Status wymagany do merge</t>
        </is>
      </c>
      <c r="D348" s="11" t="inlineStr">
        <is>
          <t>—</t>
        </is>
      </c>
      <c r="E348" s="11" t="inlineStr">
        <is>
          <t>—</t>
        </is>
      </c>
      <c r="F348" s="11" t="inlineStr">
        <is>
          <t>—</t>
        </is>
      </c>
      <c r="G348" s="11" t="inlineStr">
        <is>
          <t>—</t>
        </is>
      </c>
      <c r="H348" s="11" t="inlineStr">
        <is>
          <t>—</t>
        </is>
      </c>
      <c r="I348" s="11" t="inlineStr">
        <is>
          <t>DZIAŁA</t>
        </is>
      </c>
      <c r="J348" s="12" t="inlineStr">
        <is>
          <t>ruleset „gałęzie wdrożeniowe — wymagaj zielonego CI" (id 21161479), Active, zakres: gałąź domyślna + live-release-readiness; wymagane 3 checki z ci.yml</t>
        </is>
      </c>
      <c r="K348" s="11" t="inlineStr">
        <is>
          <t>PARYTET</t>
        </is>
      </c>
      <c r="L348" s="11" t="inlineStr">
        <is>
          <t>—</t>
        </is>
      </c>
      <c r="M348" s="11" t="inlineStr">
        <is>
          <t>S</t>
        </is>
      </c>
      <c r="N348" s="12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</row>
    <row r="349">
      <c r="A349" s="11" t="inlineStr">
        <is>
          <t>X-03</t>
        </is>
      </c>
      <c r="B349" s="12" t="inlineStr">
        <is>
          <t>X</t>
        </is>
      </c>
      <c r="C349" s="11" t="inlineStr">
        <is>
          <t>Testy uruchamiane przed wdrożeniem</t>
        </is>
      </c>
      <c r="D349" s="11" t="inlineStr">
        <is>
          <t>—</t>
        </is>
      </c>
      <c r="E349" s="11" t="inlineStr">
        <is>
          <t>—</t>
        </is>
      </c>
      <c r="F349" s="11" t="inlineStr">
        <is>
          <t>—</t>
        </is>
      </c>
      <c r="G349" s="11" t="inlineStr">
        <is>
          <t>—</t>
        </is>
      </c>
      <c r="H349" s="11" t="inlineStr">
        <is>
          <t>—</t>
        </is>
      </c>
      <c r="I349" s="11" t="inlineStr">
        <is>
          <t>CZĘŚCIOWE</t>
        </is>
      </c>
      <c r="J349" s="12" t="inlineStr">
        <is>
          <t>.github/workflows/deploy.yml — job test-gate (typecheck + pnpm --filter api test), build-push ma needs: test-gate</t>
        </is>
      </c>
      <c r="K349" s="11" t="inlineStr">
        <is>
          <t>CZĘŚCIOWY</t>
        </is>
      </c>
      <c r="L349" s="11" t="inlineStr">
        <is>
          <t>WYSOKA</t>
        </is>
      </c>
      <c r="M349" s="11" t="inlineStr">
        <is>
          <t>S</t>
        </is>
      </c>
      <c r="N349" s="12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</row>
    <row r="350">
      <c r="A350" s="11" t="inlineStr">
        <is>
          <t>X-04</t>
        </is>
      </c>
      <c r="B350" s="12" t="inlineStr">
        <is>
          <t>X</t>
        </is>
      </c>
      <c r="C350" s="11" t="inlineStr">
        <is>
          <t>Testy integracyjne / e2e API</t>
        </is>
      </c>
      <c r="D350" s="11" t="inlineStr">
        <is>
          <t>—</t>
        </is>
      </c>
      <c r="E350" s="11" t="inlineStr">
        <is>
          <t>—</t>
        </is>
      </c>
      <c r="F350" s="11" t="inlineStr">
        <is>
          <t>—</t>
        </is>
      </c>
      <c r="G350" s="11" t="inlineStr">
        <is>
          <t>—</t>
        </is>
      </c>
      <c r="H350" s="11" t="inlineStr">
        <is>
          <t>—</t>
        </is>
      </c>
      <c r="I350" s="11" t="inlineStr">
        <is>
          <t>BRAK</t>
        </is>
      </c>
      <c r="J350" s="12" t="inlineStr">
        <is>
          <t>zero @nestjs/testing i supertest nawet w devDependencies (apps/api/package.json:52-73)</t>
        </is>
      </c>
      <c r="K350" s="11" t="inlineStr">
        <is>
          <t>LUKA</t>
        </is>
      </c>
      <c r="L350" s="11" t="inlineStr">
        <is>
          <t>WYSOKA</t>
        </is>
      </c>
      <c r="M350" s="11" t="inlineStr">
        <is>
          <t>L</t>
        </is>
      </c>
      <c r="N350" s="12" t="inlineStr">
        <is>
          <t>wszystkie 35 testów to jednostkowe z ręcznymi fake'ami</t>
        </is>
      </c>
    </row>
    <row r="351">
      <c r="A351" s="11" t="inlineStr">
        <is>
          <t>X-05</t>
        </is>
      </c>
      <c r="B351" s="12" t="inlineStr">
        <is>
          <t>X</t>
        </is>
      </c>
      <c r="C351" s="11" t="inlineStr">
        <is>
          <t>Testy paneli frontowych</t>
        </is>
      </c>
      <c r="D351" s="11" t="inlineStr">
        <is>
          <t>—</t>
        </is>
      </c>
      <c r="E351" s="11" t="inlineStr">
        <is>
          <t>—</t>
        </is>
      </c>
      <c r="F351" s="11" t="inlineStr">
        <is>
          <t>—</t>
        </is>
      </c>
      <c r="G351" s="11" t="inlineStr">
        <is>
          <t>—</t>
        </is>
      </c>
      <c r="H351" s="11" t="inlineStr">
        <is>
          <t>—</t>
        </is>
      </c>
      <c r="I351" s="11" t="inlineStr">
        <is>
          <t>BRAK</t>
        </is>
      </c>
      <c r="J351" s="12" t="inlineStr">
        <is>
          <t>admin-panel i staff-panel: 0 plików; client-panel: 1 plik bez runnera (brak skryptu test w package.json:5-11)</t>
        </is>
      </c>
      <c r="K351" s="11" t="inlineStr">
        <is>
          <t>LUKA</t>
        </is>
      </c>
      <c r="L351" s="11" t="inlineStr">
        <is>
          <t>ŚREDNIA</t>
        </is>
      </c>
      <c r="M351" s="11" t="inlineStr">
        <is>
          <t>L</t>
        </is>
      </c>
      <c r="N351" s="12" t="inlineStr"/>
    </row>
    <row r="352">
      <c r="A352" s="11" t="inlineStr">
        <is>
          <t>X-06</t>
        </is>
      </c>
      <c r="B352" s="12" t="inlineStr">
        <is>
          <t>X</t>
        </is>
      </c>
      <c r="C352" s="11" t="inlineStr">
        <is>
          <t>Pokrycie testami modułu auth</t>
        </is>
      </c>
      <c r="D352" s="11" t="inlineStr">
        <is>
          <t>—</t>
        </is>
      </c>
      <c r="E352" s="11" t="inlineStr">
        <is>
          <t>—</t>
        </is>
      </c>
      <c r="F352" s="11" t="inlineStr">
        <is>
          <t>—</t>
        </is>
      </c>
      <c r="G352" s="11" t="inlineStr">
        <is>
          <t>—</t>
        </is>
      </c>
      <c r="H352" s="11" t="inlineStr">
        <is>
          <t>—</t>
        </is>
      </c>
      <c r="I352" s="11" t="inlineStr">
        <is>
          <t>BRAK</t>
        </is>
      </c>
      <c r="J352" s="12" t="inlineStr">
        <is>
          <t>zero plików .spec w apps/api/src/auth</t>
        </is>
      </c>
      <c r="K352" s="11" t="inlineStr">
        <is>
          <t>LUKA</t>
        </is>
      </c>
      <c r="L352" s="11" t="inlineStr">
        <is>
          <t>WYSOKA</t>
        </is>
      </c>
      <c r="M352" s="11" t="inlineStr">
        <is>
          <t>M</t>
        </is>
      </c>
      <c r="N352" s="12" t="inlineStr">
        <is>
          <t>Reklasyfikacja jak X-01 — z zastrzeżeniem, że po ustaleniach Z-02 i Z-04 to właśnie moduł auth i guardy są miejscem, gdzie brak testów już zamienił się w realne luki.</t>
        </is>
      </c>
    </row>
    <row r="353">
      <c r="A353" s="11" t="inlineStr">
        <is>
          <t>X-07</t>
        </is>
      </c>
      <c r="B353" s="12" t="inlineStr">
        <is>
          <t>X</t>
        </is>
      </c>
      <c r="C353" s="11" t="inlineStr">
        <is>
          <t>Pokrycie testami klienta KSeF</t>
        </is>
      </c>
      <c r="D353" s="11" t="inlineStr">
        <is>
          <t>—</t>
        </is>
      </c>
      <c r="E353" s="11" t="inlineStr">
        <is>
          <t>—</t>
        </is>
      </c>
      <c r="F353" s="11" t="inlineStr">
        <is>
          <t>—</t>
        </is>
      </c>
      <c r="G353" s="11" t="inlineStr">
        <is>
          <t>—</t>
        </is>
      </c>
      <c r="H353" s="11" t="inlineStr">
        <is>
          <t>—</t>
        </is>
      </c>
      <c r="I353" s="11" t="inlineStr">
        <is>
          <t>BRAK</t>
        </is>
      </c>
      <c r="J353" s="12" t="inlineStr">
        <is>
          <t>ksef-v2.client.ts (487 l. kryptografii + API skarbowe) — ZERO testów; testowany jest tylko builder XML</t>
        </is>
      </c>
      <c r="K353" s="11" t="inlineStr">
        <is>
          <t>LUKA</t>
        </is>
      </c>
      <c r="L353" s="11" t="inlineStr">
        <is>
          <t>WYSOKA</t>
        </is>
      </c>
      <c r="M353" s="11" t="inlineStr">
        <is>
          <t>M</t>
        </is>
      </c>
      <c r="N353" s="12" t="inlineStr">
        <is>
          <t>Reklasyfikacja jak X-01.</t>
        </is>
      </c>
    </row>
    <row r="354">
      <c r="A354" s="11" t="inlineStr">
        <is>
          <t>X-08</t>
        </is>
      </c>
      <c r="B354" s="12" t="inlineStr">
        <is>
          <t>X</t>
        </is>
      </c>
      <c r="C354" s="11" t="inlineStr">
        <is>
          <t>Pokrycie testami ścieżki backup/restore</t>
        </is>
      </c>
      <c r="D354" s="11" t="inlineStr">
        <is>
          <t>—</t>
        </is>
      </c>
      <c r="E354" s="11" t="inlineStr">
        <is>
          <t>—</t>
        </is>
      </c>
      <c r="F354" s="11" t="inlineStr">
        <is>
          <t>—</t>
        </is>
      </c>
      <c r="G354" s="11" t="inlineStr">
        <is>
          <t>—</t>
        </is>
      </c>
      <c r="H354" s="11" t="inlineStr">
        <is>
          <t>—</t>
        </is>
      </c>
      <c r="I354" s="11" t="inlineStr">
        <is>
          <t>BRAK</t>
        </is>
      </c>
      <c r="J354" s="12" t="inlineStr">
        <is>
          <t>offsite-restore.service.ts (regex chroniący przed path traversal na wejściu od klienta) — ZERO testów</t>
        </is>
      </c>
      <c r="K354" s="11" t="inlineStr">
        <is>
          <t>LUKA</t>
        </is>
      </c>
      <c r="L354" s="11" t="inlineStr">
        <is>
          <t>WYSOKA</t>
        </is>
      </c>
      <c r="M354" s="11" t="inlineStr">
        <is>
          <t>M</t>
        </is>
      </c>
      <c r="N354" s="12" t="inlineStr">
        <is>
          <t>Reklasyfikacja jak X-01 — ale patrz Z-03: brak testów walidacji wejścia migracji to nie jest kwestia jakości, tylko przyczyna luki wykonania kodu.</t>
        </is>
      </c>
    </row>
    <row r="355">
      <c r="A355" s="11" t="inlineStr">
        <is>
          <t>X-09</t>
        </is>
      </c>
      <c r="B355" s="12" t="inlineStr">
        <is>
          <t>X</t>
        </is>
      </c>
      <c r="C355" s="11" t="inlineStr">
        <is>
          <t>Pokrycie testami DirectAdminService</t>
        </is>
      </c>
      <c r="D355" s="11" t="inlineStr">
        <is>
          <t>—</t>
        </is>
      </c>
      <c r="E355" s="11" t="inlineStr">
        <is>
          <t>—</t>
        </is>
      </c>
      <c r="F355" s="11" t="inlineStr">
        <is>
          <t>—</t>
        </is>
      </c>
      <c r="G355" s="11" t="inlineStr">
        <is>
          <t>—</t>
        </is>
      </c>
      <c r="H355" s="11" t="inlineStr">
        <is>
          <t>—</t>
        </is>
      </c>
      <c r="I355" s="11" t="inlineStr">
        <is>
          <t>BRAK</t>
        </is>
      </c>
      <c r="J355" s="12" t="inlineStr">
        <is>
          <t>directadmin.service.ts ma 3057 linii; testowany jest wyłącznie helper mergeAdminSettingsPayload</t>
        </is>
      </c>
      <c r="K355" s="11" t="inlineStr">
        <is>
          <t>LUKA</t>
        </is>
      </c>
      <c r="L355" s="11" t="inlineStr">
        <is>
          <t>WYSOKA</t>
        </is>
      </c>
      <c r="M355" s="11" t="inlineStr">
        <is>
          <t>L</t>
        </is>
      </c>
      <c r="N355" s="12" t="inlineStr"/>
    </row>
    <row r="356">
      <c r="A356" s="11" t="inlineStr">
        <is>
          <t>X-10</t>
        </is>
      </c>
      <c r="B356" s="12" t="inlineStr">
        <is>
          <t>X</t>
        </is>
      </c>
      <c r="C356" s="11" t="inlineStr">
        <is>
          <t>Testy RBAC sprawdzające zachowanie, nie metadane</t>
        </is>
      </c>
      <c r="D356" s="11" t="inlineStr">
        <is>
          <t>—</t>
        </is>
      </c>
      <c r="E356" s="11" t="inlineStr">
        <is>
          <t>—</t>
        </is>
      </c>
      <c r="F356" s="11" t="inlineStr">
        <is>
          <t>—</t>
        </is>
      </c>
      <c r="G356" s="11" t="inlineStr">
        <is>
          <t>—</t>
        </is>
      </c>
      <c r="H356" s="11" t="inlineStr">
        <is>
          <t>—</t>
        </is>
      </c>
      <c r="I356" s="11" t="inlineStr">
        <is>
          <t>ATRAPA</t>
        </is>
      </c>
      <c r="J356" s="12" t="inlineStr">
        <is>
          <t>3 pliki spec czytają Reflect.getMetadata(ROLES_KEY) — weryfikują, że dekorator napisano, nie że guard blokuje</t>
        </is>
      </c>
      <c r="K356" s="11" t="inlineStr">
        <is>
          <t>LUKA</t>
        </is>
      </c>
      <c r="L356" s="11" t="inlineStr">
        <is>
          <t>WYSOKA</t>
        </is>
      </c>
      <c r="M356" s="11" t="inlineStr">
        <is>
          <t>M</t>
        </is>
      </c>
      <c r="N356" s="12" t="inlineStr">
        <is>
          <t>pokrycie pozorne w najdroższym możliwym miejscu</t>
        </is>
      </c>
    </row>
    <row r="357">
      <c r="A357" s="11" t="inlineStr">
        <is>
          <t>X-11</t>
        </is>
      </c>
      <c r="B357" s="12" t="inlineStr">
        <is>
          <t>X</t>
        </is>
      </c>
      <c r="C357" s="11" t="inlineStr">
        <is>
          <t>Testy API w osobnym jobie CI, nie za typecheckiem</t>
        </is>
      </c>
      <c r="D357" s="11" t="inlineStr">
        <is>
          <t>—</t>
        </is>
      </c>
      <c r="E357" s="11" t="inlineStr">
        <is>
          <t>—</t>
        </is>
      </c>
      <c r="F357" s="11" t="inlineStr">
        <is>
          <t>—</t>
        </is>
      </c>
      <c r="G357" s="11" t="inlineStr">
        <is>
          <t>—</t>
        </is>
      </c>
      <c r="H357" s="11" t="inlineStr">
        <is>
          <t>—</t>
        </is>
      </c>
      <c r="I357" s="11" t="inlineStr">
        <is>
          <t>BRAK</t>
        </is>
      </c>
      <c r="J357" s="12" t="inlineStr">
        <is>
          <t>ci.yml: job „Static checks (lint + typecheck)" — krok „API unit tests" wykonuje się po kroku „Typecheck"</t>
        </is>
      </c>
      <c r="K357" s="11" t="inlineStr">
        <is>
          <t>LUKA</t>
        </is>
      </c>
      <c r="L357" s="11" t="inlineStr">
        <is>
          <t>ŚREDNIA</t>
        </is>
      </c>
      <c r="M357" s="11" t="inlineStr">
        <is>
          <t>S</t>
        </is>
      </c>
      <c r="N357" s="12" t="inlineStr">
        <is>
          <t>Odkryte przy pierwszym przebiegu CI (#17, 2026-08-21). Testy stoją w tym samym jobie co lint i typecheck, w kroku PO nich — więc błąd typów w dowolnym z sześciu workspace’ów kasuje jedyny krok dający poziom dowodu D2. Dokładnie tak było w #17: CI działało, typecheck padał na apps/www, a pnpm --filter api test nie uruchomiło się ani razu. Zasada na przyszłość: krok, który dowodzi, nie może stać za krokiem, który tylko sprawdza higienę. Po rozdzieleniu trzeba dopisać nowy check do rulesetu z X-02.</t>
        </is>
      </c>
    </row>
    <row r="358">
      <c r="A358" s="11" t="inlineStr">
        <is>
          <t>X-12</t>
        </is>
      </c>
      <c r="B358" s="12" t="inlineStr">
        <is>
          <t>X</t>
        </is>
      </c>
      <c r="C358" s="11" t="inlineStr">
        <is>
          <t>Skrypty węzła serwowane przez API obecne w obrazie produkcyjnym</t>
        </is>
      </c>
      <c r="D358" s="11" t="inlineStr">
        <is>
          <t>—</t>
        </is>
      </c>
      <c r="E358" s="11" t="inlineStr">
        <is>
          <t>—</t>
        </is>
      </c>
      <c r="F358" s="11" t="inlineStr">
        <is>
          <t>—</t>
        </is>
      </c>
      <c r="G358" s="11" t="inlineStr">
        <is>
          <t>—</t>
        </is>
      </c>
      <c r="H358" s="11" t="inlineStr">
        <is>
          <t>—</t>
        </is>
      </c>
      <c r="I358" s="11" t="inlineStr">
        <is>
          <t>DZIAŁA</t>
        </is>
      </c>
      <c r="J358" s="12" t="inlineStr">
        <is>
          <t>Dockerfile.api — COPY dla 10 skryptów; apps/api/src/test/dockerfile-scripts.spec.ts porównuje loadery z listą COPY</t>
        </is>
      </c>
      <c r="K358" s="11" t="inlineStr">
        <is>
          <t>PARYTET</t>
        </is>
      </c>
      <c r="L358" s="11" t="inlineStr">
        <is>
          <t>—</t>
        </is>
      </c>
      <c r="M358" s="11" t="inlineStr">
        <is>
          <t>S</t>
        </is>
      </c>
      <c r="N358" s="12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</t>
        </is>
      </c>
    </row>
    <row r="359">
      <c r="A359" s="11" t="inlineStr">
        <is>
          <t>X-13</t>
        </is>
      </c>
      <c r="B359" s="12" t="inlineStr">
        <is>
          <t>X</t>
        </is>
      </c>
      <c r="C359" s="11" t="inlineStr">
        <is>
          <t>Jedna gałąź wdrożeniowa — main</t>
        </is>
      </c>
      <c r="D359" s="11" t="inlineStr">
        <is>
          <t>—</t>
        </is>
      </c>
      <c r="E359" s="11" t="inlineStr">
        <is>
          <t>—</t>
        </is>
      </c>
      <c r="F359" s="11" t="inlineStr">
        <is>
          <t>—</t>
        </is>
      </c>
      <c r="G359" s="11" t="inlineStr">
        <is>
          <t>—</t>
        </is>
      </c>
      <c r="H359" s="11" t="inlineStr">
        <is>
          <t>—</t>
        </is>
      </c>
      <c r="I359" s="11" t="inlineStr">
        <is>
          <t>DZIAŁA</t>
        </is>
      </c>
      <c r="J359" s="12" t="inlineStr">
        <is>
          <t>.github/workflows/deploy.yml — on.push.branches: [main]</t>
        </is>
      </c>
      <c r="K359" s="11" t="inlineStr">
        <is>
          <t>PARYTET</t>
        </is>
      </c>
      <c r="L359" s="11" t="inlineStr">
        <is>
          <t>—</t>
        </is>
      </c>
      <c r="M359" s="11" t="inlineStr">
        <is>
          <t>S</t>
        </is>
      </c>
      <c r="N359" s="12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</row>
  </sheetData>
  <autoFilter ref="A1:N359"/>
  <conditionalFormatting sqref="D2:D359">
    <cfRule type="cellIs" priority="1" operator="equal" dxfId="0">
      <formula>"TAK"</formula>
    </cfRule>
    <cfRule type="cellIs" priority="2" operator="equal" dxfId="1">
      <formula>"CZĘŚĆ"</formula>
    </cfRule>
    <cfRule type="cellIs" priority="3" operator="equal" dxfId="2">
      <formula>"PŁATNE"</formula>
    </cfRule>
    <cfRule type="cellIs" priority="4" operator="equal" dxfId="3">
      <formula>"NIE"</formula>
    </cfRule>
    <cfRule type="cellIs" priority="5" operator="equal" dxfId="4">
      <formula>"b.d."</formula>
    </cfRule>
  </conditionalFormatting>
  <conditionalFormatting sqref="E2:E359">
    <cfRule type="cellIs" priority="6" operator="equal" dxfId="0">
      <formula>"TAK"</formula>
    </cfRule>
    <cfRule type="cellIs" priority="7" operator="equal" dxfId="1">
      <formula>"CZĘŚĆ"</formula>
    </cfRule>
    <cfRule type="cellIs" priority="8" operator="equal" dxfId="2">
      <formula>"PŁATNE"</formula>
    </cfRule>
    <cfRule type="cellIs" priority="9" operator="equal" dxfId="3">
      <formula>"NIE"</formula>
    </cfRule>
    <cfRule type="cellIs" priority="10" operator="equal" dxfId="4">
      <formula>"b.d."</formula>
    </cfRule>
  </conditionalFormatting>
  <conditionalFormatting sqref="F2:F359">
    <cfRule type="cellIs" priority="11" operator="equal" dxfId="0">
      <formula>"TAK"</formula>
    </cfRule>
    <cfRule type="cellIs" priority="12" operator="equal" dxfId="1">
      <formula>"CZĘŚĆ"</formula>
    </cfRule>
    <cfRule type="cellIs" priority="13" operator="equal" dxfId="2">
      <formula>"PŁATNE"</formula>
    </cfRule>
    <cfRule type="cellIs" priority="14" operator="equal" dxfId="3">
      <formula>"NIE"</formula>
    </cfRule>
    <cfRule type="cellIs" priority="15" operator="equal" dxfId="4">
      <formula>"b.d."</formula>
    </cfRule>
  </conditionalFormatting>
  <conditionalFormatting sqref="G2:G359">
    <cfRule type="cellIs" priority="16" operator="equal" dxfId="0">
      <formula>"TAK"</formula>
    </cfRule>
    <cfRule type="cellIs" priority="17" operator="equal" dxfId="1">
      <formula>"CZĘŚĆ"</formula>
    </cfRule>
    <cfRule type="cellIs" priority="18" operator="equal" dxfId="2">
      <formula>"PŁATNE"</formula>
    </cfRule>
    <cfRule type="cellIs" priority="19" operator="equal" dxfId="3">
      <formula>"NIE"</formula>
    </cfRule>
    <cfRule type="cellIs" priority="20" operator="equal" dxfId="4">
      <formula>"b.d."</formula>
    </cfRule>
  </conditionalFormatting>
  <conditionalFormatting sqref="H2:H359">
    <cfRule type="cellIs" priority="21" operator="equal" dxfId="0">
      <formula>"TAK"</formula>
    </cfRule>
    <cfRule type="cellIs" priority="22" operator="equal" dxfId="1">
      <formula>"CZĘŚĆ"</formula>
    </cfRule>
    <cfRule type="cellIs" priority="23" operator="equal" dxfId="2">
      <formula>"PŁATNE"</formula>
    </cfRule>
    <cfRule type="cellIs" priority="24" operator="equal" dxfId="3">
      <formula>"NIE"</formula>
    </cfRule>
    <cfRule type="cellIs" priority="25" operator="equal" dxfId="4">
      <formula>"b.d."</formula>
    </cfRule>
  </conditionalFormatting>
  <conditionalFormatting sqref="I2:I359">
    <cfRule type="cellIs" priority="26" operator="equal" dxfId="0">
      <formula>"DZIAŁA"</formula>
    </cfRule>
    <cfRule type="cellIs" priority="27" operator="equal" dxfId="1">
      <formula>"CZĘŚCIOWE"</formula>
    </cfRule>
    <cfRule type="cellIs" priority="28" operator="equal" dxfId="5">
      <formula>"FLAGA"</formula>
    </cfRule>
    <cfRule type="cellIs" priority="29" operator="equal" dxfId="6">
      <formula>"ATRAPA"</formula>
    </cfRule>
    <cfRule type="cellIs" priority="30" operator="equal" dxfId="6">
      <formula>"ENDPOINT BEZ UI"</formula>
    </cfRule>
    <cfRule type="cellIs" priority="31" operator="equal" dxfId="7">
      <formula>"BRAK"</formula>
    </cfRule>
  </conditionalFormatting>
  <conditionalFormatting sqref="K2:K359">
    <cfRule type="cellIs" priority="32" operator="equal" dxfId="0">
      <formula>"PARYTET"</formula>
    </cfRule>
    <cfRule type="cellIs" priority="33" operator="equal" dxfId="8">
      <formula>"PRZEWAGA"</formula>
    </cfRule>
    <cfRule type="cellIs" priority="34" operator="equal" dxfId="1">
      <formula>"CZĘŚCIOWY"</formula>
    </cfRule>
    <cfRule type="cellIs" priority="35" operator="equal" dxfId="7">
      <formula>"LUKA"</formula>
    </cfRule>
    <cfRule type="cellIs" priority="36" operator="equal" dxfId="4">
      <formula>"POZA ZAKRESEM"</formula>
    </cfRule>
  </conditionalFormatting>
  <conditionalFormatting sqref="L2:L359">
    <cfRule type="cellIs" priority="37" operator="equal" dxfId="9">
      <formula>"BLOKER STARTU"</formula>
    </cfRule>
    <cfRule type="cellIs" priority="38" operator="equal" dxfId="6">
      <formula>"WYSOKA"</formula>
    </cfRule>
    <cfRule type="cellIs" priority="39" operator="equal" dxfId="1">
      <formula>"ŚREDNIA"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2026-08-21T21:41:32Z</dcterms:created>
  <dcterms:modified xmlns:dcterms="http://purl.org/dc/terms/" xmlns:xsi="http://www.w3.org/2001/XMLSchema-instance" xsi:type="dcterms:W3CDTF">2026-08-21T21:41:33Z</dcterms:modified>
</cp:coreProperties>
</file>