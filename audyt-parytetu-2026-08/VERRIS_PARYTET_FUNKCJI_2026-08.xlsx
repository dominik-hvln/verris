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COUNTIF(Macierz!$K$2:$K$363,A6)</f>
        <v/>
      </c>
    </row>
    <row r="7">
      <c r="A7" s="5" t="inlineStr">
        <is>
          <t>PRZEWAGA</t>
        </is>
      </c>
      <c r="B7" s="5">
        <f>COUNTIF(Macierz!$K$2:$K$363,A7)</f>
        <v/>
      </c>
    </row>
    <row r="8">
      <c r="A8" s="5" t="inlineStr">
        <is>
          <t>CZĘŚCIOWY</t>
        </is>
      </c>
      <c r="B8" s="5">
        <f>COUNTIF(Macierz!$K$2:$K$363,A8)</f>
        <v/>
      </c>
    </row>
    <row r="9">
      <c r="A9" s="5" t="inlineStr">
        <is>
          <t>LUKA</t>
        </is>
      </c>
      <c r="B9" s="5">
        <f>COUNTIF(Macierz!$K$2:$K$363,A9)</f>
        <v/>
      </c>
    </row>
    <row r="10">
      <c r="A10" s="5" t="inlineStr">
        <is>
          <t>POZA ZAKRESEM</t>
        </is>
      </c>
      <c r="B10" s="5">
        <f>COUNTIF(Macierz!$K$2:$K$363,A10)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COUNTIF(Macierz!$I$2:$I$363,A15)</f>
        <v/>
      </c>
    </row>
    <row r="16">
      <c r="A16" s="5" t="inlineStr">
        <is>
          <t>CZĘŚCIOWE</t>
        </is>
      </c>
      <c r="B16" s="5">
        <f>COUNTIF(Macierz!$I$2:$I$363,A16)</f>
        <v/>
      </c>
    </row>
    <row r="17">
      <c r="A17" s="5" t="inlineStr">
        <is>
          <t>FLAGA</t>
        </is>
      </c>
      <c r="B17" s="5">
        <f>COUNTIF(Macierz!$I$2:$I$363,A17)</f>
        <v/>
      </c>
    </row>
    <row r="18">
      <c r="A18" s="5" t="inlineStr">
        <is>
          <t>ATRAPA</t>
        </is>
      </c>
      <c r="B18" s="5">
        <f>COUNTIF(Macierz!$I$2:$I$363,A18)</f>
        <v/>
      </c>
    </row>
    <row r="19">
      <c r="A19" s="5" t="inlineStr">
        <is>
          <t>ENDPOINT BEZ UI</t>
        </is>
      </c>
      <c r="B19" s="5">
        <f>COUNTIF(Macierz!$I$2:$I$363,A19)</f>
        <v/>
      </c>
    </row>
    <row r="20">
      <c r="A20" s="5" t="inlineStr">
        <is>
          <t>BRAK</t>
        </is>
      </c>
      <c r="B20" s="5">
        <f>COUNTIF(Macierz!$I$2:$I$363,A20)</f>
        <v/>
      </c>
    </row>
    <row r="21">
      <c r="A21" s="5" t="inlineStr">
        <is>
          <t>b.d.</t>
        </is>
      </c>
      <c r="B21" s="5">
        <f>COUNTIF(Macierz!$I$2:$I$363,A21)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COUNTIF(Macierz!$L$2:$L$363,A26)</f>
        <v/>
      </c>
    </row>
    <row r="27">
      <c r="A27" s="5" t="inlineStr">
        <is>
          <t>WYSOKA</t>
        </is>
      </c>
      <c r="B27" s="5">
        <f>COUNTIF(Macierz!$L$2:$L$363,A27)</f>
        <v/>
      </c>
    </row>
    <row r="28">
      <c r="A28" s="5" t="inlineStr">
        <is>
          <t>ŚREDNIA</t>
        </is>
      </c>
      <c r="B28" s="5">
        <f>COUNTIF(Macierz!$L$2:$L$363,A28)</f>
        <v/>
      </c>
    </row>
    <row r="29">
      <c r="A29" s="5" t="inlineStr">
        <is>
          <t>NISKA</t>
        </is>
      </c>
      <c r="B29" s="5">
        <f>COUNTIF(Macierz!$L$2:$L$363,A29)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COUNTIF(Macierz!$B$2:$B$363,"A")</f>
        <v/>
      </c>
      <c r="C33" s="7">
        <f>COUNTIFS(Macierz!$B$2:$B$363,"A",Macierz!$K$2:$K$363,"PARYTET")+COUNTIFS(Macierz!$B$2:$B$363,"A",Macierz!$K$2:$K$363,"PRZEWAGA")</f>
        <v/>
      </c>
      <c r="D33" s="7">
        <f>COUNTIFS(Macierz!$B$2:$B$363,"A",Macierz!$K$2:$K$363,"LUKA")</f>
        <v/>
      </c>
      <c r="E33" s="7">
        <f>COUNTIFS(Macierz!$B$2:$B$363,"A",Macierz!$L$2:$L$363,"BLOKER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COUNTIF(Macierz!$B$2:$B$363,"B")</f>
        <v/>
      </c>
      <c r="C34" s="7">
        <f>COUNTIFS(Macierz!$B$2:$B$363,"B",Macierz!$K$2:$K$363,"PARYTET")+COUNTIFS(Macierz!$B$2:$B$363,"B",Macierz!$K$2:$K$363,"PRZEWAGA")</f>
        <v/>
      </c>
      <c r="D34" s="7">
        <f>COUNTIFS(Macierz!$B$2:$B$363,"B",Macierz!$K$2:$K$363,"LUKA")</f>
        <v/>
      </c>
      <c r="E34" s="7">
        <f>COUNTIFS(Macierz!$B$2:$B$363,"B",Macierz!$L$2:$L$363,"BLOKER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COUNTIF(Macierz!$B$2:$B$363,"C")</f>
        <v/>
      </c>
      <c r="C35" s="7">
        <f>COUNTIFS(Macierz!$B$2:$B$363,"C",Macierz!$K$2:$K$363,"PARYTET")+COUNTIFS(Macierz!$B$2:$B$363,"C",Macierz!$K$2:$K$363,"PRZEWAGA")</f>
        <v/>
      </c>
      <c r="D35" s="7">
        <f>COUNTIFS(Macierz!$B$2:$B$363,"C",Macierz!$K$2:$K$363,"LUKA")</f>
        <v/>
      </c>
      <c r="E35" s="7">
        <f>COUNTIFS(Macierz!$B$2:$B$363,"C",Macierz!$L$2:$L$363,"BLOKER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COUNTIF(Macierz!$B$2:$B$363,"D")</f>
        <v/>
      </c>
      <c r="C36" s="7">
        <f>COUNTIFS(Macierz!$B$2:$B$363,"D",Macierz!$K$2:$K$363,"PARYTET")+COUNTIFS(Macierz!$B$2:$B$363,"D",Macierz!$K$2:$K$363,"PRZEWAGA")</f>
        <v/>
      </c>
      <c r="D36" s="7">
        <f>COUNTIFS(Macierz!$B$2:$B$363,"D",Macierz!$K$2:$K$363,"LUKA")</f>
        <v/>
      </c>
      <c r="E36" s="7">
        <f>COUNTIFS(Macierz!$B$2:$B$363,"D",Macierz!$L$2:$L$363,"BLOKER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COUNTIF(Macierz!$B$2:$B$363,"E")</f>
        <v/>
      </c>
      <c r="C37" s="7">
        <f>COUNTIFS(Macierz!$B$2:$B$363,"E",Macierz!$K$2:$K$363,"PARYTET")+COUNTIFS(Macierz!$B$2:$B$363,"E",Macierz!$K$2:$K$363,"PRZEWAGA")</f>
        <v/>
      </c>
      <c r="D37" s="7">
        <f>COUNTIFS(Macierz!$B$2:$B$363,"E",Macierz!$K$2:$K$363,"LUKA")</f>
        <v/>
      </c>
      <c r="E37" s="7">
        <f>COUNTIFS(Macierz!$B$2:$B$363,"E",Macierz!$L$2:$L$363,"BLOKER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COUNTIF(Macierz!$B$2:$B$363,"F")</f>
        <v/>
      </c>
      <c r="C38" s="7">
        <f>COUNTIFS(Macierz!$B$2:$B$363,"F",Macierz!$K$2:$K$363,"PARYTET")+COUNTIFS(Macierz!$B$2:$B$363,"F",Macierz!$K$2:$K$363,"PRZEWAGA")</f>
        <v/>
      </c>
      <c r="D38" s="7">
        <f>COUNTIFS(Macierz!$B$2:$B$363,"F",Macierz!$K$2:$K$363,"LUKA")</f>
        <v/>
      </c>
      <c r="E38" s="7">
        <f>COUNTIFS(Macierz!$B$2:$B$363,"F",Macierz!$L$2:$L$363,"BLOKER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COUNTIF(Macierz!$B$2:$B$363,"G")</f>
        <v/>
      </c>
      <c r="C39" s="7">
        <f>COUNTIFS(Macierz!$B$2:$B$363,"G",Macierz!$K$2:$K$363,"PARYTET")+COUNTIFS(Macierz!$B$2:$B$363,"G",Macierz!$K$2:$K$363,"PRZEWAGA")</f>
        <v/>
      </c>
      <c r="D39" s="7">
        <f>COUNTIFS(Macierz!$B$2:$B$363,"G",Macierz!$K$2:$K$363,"LUKA")</f>
        <v/>
      </c>
      <c r="E39" s="7">
        <f>COUNTIFS(Macierz!$B$2:$B$363,"G",Macierz!$L$2:$L$363,"BLOKER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COUNTIF(Macierz!$B$2:$B$363,"H")</f>
        <v/>
      </c>
      <c r="C40" s="7">
        <f>COUNTIFS(Macierz!$B$2:$B$363,"H",Macierz!$K$2:$K$363,"PARYTET")+COUNTIFS(Macierz!$B$2:$B$363,"H",Macierz!$K$2:$K$363,"PRZEWAGA")</f>
        <v/>
      </c>
      <c r="D40" s="7">
        <f>COUNTIFS(Macierz!$B$2:$B$363,"H",Macierz!$K$2:$K$363,"LUKA")</f>
        <v/>
      </c>
      <c r="E40" s="7">
        <f>COUNTIFS(Macierz!$B$2:$B$363,"H",Macierz!$L$2:$L$363,"BLOKER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COUNTIF(Macierz!$B$2:$B$363,"I")</f>
        <v/>
      </c>
      <c r="C41" s="7">
        <f>COUNTIFS(Macierz!$B$2:$B$363,"I",Macierz!$K$2:$K$363,"PARYTET")+COUNTIFS(Macierz!$B$2:$B$363,"I",Macierz!$K$2:$K$363,"PRZEWAGA")</f>
        <v/>
      </c>
      <c r="D41" s="7">
        <f>COUNTIFS(Macierz!$B$2:$B$363,"I",Macierz!$K$2:$K$363,"LUKA")</f>
        <v/>
      </c>
      <c r="E41" s="7">
        <f>COUNTIFS(Macierz!$B$2:$B$363,"I",Macierz!$L$2:$L$363,"BLOKER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COUNTIF(Macierz!$B$2:$B$363,"J")</f>
        <v/>
      </c>
      <c r="C42" s="7">
        <f>COUNTIFS(Macierz!$B$2:$B$363,"J",Macierz!$K$2:$K$363,"PARYTET")+COUNTIFS(Macierz!$B$2:$B$363,"J",Macierz!$K$2:$K$363,"PRZEWAGA")</f>
        <v/>
      </c>
      <c r="D42" s="7">
        <f>COUNTIFS(Macierz!$B$2:$B$363,"J",Macierz!$K$2:$K$363,"LUKA")</f>
        <v/>
      </c>
      <c r="E42" s="7">
        <f>COUNTIFS(Macierz!$B$2:$B$363,"J",Macierz!$L$2:$L$363,"BLOKER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COUNTIF(Macierz!$B$2:$B$363,"K")</f>
        <v/>
      </c>
      <c r="C43" s="7">
        <f>COUNTIFS(Macierz!$B$2:$B$363,"K",Macierz!$K$2:$K$363,"PARYTET")+COUNTIFS(Macierz!$B$2:$B$363,"K",Macierz!$K$2:$K$363,"PRZEWAGA")</f>
        <v/>
      </c>
      <c r="D43" s="7">
        <f>COUNTIFS(Macierz!$B$2:$B$363,"K",Macierz!$K$2:$K$363,"LUKA")</f>
        <v/>
      </c>
      <c r="E43" s="7">
        <f>COUNTIFS(Macierz!$B$2:$B$363,"K",Macierz!$L$2:$L$363,"BLOKER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COUNTIF(Macierz!$B$2:$B$363,"L")</f>
        <v/>
      </c>
      <c r="C44" s="7">
        <f>COUNTIFS(Macierz!$B$2:$B$363,"L",Macierz!$K$2:$K$363,"PARYTET")+COUNTIFS(Macierz!$B$2:$B$363,"L",Macierz!$K$2:$K$363,"PRZEWAGA")</f>
        <v/>
      </c>
      <c r="D44" s="7">
        <f>COUNTIFS(Macierz!$B$2:$B$363,"L",Macierz!$K$2:$K$363,"LUKA")</f>
        <v/>
      </c>
      <c r="E44" s="7">
        <f>COUNTIFS(Macierz!$B$2:$B$363,"L",Macierz!$L$2:$L$363,"BLOKER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COUNTIF(Macierz!$B$2:$B$363,"M")</f>
        <v/>
      </c>
      <c r="C45" s="7">
        <f>COUNTIFS(Macierz!$B$2:$B$363,"M",Macierz!$K$2:$K$363,"PARYTET")+COUNTIFS(Macierz!$B$2:$B$363,"M",Macierz!$K$2:$K$363,"PRZEWAGA")</f>
        <v/>
      </c>
      <c r="D45" s="7">
        <f>COUNTIFS(Macierz!$B$2:$B$363,"M",Macierz!$K$2:$K$363,"LUKA")</f>
        <v/>
      </c>
      <c r="E45" s="7">
        <f>COUNTIFS(Macierz!$B$2:$B$363,"M",Macierz!$L$2:$L$363,"BLOKER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COUNTIF(Macierz!$B$2:$B$363,"N")</f>
        <v/>
      </c>
      <c r="C46" s="7">
        <f>COUNTIFS(Macierz!$B$2:$B$363,"N",Macierz!$K$2:$K$363,"PARYTET")+COUNTIFS(Macierz!$B$2:$B$363,"N",Macierz!$K$2:$K$363,"PRZEWAGA")</f>
        <v/>
      </c>
      <c r="D46" s="7">
        <f>COUNTIFS(Macierz!$B$2:$B$363,"N",Macierz!$K$2:$K$363,"LUKA")</f>
        <v/>
      </c>
      <c r="E46" s="7">
        <f>COUNTIFS(Macierz!$B$2:$B$363,"N",Macierz!$L$2:$L$363,"BLOKER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COUNTIF(Macierz!$B$2:$B$363,"O")</f>
        <v/>
      </c>
      <c r="C47" s="7">
        <f>COUNTIFS(Macierz!$B$2:$B$363,"O",Macierz!$K$2:$K$363,"PARYTET")+COUNTIFS(Macierz!$B$2:$B$363,"O",Macierz!$K$2:$K$363,"PRZEWAGA")</f>
        <v/>
      </c>
      <c r="D47" s="7">
        <f>COUNTIFS(Macierz!$B$2:$B$363,"O",Macierz!$K$2:$K$363,"LUKA")</f>
        <v/>
      </c>
      <c r="E47" s="7">
        <f>COUNTIFS(Macierz!$B$2:$B$363,"O",Macierz!$L$2:$L$363,"BLOKER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COUNTIF(Macierz!$B$2:$B$363,"P")</f>
        <v/>
      </c>
      <c r="C48" s="7">
        <f>COUNTIFS(Macierz!$B$2:$B$363,"P",Macierz!$K$2:$K$363,"PARYTET")+COUNTIFS(Macierz!$B$2:$B$363,"P",Macierz!$K$2:$K$363,"PRZEWAGA")</f>
        <v/>
      </c>
      <c r="D48" s="7">
        <f>COUNTIFS(Macierz!$B$2:$B$363,"P",Macierz!$K$2:$K$363,"LUKA")</f>
        <v/>
      </c>
      <c r="E48" s="7">
        <f>COUNTIFS(Macierz!$B$2:$B$363,"P",Macierz!$L$2:$L$363,"BLOKER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COUNTIF(Macierz!$B$2:$B$363,"Q")</f>
        <v/>
      </c>
      <c r="C49" s="7">
        <f>COUNTIFS(Macierz!$B$2:$B$363,"Q",Macierz!$K$2:$K$363,"PARYTET")+COUNTIFS(Macierz!$B$2:$B$363,"Q",Macierz!$K$2:$K$363,"PRZEWAGA")</f>
        <v/>
      </c>
      <c r="D49" s="7">
        <f>COUNTIFS(Macierz!$B$2:$B$363,"Q",Macierz!$K$2:$K$363,"LUKA")</f>
        <v/>
      </c>
      <c r="E49" s="7">
        <f>COUNTIFS(Macierz!$B$2:$B$363,"Q",Macierz!$L$2:$L$363,"BLOKER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COUNTIF(Macierz!$B$2:$B$363,"X")</f>
        <v/>
      </c>
      <c r="C50" s="7">
        <f>COUNTIFS(Macierz!$B$2:$B$363,"X",Macierz!$K$2:$K$363,"PARYTET")+COUNTIFS(Macierz!$B$2:$B$363,"X",Macierz!$K$2:$K$363,"PRZEWAGA")</f>
        <v/>
      </c>
      <c r="D50" s="7">
        <f>COUNTIFS(Macierz!$B$2:$B$363,"X",Macierz!$K$2:$K$363,"LUKA")</f>
        <v/>
      </c>
      <c r="E50" s="7">
        <f>COUNTIFS(Macierz!$B$2:$B$363,"X",Macierz!$L$2:$L$363,"BLOKER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COUNTIF(Macierz!$B$2:$B$363,"Z")</f>
        <v/>
      </c>
      <c r="C51" s="7">
        <f>COUNTIFS(Macierz!$B$2:$B$363,"Z",Macierz!$K$2:$K$363,"PARYTET")+COUNTIFS(Macierz!$B$2:$B$363,"Z",Macierz!$K$2:$K$363,"PRZEWAGA")</f>
        <v/>
      </c>
      <c r="D51" s="7">
        <f>COUNTIFS(Macierz!$B$2:$B$363,"Z",Macierz!$K$2:$K$363,"LUKA")</f>
        <v/>
      </c>
      <c r="E51" s="7">
        <f>COUNTIFS(Macierz!$B$2:$B$363,"Z",Macierz!$L$2:$L$363,"BLOKER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BRAK</t>
        </is>
      </c>
      <c r="J361" s="12" t="inlineStr">
        <is>
          <t>provisioning.service.ts:299-301 zwiększa allocatedCpu/allocatedMemory/allocatedDisk o pełne limity planu; node-selector.service.ts:109-115 wpuszcza konto tylko gdy total-allocated ≥ limit planu + headroom; schema.prisma:474 reservedHeadroomPercent Int @default(0)</t>
        </is>
      </c>
      <c r="K361" s="11" t="inlineStr">
        <is>
          <t>LUKA</t>
        </is>
      </c>
      <c r="L361" s="11" t="inlineStr">
        <is>
          <t>BLOKER STARTU</t>
        </is>
      </c>
      <c r="M361" s="11" t="inlineStr">
        <is>
          <t>M</t>
        </is>
      </c>
      <c r="N361" s="12" t="inlineStr">
        <is>
          <t>Odkryte przy PB-01. Węzeł księguje 8 GB RAM i 2 vCPU na każde konto, mimo że w LVE to sufity burst, a nie rezerwacje. Skutek arytmetyczny: 128 GB / 8 GB = 16 kont na węzeł i selektor przestaje wpuszczać kolejne. Próg rentowności przy cenie 45 zł to 58 kont. Oznacza to, że przy dzisiejszym kodzie każdy węzeł domyka się na stracie ok. 1 074 zł/mies. i nie da się tego naprawić sprzedażą — selektor po prostu odmówi provisioningu. To nie jest optymalizacja kosztu, to warunek istnienia oferty. Do zrobienia: współczynniki nadsubskrypcji per węzeł (overcommitCpu/Ram/Disk) użyte w node-selector, oddzielenie księgowania 'sprzedane' od 'realnie zajęte', alarm gdy realne zużycie zbliża się do pojemności. Dysk traktować ostrożniej niż RAM i CPU: quota dyskowa jest realnie egzekwowana i klient może ją wypełnić w całości. Model: docs/strategy/PB-01_unit_economics_wezla.xlsx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BRAK</t>
        </is>
      </c>
      <c r="J362" s="12" t="inlineStr">
        <is>
          <t>seed.ts:40-112 zawiera wyłącznie starter/pro/business (19,99/49,99/99,99 zł); apps/www/.../Pricing.tsx:120 sprzedaje 45 zł/399 zł, hosting/page.tsx:77 opisuje bazę 50 GB / 8 GB / 2 vCPU — planu o takich limitach nie ma w żadnym seedzie ani migracji</t>
        </is>
      </c>
      <c r="K362" s="11" t="inlineStr">
        <is>
          <t>LUKA</t>
        </is>
      </c>
      <c r="L362" s="11" t="inlineStr">
        <is>
          <t>BLOKER STARTU</t>
        </is>
      </c>
      <c r="M362" s="11" t="inlineStr">
        <is>
          <t>S</t>
        </is>
      </c>
      <c r="N362" s="12" t="inlineStr">
        <is>
          <t>Odkryte przy PB-01. Strona sprzedaje pakiet, którego nie ma po stronie produktu. Trzy plany w seedzie to próbki z czasów prototypu i mają inne ceny oraz inne limity niż cokolwiek, co Verris ogłasza publicznie. Dopóki plan nie istnieje jako rekord z cpuLimit/ramLimitMb/diskLimitMb, nie działa ani wycena, ani placement, ani synchronizacja pakietów DirectAdmina (prod-sync-server-da-packages.sh czyta limity z Planu). Do zrobienia: migracja tworząca plan produkcyjny z limitami zgodnymi z treścią oferty, wycofanie planów próbnych z isPublic, test sprawdzający, że każda cena widoczna na www ma odpowiadający jej aktywny plan.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</sheetData>
  <autoFilter ref="A1:N363"/>
  <conditionalFormatting sqref="D2:D363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3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3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3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3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3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3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3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2026-08-22T09:31:41Z</dcterms:created>
  <dcterms:modified xmlns:dcterms="http://purl.org/dc/terms/" xmlns:xsi="http://www.w3.org/2001/XMLSchema-instance" xsi:type="dcterms:W3CDTF">2026-08-22T09:31:41Z</dcterms:modified>
</cp:coreProperties>
</file>