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2026-08-22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COUNTIF(Macierz!$K$2:$K$360,A6)</f>
        <v/>
      </c>
    </row>
    <row r="7">
      <c r="A7" s="5" t="inlineStr">
        <is>
          <t>PRZEWAGA</t>
        </is>
      </c>
      <c r="B7" s="5">
        <f>COUNTIF(Macierz!$K$2:$K$360,A7)</f>
        <v/>
      </c>
    </row>
    <row r="8">
      <c r="A8" s="5" t="inlineStr">
        <is>
          <t>CZĘŚCIOWY</t>
        </is>
      </c>
      <c r="B8" s="5">
        <f>COUNTIF(Macierz!$K$2:$K$360,A8)</f>
        <v/>
      </c>
    </row>
    <row r="9">
      <c r="A9" s="5" t="inlineStr">
        <is>
          <t>LUKA</t>
        </is>
      </c>
      <c r="B9" s="5">
        <f>COUNTIF(Macierz!$K$2:$K$360,A9)</f>
        <v/>
      </c>
    </row>
    <row r="10">
      <c r="A10" s="5" t="inlineStr">
        <is>
          <t>POZA ZAKRESEM</t>
        </is>
      </c>
      <c r="B10" s="5">
        <f>COUNTIF(Macierz!$K$2:$K$360,A10)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COUNTIF(Macierz!$I$2:$I$360,A15)</f>
        <v/>
      </c>
    </row>
    <row r="16">
      <c r="A16" s="5" t="inlineStr">
        <is>
          <t>CZĘŚCIOWE</t>
        </is>
      </c>
      <c r="B16" s="5">
        <f>COUNTIF(Macierz!$I$2:$I$360,A16)</f>
        <v/>
      </c>
    </row>
    <row r="17">
      <c r="A17" s="5" t="inlineStr">
        <is>
          <t>FLAGA</t>
        </is>
      </c>
      <c r="B17" s="5">
        <f>COUNTIF(Macierz!$I$2:$I$360,A17)</f>
        <v/>
      </c>
    </row>
    <row r="18">
      <c r="A18" s="5" t="inlineStr">
        <is>
          <t>ATRAPA</t>
        </is>
      </c>
      <c r="B18" s="5">
        <f>COUNTIF(Macierz!$I$2:$I$360,A18)</f>
        <v/>
      </c>
    </row>
    <row r="19">
      <c r="A19" s="5" t="inlineStr">
        <is>
          <t>ENDPOINT BEZ UI</t>
        </is>
      </c>
      <c r="B19" s="5">
        <f>COUNTIF(Macierz!$I$2:$I$360,A19)</f>
        <v/>
      </c>
    </row>
    <row r="20">
      <c r="A20" s="5" t="inlineStr">
        <is>
          <t>BRAK</t>
        </is>
      </c>
      <c r="B20" s="5">
        <f>COUNTIF(Macierz!$I$2:$I$360,A20)</f>
        <v/>
      </c>
    </row>
    <row r="21">
      <c r="A21" s="5" t="inlineStr">
        <is>
          <t>b.d.</t>
        </is>
      </c>
      <c r="B21" s="5">
        <f>COUNTIF(Macierz!$I$2:$I$360,A21)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COUNTIF(Macierz!$L$2:$L$360,A26)</f>
        <v/>
      </c>
    </row>
    <row r="27">
      <c r="A27" s="5" t="inlineStr">
        <is>
          <t>WYSOKA</t>
        </is>
      </c>
      <c r="B27" s="5">
        <f>COUNTIF(Macierz!$L$2:$L$360,A27)</f>
        <v/>
      </c>
    </row>
    <row r="28">
      <c r="A28" s="5" t="inlineStr">
        <is>
          <t>ŚREDNIA</t>
        </is>
      </c>
      <c r="B28" s="5">
        <f>COUNTIF(Macierz!$L$2:$L$360,A28)</f>
        <v/>
      </c>
    </row>
    <row r="29">
      <c r="A29" s="5" t="inlineStr">
        <is>
          <t>NISKA</t>
        </is>
      </c>
      <c r="B29" s="5">
        <f>COUNTIF(Macierz!$L$2:$L$360,A29)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COUNTIF(Macierz!$B$2:$B$360,"A")</f>
        <v/>
      </c>
      <c r="C33" s="7">
        <f>COUNTIFS(Macierz!$B$2:$B$360,"A",Macierz!$K$2:$K$360,"PARYTET")+COUNTIFS(Macierz!$B$2:$B$360,"A",Macierz!$K$2:$K$360,"PRZEWAGA")</f>
        <v/>
      </c>
      <c r="D33" s="7">
        <f>COUNTIFS(Macierz!$B$2:$B$360,"A",Macierz!$K$2:$K$360,"LUKA")</f>
        <v/>
      </c>
      <c r="E33" s="7">
        <f>COUNTIFS(Macierz!$B$2:$B$360,"A",Macierz!$L$2:$L$360,"BLOKER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COUNTIF(Macierz!$B$2:$B$360,"B")</f>
        <v/>
      </c>
      <c r="C34" s="7">
        <f>COUNTIFS(Macierz!$B$2:$B$360,"B",Macierz!$K$2:$K$360,"PARYTET")+COUNTIFS(Macierz!$B$2:$B$360,"B",Macierz!$K$2:$K$360,"PRZEWAGA")</f>
        <v/>
      </c>
      <c r="D34" s="7">
        <f>COUNTIFS(Macierz!$B$2:$B$360,"B",Macierz!$K$2:$K$360,"LUKA")</f>
        <v/>
      </c>
      <c r="E34" s="7">
        <f>COUNTIFS(Macierz!$B$2:$B$360,"B",Macierz!$L$2:$L$360,"BLOKER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COUNTIF(Macierz!$B$2:$B$360,"C")</f>
        <v/>
      </c>
      <c r="C35" s="7">
        <f>COUNTIFS(Macierz!$B$2:$B$360,"C",Macierz!$K$2:$K$360,"PARYTET")+COUNTIFS(Macierz!$B$2:$B$360,"C",Macierz!$K$2:$K$360,"PRZEWAGA")</f>
        <v/>
      </c>
      <c r="D35" s="7">
        <f>COUNTIFS(Macierz!$B$2:$B$360,"C",Macierz!$K$2:$K$360,"LUKA")</f>
        <v/>
      </c>
      <c r="E35" s="7">
        <f>COUNTIFS(Macierz!$B$2:$B$360,"C",Macierz!$L$2:$L$360,"BLOKER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COUNTIF(Macierz!$B$2:$B$360,"D")</f>
        <v/>
      </c>
      <c r="C36" s="7">
        <f>COUNTIFS(Macierz!$B$2:$B$360,"D",Macierz!$K$2:$K$360,"PARYTET")+COUNTIFS(Macierz!$B$2:$B$360,"D",Macierz!$K$2:$K$360,"PRZEWAGA")</f>
        <v/>
      </c>
      <c r="D36" s="7">
        <f>COUNTIFS(Macierz!$B$2:$B$360,"D",Macierz!$K$2:$K$360,"LUKA")</f>
        <v/>
      </c>
      <c r="E36" s="7">
        <f>COUNTIFS(Macierz!$B$2:$B$360,"D",Macierz!$L$2:$L$360,"BLOKER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COUNTIF(Macierz!$B$2:$B$360,"E")</f>
        <v/>
      </c>
      <c r="C37" s="7">
        <f>COUNTIFS(Macierz!$B$2:$B$360,"E",Macierz!$K$2:$K$360,"PARYTET")+COUNTIFS(Macierz!$B$2:$B$360,"E",Macierz!$K$2:$K$360,"PRZEWAGA")</f>
        <v/>
      </c>
      <c r="D37" s="7">
        <f>COUNTIFS(Macierz!$B$2:$B$360,"E",Macierz!$K$2:$K$360,"LUKA")</f>
        <v/>
      </c>
      <c r="E37" s="7">
        <f>COUNTIFS(Macierz!$B$2:$B$360,"E",Macierz!$L$2:$L$360,"BLOKER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COUNTIF(Macierz!$B$2:$B$360,"F")</f>
        <v/>
      </c>
      <c r="C38" s="7">
        <f>COUNTIFS(Macierz!$B$2:$B$360,"F",Macierz!$K$2:$K$360,"PARYTET")+COUNTIFS(Macierz!$B$2:$B$360,"F",Macierz!$K$2:$K$360,"PRZEWAGA")</f>
        <v/>
      </c>
      <c r="D38" s="7">
        <f>COUNTIFS(Macierz!$B$2:$B$360,"F",Macierz!$K$2:$K$360,"LUKA")</f>
        <v/>
      </c>
      <c r="E38" s="7">
        <f>COUNTIFS(Macierz!$B$2:$B$360,"F",Macierz!$L$2:$L$360,"BLOKER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COUNTIF(Macierz!$B$2:$B$360,"G")</f>
        <v/>
      </c>
      <c r="C39" s="7">
        <f>COUNTIFS(Macierz!$B$2:$B$360,"G",Macierz!$K$2:$K$360,"PARYTET")+COUNTIFS(Macierz!$B$2:$B$360,"G",Macierz!$K$2:$K$360,"PRZEWAGA")</f>
        <v/>
      </c>
      <c r="D39" s="7">
        <f>COUNTIFS(Macierz!$B$2:$B$360,"G",Macierz!$K$2:$K$360,"LUKA")</f>
        <v/>
      </c>
      <c r="E39" s="7">
        <f>COUNTIFS(Macierz!$B$2:$B$360,"G",Macierz!$L$2:$L$360,"BLOKER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COUNTIF(Macierz!$B$2:$B$360,"H")</f>
        <v/>
      </c>
      <c r="C40" s="7">
        <f>COUNTIFS(Macierz!$B$2:$B$360,"H",Macierz!$K$2:$K$360,"PARYTET")+COUNTIFS(Macierz!$B$2:$B$360,"H",Macierz!$K$2:$K$360,"PRZEWAGA")</f>
        <v/>
      </c>
      <c r="D40" s="7">
        <f>COUNTIFS(Macierz!$B$2:$B$360,"H",Macierz!$K$2:$K$360,"LUKA")</f>
        <v/>
      </c>
      <c r="E40" s="7">
        <f>COUNTIFS(Macierz!$B$2:$B$360,"H",Macierz!$L$2:$L$360,"BLOKER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COUNTIF(Macierz!$B$2:$B$360,"I")</f>
        <v/>
      </c>
      <c r="C41" s="7">
        <f>COUNTIFS(Macierz!$B$2:$B$360,"I",Macierz!$K$2:$K$360,"PARYTET")+COUNTIFS(Macierz!$B$2:$B$360,"I",Macierz!$K$2:$K$360,"PRZEWAGA")</f>
        <v/>
      </c>
      <c r="D41" s="7">
        <f>COUNTIFS(Macierz!$B$2:$B$360,"I",Macierz!$K$2:$K$360,"LUKA")</f>
        <v/>
      </c>
      <c r="E41" s="7">
        <f>COUNTIFS(Macierz!$B$2:$B$360,"I",Macierz!$L$2:$L$360,"BLOKER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COUNTIF(Macierz!$B$2:$B$360,"J")</f>
        <v/>
      </c>
      <c r="C42" s="7">
        <f>COUNTIFS(Macierz!$B$2:$B$360,"J",Macierz!$K$2:$K$360,"PARYTET")+COUNTIFS(Macierz!$B$2:$B$360,"J",Macierz!$K$2:$K$360,"PRZEWAGA")</f>
        <v/>
      </c>
      <c r="D42" s="7">
        <f>COUNTIFS(Macierz!$B$2:$B$360,"J",Macierz!$K$2:$K$360,"LUKA")</f>
        <v/>
      </c>
      <c r="E42" s="7">
        <f>COUNTIFS(Macierz!$B$2:$B$360,"J",Macierz!$L$2:$L$360,"BLOKER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COUNTIF(Macierz!$B$2:$B$360,"K")</f>
        <v/>
      </c>
      <c r="C43" s="7">
        <f>COUNTIFS(Macierz!$B$2:$B$360,"K",Macierz!$K$2:$K$360,"PARYTET")+COUNTIFS(Macierz!$B$2:$B$360,"K",Macierz!$K$2:$K$360,"PRZEWAGA")</f>
        <v/>
      </c>
      <c r="D43" s="7">
        <f>COUNTIFS(Macierz!$B$2:$B$360,"K",Macierz!$K$2:$K$360,"LUKA")</f>
        <v/>
      </c>
      <c r="E43" s="7">
        <f>COUNTIFS(Macierz!$B$2:$B$360,"K",Macierz!$L$2:$L$360,"BLOKER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COUNTIF(Macierz!$B$2:$B$360,"L")</f>
        <v/>
      </c>
      <c r="C44" s="7">
        <f>COUNTIFS(Macierz!$B$2:$B$360,"L",Macierz!$K$2:$K$360,"PARYTET")+COUNTIFS(Macierz!$B$2:$B$360,"L",Macierz!$K$2:$K$360,"PRZEWAGA")</f>
        <v/>
      </c>
      <c r="D44" s="7">
        <f>COUNTIFS(Macierz!$B$2:$B$360,"L",Macierz!$K$2:$K$360,"LUKA")</f>
        <v/>
      </c>
      <c r="E44" s="7">
        <f>COUNTIFS(Macierz!$B$2:$B$360,"L",Macierz!$L$2:$L$360,"BLOKER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COUNTIF(Macierz!$B$2:$B$360,"M")</f>
        <v/>
      </c>
      <c r="C45" s="7">
        <f>COUNTIFS(Macierz!$B$2:$B$360,"M",Macierz!$K$2:$K$360,"PARYTET")+COUNTIFS(Macierz!$B$2:$B$360,"M",Macierz!$K$2:$K$360,"PRZEWAGA")</f>
        <v/>
      </c>
      <c r="D45" s="7">
        <f>COUNTIFS(Macierz!$B$2:$B$360,"M",Macierz!$K$2:$K$360,"LUKA")</f>
        <v/>
      </c>
      <c r="E45" s="7">
        <f>COUNTIFS(Macierz!$B$2:$B$360,"M",Macierz!$L$2:$L$360,"BLOKER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COUNTIF(Macierz!$B$2:$B$360,"N")</f>
        <v/>
      </c>
      <c r="C46" s="7">
        <f>COUNTIFS(Macierz!$B$2:$B$360,"N",Macierz!$K$2:$K$360,"PARYTET")+COUNTIFS(Macierz!$B$2:$B$360,"N",Macierz!$K$2:$K$360,"PRZEWAGA")</f>
        <v/>
      </c>
      <c r="D46" s="7">
        <f>COUNTIFS(Macierz!$B$2:$B$360,"N",Macierz!$K$2:$K$360,"LUKA")</f>
        <v/>
      </c>
      <c r="E46" s="7">
        <f>COUNTIFS(Macierz!$B$2:$B$360,"N",Macierz!$L$2:$L$360,"BLOKER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COUNTIF(Macierz!$B$2:$B$360,"O")</f>
        <v/>
      </c>
      <c r="C47" s="7">
        <f>COUNTIFS(Macierz!$B$2:$B$360,"O",Macierz!$K$2:$K$360,"PARYTET")+COUNTIFS(Macierz!$B$2:$B$360,"O",Macierz!$K$2:$K$360,"PRZEWAGA")</f>
        <v/>
      </c>
      <c r="D47" s="7">
        <f>COUNTIFS(Macierz!$B$2:$B$360,"O",Macierz!$K$2:$K$360,"LUKA")</f>
        <v/>
      </c>
      <c r="E47" s="7">
        <f>COUNTIFS(Macierz!$B$2:$B$360,"O",Macierz!$L$2:$L$360,"BLOKER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COUNTIF(Macierz!$B$2:$B$360,"P")</f>
        <v/>
      </c>
      <c r="C48" s="7">
        <f>COUNTIFS(Macierz!$B$2:$B$360,"P",Macierz!$K$2:$K$360,"PARYTET")+COUNTIFS(Macierz!$B$2:$B$360,"P",Macierz!$K$2:$K$360,"PRZEWAGA")</f>
        <v/>
      </c>
      <c r="D48" s="7">
        <f>COUNTIFS(Macierz!$B$2:$B$360,"P",Macierz!$K$2:$K$360,"LUKA")</f>
        <v/>
      </c>
      <c r="E48" s="7">
        <f>COUNTIFS(Macierz!$B$2:$B$360,"P",Macierz!$L$2:$L$360,"BLOKER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COUNTIF(Macierz!$B$2:$B$360,"Q")</f>
        <v/>
      </c>
      <c r="C49" s="7">
        <f>COUNTIFS(Macierz!$B$2:$B$360,"Q",Macierz!$K$2:$K$360,"PARYTET")+COUNTIFS(Macierz!$B$2:$B$360,"Q",Macierz!$K$2:$K$360,"PRZEWAGA")</f>
        <v/>
      </c>
      <c r="D49" s="7">
        <f>COUNTIFS(Macierz!$B$2:$B$360,"Q",Macierz!$K$2:$K$360,"LUKA")</f>
        <v/>
      </c>
      <c r="E49" s="7">
        <f>COUNTIFS(Macierz!$B$2:$B$360,"Q",Macierz!$L$2:$L$360,"BLOKER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COUNTIF(Macierz!$B$2:$B$360,"X")</f>
        <v/>
      </c>
      <c r="C50" s="7">
        <f>COUNTIFS(Macierz!$B$2:$B$360,"X",Macierz!$K$2:$K$360,"PARYTET")+COUNTIFS(Macierz!$B$2:$B$360,"X",Macierz!$K$2:$K$360,"PRZEWAGA")</f>
        <v/>
      </c>
      <c r="D50" s="7">
        <f>COUNTIFS(Macierz!$B$2:$B$360,"X",Macierz!$K$2:$K$360,"LUKA")</f>
        <v/>
      </c>
      <c r="E50" s="7">
        <f>COUNTIFS(Macierz!$B$2:$B$360,"X",Macierz!$L$2:$L$360,"BLOKER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COUNTIF(Macierz!$B$2:$B$360,"Z")</f>
        <v/>
      </c>
      <c r="C51" s="7">
        <f>COUNTIFS(Macierz!$B$2:$B$360,"Z",Macierz!$K$2:$K$360,"PARYTET")+COUNTIFS(Macierz!$B$2:$B$360,"Z",Macierz!$K$2:$K$360,"PRZEWAGA")</f>
        <v/>
      </c>
      <c r="D51" s="7">
        <f>COUNTIFS(Macierz!$B$2:$B$360,"Z",Macierz!$K$2:$K$360,"LUKA")</f>
        <v/>
      </c>
      <c r="E51" s="7">
        <f>COUNTIFS(Macierz!$B$2:$B$360,"Z",Macierz!$L$2:$L$360,"BLOKER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BRAK</t>
        </is>
      </c>
      <c r="J176" s="12" t="inlineStr">
        <is>
          <t>ops/scripts/restore-drill-isolated.sh istnieje jako procedura ręczna; live-readiness.service.ts:175-177 sprawdza tylko czy backup się WYKONAŁ</t>
        </is>
      </c>
      <c r="K176" s="11" t="inlineStr">
        <is>
          <t>LUKA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BRAK</t>
        </is>
      </c>
      <c r="J244" s="12" t="inlineStr">
        <is>
          <t>zero wystąpień korekty w apps/api i schema.prisma; fa3-xml.builder.ts:177 zawsze &lt;RodzajFaktury&gt;VAT</t>
        </is>
      </c>
      <c r="K244" s="11" t="inlineStr">
        <is>
          <t>LUKA</t>
        </is>
      </c>
      <c r="L244" s="11" t="inlineStr">
        <is>
          <t>BLOKER STARTU</t>
        </is>
      </c>
      <c r="M244" s="11" t="inlineStr">
        <is>
          <t>L</t>
        </is>
      </c>
      <c r="N244" s="12" t="inlineStr">
        <is>
          <t>pierwszy zwrot, pierwsza rezygnacja w trakcie okresu, pierwsza literówka w NIP — i operator wychodzi poza system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BRAK</t>
        </is>
      </c>
      <c r="J272" s="12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K272" s="11" t="inlineStr">
        <is>
          <t>LUKA</t>
        </is>
      </c>
      <c r="L272" s="11" t="inlineStr">
        <is>
          <t>BLOKER STARTU</t>
        </is>
      </c>
      <c r="M272" s="11" t="inlineStr">
        <is>
          <t>L</t>
        </is>
      </c>
      <c r="N272" s="12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BRAK</t>
        </is>
      </c>
      <c r="J274" s="12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K274" s="11" t="inlineStr">
        <is>
          <t>LUKA</t>
        </is>
      </c>
      <c r="L274" s="11" t="inlineStr">
        <is>
          <t>BLOKER STARTU</t>
        </is>
      </c>
      <c r="M274" s="11" t="inlineStr">
        <is>
          <t>M</t>
        </is>
      </c>
      <c r="N274" s="12" t="inlineStr">
        <is>
          <t>Klient zapłacił, saldo się nie pojawiło, system uważa zdarzenie za obsłużone i odrzuca ponowienia. Odzysk wyłącznie ręcznie w bazie — brak endpointu do ponownego przetworzenia.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S</t>
        </is>
      </c>
      <c r="N275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Z-09</t>
        </is>
      </c>
      <c r="B278" s="12" t="inlineStr">
        <is>
          <t>G</t>
        </is>
      </c>
      <c r="C278" s="11" t="inlineStr">
        <is>
          <t>Ograniczenie hostów, do których łączy się worker migracji (SSRF z węzła)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node-migration-worker.sh — host źródła pochodzi z formularza i nie jest niczym ograniczony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M</t>
        </is>
      </c>
      <c r="N278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79">
      <c r="A279" s="11" t="inlineStr">
        <is>
          <t>Z-10</t>
        </is>
      </c>
      <c r="B279" s="12" t="inlineStr">
        <is>
          <t>O</t>
        </is>
      </c>
      <c r="C279" s="11" t="inlineStr">
        <is>
          <t>Izolacja rekordów między kontami klientów + dziennik odmów subkont</t>
        </is>
      </c>
      <c r="D279" s="11" t="inlineStr">
        <is>
          <t>TAK</t>
        </is>
      </c>
      <c r="E279" s="11" t="inlineStr">
        <is>
          <t>TAK</t>
        </is>
      </c>
      <c r="F279" s="11" t="inlineStr">
        <is>
          <t>CZĘŚĆ</t>
        </is>
      </c>
      <c r="G279" s="11" t="inlineStr">
        <is>
          <t>CZĘŚĆ</t>
        </is>
      </c>
      <c r="H279" s="11" t="inlineStr">
        <is>
          <t>TAK</t>
        </is>
      </c>
      <c r="I279" s="11" t="inlineStr">
        <is>
          <t>b.d.</t>
        </is>
      </c>
      <c r="J279" s="12" t="inlineStr">
        <is>
          <t>brak systematycznego przeglądu; każdy serwis sprawdza właściciela zasobu po swojemu</t>
        </is>
      </c>
      <c r="K279" s="11" t="inlineStr">
        <is>
          <t>LUKA</t>
        </is>
      </c>
      <c r="L279" s="11" t="inlineStr">
        <is>
          <t>WYSOKA</t>
        </is>
      </c>
      <c r="M279" s="11" t="inlineStr">
        <is>
          <t>L</t>
        </is>
      </c>
      <c r="N279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0">
      <c r="A280" s="11" t="inlineStr">
        <is>
          <t>Z-11</t>
        </is>
      </c>
      <c r="B280" s="12" t="inlineStr">
        <is>
          <t>M</t>
        </is>
      </c>
      <c r="C280" s="11" t="inlineStr">
        <is>
          <t>Przegląd wszystkich kluczy idempotencji pod kątem poprawności</t>
        </is>
      </c>
      <c r="D280" s="11" t="inlineStr">
        <is>
          <t>—</t>
        </is>
      </c>
      <c r="E280" s="11" t="inlineStr">
        <is>
          <t>—</t>
        </is>
      </c>
      <c r="F280" s="11" t="inlineStr">
        <is>
          <t>—</t>
        </is>
      </c>
      <c r="G280" s="11" t="inlineStr">
        <is>
          <t>—</t>
        </is>
      </c>
      <c r="H280" s="11" t="inlineStr">
        <is>
          <t>—</t>
        </is>
      </c>
      <c r="I280" s="11" t="inlineStr">
        <is>
          <t>b.d.</t>
        </is>
      </c>
      <c r="J280" s="12" t="inlineStr">
        <is>
          <t>brak przeglądu; sprawdzone tylko wystąpienia Date.now() w kluczach</t>
        </is>
      </c>
      <c r="K280" s="11" t="inlineStr">
        <is>
          <t>LUKA</t>
        </is>
      </c>
      <c r="L280" s="11" t="inlineStr">
        <is>
          <t>ŚREDNIA</t>
        </is>
      </c>
      <c r="M280" s="11" t="inlineStr">
        <is>
          <t>M</t>
        </is>
      </c>
      <c r="N280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1">
      <c r="A281" s="11" t="inlineStr">
        <is>
          <t>N-01</t>
        </is>
      </c>
      <c r="B281" s="12" t="inlineStr">
        <is>
          <t>N</t>
        </is>
      </c>
      <c r="C281" s="11" t="inlineStr">
        <is>
          <t>System zgłoszeń dla klienta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TAK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tickets.controller.ts:92,98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N-02</t>
        </is>
      </c>
      <c r="B282" s="12" t="inlineStr">
        <is>
          <t>N</t>
        </is>
      </c>
      <c r="C282" s="11" t="inlineStr">
        <is>
          <t>Załączniki w zgłoszeniu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CZĘŚĆ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tickets.controller.ts:98,245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N-03</t>
        </is>
      </c>
      <c r="B283" s="12" t="inlineStr">
        <is>
          <t>N</t>
        </is>
      </c>
      <c r="C283" s="11" t="inlineStr">
        <is>
          <t>Ocena obsługi (CSAT)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CZĘŚĆ</t>
        </is>
      </c>
      <c r="H283" s="11" t="inlineStr">
        <is>
          <t>CZĘŚĆ</t>
        </is>
      </c>
      <c r="I283" s="11" t="inlineStr">
        <is>
          <t>DZIAŁA</t>
        </is>
      </c>
      <c r="J283" s="12" t="inlineStr">
        <is>
          <t>tickets.controller.ts:279</t>
        </is>
      </c>
      <c r="K283" s="11" t="inlineStr">
        <is>
          <t>PRZEWAGA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N-04</t>
        </is>
      </c>
      <c r="B284" s="12" t="inlineStr">
        <is>
          <t>N</t>
        </is>
      </c>
      <c r="C284" s="11" t="inlineStr">
        <is>
          <t>Baza wiedzy po polsku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TAK</t>
        </is>
      </c>
      <c r="H284" s="11" t="inlineStr">
        <is>
          <t>TAK</t>
        </is>
      </c>
      <c r="I284" s="11" t="inlineStr">
        <is>
          <t>DZIAŁA</t>
        </is>
      </c>
      <c r="J284" s="12" t="inlineStr">
        <is>
          <t>kb.public.controller.ts:226</t>
        </is>
      </c>
      <c r="K284" s="11" t="inlineStr">
        <is>
          <t>PARYTET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N-05</t>
        </is>
      </c>
      <c r="B285" s="12" t="inlineStr">
        <is>
          <t>N</t>
        </is>
      </c>
      <c r="C285" s="11" t="inlineStr">
        <is>
          <t>Podpowiedzi artykułów przy zgłoszeniu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NIE</t>
        </is>
      </c>
      <c r="H285" s="11" t="inlineStr">
        <is>
          <t>CZĘŚĆ</t>
        </is>
      </c>
      <c r="I285" s="11" t="inlineStr">
        <is>
          <t>FLAGA</t>
        </is>
      </c>
      <c r="J285" s="12" t="inlineStr">
        <is>
          <t>ai.controller.ts:53 — AI_API_KEY</t>
        </is>
      </c>
      <c r="K285" s="11" t="inlineStr">
        <is>
          <t>CZĘŚCIOWY</t>
        </is>
      </c>
      <c r="L285" s="11" t="inlineStr">
        <is>
          <t>NISKA</t>
        </is>
      </c>
      <c r="M285" s="11" t="inlineStr">
        <is>
          <t>S</t>
        </is>
      </c>
      <c r="N285" s="12" t="inlineStr"/>
    </row>
    <row r="286">
      <c r="A286" s="11" t="inlineStr">
        <is>
          <t>N-06</t>
        </is>
      </c>
      <c r="B286" s="12" t="inlineStr">
        <is>
          <t>N</t>
        </is>
      </c>
      <c r="C286" s="11" t="inlineStr">
        <is>
          <t>Publiczna strona statusu usług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DZIAŁA</t>
        </is>
      </c>
      <c r="J286" s="12" t="inlineStr">
        <is>
          <t>probes-admin.controller.ts:33; apps/status-page</t>
        </is>
      </c>
      <c r="K286" s="11" t="inlineStr">
        <is>
          <t>PRZEWAGA</t>
        </is>
      </c>
      <c r="L286" s="11" t="inlineStr">
        <is>
          <t>—</t>
        </is>
      </c>
      <c r="M286" s="11" t="inlineStr">
        <is>
          <t>—</t>
        </is>
      </c>
      <c r="N286" s="12" t="inlineStr">
        <is>
          <t>tylko cyber_Folks i dhosting mają na rynku PL</t>
        </is>
      </c>
    </row>
    <row r="287">
      <c r="A287" s="11" t="inlineStr">
        <is>
          <t>N-07</t>
        </is>
      </c>
      <c r="B287" s="12" t="inlineStr">
        <is>
          <t>N</t>
        </is>
      </c>
      <c r="C287" s="11" t="inlineStr">
        <is>
          <t>Ręczne tworzenie incydentu na status page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ENDPOINT BEZ UI</t>
        </is>
      </c>
      <c r="J287" s="12" t="inlineStr">
        <is>
          <t>product-ops.admin.controller.ts:371; brak UI tworzenia</t>
        </is>
      </c>
      <c r="K287" s="11" t="inlineStr">
        <is>
          <t>LUKA</t>
        </is>
      </c>
      <c r="L287" s="11" t="inlineStr">
        <is>
          <t>WYSOKA</t>
        </is>
      </c>
      <c r="M287" s="11" t="inlineStr">
        <is>
          <t>S</t>
        </is>
      </c>
      <c r="N287" s="12" t="inlineStr">
        <is>
          <t>w kryzysie nie ma jak zakomunikować awarii</t>
        </is>
      </c>
    </row>
    <row r="288">
      <c r="A288" s="11" t="inlineStr">
        <is>
          <t>N-08</t>
        </is>
      </c>
      <c r="B288" s="12" t="inlineStr">
        <is>
          <t>N</t>
        </is>
      </c>
      <c r="C288" s="11" t="inlineStr">
        <is>
          <t>Edycja i zamknięcie incydentu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DZIAŁA</t>
        </is>
      </c>
      <c r="J288" s="12" t="inlineStr">
        <is>
          <t>status/actions.ts:158,177</t>
        </is>
      </c>
      <c r="K288" s="11" t="inlineStr">
        <is>
          <t>PARYTET</t>
        </is>
      </c>
      <c r="L288" s="11" t="inlineStr">
        <is>
          <t>—</t>
        </is>
      </c>
      <c r="M288" s="11" t="inlineStr">
        <is>
          <t>—</t>
        </is>
      </c>
      <c r="N288" s="12" t="inlineStr"/>
    </row>
    <row r="289">
      <c r="A289" s="11" t="inlineStr">
        <is>
          <t>N-09</t>
        </is>
      </c>
      <c r="B289" s="12" t="inlineStr">
        <is>
          <t>N</t>
        </is>
      </c>
      <c r="C289" s="11" t="inlineStr">
        <is>
          <t>Powiadomienia w panelu (dzwonek)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notifications.controller.ts:12,20,26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N-10</t>
        </is>
      </c>
      <c r="B290" s="12" t="inlineStr">
        <is>
          <t>N</t>
        </is>
      </c>
      <c r="C290" s="11" t="inlineStr">
        <is>
          <t>Preferencje powiadomień e-mail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CZĘŚCIOWE</t>
        </is>
      </c>
      <c r="J290" s="12" t="inlineStr">
        <is>
          <t>notifications-tab.tsx:70 — sekcja „Zawsze włączone” to statyczny tekst bez backendu</t>
        </is>
      </c>
      <c r="K290" s="11" t="inlineStr">
        <is>
          <t>CZĘŚCIOWY</t>
        </is>
      </c>
      <c r="L290" s="11" t="inlineStr">
        <is>
          <t>ŚREDNIA</t>
        </is>
      </c>
      <c r="M290" s="11" t="inlineStr">
        <is>
          <t>S</t>
        </is>
      </c>
      <c r="N290" s="12" t="inlineStr">
        <is>
          <t>sterowalne są tylko zgody marketingowe</t>
        </is>
      </c>
    </row>
    <row r="291">
      <c r="A291" s="11" t="inlineStr">
        <is>
          <t>N-11</t>
        </is>
      </c>
      <c r="B291" s="12" t="inlineStr">
        <is>
          <t>N</t>
        </is>
      </c>
      <c r="C291" s="11" t="inlineStr">
        <is>
          <t>Ogłoszenia i okna serwisowe</t>
        </is>
      </c>
      <c r="D291" s="11" t="inlineStr">
        <is>
          <t>CZĘŚĆ</t>
        </is>
      </c>
      <c r="E291" s="11" t="inlineStr">
        <is>
          <t>TAK</t>
        </is>
      </c>
      <c r="F291" s="11" t="inlineStr">
        <is>
          <t>CZĘŚĆ</t>
        </is>
      </c>
      <c r="G291" s="11" t="inlineStr">
        <is>
          <t>CZĘŚĆ</t>
        </is>
      </c>
      <c r="H291" s="11" t="inlineStr">
        <is>
          <t>CZĘŚĆ</t>
        </is>
      </c>
      <c r="I291" s="11" t="inlineStr">
        <is>
          <t>ENDPOINT BEZ UI</t>
        </is>
      </c>
      <c r="J291" s="12" t="inlineStr">
        <is>
          <t>product-ops.admin.controller.ts:281,307,342,427; product-ops/data.ts:78-85 to same GET-y</t>
        </is>
      </c>
      <c r="K291" s="11" t="inlineStr">
        <is>
          <t>LUKA</t>
        </is>
      </c>
      <c r="L291" s="11" t="inlineStr">
        <is>
          <t>WYSOKA</t>
        </is>
      </c>
      <c r="M291" s="11" t="inlineStr">
        <is>
          <t>M</t>
        </is>
      </c>
      <c r="N291" s="12" t="inlineStr">
        <is>
          <t>cały panel Product Ops/NOC jest read-only</t>
        </is>
      </c>
    </row>
    <row r="292">
      <c r="A292" s="11" t="inlineStr">
        <is>
          <t>N-12</t>
        </is>
      </c>
      <c r="B292" s="12" t="inlineStr">
        <is>
          <t>N</t>
        </is>
      </c>
      <c r="C292" s="11" t="inlineStr">
        <is>
          <t>Feature flagi z panelu operatora</t>
        </is>
      </c>
      <c r="D292" s="11" t="inlineStr">
        <is>
          <t>NIE</t>
        </is>
      </c>
      <c r="E292" s="11" t="inlineStr">
        <is>
          <t>CZĘŚĆ</t>
        </is>
      </c>
      <c r="F292" s="11" t="inlineStr">
        <is>
          <t>NIE</t>
        </is>
      </c>
      <c r="G292" s="11" t="inlineStr">
        <is>
          <t>—</t>
        </is>
      </c>
      <c r="H292" s="11" t="inlineStr">
        <is>
          <t>—</t>
        </is>
      </c>
      <c r="I292" s="11" t="inlineStr">
        <is>
          <t>ENDPOINT BEZ UI</t>
        </is>
      </c>
      <c r="J292" s="12" t="inlineStr">
        <is>
          <t>product-ops.admin.controller.ts:342</t>
        </is>
      </c>
      <c r="K292" s="11" t="inlineStr">
        <is>
          <t>LUKA</t>
        </is>
      </c>
      <c r="L292" s="11" t="inlineStr">
        <is>
          <t>ŚREDNIA</t>
        </is>
      </c>
      <c r="M292" s="11" t="inlineStr">
        <is>
          <t>S</t>
        </is>
      </c>
      <c r="N292" s="12" t="inlineStr"/>
    </row>
    <row r="293">
      <c r="A293" s="11" t="inlineStr">
        <is>
          <t>N-13</t>
        </is>
      </c>
      <c r="B293" s="12" t="inlineStr">
        <is>
          <t>N</t>
        </is>
      </c>
      <c r="C293" s="11" t="inlineStr">
        <is>
          <t>KOLEJKA OBSŁUGI NADUŻYĆ (ABUSE)</t>
        </is>
      </c>
      <c r="D293" s="11" t="inlineStr">
        <is>
          <t>TAK</t>
        </is>
      </c>
      <c r="E293" s="11" t="inlineStr">
        <is>
          <t>TAK</t>
        </is>
      </c>
      <c r="F293" s="11" t="inlineStr">
        <is>
          <t>CZĘŚĆ</t>
        </is>
      </c>
      <c r="G293" s="11" t="inlineStr">
        <is>
          <t>TAK</t>
        </is>
      </c>
      <c r="H293" s="11" t="inlineStr">
        <is>
          <t>TAK</t>
        </is>
      </c>
      <c r="I293" s="11" t="inlineStr">
        <is>
          <t>BRAK</t>
        </is>
      </c>
      <c r="J293" s="12" t="inlineStr">
        <is>
          <t>brak modułu, encji i trasy; jest tylko outbound-abuse.guard.ts:7-18 bez UI</t>
        </is>
      </c>
      <c r="K293" s="11" t="inlineStr">
        <is>
          <t>LUKA</t>
        </is>
      </c>
      <c r="L293" s="11" t="inlineStr">
        <is>
          <t>WYSOKA</t>
        </is>
      </c>
      <c r="M293" s="11" t="inlineStr">
        <is>
          <t>L</t>
        </is>
      </c>
      <c r="N293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4">
      <c r="A294" s="11" t="inlineStr">
        <is>
          <t>N-14</t>
        </is>
      </c>
      <c r="B294" s="12" t="inlineStr">
        <is>
          <t>N</t>
        </is>
      </c>
      <c r="C294" s="11" t="inlineStr">
        <is>
          <t>Cordon wysyłki poczty (auto-blokada spamu)</t>
        </is>
      </c>
      <c r="D294" s="11" t="inlineStr">
        <is>
          <t>CZĘŚĆ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—</t>
        </is>
      </c>
      <c r="H294" s="11" t="inlineStr">
        <is>
          <t>—</t>
        </is>
      </c>
      <c r="I294" s="11" t="inlineStr">
        <is>
          <t>ENDPOINT BEZ UI</t>
        </is>
      </c>
      <c r="J294" s="12" t="inlineStr">
        <is>
          <t>outbound-cordon.admin.controller.ts:20,25,32; zero „cordon” w admin-panel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S</t>
        </is>
      </c>
      <c r="N294" s="12" t="inlineStr">
        <is>
          <t>mechanizm działa, operator nie może go zobaczyć ani zdjąć</t>
        </is>
      </c>
    </row>
    <row r="295">
      <c r="A295" s="11" t="inlineStr">
        <is>
          <t>N-15</t>
        </is>
      </c>
      <c r="B295" s="12" t="inlineStr">
        <is>
          <t>N</t>
        </is>
      </c>
      <c r="C295" s="11" t="inlineStr">
        <is>
          <t>Migracja z innego hostingu wykonywana przez dostawcę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TAK</t>
        </is>
      </c>
      <c r="H295" s="11" t="inlineStr">
        <is>
          <t>CZĘŚĆ</t>
        </is>
      </c>
      <c r="I295" s="11" t="inlineStr">
        <is>
          <t>DZIAŁA</t>
        </is>
      </c>
      <c r="J295" s="12" t="inlineStr">
        <is>
          <t>cockpit migracji + kreator klienta</t>
        </is>
      </c>
      <c r="K295" s="11" t="inlineStr">
        <is>
          <t>PRZEWAGA</t>
        </is>
      </c>
      <c r="L295" s="11" t="inlineStr">
        <is>
          <t>—</t>
        </is>
      </c>
      <c r="M295" s="11" t="inlineStr">
        <is>
          <t>—</t>
        </is>
      </c>
      <c r="N295" s="12" t="inlineStr">
        <is>
          <t>4 z 5 hostingów PL robi ręcznie; u nas to produkt</t>
        </is>
      </c>
    </row>
    <row r="296">
      <c r="A296" s="11" t="inlineStr">
        <is>
          <t>N-16</t>
        </is>
      </c>
      <c r="B296" s="12" t="inlineStr">
        <is>
          <t>N</t>
        </is>
      </c>
      <c r="C296" s="11" t="inlineStr">
        <is>
          <t>SLA z zapisanymi kredytami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CZĘŚĆ</t>
        </is>
      </c>
      <c r="H296" s="11" t="inlineStr">
        <is>
          <t>NIE</t>
        </is>
      </c>
      <c r="I296" s="11" t="inlineStr">
        <is>
          <t>FLAGA</t>
        </is>
      </c>
      <c r="J296" s="12" t="inlineStr">
        <is>
          <t>sla-credit.scheduler.ts:79 — if (!policy.enabled) return; SLA_CREDITS_ENABLED default '0' (platform-settings.keys.ts:116)</t>
        </is>
      </c>
      <c r="K296" s="11" t="inlineStr">
        <is>
          <t>CZĘŚCIOWY</t>
        </is>
      </c>
      <c r="L296" s="11" t="inlineStr">
        <is>
          <t>WYSOKA</t>
        </is>
      </c>
      <c r="M296" s="11" t="inlineStr">
        <is>
          <t>S</t>
        </is>
      </c>
      <c r="N296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7">
      <c r="A297" s="11" t="inlineStr">
        <is>
          <t>N-17</t>
        </is>
      </c>
      <c r="B297" s="12" t="inlineStr">
        <is>
          <t>N</t>
        </is>
      </c>
      <c r="C297" s="11" t="inlineStr">
        <is>
          <t>Szablony odpowiedzi obsługi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CZĘŚĆ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DZIAŁA</t>
        </is>
      </c>
      <c r="J297" s="12" t="inlineStr">
        <is>
          <t>settings/canned-responses/actions.ts:23</t>
        </is>
      </c>
      <c r="K297" s="11" t="inlineStr">
        <is>
          <t>PARYTET</t>
        </is>
      </c>
      <c r="L297" s="11" t="inlineStr">
        <is>
          <t>—</t>
        </is>
      </c>
      <c r="M297" s="11" t="inlineStr">
        <is>
          <t>—</t>
        </is>
      </c>
      <c r="N297" s="12" t="inlineStr"/>
    </row>
    <row r="298">
      <c r="A298" s="11" t="inlineStr">
        <is>
          <t>N-18</t>
        </is>
      </c>
      <c r="B298" s="12" t="inlineStr">
        <is>
          <t>N</t>
        </is>
      </c>
      <c r="C298" s="11" t="inlineStr">
        <is>
          <t>CRM klienta 360 dla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crm-profile-data.ts; users.admin.controller.ts:109,120</t>
        </is>
      </c>
      <c r="K298" s="11" t="inlineStr">
        <is>
          <t>PRZEWAGA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N-19</t>
        </is>
      </c>
      <c r="B299" s="12" t="inlineStr">
        <is>
          <t>N</t>
        </is>
      </c>
      <c r="C299" s="11" t="inlineStr">
        <is>
          <t>Sugestia AI odpowiedzi na zgłoszenie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NIE</t>
        </is>
      </c>
      <c r="H299" s="11" t="inlineStr">
        <is>
          <t>CZĘŚĆ</t>
        </is>
      </c>
      <c r="I299" s="11" t="inlineStr">
        <is>
          <t>DZIAŁA</t>
        </is>
      </c>
      <c r="J299" s="12" t="inlineStr">
        <is>
          <t>ai-chat.service.ts (223 l.)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>
        <is>
          <t>OSŁABIONE: wynik renderowany jako surowy JSON.stringify w &lt;pre&gt; (ticket-detail-panel.tsx:346-349), bez możliwości wstawienia do odpowiedzi.</t>
        </is>
      </c>
    </row>
    <row r="300">
      <c r="A300" s="11" t="inlineStr">
        <is>
          <t>N-20</t>
        </is>
      </c>
      <c r="B300" s="12" t="inlineStr">
        <is>
          <t>N</t>
        </is>
      </c>
      <c r="C300" s="11" t="inlineStr">
        <is>
          <t>Link ze zgłoszenia do szczegółu (admin)</t>
        </is>
      </c>
      <c r="D300" s="11" t="inlineStr">
        <is>
          <t>—</t>
        </is>
      </c>
      <c r="E300" s="11" t="inlineStr">
        <is>
          <t>—</t>
        </is>
      </c>
      <c r="F300" s="11" t="inlineStr">
        <is>
          <t>—</t>
        </is>
      </c>
      <c r="G300" s="11" t="inlineStr">
        <is>
          <t>—</t>
        </is>
      </c>
      <c r="H300" s="11" t="inlineStr">
        <is>
          <t>—</t>
        </is>
      </c>
      <c r="I300" s="11" t="inlineStr">
        <is>
          <t>ATRAPA</t>
        </is>
      </c>
      <c r="J300" s="12" t="inlineStr">
        <is>
          <t>tickets/page.tsx:24 → /tickets/${id}; trasa nie istnieje w admin-panel</t>
        </is>
      </c>
      <c r="K300" s="11" t="inlineStr">
        <is>
          <t>LUKA</t>
        </is>
      </c>
      <c r="L300" s="11" t="inlineStr">
        <is>
          <t>ŚREDNIA</t>
        </is>
      </c>
      <c r="M300" s="11" t="inlineStr">
        <is>
          <t>S</t>
        </is>
      </c>
      <c r="N300" s="12" t="inlineStr"/>
    </row>
    <row r="301">
      <c r="A301" s="11" t="inlineStr">
        <is>
          <t>N-21</t>
        </is>
      </c>
      <c r="B301" s="12" t="inlineStr">
        <is>
          <t>N</t>
        </is>
      </c>
      <c r="C301" s="11" t="inlineStr">
        <is>
          <t>Wsparcie telefoniczne</t>
        </is>
      </c>
      <c r="D301" s="11" t="inlineStr">
        <is>
          <t>NIE</t>
        </is>
      </c>
      <c r="E301" s="11" t="inlineStr">
        <is>
          <t>NIE</t>
        </is>
      </c>
      <c r="F301" s="11" t="inlineStr">
        <is>
          <t>NIE</t>
        </is>
      </c>
      <c r="G301" s="11" t="inlineStr">
        <is>
          <t>TAK</t>
        </is>
      </c>
      <c r="H301" s="11" t="inlineStr">
        <is>
          <t>CZĘŚĆ</t>
        </is>
      </c>
      <c r="I301" s="11" t="inlineStr">
        <is>
          <t>BRAK</t>
        </is>
      </c>
      <c r="J301" s="12" t="inlineStr">
        <is>
          <t>poza produktem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—</t>
        </is>
      </c>
      <c r="N301" s="12" t="inlineStr">
        <is>
          <t>home.pl i nazwa.pl mają telefon 24/7 — decyzja operacyjna, nie produktowa</t>
        </is>
      </c>
    </row>
    <row r="302">
      <c r="A302" s="11" t="inlineStr">
        <is>
          <t>O-01</t>
        </is>
      </c>
      <c r="B302" s="12" t="inlineStr">
        <is>
          <t>O</t>
        </is>
      </c>
      <c r="C302" s="11" t="inlineStr">
        <is>
          <t>Subkonta z uprawnieniami (IAM)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CZĘŚĆ</t>
        </is>
      </c>
      <c r="H302" s="11" t="inlineStr">
        <is>
          <t>TAK</t>
        </is>
      </c>
      <c r="I302" s="11" t="inlineStr">
        <is>
          <t>DZIAŁA</t>
        </is>
      </c>
      <c r="J302" s="12" t="inlineStr">
        <is>
          <t>customer-iam.controller.ts:42,53,63,69</t>
        </is>
      </c>
      <c r="K302" s="11" t="inlineStr">
        <is>
          <t>PRZEWAGA</t>
        </is>
      </c>
      <c r="L302" s="11" t="inlineStr">
        <is>
          <t>—</t>
        </is>
      </c>
      <c r="M302" s="11" t="inlineStr">
        <is>
          <t>—</t>
        </is>
      </c>
      <c r="N302" s="12" t="inlineStr">
        <is>
          <t>tylko home.pl ma coś podobnego na rynku PL</t>
        </is>
      </c>
    </row>
    <row r="303">
      <c r="A303" s="11" t="inlineStr">
        <is>
          <t>O-02</t>
        </is>
      </c>
      <c r="B303" s="12" t="inlineStr">
        <is>
          <t>O</t>
        </is>
      </c>
      <c r="C303" s="11" t="inlineStr">
        <is>
          <t>Aktywacja subkonta z zaproszenia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customer-iam.controller.ts:47</t>
        </is>
      </c>
      <c r="K303" s="11" t="inlineStr">
        <is>
          <t>PARYTET</t>
        </is>
      </c>
      <c r="L303" s="11" t="inlineStr">
        <is>
          <t>—</t>
        </is>
      </c>
      <c r="M303" s="11" t="inlineStr">
        <is>
          <t>—</t>
        </is>
      </c>
      <c r="N303" s="12" t="inlineStr"/>
    </row>
    <row r="304">
      <c r="A304" s="11" t="inlineStr">
        <is>
          <t>O-03</t>
        </is>
      </c>
      <c r="B304" s="12" t="inlineStr">
        <is>
          <t>O</t>
        </is>
      </c>
      <c r="C304" s="11" t="inlineStr">
        <is>
          <t>Dziennik audytu działań subkont</t>
        </is>
      </c>
      <c r="D304" s="11" t="inlineStr">
        <is>
          <t>CZĘŚĆ</t>
        </is>
      </c>
      <c r="E304" s="11" t="inlineStr">
        <is>
          <t>TAK</t>
        </is>
      </c>
      <c r="F304" s="11" t="inlineStr">
        <is>
          <t>NIE</t>
        </is>
      </c>
      <c r="G304" s="11" t="inlineStr">
        <is>
          <t>NIE</t>
        </is>
      </c>
      <c r="H304" s="11" t="inlineStr">
        <is>
          <t>CZĘŚĆ</t>
        </is>
      </c>
      <c r="I304" s="11" t="inlineStr">
        <is>
          <t>CZĘŚCIOWE</t>
        </is>
      </c>
      <c r="J304" s="12" t="inlineStr">
        <is>
          <t>customer-iam.controller.ts:36</t>
        </is>
      </c>
      <c r="K304" s="11" t="inlineStr">
        <is>
          <t>CZĘŚCIOWY</t>
        </is>
      </c>
      <c r="L304" s="11" t="inlineStr">
        <is>
          <t>ŚREDNIA</t>
        </is>
      </c>
      <c r="M304" s="11" t="inlineStr">
        <is>
          <t>M</t>
        </is>
      </c>
      <c r="N304" s="12" t="inlineStr">
        <is>
          <t>OSŁABIONE: customer-iam.service.ts:72-88 filtruje action startsWith CUSTOMER_IAM_ — istnieje 5 takich akcji. To dziennik zarządzania subkontami, nie ich działań.</t>
        </is>
      </c>
    </row>
    <row r="305">
      <c r="A305" s="11" t="inlineStr">
        <is>
          <t>O-04</t>
        </is>
      </c>
      <c r="B305" s="12" t="inlineStr">
        <is>
          <t>O</t>
        </is>
      </c>
      <c r="C305" s="11" t="inlineStr">
        <is>
          <t>Egzekwowanie uprawnień w nawigacji i API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CZĘŚĆ</t>
        </is>
      </c>
      <c r="G305" s="11" t="inlineStr">
        <is>
          <t>—</t>
        </is>
      </c>
      <c r="H305" s="11" t="inlineStr">
        <is>
          <t>—</t>
        </is>
      </c>
      <c r="I305" s="11" t="inlineStr">
        <is>
          <t>DZIAŁA</t>
        </is>
      </c>
      <c r="J305" s="12" t="inlineStr">
        <is>
          <t>middleware.ts:39; customer-permissions.guard.ts:9; test D1</t>
        </is>
      </c>
      <c r="K305" s="11" t="inlineStr">
        <is>
          <t>PARYTET</t>
        </is>
      </c>
      <c r="L305" s="11" t="inlineStr">
        <is>
          <t>—</t>
        </is>
      </c>
      <c r="M305" s="11" t="inlineStr">
        <is>
          <t>—</t>
        </is>
      </c>
      <c r="N305" s="12" t="inlineStr"/>
    </row>
    <row r="306">
      <c r="A306" s="11" t="inlineStr">
        <is>
          <t>O-05</t>
        </is>
      </c>
      <c r="B306" s="12" t="inlineStr">
        <is>
          <t>O</t>
        </is>
      </c>
      <c r="C306" s="11" t="inlineStr">
        <is>
          <t>Reseller — przegląd klientów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TAK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CZĘŚCIOWE</t>
        </is>
      </c>
      <c r="J306" s="12" t="inlineStr">
        <is>
          <t>reseller.controller.ts:12,17 — 2 GET-y, zero mutacji</t>
        </is>
      </c>
      <c r="K306" s="11" t="inlineStr">
        <is>
          <t>CZĘŚCIOWY</t>
        </is>
      </c>
      <c r="L306" s="11" t="inlineStr">
        <is>
          <t>ŚREDNIA</t>
        </is>
      </c>
      <c r="M306" s="11" t="inlineStr">
        <is>
          <t>L</t>
        </is>
      </c>
      <c r="N306" s="12" t="inlineStr"/>
    </row>
    <row r="307">
      <c r="A307" s="11" t="inlineStr">
        <is>
          <t>O-06</t>
        </is>
      </c>
      <c r="B307" s="12" t="inlineStr">
        <is>
          <t>O</t>
        </is>
      </c>
      <c r="C307" s="11" t="inlineStr">
        <is>
          <t>Reseller — zakładanie kont klientom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BRAK</t>
        </is>
      </c>
      <c r="J307" s="12" t="inlineStr">
        <is>
          <t>—</t>
        </is>
      </c>
      <c r="K307" s="11" t="inlineStr">
        <is>
          <t>LUKA</t>
        </is>
      </c>
      <c r="L307" s="11" t="inlineStr">
        <is>
          <t>ŚREDNIA</t>
        </is>
      </c>
      <c r="M307" s="11" t="inlineStr">
        <is>
          <t>L</t>
        </is>
      </c>
      <c r="N307" s="12" t="inlineStr">
        <is>
          <t>bez tego reseller nie jest produktem</t>
        </is>
      </c>
    </row>
    <row r="308">
      <c r="A308" s="11" t="inlineStr">
        <is>
          <t>O-07</t>
        </is>
      </c>
      <c r="B308" s="12" t="inlineStr">
        <is>
          <t>O</t>
        </is>
      </c>
      <c r="C308" s="11" t="inlineStr">
        <is>
          <t>Reseller — ustawianie własnej marży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CZĘŚCIOWE</t>
        </is>
      </c>
      <c r="J308" s="12" t="inlineStr">
        <is>
          <t>reseller.admin.controller.ts:44,50 — tylko operator, nie reseller</t>
        </is>
      </c>
      <c r="K308" s="11" t="inlineStr">
        <is>
          <t>CZĘŚCIOWY</t>
        </is>
      </c>
      <c r="L308" s="11" t="inlineStr">
        <is>
          <t>NISKA</t>
        </is>
      </c>
      <c r="M308" s="11" t="inlineStr">
        <is>
          <t>M</t>
        </is>
      </c>
      <c r="N308" s="12" t="inlineStr"/>
    </row>
    <row r="309">
      <c r="A309" s="11" t="inlineStr">
        <is>
          <t>O-08</t>
        </is>
      </c>
      <c r="B309" s="12" t="inlineStr">
        <is>
          <t>O</t>
        </is>
      </c>
      <c r="C309" s="11" t="inlineStr">
        <is>
          <t>Reseller — samodzielne włączenie programu</t>
        </is>
      </c>
      <c r="D309" s="11" t="inlineStr">
        <is>
          <t>CZĘŚĆ</t>
        </is>
      </c>
      <c r="E309" s="11" t="inlineStr">
        <is>
          <t>CZĘŚĆ</t>
        </is>
      </c>
      <c r="F309" s="11" t="inlineStr">
        <is>
          <t>CZĘŚĆ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ATRAPA</t>
        </is>
      </c>
      <c r="J309" s="12" t="inlineStr">
        <is>
          <t>reseller-client.tsx:49 — jedyna akcja to „Napisz do nas”</t>
        </is>
      </c>
      <c r="K309" s="11" t="inlineStr">
        <is>
          <t>LUKA</t>
        </is>
      </c>
      <c r="L309" s="11" t="inlineStr">
        <is>
          <t>NISKA</t>
        </is>
      </c>
      <c r="M309" s="11" t="inlineStr">
        <is>
          <t>M</t>
        </is>
      </c>
      <c r="N309" s="12" t="inlineStr">
        <is>
          <t>strona sprzedażowa bez operacji zapisu</t>
        </is>
      </c>
    </row>
    <row r="310">
      <c r="A310" s="11" t="inlineStr">
        <is>
          <t>O-09</t>
        </is>
      </c>
      <c r="B310" s="12" t="inlineStr">
        <is>
          <t>O</t>
        </is>
      </c>
      <c r="C310" s="11" t="inlineStr">
        <is>
          <t>White-label / własna marka resellera</t>
        </is>
      </c>
      <c r="D310" s="11" t="inlineStr">
        <is>
          <t>TAK</t>
        </is>
      </c>
      <c r="E310" s="11" t="inlineStr">
        <is>
          <t>TAK</t>
        </is>
      </c>
      <c r="F310" s="11" t="inlineStr">
        <is>
          <t>TAK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CZĘŚCIOWE</t>
        </is>
      </c>
      <c r="J310" s="12" t="inlineStr">
        <is>
          <t>reseller.admin.controller.ts:44 (brand po stronie operatora)</t>
        </is>
      </c>
      <c r="K310" s="11" t="inlineStr">
        <is>
          <t>CZĘŚCIOWY</t>
        </is>
      </c>
      <c r="L310" s="11" t="inlineStr">
        <is>
          <t>NISKA</t>
        </is>
      </c>
      <c r="M310" s="11" t="inlineStr">
        <is>
          <t>L</t>
        </is>
      </c>
      <c r="N310" s="12" t="inlineStr">
        <is>
          <t>seohost to reklamuje jako wyróżnik</t>
        </is>
      </c>
    </row>
    <row r="311">
      <c r="A311" s="11" t="inlineStr">
        <is>
          <t>O-10</t>
        </is>
      </c>
      <c r="B311" s="12" t="inlineStr">
        <is>
          <t>O</t>
        </is>
      </c>
      <c r="C311" s="11" t="inlineStr">
        <is>
          <t>Role i uprawnienia operatorów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—</t>
        </is>
      </c>
      <c r="H311" s="11" t="inlineStr">
        <is>
          <t>—</t>
        </is>
      </c>
      <c r="I311" s="11" t="inlineStr">
        <is>
          <t>DZIAŁA</t>
        </is>
      </c>
      <c r="J311" s="12" t="inlineStr">
        <is>
          <t>staff-roles.admin.controller.ts:31,36,41</t>
        </is>
      </c>
      <c r="K311" s="11" t="inlineStr">
        <is>
          <t>PARYTET</t>
        </is>
      </c>
      <c r="L311" s="11" t="inlineStr">
        <is>
          <t>—</t>
        </is>
      </c>
      <c r="M311" s="11" t="inlineStr">
        <is>
          <t>—</t>
        </is>
      </c>
      <c r="N311" s="12" t="inlineStr"/>
    </row>
    <row r="312">
      <c r="A312" s="11" t="inlineStr">
        <is>
          <t>O-11</t>
        </is>
      </c>
      <c r="B312" s="12" t="inlineStr">
        <is>
          <t>O</t>
        </is>
      </c>
      <c r="C312" s="11" t="inlineStr">
        <is>
          <t>Zarządzanie operatorami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staff-roles.admin.controller.ts:51,56,61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O-12</t>
        </is>
      </c>
      <c r="B313" s="12" t="inlineStr">
        <is>
          <t>O</t>
        </is>
      </c>
      <c r="C313" s="11" t="inlineStr">
        <is>
          <t>Program partnerski / afiliacyjny</t>
        </is>
      </c>
      <c r="D313" s="11" t="inlineStr">
        <is>
          <t>NIE</t>
        </is>
      </c>
      <c r="E313" s="11" t="inlineStr">
        <is>
          <t>NIE</t>
        </is>
      </c>
      <c r="F313" s="11" t="inlineStr">
        <is>
          <t>NIE</t>
        </is>
      </c>
      <c r="G313" s="11" t="inlineStr">
        <is>
          <t>CZĘŚĆ</t>
        </is>
      </c>
      <c r="H313" s="11" t="inlineStr">
        <is>
          <t>TAK</t>
        </is>
      </c>
      <c r="I313" s="11" t="inlineStr">
        <is>
          <t>DZIAŁA</t>
        </is>
      </c>
      <c r="J313" s="12" t="inlineStr">
        <is>
          <t>partners.controller.ts:18,28,34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>
        <is>
          <t>wypłata na portfel lub IBAN</t>
        </is>
      </c>
    </row>
    <row r="314">
      <c r="A314" s="11" t="inlineStr">
        <is>
          <t>Z-04</t>
        </is>
      </c>
      <c r="B314" s="12" t="inlineStr">
        <is>
          <t>O</t>
        </is>
      </c>
      <c r="C314" s="11" t="inlineStr">
        <is>
          <t>Guard uprawnień subkont — domyślna odmowa</t>
        </is>
      </c>
      <c r="D314" s="11" t="inlineStr">
        <is>
          <t>TAK</t>
        </is>
      </c>
      <c r="E314" s="11" t="inlineStr">
        <is>
          <t>TAK</t>
        </is>
      </c>
      <c r="F314" s="11" t="inlineStr">
        <is>
          <t>CZĘŚĆ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customer-permissions.guard.ts — typ WymogTrasy, REGULY_TRAS, domyślne 'ODMOWA'; customer-permissions-coverage.spec.ts — 55 tras zamkniętych, lista jawna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S</t>
        </is>
      </c>
      <c r="N314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5">
      <c r="A315" s="11" t="inlineStr">
        <is>
          <t>P-01</t>
        </is>
      </c>
      <c r="B315" s="12" t="inlineStr">
        <is>
          <t>P</t>
        </is>
      </c>
      <c r="C315" s="11" t="inlineStr">
        <is>
          <t>Eksport danych osobowych (art. 20)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data-export.service.ts:43-76 (ZIP, 12 sekcji, 13 tabel, TTL 7 dni)</t>
        </is>
      </c>
      <c r="K315" s="11" t="inlineStr">
        <is>
          <t>PRZEWAGA</t>
        </is>
      </c>
      <c r="L315" s="11" t="inlineStr">
        <is>
          <t>—</t>
        </is>
      </c>
      <c r="M315" s="11" t="inlineStr">
        <is>
          <t>—</t>
        </is>
      </c>
      <c r="N315" s="12" t="inlineStr">
        <is>
          <t>ZERO testów</t>
        </is>
      </c>
    </row>
    <row r="316">
      <c r="A316" s="11" t="inlineStr">
        <is>
          <t>P-02</t>
        </is>
      </c>
      <c r="B316" s="12" t="inlineStr">
        <is>
          <t>P</t>
        </is>
      </c>
      <c r="C316" s="11" t="inlineStr">
        <is>
          <t>Żądanie usunięcia konta (art. 17)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account-deletion.service.ts:29,308,383-432</t>
        </is>
      </c>
      <c r="K316" s="11" t="inlineStr">
        <is>
          <t>PRZEWAGA</t>
        </is>
      </c>
      <c r="L316" s="11" t="inlineStr">
        <is>
          <t>WYSOKA</t>
        </is>
      </c>
      <c r="M316" s="11" t="inlineStr">
        <is>
          <t>—</t>
        </is>
      </c>
      <c r="N316" s="12" t="inlineStr">
        <is>
          <t>ZERO testów na operacji NIEODWRACALNEJ (twarde kasowanie konta DA)</t>
        </is>
      </c>
    </row>
    <row r="317">
      <c r="A317" s="11" t="inlineStr">
        <is>
          <t>P-03</t>
        </is>
      </c>
      <c r="B317" s="12" t="inlineStr">
        <is>
          <t>P</t>
        </is>
      </c>
      <c r="C317" s="11" t="inlineStr">
        <is>
          <t>Wycofanie żądania usunięcia</t>
        </is>
      </c>
      <c r="D317" s="11" t="inlineStr">
        <is>
          <t>NIE</t>
        </is>
      </c>
      <c r="E317" s="11" t="inlineStr">
        <is>
          <t>NIE</t>
        </is>
      </c>
      <c r="F317" s="11" t="inlineStr">
        <is>
          <t>NIE</t>
        </is>
      </c>
      <c r="G317" s="11" t="inlineStr">
        <is>
          <t>b.d.</t>
        </is>
      </c>
      <c r="H317" s="11" t="inlineStr">
        <is>
          <t>b.d.</t>
        </is>
      </c>
      <c r="I317" s="11" t="inlineStr">
        <is>
          <t>DZIAŁA</t>
        </is>
      </c>
      <c r="J317" s="12" t="inlineStr">
        <is>
          <t>account-deletion.controller.ts:62</t>
        </is>
      </c>
      <c r="K317" s="11" t="inlineStr">
        <is>
          <t>PRZEWAGA</t>
        </is>
      </c>
      <c r="L317" s="11" t="inlineStr">
        <is>
          <t>—</t>
        </is>
      </c>
      <c r="M317" s="11" t="inlineStr">
        <is>
          <t>—</t>
        </is>
      </c>
      <c r="N317" s="12" t="inlineStr">
        <is>
          <t>karencja 14 dni</t>
        </is>
      </c>
    </row>
    <row r="318">
      <c r="A318" s="11" t="inlineStr">
        <is>
          <t>P-04</t>
        </is>
      </c>
      <c r="B318" s="12" t="inlineStr">
        <is>
          <t>P</t>
        </is>
      </c>
      <c r="C318" s="11" t="inlineStr">
        <is>
          <t>Historia zgód klienta</t>
        </is>
      </c>
      <c r="D318" s="11" t="inlineStr">
        <is>
          <t>NIE</t>
        </is>
      </c>
      <c r="E318" s="11" t="inlineStr">
        <is>
          <t>CZĘŚĆ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consents.controller.ts:70</t>
        </is>
      </c>
      <c r="K318" s="11" t="inlineStr">
        <is>
          <t>PARYTET</t>
        </is>
      </c>
      <c r="L318" s="11" t="inlineStr">
        <is>
          <t>—</t>
        </is>
      </c>
      <c r="M318" s="11" t="inlineStr">
        <is>
          <t>—</t>
        </is>
      </c>
      <c r="N318" s="12" t="inlineStr"/>
    </row>
    <row r="319">
      <c r="A319" s="11" t="inlineStr">
        <is>
          <t>P-05</t>
        </is>
      </c>
      <c r="B319" s="12" t="inlineStr">
        <is>
          <t>P</t>
        </is>
      </c>
      <c r="C319" s="11" t="inlineStr">
        <is>
          <t>Ponowna akceptacja przy zmianie regulaminu</t>
        </is>
      </c>
      <c r="D319" s="11" t="inlineStr">
        <is>
          <t>NIE</t>
        </is>
      </c>
      <c r="E319" s="11" t="inlineStr">
        <is>
          <t>NIE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reconsent-modal.tsx:169; consents.controller.ts:76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P-06</t>
        </is>
      </c>
      <c r="B320" s="12" t="inlineStr">
        <is>
          <t>P</t>
        </is>
      </c>
      <c r="C320" s="11" t="inlineStr">
        <is>
          <t>Umowa powierzenia (DPA) do pobrania</t>
        </is>
      </c>
      <c r="D320" s="11" t="inlineStr">
        <is>
          <t>NIE</t>
        </is>
      </c>
      <c r="E320" s="11" t="inlineStr">
        <is>
          <t>CZĘŚĆ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dpa.controller.ts:23; dpa-pdf.service.ts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P-07</t>
        </is>
      </c>
      <c r="B321" s="12" t="inlineStr">
        <is>
          <t>P</t>
        </is>
      </c>
      <c r="C321" s="11" t="inlineStr">
        <is>
          <t>Dokumenty prawne z historią wersji</t>
        </is>
      </c>
      <c r="D321" s="11" t="inlineStr">
        <is>
          <t>NIE</t>
        </is>
      </c>
      <c r="E321" s="11" t="inlineStr">
        <is>
          <t>NIE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legal-documents.controller.ts:36,49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>
        <is>
          <t>brakujący dokument → „Dokument w przygotowaniu”</t>
        </is>
      </c>
    </row>
    <row r="322">
      <c r="A322" s="11" t="inlineStr">
        <is>
          <t>P-08</t>
        </is>
      </c>
      <c r="B322" s="12" t="inlineStr">
        <is>
          <t>P</t>
        </is>
      </c>
      <c r="C322" s="11" t="inlineStr">
        <is>
          <t>Retencja i anonimizacja logów</t>
        </is>
      </c>
      <c r="D322" s="11" t="inlineStr">
        <is>
          <t>NIE</t>
        </is>
      </c>
      <c r="E322" s="11" t="inlineStr">
        <is>
          <t>CZĘŚĆ</t>
        </is>
      </c>
      <c r="F322" s="11" t="inlineStr">
        <is>
          <t>NIE</t>
        </is>
      </c>
      <c r="G322" s="11" t="inlineStr">
        <is>
          <t>b.d.</t>
        </is>
      </c>
      <c r="H322" s="11" t="inlineStr">
        <is>
          <t>b.d.</t>
        </is>
      </c>
      <c r="I322" s="11" t="inlineStr">
        <is>
          <t>DZIAŁA</t>
        </is>
      </c>
      <c r="J322" s="12" t="inlineStr">
        <is>
          <t>retention.scheduler.ts:29,30,87,95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ZERO testów</t>
        </is>
      </c>
    </row>
    <row r="323">
      <c r="A323" s="11" t="inlineStr">
        <is>
          <t>P-09</t>
        </is>
      </c>
      <c r="B323" s="12" t="inlineStr">
        <is>
          <t>P</t>
        </is>
      </c>
      <c r="C323" s="11" t="inlineStr">
        <is>
          <t>Zgody marketingowe (opt-in/out)</t>
        </is>
      </c>
      <c r="D323" s="11" t="inlineStr">
        <is>
          <t>NIE</t>
        </is>
      </c>
      <c r="E323" s="11" t="inlineStr">
        <is>
          <t>NIE</t>
        </is>
      </c>
      <c r="F323" s="11" t="inlineStr">
        <is>
          <t>NIE</t>
        </is>
      </c>
      <c r="G323" s="11" t="inlineStr">
        <is>
          <t>TAK</t>
        </is>
      </c>
      <c r="H323" s="11" t="inlineStr">
        <is>
          <t>TAK</t>
        </is>
      </c>
      <c r="I323" s="11" t="inlineStr">
        <is>
          <t>DZIAŁA</t>
        </is>
      </c>
      <c r="J323" s="12" t="inlineStr">
        <is>
          <t>consents.controller.ts:99</t>
        </is>
      </c>
      <c r="K323" s="11" t="inlineStr">
        <is>
          <t>PARYTET</t>
        </is>
      </c>
      <c r="L323" s="11" t="inlineStr">
        <is>
          <t>—</t>
        </is>
      </c>
      <c r="M323" s="11" t="inlineStr">
        <is>
          <t>—</t>
        </is>
      </c>
      <c r="N323" s="12" t="inlineStr"/>
    </row>
    <row r="324">
      <c r="A324" s="11" t="inlineStr">
        <is>
          <t>P-10</t>
        </is>
      </c>
      <c r="B324" s="12" t="inlineStr">
        <is>
          <t>P</t>
        </is>
      </c>
      <c r="C324" s="11" t="inlineStr">
        <is>
          <t>Baner zgody na cookies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cookie-consent.tsx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P-11</t>
        </is>
      </c>
      <c r="B325" s="12" t="inlineStr">
        <is>
          <t>P</t>
        </is>
      </c>
      <c r="C325" s="11" t="inlineStr">
        <is>
          <t>Rejestr czynności przetwarzania (art. 30)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b.d.</t>
        </is>
      </c>
      <c r="H325" s="11" t="inlineStr">
        <is>
          <t>b.d.</t>
        </is>
      </c>
      <c r="I325" s="11" t="inlineStr">
        <is>
          <t>BRAK</t>
        </is>
      </c>
      <c r="J325" s="12" t="inlineStr">
        <is>
          <t>docs/legal/rcpd.md — sekcje A (administrator), B (procesor, art. 30 ust. 2), C (art. 32), D (przeglądy)</t>
        </is>
      </c>
      <c r="K325" s="11" t="inlineStr">
        <is>
          <t>LUKA</t>
        </is>
      </c>
      <c r="L325" s="11" t="inlineStr">
        <is>
          <t>ŚREDNIA</t>
        </is>
      </c>
      <c r="M325" s="11" t="inlineStr">
        <is>
          <t>M</t>
        </is>
      </c>
      <c r="N325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6">
      <c r="A326" s="11" t="inlineStr">
        <is>
          <t>P-12</t>
        </is>
      </c>
      <c r="B326" s="12" t="inlineStr">
        <is>
          <t>P</t>
        </is>
      </c>
      <c r="C326" s="11" t="inlineStr">
        <is>
          <t>Dostępność panelu wg WCAG 2.1 AA (EAA)</t>
        </is>
      </c>
      <c r="D326" s="11" t="inlineStr">
        <is>
          <t>NIE</t>
        </is>
      </c>
      <c r="E326" s="11" t="inlineStr">
        <is>
          <t>CZĘŚĆ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docs/legal/EAA_AUDYT_DOSTEPNOSCI_2026-07-07.md — audyt wykonany, skip-link i focus-visible naprawione w commicie z 2026-07-07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L</t>
        </is>
      </c>
      <c r="N326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7">
      <c r="A327" s="11" t="inlineStr">
        <is>
          <t>P-13</t>
        </is>
      </c>
      <c r="B327" s="12" t="inlineStr">
        <is>
          <t>P</t>
        </is>
      </c>
      <c r="C327" s="11" t="inlineStr">
        <is>
          <t>Deklaracja lokalizacji danych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TAK</t>
        </is>
      </c>
      <c r="H327" s="11" t="inlineStr">
        <is>
          <t>CZĘŚĆ</t>
        </is>
      </c>
      <c r="I327" s="11" t="inlineStr">
        <is>
          <t>b.d.</t>
        </is>
      </c>
      <c r="J327" s="12" t="inlineStr">
        <is>
          <t>poza kodem</t>
        </is>
      </c>
      <c r="K327" s="11" t="inlineStr">
        <is>
          <t>CZĘŚCIOWY</t>
        </is>
      </c>
      <c r="L327" s="11" t="inlineStr">
        <is>
          <t>ŚREDNIA</t>
        </is>
      </c>
      <c r="M327" s="11" t="inlineStr">
        <is>
          <t>S</t>
        </is>
      </c>
      <c r="N327" s="12" t="inlineStr">
        <is>
          <t>wszystkie 5 hostingów PL to eksponuje</t>
        </is>
      </c>
    </row>
    <row r="328">
      <c r="A328" s="11" t="inlineStr">
        <is>
          <t>P-14</t>
        </is>
      </c>
      <c r="B328" s="12" t="inlineStr">
        <is>
          <t>P</t>
        </is>
      </c>
      <c r="C328" s="11" t="inlineStr">
        <is>
          <t>Certyfikacja ISO 27001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CZĘŚĆ</t>
        </is>
      </c>
      <c r="H328" s="11" t="inlineStr">
        <is>
          <t>CZĘŚĆ</t>
        </is>
      </c>
      <c r="I328" s="11" t="inlineStr">
        <is>
          <t>BRAK</t>
        </is>
      </c>
      <c r="J328" s="12" t="inlineStr">
        <is>
          <t>—</t>
        </is>
      </c>
      <c r="K328" s="11" t="inlineStr">
        <is>
          <t>LUKA</t>
        </is>
      </c>
      <c r="L328" s="11" t="inlineStr">
        <is>
          <t>NISKA</t>
        </is>
      </c>
      <c r="M328" s="11" t="inlineStr">
        <is>
          <t>L</t>
        </is>
      </c>
      <c r="N328" s="12" t="inlineStr">
        <is>
          <t>home.pl i nazwa.pl mają — element przetargowy w B2B</t>
        </is>
      </c>
    </row>
    <row r="329">
      <c r="A329" s="11" t="inlineStr">
        <is>
          <t>P-15</t>
        </is>
      </c>
      <c r="B329" s="12" t="inlineStr">
        <is>
          <t>P</t>
        </is>
      </c>
      <c r="C329" s="11" t="inlineStr">
        <is>
          <t>Podpisane DPA z subprocesorami</t>
        </is>
      </c>
      <c r="D329" s="11" t="inlineStr">
        <is>
          <t>—</t>
        </is>
      </c>
      <c r="E329" s="11" t="inlineStr">
        <is>
          <t>—</t>
        </is>
      </c>
      <c r="F329" s="11" t="inlineStr">
        <is>
          <t>—</t>
        </is>
      </c>
      <c r="G329" s="11" t="inlineStr">
        <is>
          <t>—</t>
        </is>
      </c>
      <c r="H329" s="11" t="inlineStr">
        <is>
          <t>—</t>
        </is>
      </c>
      <c r="I329" s="11" t="inlineStr">
        <is>
          <t>BRAK</t>
        </is>
      </c>
      <c r="J329" s="12" t="inlineStr">
        <is>
          <t>docs/legal/dpa-subprocessors-tracking.md — wszystkie pozycje w statusie „do podpisania” lub „do akceptacji”, kolumna Data pusta</t>
        </is>
      </c>
      <c r="K329" s="11" t="inlineStr">
        <is>
          <t>LUKA</t>
        </is>
      </c>
      <c r="L329" s="11" t="inlineStr">
        <is>
          <t>BLOKER STARTU</t>
        </is>
      </c>
      <c r="M329" s="11" t="inlineStr">
        <is>
          <t>M</t>
        </is>
      </c>
      <c r="N329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0">
      <c r="A330" s="11" t="inlineStr">
        <is>
          <t>Q-01</t>
        </is>
      </c>
      <c r="B330" s="12" t="inlineStr">
        <is>
          <t>Q</t>
        </is>
      </c>
      <c r="C330" s="11" t="inlineStr">
        <is>
          <t>Program eko / punkty za oszczędność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FLAGA</t>
        </is>
      </c>
      <c r="J330" s="12" t="inlineStr">
        <is>
          <t>users.controller.ts:58,91; FEATURE_ECO domyślnie true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nikt na rynku PL</t>
        </is>
      </c>
    </row>
    <row r="331">
      <c r="A331" s="11" t="inlineStr">
        <is>
          <t>Q-02</t>
        </is>
      </c>
      <c r="B331" s="12" t="inlineStr">
        <is>
          <t>Q</t>
        </is>
      </c>
      <c r="C331" s="11" t="inlineStr">
        <is>
          <t>Raport energetyczny usługi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CZĘŚCIOWE</t>
        </is>
      </c>
      <c r="J331" s="12" t="inlineStr">
        <is>
          <t>eco-report.service.ts:9 — jawnie deklarowany jako szacunek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metodologia opisana — uczciwe podejście</t>
        </is>
      </c>
    </row>
    <row r="332">
      <c r="A332" s="11" t="inlineStr">
        <is>
          <t>Q-03</t>
        </is>
      </c>
      <c r="B332" s="12" t="inlineStr">
        <is>
          <t>Q</t>
        </is>
      </c>
      <c r="C332" s="11" t="inlineStr">
        <is>
          <t>Badge eko do osadzenia na stronie klienta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DZIAŁA</t>
        </is>
      </c>
      <c r="J332" s="12" t="inlineStr">
        <is>
          <t>eco-public.controller.ts:32,74; test D1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4 warianty + pixel odsłon</t>
        </is>
      </c>
    </row>
    <row r="333">
      <c r="A333" s="11" t="inlineStr">
        <is>
          <t>Q-04</t>
        </is>
      </c>
      <c r="B333" s="12" t="inlineStr">
        <is>
          <t>Q</t>
        </is>
      </c>
      <c r="C333" s="11" t="inlineStr">
        <is>
          <t>Tryb eko usługi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subscriptions.controller.ts:73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wpływa m.in. na politykę backupów</t>
        </is>
      </c>
    </row>
    <row r="334">
      <c r="A334" s="11" t="inlineStr">
        <is>
          <t>Q-05</t>
        </is>
      </c>
      <c r="B334" s="12" t="inlineStr">
        <is>
          <t>Q</t>
        </is>
      </c>
      <c r="C334" s="11" t="inlineStr">
        <is>
          <t>E-mail marketing wbudowany w panel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CZĘŚĆ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email-marketing.controller.ts:36,81,119,139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double opt-in + cordon antyspamowy</t>
        </is>
      </c>
    </row>
    <row r="335">
      <c r="A335" s="11" t="inlineStr">
        <is>
          <t>Q-06</t>
        </is>
      </c>
      <c r="B335" s="12" t="inlineStr">
        <is>
          <t>Q</t>
        </is>
      </c>
      <c r="C335" s="11" t="inlineStr">
        <is>
          <t>VPS / cloud w tym samym panelu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TAK</t>
        </is>
      </c>
      <c r="H335" s="11" t="inlineStr">
        <is>
          <t>TAK</t>
        </is>
      </c>
      <c r="I335" s="11" t="inlineStr">
        <is>
          <t>FLAGA</t>
        </is>
      </c>
      <c r="J335" s="12" t="inlineStr">
        <is>
          <t>vps.controller.ts:53,59,69; HETZNER_API_TOKEN</t>
        </is>
      </c>
      <c r="K335" s="11" t="inlineStr">
        <is>
          <t>CZĘŚCIOWY</t>
        </is>
      </c>
      <c r="L335" s="11" t="inlineStr">
        <is>
          <t>ŚREDNIA</t>
        </is>
      </c>
      <c r="M335" s="11" t="inlineStr">
        <is>
          <t>M</t>
        </is>
      </c>
      <c r="N335" s="12" t="inlineStr">
        <is>
          <t>bez tokenu menu prowadzi do pustego stanu</t>
        </is>
      </c>
    </row>
    <row r="336">
      <c r="A336" s="11" t="inlineStr">
        <is>
          <t>Q-07</t>
        </is>
      </c>
      <c r="B336" s="12" t="inlineStr">
        <is>
          <t>Q</t>
        </is>
      </c>
      <c r="C336" s="11" t="inlineStr">
        <is>
          <t>VPS — konsola / VNC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CZĘŚĆ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LUKA</t>
        </is>
      </c>
      <c r="L336" s="11" t="inlineStr">
        <is>
          <t>NISKA</t>
        </is>
      </c>
      <c r="M336" s="11" t="inlineStr">
        <is>
          <t>M</t>
        </is>
      </c>
      <c r="N336" s="12" t="inlineStr"/>
    </row>
    <row r="337">
      <c r="A337" s="11" t="inlineStr">
        <is>
          <t>Q-08</t>
        </is>
      </c>
      <c r="B337" s="12" t="inlineStr">
        <is>
          <t>Q</t>
        </is>
      </c>
      <c r="C337" s="11" t="inlineStr">
        <is>
          <t>VPS — snapshoty i rebuild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TAK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Q-09</t>
        </is>
      </c>
      <c r="B338" s="12" t="inlineStr">
        <is>
          <t>Q</t>
        </is>
      </c>
      <c r="C338" s="11" t="inlineStr">
        <is>
          <t>Panel responsywny na telefonie</t>
        </is>
      </c>
      <c r="D338" s="11" t="inlineStr">
        <is>
          <t>CZĘŚĆ</t>
        </is>
      </c>
      <c r="E338" s="11" t="inlineStr">
        <is>
          <t>TAK</t>
        </is>
      </c>
      <c r="F338" s="11" t="inlineStr">
        <is>
          <t>CZĘŚĆ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b.d.</t>
        </is>
      </c>
      <c r="J338" s="12" t="inlineStr">
        <is>
          <t>brak audytu w repo</t>
        </is>
      </c>
      <c r="K338" s="11" t="inlineStr">
        <is>
          <t>CZĘŚCIOWY</t>
        </is>
      </c>
      <c r="L338" s="11" t="inlineStr">
        <is>
          <t>WYSOKA</t>
        </is>
      </c>
      <c r="M338" s="11" t="inlineStr">
        <is>
          <t>M</t>
        </is>
      </c>
      <c r="N338" s="12" t="inlineStr">
        <is>
          <t>twardy wymóg zapisany w decyzji brandingowej DA</t>
        </is>
      </c>
    </row>
    <row r="339">
      <c r="A339" s="11" t="inlineStr">
        <is>
          <t>Q-10</t>
        </is>
      </c>
      <c r="B339" s="12" t="inlineStr">
        <is>
          <t>Q</t>
        </is>
      </c>
      <c r="C339" s="11" t="inlineStr">
        <is>
          <t>Natywna aplikacja mobilna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CZĘŚĆ</t>
        </is>
      </c>
      <c r="H339" s="11" t="inlineStr">
        <is>
          <t>CZĘŚĆ</t>
        </is>
      </c>
      <c r="I339" s="11" t="inlineStr">
        <is>
          <t>BRAK</t>
        </is>
      </c>
      <c r="J339" s="12" t="inlineStr">
        <is>
          <t>—</t>
        </is>
      </c>
      <c r="K339" s="11" t="inlineStr">
        <is>
          <t>POZA ZAKRESEM</t>
        </is>
      </c>
      <c r="L339" s="11" t="inlineStr">
        <is>
          <t>NISKA</t>
        </is>
      </c>
      <c r="M339" s="11" t="inlineStr">
        <is>
          <t>—</t>
        </is>
      </c>
      <c r="N339" s="12" t="inlineStr">
        <is>
          <t>tylko home.pl (iOS)</t>
        </is>
      </c>
    </row>
    <row r="340">
      <c r="A340" s="11" t="inlineStr">
        <is>
          <t>Q-11</t>
        </is>
      </c>
      <c r="B340" s="12" t="inlineStr">
        <is>
          <t>Q</t>
        </is>
      </c>
      <c r="C340" s="11" t="inlineStr">
        <is>
          <t>Tryb prosty / zaawansowany panelu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NIE</t>
        </is>
      </c>
      <c r="H340" s="11" t="inlineStr">
        <is>
          <t>CZĘŚĆ</t>
        </is>
      </c>
      <c r="I340" s="11" t="inlineStr">
        <is>
          <t>DZIAŁA</t>
        </is>
      </c>
      <c r="J340" s="12" t="inlineStr">
        <is>
          <t>page.tsx:139 — ukrywa 7 zakładek</t>
        </is>
      </c>
      <c r="K340" s="11" t="inlineStr">
        <is>
          <t>PRZEWAGA</t>
        </is>
      </c>
      <c r="L340" s="11" t="inlineStr">
        <is>
          <t>—</t>
        </is>
      </c>
      <c r="M340" s="11" t="inlineStr">
        <is>
          <t>—</t>
        </is>
      </c>
      <c r="N340" s="12" t="inlineStr"/>
    </row>
    <row r="341">
      <c r="A341" s="11" t="inlineStr">
        <is>
          <t>Q-12</t>
        </is>
      </c>
      <c r="B341" s="12" t="inlineStr">
        <is>
          <t>Q</t>
        </is>
      </c>
      <c r="C341" s="11" t="inlineStr">
        <is>
          <t>Kreator pierwszych kroków (onboarding)</t>
        </is>
      </c>
      <c r="D341" s="11" t="inlineStr">
        <is>
          <t>NIE</t>
        </is>
      </c>
      <c r="E341" s="11" t="inlineStr">
        <is>
          <t>CZĘŚĆ</t>
        </is>
      </c>
      <c r="F341" s="11" t="inlineStr">
        <is>
          <t>NIE</t>
        </is>
      </c>
      <c r="G341" s="11" t="inlineStr">
        <is>
          <t>CZĘŚĆ</t>
        </is>
      </c>
      <c r="H341" s="11" t="inlineStr">
        <is>
          <t>TAK</t>
        </is>
      </c>
      <c r="I341" s="11" t="inlineStr">
        <is>
          <t>DZIAŁA</t>
        </is>
      </c>
      <c r="J341" s="12" t="inlineStr">
        <is>
          <t>onboarding-wizard.tsx:52</t>
        </is>
      </c>
      <c r="K341" s="11" t="inlineStr">
        <is>
          <t>PARYTET</t>
        </is>
      </c>
      <c r="L341" s="11" t="inlineStr">
        <is>
          <t>—</t>
        </is>
      </c>
      <c r="M341" s="11" t="inlineStr">
        <is>
          <t>—</t>
        </is>
      </c>
      <c r="N341" s="12" t="inlineStr">
        <is>
          <t>tylko nawigacja</t>
        </is>
      </c>
    </row>
    <row r="342">
      <c r="A342" s="11" t="inlineStr">
        <is>
          <t>Q-13</t>
        </is>
      </c>
      <c r="B342" s="12" t="inlineStr">
        <is>
          <t>Q</t>
        </is>
      </c>
      <c r="C342" s="11" t="inlineStr">
        <is>
          <t>Command palette dla operatora</t>
        </is>
      </c>
      <c r="D342" s="11" t="inlineStr">
        <is>
          <t>NIE</t>
        </is>
      </c>
      <c r="E342" s="11" t="inlineStr">
        <is>
          <t>NIE</t>
        </is>
      </c>
      <c r="F342" s="11" t="inlineStr">
        <is>
          <t>NIE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DZIAŁA</t>
        </is>
      </c>
      <c r="J342" s="12" t="inlineStr">
        <is>
          <t>command-palette-actions.ts</t>
        </is>
      </c>
      <c r="K342" s="11" t="inlineStr">
        <is>
          <t>PRZEWAGA</t>
        </is>
      </c>
      <c r="L342" s="11" t="inlineStr">
        <is>
          <t>—</t>
        </is>
      </c>
      <c r="M342" s="11" t="inlineStr">
        <is>
          <t>—</t>
        </is>
      </c>
      <c r="N342" s="12" t="inlineStr"/>
    </row>
    <row r="343">
      <c r="A343" s="11" t="inlineStr">
        <is>
          <t>Q-14</t>
        </is>
      </c>
      <c r="B343" s="12" t="inlineStr">
        <is>
          <t>Q</t>
        </is>
      </c>
      <c r="C343" s="11" t="inlineStr">
        <is>
          <t>Kreator uruchomienia węzła</t>
        </is>
      </c>
      <c r="D343" s="11" t="inlineStr">
        <is>
          <t>TAK</t>
        </is>
      </c>
      <c r="E343" s="11" t="inlineStr">
        <is>
          <t>TAK</t>
        </is>
      </c>
      <c r="F343" s="11" t="inlineStr">
        <is>
          <t>TAK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CZĘŚCIOWE</t>
        </is>
      </c>
      <c r="J343" s="12" t="inlineStr">
        <is>
          <t>node-wizard.tsx:277,288 — realnie tylko init + bootstrap; 7 z 9 kroków to treść runbooka (wizard-content.ts:21-40)</t>
        </is>
      </c>
      <c r="K343" s="11" t="inlineStr">
        <is>
          <t>CZĘŚCIOWY</t>
        </is>
      </c>
      <c r="L343" s="11" t="inlineStr">
        <is>
          <t>WYSOKA</t>
        </is>
      </c>
      <c r="M343" s="11" t="inlineStr">
        <is>
          <t>M</t>
        </is>
      </c>
      <c r="N343" s="12" t="inlineStr">
        <is>
          <t>w tym brakuje kroku konfiguracji backupu — patrz H-19</t>
        </is>
      </c>
    </row>
    <row r="344">
      <c r="A344" s="11" t="inlineStr">
        <is>
          <t>Q-15</t>
        </is>
      </c>
      <c r="B344" s="12" t="inlineStr">
        <is>
          <t>Q</t>
        </is>
      </c>
      <c r="C344" s="11" t="inlineStr">
        <is>
          <t>Live-readiness (checklista przed startem)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live-readiness.service.ts — 14 checków</t>
        </is>
      </c>
      <c r="K344" s="11" t="inlineStr">
        <is>
          <t>PRZEWAGA</t>
        </is>
      </c>
      <c r="L344" s="11" t="inlineStr">
        <is>
          <t>—</t>
        </is>
      </c>
      <c r="M344" s="11" t="inlineStr">
        <is>
          <t>—</t>
        </is>
      </c>
      <c r="N344" s="12" t="inlineStr">
        <is>
          <t>dobre narzędzie; nie sprawdza odtwarzalności kopii</t>
        </is>
      </c>
    </row>
    <row r="345">
      <c r="A345" s="11" t="inlineStr">
        <is>
          <t>Q-16</t>
        </is>
      </c>
      <c r="B345" s="12" t="inlineStr">
        <is>
          <t>Q</t>
        </is>
      </c>
      <c r="C345" s="11" t="inlineStr">
        <is>
          <t>Metryki biznesowe (MRR, churn)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business-metrics.admin.controller.ts:15; test D1</t>
        </is>
      </c>
      <c r="K345" s="11" t="inlineStr">
        <is>
          <t>PARYTET</t>
        </is>
      </c>
      <c r="L345" s="11" t="inlineStr">
        <is>
          <t>—</t>
        </is>
      </c>
      <c r="M345" s="11" t="inlineStr">
        <is>
          <t>—</t>
        </is>
      </c>
      <c r="N345" s="12" t="inlineStr"/>
    </row>
    <row r="346">
      <c r="A346" s="11" t="inlineStr">
        <is>
          <t>Q-17</t>
        </is>
      </c>
      <c r="B346" s="12" t="inlineStr">
        <is>
          <t>Q</t>
        </is>
      </c>
      <c r="C346" s="11" t="inlineStr">
        <is>
          <t>Grafana SSO dla operatora</t>
        </is>
      </c>
      <c r="D346" s="11" t="inlineStr">
        <is>
          <t>NIE</t>
        </is>
      </c>
      <c r="E346" s="11" t="inlineStr">
        <is>
          <t>CZĘŚĆ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grafana-auth.controller.ts</t>
        </is>
      </c>
      <c r="K346" s="11" t="inlineStr">
        <is>
          <t>PRZEWAGA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Q-18</t>
        </is>
      </c>
      <c r="B347" s="12" t="inlineStr">
        <is>
          <t>Q</t>
        </is>
      </c>
      <c r="C347" s="11" t="inlineStr">
        <is>
          <t>VPN WireGuard dla dostępu operatorskiego</t>
        </is>
      </c>
      <c r="D347" s="11" t="inlineStr">
        <is>
          <t>NIE</t>
        </is>
      </c>
      <c r="E347" s="11" t="inlineStr">
        <is>
          <t>NIE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vpn.admin.controller.ts:29; vpn.service.ts:14-25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X-01</t>
        </is>
      </c>
      <c r="B348" s="12" t="inlineStr">
        <is>
          <t>X</t>
        </is>
      </c>
      <c r="C348" s="11" t="inlineStr">
        <is>
          <t>CI uruchamiające testy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.github/workflows/ci.yml — typecheck, testy API, build, smoke migracji Prisma, gitleaks, pnpm audit, Trivy, dependabot</t>
        </is>
      </c>
      <c r="K348" s="11" t="inlineStr">
        <is>
          <t>PARYTET</t>
        </is>
      </c>
      <c r="L348" s="11" t="inlineStr">
        <is>
          <t>—</t>
        </is>
      </c>
      <c r="M348" s="11" t="inlineStr">
        <is>
          <t>S</t>
        </is>
      </c>
      <c r="N348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9">
      <c r="A349" s="11" t="inlineStr">
        <is>
          <t>X-02</t>
        </is>
      </c>
      <c r="B349" s="12" t="inlineStr">
        <is>
          <t>X</t>
        </is>
      </c>
      <c r="C349" s="11" t="inlineStr">
        <is>
          <t>Status wymagany do merge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ruleset „gałęzie wdrożeniowe — wymagaj zielonego CI" (id 21161479), Active, zakres: gałąź domyślna + live-release-readiness; wymagane 4 checki z ci.yml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0">
      <c r="A350" s="11" t="inlineStr">
        <is>
          <t>X-03</t>
        </is>
      </c>
      <c r="B350" s="12" t="inlineStr">
        <is>
          <t>X</t>
        </is>
      </c>
      <c r="C350" s="11" t="inlineStr">
        <is>
          <t>Testy uruchamiane przed wdrożeniem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CZĘŚCIOWE</t>
        </is>
      </c>
      <c r="J350" s="12" t="inlineStr">
        <is>
          <t>.github/workflows/deploy.yml — job test-gate (typecheck + pnpm --filter api test), build-push ma needs: test-gate</t>
        </is>
      </c>
      <c r="K350" s="11" t="inlineStr">
        <is>
          <t>CZĘŚCIOWY</t>
        </is>
      </c>
      <c r="L350" s="11" t="inlineStr">
        <is>
          <t>WYSOKA</t>
        </is>
      </c>
      <c r="M350" s="11" t="inlineStr">
        <is>
          <t>S</t>
        </is>
      </c>
      <c r="N350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1">
      <c r="A351" s="11" t="inlineStr">
        <is>
          <t>X-04</t>
        </is>
      </c>
      <c r="B351" s="12" t="inlineStr">
        <is>
          <t>X</t>
        </is>
      </c>
      <c r="C351" s="11" t="inlineStr">
        <is>
          <t>Testy integracyjne / e2e API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BRAK</t>
        </is>
      </c>
      <c r="J351" s="12" t="inlineStr">
        <is>
          <t>zero @nestjs/testing i supertest nawet w devDependencies (apps/api/package.json:52-73)</t>
        </is>
      </c>
      <c r="K351" s="11" t="inlineStr">
        <is>
          <t>LUKA</t>
        </is>
      </c>
      <c r="L351" s="11" t="inlineStr">
        <is>
          <t>WYSOKA</t>
        </is>
      </c>
      <c r="M351" s="11" t="inlineStr">
        <is>
          <t>L</t>
        </is>
      </c>
      <c r="N351" s="12" t="inlineStr">
        <is>
          <t>wszystkie 35 testów to jednostkowe z ręcznymi fake'ami</t>
        </is>
      </c>
    </row>
    <row r="352">
      <c r="A352" s="11" t="inlineStr">
        <is>
          <t>X-05</t>
        </is>
      </c>
      <c r="B352" s="12" t="inlineStr">
        <is>
          <t>X</t>
        </is>
      </c>
      <c r="C352" s="11" t="inlineStr">
        <is>
          <t>Testy paneli frontowych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admin-panel i staff-panel: 0 plików; client-panel: 1 plik bez runnera (brak skryptu test w package.json:5-11)</t>
        </is>
      </c>
      <c r="K352" s="11" t="inlineStr">
        <is>
          <t>LUKA</t>
        </is>
      </c>
      <c r="L352" s="11" t="inlineStr">
        <is>
          <t>ŚREDNIA</t>
        </is>
      </c>
      <c r="M352" s="11" t="inlineStr">
        <is>
          <t>L</t>
        </is>
      </c>
      <c r="N352" s="12" t="inlineStr"/>
    </row>
    <row r="353">
      <c r="A353" s="11" t="inlineStr">
        <is>
          <t>X-06</t>
        </is>
      </c>
      <c r="B353" s="12" t="inlineStr">
        <is>
          <t>X</t>
        </is>
      </c>
      <c r="C353" s="11" t="inlineStr">
        <is>
          <t>Pokrycie testami modułu auth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zero plików .spec w apps/api/src/auth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M</t>
        </is>
      </c>
      <c r="N353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4">
      <c r="A354" s="11" t="inlineStr">
        <is>
          <t>X-07</t>
        </is>
      </c>
      <c r="B354" s="12" t="inlineStr">
        <is>
          <t>X</t>
        </is>
      </c>
      <c r="C354" s="11" t="inlineStr">
        <is>
          <t>Pokrycie testami klienta KSeF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ksef-v2.client.ts (487 l. kryptografii + API skarbowe) — ZERO testów; testowany jest tylko builder XML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X-01.</t>
        </is>
      </c>
    </row>
    <row r="355">
      <c r="A355" s="11" t="inlineStr">
        <is>
          <t>X-08</t>
        </is>
      </c>
      <c r="B355" s="12" t="inlineStr">
        <is>
          <t>X</t>
        </is>
      </c>
      <c r="C355" s="11" t="inlineStr">
        <is>
          <t>Pokrycie testami ścieżki backup/restore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offsite-restore.service.ts (regex chroniący przed path traversal na wejściu od klienta) — ZERO testów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 — ale patrz Z-03: brak testów walidacji wejścia migracji to nie jest kwestia jakości, tylko przyczyna luki wykonania kodu.</t>
        </is>
      </c>
    </row>
    <row r="356">
      <c r="A356" s="11" t="inlineStr">
        <is>
          <t>X-09</t>
        </is>
      </c>
      <c r="B356" s="12" t="inlineStr">
        <is>
          <t>X</t>
        </is>
      </c>
      <c r="C356" s="11" t="inlineStr">
        <is>
          <t>Pokrycie testami DirectAdminService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directadmin.service.ts ma 3057 linii; testowany jest wyłącznie helper mergeAdminSettingsPayload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L</t>
        </is>
      </c>
      <c r="N356" s="12" t="inlineStr"/>
    </row>
    <row r="357">
      <c r="A357" s="11" t="inlineStr">
        <is>
          <t>X-10</t>
        </is>
      </c>
      <c r="B357" s="12" t="inlineStr">
        <is>
          <t>X</t>
        </is>
      </c>
      <c r="C357" s="11" t="inlineStr">
        <is>
          <t>Testy RBAC sprawdzające zachowanie, nie metadane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ATRAPA</t>
        </is>
      </c>
      <c r="J357" s="12" t="inlineStr">
        <is>
          <t>3 pliki spec czytają Reflect.getMetadata(ROLES_KEY) — weryfikują, że dekorator napisano, nie że guard blokuje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M</t>
        </is>
      </c>
      <c r="N357" s="12" t="inlineStr">
        <is>
          <t>pokrycie pozorne w najdroższym możliwym miejscu</t>
        </is>
      </c>
    </row>
    <row r="358">
      <c r="A358" s="11" t="inlineStr">
        <is>
          <t>X-11</t>
        </is>
      </c>
      <c r="B358" s="12" t="inlineStr">
        <is>
          <t>X</t>
        </is>
      </c>
      <c r="C358" s="11" t="inlineStr">
        <is>
          <t>Testy API w osobnym jobie CI, nie za typecheckiem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DZIAŁA</t>
        </is>
      </c>
      <c r="J358" s="12" t="inlineStr">
        <is>
          <t>.github/workflows/ci.yml — osobny job api-tests o nazwie „API unit tests"</t>
        </is>
      </c>
      <c r="K358" s="11" t="inlineStr">
        <is>
          <t>PARYTET</t>
        </is>
      </c>
      <c r="L358" s="11" t="inlineStr">
        <is>
          <t>—</t>
        </is>
      </c>
      <c r="M358" s="11" t="inlineStr">
        <is>
          <t>S</t>
        </is>
      </c>
      <c r="N358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</t>
        </is>
      </c>
    </row>
    <row r="359">
      <c r="A359" s="11" t="inlineStr">
        <is>
          <t>X-12</t>
        </is>
      </c>
      <c r="B359" s="12" t="inlineStr">
        <is>
          <t>X</t>
        </is>
      </c>
      <c r="C359" s="11" t="inlineStr">
        <is>
          <t>Skrypty węzła serwowane przez API obecne w obrazie produkcyjnym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0">
      <c r="A360" s="11" t="inlineStr">
        <is>
          <t>X-13</t>
        </is>
      </c>
      <c r="B360" s="12" t="inlineStr">
        <is>
          <t>X</t>
        </is>
      </c>
      <c r="C360" s="11" t="inlineStr">
        <is>
          <t>Jedna gałąź wdrożeniowa — main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.github/workflows/deploy.yml — on.push.branches: [main]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</sheetData>
  <autoFilter ref="A1:N360"/>
  <conditionalFormatting sqref="D2:D360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60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60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60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60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60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60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60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2026-08-22T08:02:23Z</dcterms:created>
  <dcterms:modified xmlns:dcterms="http://purl.org/dc/terms/" xmlns:xsi="http://www.w3.org/2001/XMLSchema-instance" xsi:type="dcterms:W3CDTF">2026-08-22T08:02:23Z</dcterms:modified>
</cp:coreProperties>
</file>