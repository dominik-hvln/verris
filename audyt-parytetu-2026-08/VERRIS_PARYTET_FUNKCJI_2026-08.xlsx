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'Macierz'!$A$1:$N$430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2026-09-23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COUNTIF(Macierz!$K$2:$K$430,A6)</f>
        <v/>
      </c>
    </row>
    <row r="7">
      <c r="A7" s="5" t="inlineStr">
        <is>
          <t>PRZEWAGA</t>
        </is>
      </c>
      <c r="B7" s="5">
        <f>COUNTIF(Macierz!$K$2:$K$430,A7)</f>
        <v/>
      </c>
    </row>
    <row r="8">
      <c r="A8" s="5" t="inlineStr">
        <is>
          <t>CZĘŚCIOWY</t>
        </is>
      </c>
      <c r="B8" s="5">
        <f>COUNTIF(Macierz!$K$2:$K$430,A8)</f>
        <v/>
      </c>
    </row>
    <row r="9">
      <c r="A9" s="5" t="inlineStr">
        <is>
          <t>LUKA</t>
        </is>
      </c>
      <c r="B9" s="5">
        <f>COUNTIF(Macierz!$K$2:$K$430,A9)</f>
        <v/>
      </c>
    </row>
    <row r="10">
      <c r="A10" s="5" t="inlineStr">
        <is>
          <t>POZA ZAKRESEM</t>
        </is>
      </c>
      <c r="B10" s="5">
        <f>COUNTIF(Macierz!$K$2:$K$430,A10)</f>
        <v/>
      </c>
    </row>
    <row r="13">
      <c r="A13" s="3" t="inlineStr">
        <is>
          <t>Stan implementacji</t>
        </is>
      </c>
    </row>
    <row r="14">
      <c r="A14" s="4" t="inlineStr">
        <is>
          <t>Wartość</t>
        </is>
      </c>
      <c r="B14" s="4" t="inlineStr">
        <is>
          <t>Pozycji</t>
        </is>
      </c>
    </row>
    <row r="15">
      <c r="A15" s="5" t="inlineStr">
        <is>
          <t>DZIAŁA</t>
        </is>
      </c>
      <c r="B15" s="5">
        <f>COUNTIF(Macierz!$I$2:$I$430,A15)</f>
        <v/>
      </c>
    </row>
    <row r="16">
      <c r="A16" s="5" t="inlineStr">
        <is>
          <t>CZĘŚCIOWE</t>
        </is>
      </c>
      <c r="B16" s="5">
        <f>COUNTIF(Macierz!$I$2:$I$430,A16)</f>
        <v/>
      </c>
    </row>
    <row r="17">
      <c r="A17" s="5" t="inlineStr">
        <is>
          <t>FLAGA</t>
        </is>
      </c>
      <c r="B17" s="5">
        <f>COUNTIF(Macierz!$I$2:$I$430,A17)</f>
        <v/>
      </c>
    </row>
    <row r="18">
      <c r="A18" s="5" t="inlineStr">
        <is>
          <t>ATRAPA</t>
        </is>
      </c>
      <c r="B18" s="5">
        <f>COUNTIF(Macierz!$I$2:$I$430,A18)</f>
        <v/>
      </c>
    </row>
    <row r="19">
      <c r="A19" s="5" t="inlineStr">
        <is>
          <t>ENDPOINT BEZ UI</t>
        </is>
      </c>
      <c r="B19" s="5">
        <f>COUNTIF(Macierz!$I$2:$I$430,A19)</f>
        <v/>
      </c>
    </row>
    <row r="20">
      <c r="A20" s="5" t="inlineStr">
        <is>
          <t>BRAK</t>
        </is>
      </c>
      <c r="B20" s="5">
        <f>COUNTIF(Macierz!$I$2:$I$430,A20)</f>
        <v/>
      </c>
    </row>
    <row r="21">
      <c r="A21" s="5" t="inlineStr">
        <is>
          <t>b.d.</t>
        </is>
      </c>
      <c r="B21" s="5">
        <f>COUNTIF(Macierz!$I$2:$I$430,A21)</f>
        <v/>
      </c>
    </row>
    <row r="24">
      <c r="A24" s="3" t="inlineStr">
        <is>
          <t>Krytyczność luk</t>
        </is>
      </c>
    </row>
    <row r="25">
      <c r="A25" s="4" t="inlineStr">
        <is>
          <t>Wartość</t>
        </is>
      </c>
      <c r="B25" s="4" t="inlineStr">
        <is>
          <t>Pozycji</t>
        </is>
      </c>
    </row>
    <row r="26">
      <c r="A26" s="6" t="inlineStr">
        <is>
          <t>BLOKER STARTU</t>
        </is>
      </c>
      <c r="B26" s="6">
        <f>COUNTIF(Macierz!$L$2:$L$430,A26)</f>
        <v/>
      </c>
    </row>
    <row r="27">
      <c r="A27" s="5" t="inlineStr">
        <is>
          <t>WYSOKA</t>
        </is>
      </c>
      <c r="B27" s="5">
        <f>COUNTIF(Macierz!$L$2:$L$430,A27)</f>
        <v/>
      </c>
    </row>
    <row r="28">
      <c r="A28" s="5" t="inlineStr">
        <is>
          <t>ŚREDNIA</t>
        </is>
      </c>
      <c r="B28" s="5">
        <f>COUNTIF(Macierz!$L$2:$L$430,A28)</f>
        <v/>
      </c>
    </row>
    <row r="29">
      <c r="A29" s="5" t="inlineStr">
        <is>
          <t>NISKA</t>
        </is>
      </c>
      <c r="B29" s="5">
        <f>COUNTIF(Macierz!$L$2:$L$430,A29)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COUNTIF(Macierz!$B$2:$B$430,"A")</f>
        <v/>
      </c>
      <c r="C33" s="7">
        <f>COUNTIFS(Macierz!$B$2:$B$430,"A",Macierz!$K$2:$K$430,"PARYTET")+COUNTIFS(Macierz!$B$2:$B$430,"A",Macierz!$K$2:$K$430,"PRZEWAGA")</f>
        <v/>
      </c>
      <c r="D33" s="7">
        <f>COUNTIFS(Macierz!$B$2:$B$430,"A",Macierz!$K$2:$K$430,"LUKA")</f>
        <v/>
      </c>
      <c r="E33" s="7">
        <f>COUNTIFS(Macierz!$B$2:$B$430,"A",Macierz!$L$2:$L$430,"BLOKER STARTU")</f>
        <v/>
      </c>
      <c r="F33" s="8">
        <f>IFERROR(C33/B33,0)</f>
        <v/>
      </c>
    </row>
    <row r="34">
      <c r="A34" s="7" t="inlineStr">
        <is>
          <t>B — Runtime WWW</t>
        </is>
      </c>
      <c r="B34" s="7">
        <f>COUNTIF(Macierz!$B$2:$B$430,"B")</f>
        <v/>
      </c>
      <c r="C34" s="7">
        <f>COUNTIFS(Macierz!$B$2:$B$430,"B",Macierz!$K$2:$K$430,"PARYTET")+COUNTIFS(Macierz!$B$2:$B$430,"B",Macierz!$K$2:$K$430,"PRZEWAGA")</f>
        <v/>
      </c>
      <c r="D34" s="7">
        <f>COUNTIFS(Macierz!$B$2:$B$430,"B",Macierz!$K$2:$K$430,"LUKA")</f>
        <v/>
      </c>
      <c r="E34" s="7">
        <f>COUNTIFS(Macierz!$B$2:$B$430,"B",Macierz!$L$2:$L$430,"BLOKER STARTU")</f>
        <v/>
      </c>
      <c r="F34" s="8">
        <f>IFERROR(C34/B34,0)</f>
        <v/>
      </c>
    </row>
    <row r="35">
      <c r="A35" s="7" t="inlineStr">
        <is>
          <t>C — Pliki, FTP, SSH, Git</t>
        </is>
      </c>
      <c r="B35" s="7">
        <f>COUNTIF(Macierz!$B$2:$B$430,"C")</f>
        <v/>
      </c>
      <c r="C35" s="7">
        <f>COUNTIFS(Macierz!$B$2:$B$430,"C",Macierz!$K$2:$K$430,"PARYTET")+COUNTIFS(Macierz!$B$2:$B$430,"C",Macierz!$K$2:$K$430,"PRZEWAGA")</f>
        <v/>
      </c>
      <c r="D35" s="7">
        <f>COUNTIFS(Macierz!$B$2:$B$430,"C",Macierz!$K$2:$K$430,"LUKA")</f>
        <v/>
      </c>
      <c r="E35" s="7">
        <f>COUNTIFS(Macierz!$B$2:$B$430,"C",Macierz!$L$2:$L$430,"BLOKER STARTU")</f>
        <v/>
      </c>
      <c r="F35" s="8">
        <f>IFERROR(C35/B35,0)</f>
        <v/>
      </c>
    </row>
    <row r="36">
      <c r="A36" s="7" t="inlineStr">
        <is>
          <t>D — Bazy danych</t>
        </is>
      </c>
      <c r="B36" s="7">
        <f>COUNTIF(Macierz!$B$2:$B$430,"D")</f>
        <v/>
      </c>
      <c r="C36" s="7">
        <f>COUNTIFS(Macierz!$B$2:$B$430,"D",Macierz!$K$2:$K$430,"PARYTET")+COUNTIFS(Macierz!$B$2:$B$430,"D",Macierz!$K$2:$K$430,"PRZEWAGA")</f>
        <v/>
      </c>
      <c r="D36" s="7">
        <f>COUNTIFS(Macierz!$B$2:$B$430,"D",Macierz!$K$2:$K$430,"LUKA")</f>
        <v/>
      </c>
      <c r="E36" s="7">
        <f>COUNTIFS(Macierz!$B$2:$B$430,"D",Macierz!$L$2:$L$430,"BLOKER STARTU")</f>
        <v/>
      </c>
      <c r="F36" s="8">
        <f>IFERROR(C36/B36,0)</f>
        <v/>
      </c>
    </row>
    <row r="37">
      <c r="A37" s="7" t="inlineStr">
        <is>
          <t>E — Poczta</t>
        </is>
      </c>
      <c r="B37" s="7">
        <f>COUNTIF(Macierz!$B$2:$B$430,"E")</f>
        <v/>
      </c>
      <c r="C37" s="7">
        <f>COUNTIFS(Macierz!$B$2:$B$430,"E",Macierz!$K$2:$K$430,"PARYTET")+COUNTIFS(Macierz!$B$2:$B$430,"E",Macierz!$K$2:$K$430,"PRZEWAGA")</f>
        <v/>
      </c>
      <c r="D37" s="7">
        <f>COUNTIFS(Macierz!$B$2:$B$430,"E",Macierz!$K$2:$K$430,"LUKA")</f>
        <v/>
      </c>
      <c r="E37" s="7">
        <f>COUNTIFS(Macierz!$B$2:$B$430,"E",Macierz!$L$2:$L$430,"BLOKER STARTU")</f>
        <v/>
      </c>
      <c r="F37" s="8">
        <f>IFERROR(C37/B37,0)</f>
        <v/>
      </c>
    </row>
    <row r="38">
      <c r="A38" s="7" t="inlineStr">
        <is>
          <t>F — DNS</t>
        </is>
      </c>
      <c r="B38" s="7">
        <f>COUNTIF(Macierz!$B$2:$B$430,"F")</f>
        <v/>
      </c>
      <c r="C38" s="7">
        <f>COUNTIFS(Macierz!$B$2:$B$430,"F",Macierz!$K$2:$K$430,"PARYTET")+COUNTIFS(Macierz!$B$2:$B$430,"F",Macierz!$K$2:$K$430,"PRZEWAGA")</f>
        <v/>
      </c>
      <c r="D38" s="7">
        <f>COUNTIFS(Macierz!$B$2:$B$430,"F",Macierz!$K$2:$K$430,"LUKA")</f>
        <v/>
      </c>
      <c r="E38" s="7">
        <f>COUNTIFS(Macierz!$B$2:$B$430,"F",Macierz!$L$2:$L$430,"BLOKER STARTU")</f>
        <v/>
      </c>
      <c r="F38" s="8">
        <f>IFERROR(C38/B38,0)</f>
        <v/>
      </c>
    </row>
    <row r="39">
      <c r="A39" s="7" t="inlineStr">
        <is>
          <t>G — SSL i bezpieczeństwo</t>
        </is>
      </c>
      <c r="B39" s="7">
        <f>COUNTIF(Macierz!$B$2:$B$430,"G")</f>
        <v/>
      </c>
      <c r="C39" s="7">
        <f>COUNTIFS(Macierz!$B$2:$B$430,"G",Macierz!$K$2:$K$430,"PARYTET")+COUNTIFS(Macierz!$B$2:$B$430,"G",Macierz!$K$2:$K$430,"PRZEWAGA")</f>
        <v/>
      </c>
      <c r="D39" s="7">
        <f>COUNTIFS(Macierz!$B$2:$B$430,"G",Macierz!$K$2:$K$430,"LUKA")</f>
        <v/>
      </c>
      <c r="E39" s="7">
        <f>COUNTIFS(Macierz!$B$2:$B$430,"G",Macierz!$L$2:$L$430,"BLOKER STARTU")</f>
        <v/>
      </c>
      <c r="F39" s="8">
        <f>IFERROR(C39/B39,0)</f>
        <v/>
      </c>
    </row>
    <row r="40">
      <c r="A40" s="7" t="inlineStr">
        <is>
          <t>H — Backup i odtwarzanie</t>
        </is>
      </c>
      <c r="B40" s="7">
        <f>COUNTIF(Macierz!$B$2:$B$430,"H")</f>
        <v/>
      </c>
      <c r="C40" s="7">
        <f>COUNTIFS(Macierz!$B$2:$B$430,"H",Macierz!$K$2:$K$430,"PARYTET")+COUNTIFS(Macierz!$B$2:$B$430,"H",Macierz!$K$2:$K$430,"PRZEWAGA")</f>
        <v/>
      </c>
      <c r="D40" s="7">
        <f>COUNTIFS(Macierz!$B$2:$B$430,"H",Macierz!$K$2:$K$430,"LUKA")</f>
        <v/>
      </c>
      <c r="E40" s="7">
        <f>COUNTIFS(Macierz!$B$2:$B$430,"H",Macierz!$L$2:$L$430,"BLOKER STARTU")</f>
        <v/>
      </c>
      <c r="F40" s="8">
        <f>IFERROR(C40/B40,0)</f>
        <v/>
      </c>
    </row>
    <row r="41">
      <c r="A41" s="7" t="inlineStr">
        <is>
          <t>I — Aplikacje i WordPress</t>
        </is>
      </c>
      <c r="B41" s="7">
        <f>COUNTIF(Macierz!$B$2:$B$430,"I")</f>
        <v/>
      </c>
      <c r="C41" s="7">
        <f>COUNTIFS(Macierz!$B$2:$B$430,"I",Macierz!$K$2:$K$430,"PARYTET")+COUNTIFS(Macierz!$B$2:$B$430,"I",Macierz!$K$2:$K$430,"PRZEWAGA")</f>
        <v/>
      </c>
      <c r="D41" s="7">
        <f>COUNTIFS(Macierz!$B$2:$B$430,"I",Macierz!$K$2:$K$430,"LUKA")</f>
        <v/>
      </c>
      <c r="E41" s="7">
        <f>COUNTIFS(Macierz!$B$2:$B$430,"I",Macierz!$L$2:$L$430,"BLOKER STARTU")</f>
        <v/>
      </c>
      <c r="F41" s="8">
        <f>IFERROR(C41/B41,0)</f>
        <v/>
      </c>
    </row>
    <row r="42">
      <c r="A42" s="7" t="inlineStr">
        <is>
          <t>J — Wydajność i cache</t>
        </is>
      </c>
      <c r="B42" s="7">
        <f>COUNTIF(Macierz!$B$2:$B$430,"J")</f>
        <v/>
      </c>
      <c r="C42" s="7">
        <f>COUNTIFS(Macierz!$B$2:$B$430,"J",Macierz!$K$2:$K$430,"PARYTET")+COUNTIFS(Macierz!$B$2:$B$430,"J",Macierz!$K$2:$K$430,"PRZEWAGA")</f>
        <v/>
      </c>
      <c r="D42" s="7">
        <f>COUNTIFS(Macierz!$B$2:$B$430,"J",Macierz!$K$2:$K$430,"LUKA")</f>
        <v/>
      </c>
      <c r="E42" s="7">
        <f>COUNTIFS(Macierz!$B$2:$B$430,"J",Macierz!$L$2:$L$430,"BLOKER STARTU")</f>
        <v/>
      </c>
      <c r="F42" s="8">
        <f>IFERROR(C42/B42,0)</f>
        <v/>
      </c>
    </row>
    <row r="43">
      <c r="A43" s="7" t="inlineStr">
        <is>
          <t>K — Statystyki, logi, limity</t>
        </is>
      </c>
      <c r="B43" s="7">
        <f>COUNTIF(Macierz!$B$2:$B$430,"K")</f>
        <v/>
      </c>
      <c r="C43" s="7">
        <f>COUNTIFS(Macierz!$B$2:$B$430,"K",Macierz!$K$2:$K$430,"PARYTET")+COUNTIFS(Macierz!$B$2:$B$430,"K",Macierz!$K$2:$K$430,"PRZEWAGA")</f>
        <v/>
      </c>
      <c r="D43" s="7">
        <f>COUNTIFS(Macierz!$B$2:$B$430,"K",Macierz!$K$2:$K$430,"LUKA")</f>
        <v/>
      </c>
      <c r="E43" s="7">
        <f>COUNTIFS(Macierz!$B$2:$B$430,"K",Macierz!$L$2:$L$430,"BLOKER STARTU")</f>
        <v/>
      </c>
      <c r="F43" s="8">
        <f>IFERROR(C43/B43,0)</f>
        <v/>
      </c>
    </row>
    <row r="44">
      <c r="A44" s="7" t="inlineStr">
        <is>
          <t>L — Automatyzacja</t>
        </is>
      </c>
      <c r="B44" s="7">
        <f>COUNTIF(Macierz!$B$2:$B$430,"L")</f>
        <v/>
      </c>
      <c r="C44" s="7">
        <f>COUNTIFS(Macierz!$B$2:$B$430,"L",Macierz!$K$2:$K$430,"PARYTET")+COUNTIFS(Macierz!$B$2:$B$430,"L",Macierz!$K$2:$K$430,"PRZEWAGA")</f>
        <v/>
      </c>
      <c r="D44" s="7">
        <f>COUNTIFS(Macierz!$B$2:$B$430,"L",Macierz!$K$2:$K$430,"LUKA")</f>
        <v/>
      </c>
      <c r="E44" s="7">
        <f>COUNTIFS(Macierz!$B$2:$B$430,"L",Macierz!$L$2:$L$430,"BLOKER STARTU")</f>
        <v/>
      </c>
      <c r="F44" s="8">
        <f>IFERROR(C44/B44,0)</f>
        <v/>
      </c>
    </row>
    <row r="45">
      <c r="A45" s="7" t="inlineStr">
        <is>
          <t>M — Rozliczenia</t>
        </is>
      </c>
      <c r="B45" s="7">
        <f>COUNTIF(Macierz!$B$2:$B$430,"M")</f>
        <v/>
      </c>
      <c r="C45" s="7">
        <f>COUNTIFS(Macierz!$B$2:$B$430,"M",Macierz!$K$2:$K$430,"PARYTET")+COUNTIFS(Macierz!$B$2:$B$430,"M",Macierz!$K$2:$K$430,"PRZEWAGA")</f>
        <v/>
      </c>
      <c r="D45" s="7">
        <f>COUNTIFS(Macierz!$B$2:$B$430,"M",Macierz!$K$2:$K$430,"LUKA")</f>
        <v/>
      </c>
      <c r="E45" s="7">
        <f>COUNTIFS(Macierz!$B$2:$B$430,"M",Macierz!$L$2:$L$430,"BLOKER STARTU")</f>
        <v/>
      </c>
      <c r="F45" s="8">
        <f>IFERROR(C45/B45,0)</f>
        <v/>
      </c>
    </row>
    <row r="46">
      <c r="A46" s="7" t="inlineStr">
        <is>
          <t>N — Wsparcie i ops</t>
        </is>
      </c>
      <c r="B46" s="7">
        <f>COUNTIF(Macierz!$B$2:$B$430,"N")</f>
        <v/>
      </c>
      <c r="C46" s="7">
        <f>COUNTIFS(Macierz!$B$2:$B$430,"N",Macierz!$K$2:$K$430,"PARYTET")+COUNTIFS(Macierz!$B$2:$B$430,"N",Macierz!$K$2:$K$430,"PRZEWAGA")</f>
        <v/>
      </c>
      <c r="D46" s="7">
        <f>COUNTIFS(Macierz!$B$2:$B$430,"N",Macierz!$K$2:$K$430,"LUKA")</f>
        <v/>
      </c>
      <c r="E46" s="7">
        <f>COUNTIFS(Macierz!$B$2:$B$430,"N",Macierz!$L$2:$L$430,"BLOKER STARTU")</f>
        <v/>
      </c>
      <c r="F46" s="8">
        <f>IFERROR(C46/B46,0)</f>
        <v/>
      </c>
    </row>
    <row r="47">
      <c r="A47" s="7" t="inlineStr">
        <is>
          <t>O — Multi-user i reseller</t>
        </is>
      </c>
      <c r="B47" s="7">
        <f>COUNTIF(Macierz!$B$2:$B$430,"O")</f>
        <v/>
      </c>
      <c r="C47" s="7">
        <f>COUNTIFS(Macierz!$B$2:$B$430,"O",Macierz!$K$2:$K$430,"PARYTET")+COUNTIFS(Macierz!$B$2:$B$430,"O",Macierz!$K$2:$K$430,"PRZEWAGA")</f>
        <v/>
      </c>
      <c r="D47" s="7">
        <f>COUNTIFS(Macierz!$B$2:$B$430,"O",Macierz!$K$2:$K$430,"LUKA")</f>
        <v/>
      </c>
      <c r="E47" s="7">
        <f>COUNTIFS(Macierz!$B$2:$B$430,"O",Macierz!$L$2:$L$430,"BLOKER STARTU")</f>
        <v/>
      </c>
      <c r="F47" s="8">
        <f>IFERROR(C47/B47,0)</f>
        <v/>
      </c>
    </row>
    <row r="48">
      <c r="A48" s="7" t="inlineStr">
        <is>
          <t>P — Zgodność</t>
        </is>
      </c>
      <c r="B48" s="7">
        <f>COUNTIF(Macierz!$B$2:$B$430,"P")</f>
        <v/>
      </c>
      <c r="C48" s="7">
        <f>COUNTIFS(Macierz!$B$2:$B$430,"P",Macierz!$K$2:$K$430,"PARYTET")+COUNTIFS(Macierz!$B$2:$B$430,"P",Macierz!$K$2:$K$430,"PRZEWAGA")</f>
        <v/>
      </c>
      <c r="D48" s="7">
        <f>COUNTIFS(Macierz!$B$2:$B$430,"P",Macierz!$K$2:$K$430,"LUKA")</f>
        <v/>
      </c>
      <c r="E48" s="7">
        <f>COUNTIFS(Macierz!$B$2:$B$430,"P",Macierz!$L$2:$L$430,"BLOKER STARTU")</f>
        <v/>
      </c>
      <c r="F48" s="8">
        <f>IFERROR(C48/B48,0)</f>
        <v/>
      </c>
    </row>
    <row r="49">
      <c r="A49" s="7" t="inlineStr">
        <is>
          <t>Q — Przewaga</t>
        </is>
      </c>
      <c r="B49" s="7">
        <f>COUNTIF(Macierz!$B$2:$B$430,"Q")</f>
        <v/>
      </c>
      <c r="C49" s="7">
        <f>COUNTIFS(Macierz!$B$2:$B$430,"Q",Macierz!$K$2:$K$430,"PARYTET")+COUNTIFS(Macierz!$B$2:$B$430,"Q",Macierz!$K$2:$K$430,"PRZEWAGA")</f>
        <v/>
      </c>
      <c r="D49" s="7">
        <f>COUNTIFS(Macierz!$B$2:$B$430,"Q",Macierz!$K$2:$K$430,"LUKA")</f>
        <v/>
      </c>
      <c r="E49" s="7">
        <f>COUNTIFS(Macierz!$B$2:$B$430,"Q",Macierz!$L$2:$L$430,"BLOKER STARTU")</f>
        <v/>
      </c>
      <c r="F49" s="8">
        <f>IFERROR(C49/B49,0)</f>
        <v/>
      </c>
    </row>
    <row r="50">
      <c r="A50" s="7" t="inlineStr">
        <is>
          <t>X — Infrastruktura jakości</t>
        </is>
      </c>
      <c r="B50" s="7">
        <f>COUNTIF(Macierz!$B$2:$B$430,"X")</f>
        <v/>
      </c>
      <c r="C50" s="7">
        <f>COUNTIFS(Macierz!$B$2:$B$430,"X",Macierz!$K$2:$K$430,"PARYTET")+COUNTIFS(Macierz!$B$2:$B$430,"X",Macierz!$K$2:$K$430,"PRZEWAGA")</f>
        <v/>
      </c>
      <c r="D50" s="7">
        <f>COUNTIFS(Macierz!$B$2:$B$430,"X",Macierz!$K$2:$K$430,"LUKA")</f>
        <v/>
      </c>
      <c r="E50" s="7">
        <f>COUNTIFS(Macierz!$B$2:$B$430,"X",Macierz!$L$2:$L$430,"BLOKER STARTU")</f>
        <v/>
      </c>
      <c r="F50" s="8">
        <f>IFERROR(C50/B50,0)</f>
        <v/>
      </c>
    </row>
    <row r="51">
      <c r="A51" s="7" t="inlineStr">
        <is>
          <t>Z — Pass adwersaryjny</t>
        </is>
      </c>
      <c r="B51" s="7">
        <f>COUNTIF(Macierz!$B$2:$B$430,"Z")</f>
        <v/>
      </c>
      <c r="C51" s="7">
        <f>COUNTIFS(Macierz!$B$2:$B$430,"Z",Macierz!$K$2:$K$430,"PARYTET")+COUNTIFS(Macierz!$B$2:$B$430,"Z",Macierz!$K$2:$K$430,"PRZEWAGA")</f>
        <v/>
      </c>
      <c r="D51" s="7">
        <f>COUNTIFS(Macierz!$B$2:$B$430,"Z",Macierz!$K$2:$K$430,"LUKA")</f>
        <v/>
      </c>
      <c r="E51" s="7">
        <f>COUNTIFS(Macierz!$B$2:$B$430,"Z",Macierz!$L$2:$L$430,"BLOKER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3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domains.controller.ts:123</t>
        </is>
      </c>
      <c r="K10" s="11" t="inlineStr">
        <is>
          <t>LUKA</t>
        </is>
      </c>
      <c r="L10" s="11" t="inlineStr">
        <is>
          <t>WYSOKA</t>
        </is>
      </c>
      <c r="M10" s="11" t="inlineStr">
        <is>
          <t>M</t>
        </is>
      </c>
      <c r="N10" s="12" t="inlineStr">
        <is>
          <t>j.w.</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ENDPOINT BEZ UI</t>
        </is>
      </c>
      <c r="J11" s="12" t="inlineStr">
        <is>
          <t>domains.controller.ts:133</t>
        </is>
      </c>
      <c r="K11" s="11" t="inlineStr">
        <is>
          <t>LUKA</t>
        </is>
      </c>
      <c r="L11" s="11" t="inlineStr">
        <is>
          <t>ŚREDNIA</t>
        </is>
      </c>
      <c r="M11" s="11" t="inlineStr">
        <is>
          <t>S</t>
        </is>
      </c>
      <c r="N11" s="12" t="inlineStr">
        <is>
          <t>Skorygowane: brak wywołania potwierdzony, ale obejście istnieje (panel rejestratora). Nie spełnia żadnego z czterech warunków blokera.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domains.controller.ts:59</t>
        </is>
      </c>
      <c r="K13" s="11" t="inlineStr">
        <is>
          <t>LUKA</t>
        </is>
      </c>
      <c r="L13" s="11" t="inlineStr">
        <is>
          <t>ŚREDNIA</t>
        </is>
      </c>
      <c r="M13" s="11" t="inlineStr">
        <is>
          <t>S</t>
        </is>
      </c>
      <c r="N13" s="12" t="inlineStr"/>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BRAK</t>
        </is>
      </c>
      <c r="J14" s="12" t="inlineStr">
        <is>
          <t>—</t>
        </is>
      </c>
      <c r="K14" s="11" t="inlineStr">
        <is>
          <t>LUKA</t>
        </is>
      </c>
      <c r="L14" s="11" t="inlineStr">
        <is>
          <t>WYSOKA</t>
        </is>
      </c>
      <c r="M14" s="11" t="inlineStr">
        <is>
          <t>M</t>
        </is>
      </c>
      <c r="N14" s="12" t="inlineStr">
        <is>
          <t>wymóg operatorski przy własnej rejestracji</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BRAK</t>
        </is>
      </c>
      <c r="J16" s="12" t="inlineStr">
        <is>
          <t>—</t>
        </is>
      </c>
      <c r="K16" s="11" t="inlineStr">
        <is>
          <t>LUKA</t>
        </is>
      </c>
      <c r="L16" s="11" t="inlineStr">
        <is>
          <t>ŚREDNIA</t>
        </is>
      </c>
      <c r="M16" s="11" t="inlineStr">
        <is>
          <t>S</t>
        </is>
      </c>
      <c r="N16" s="12" t="inlineStr"/>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CZĘŚCIOWE</t>
        </is>
      </c>
      <c r="J17" s="12" t="inlineStr">
        <is>
          <t>domains.service.ts:92-153 — runChecklist robi resolve4/resolve6/resolveNs + handshake TLS</t>
        </is>
      </c>
      <c r="K17" s="11" t="inlineStr">
        <is>
          <t>CZĘŚCIOWY</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BRAK</t>
        </is>
      </c>
      <c r="J25" s="12" t="inlineStr">
        <is>
          <t>brak @Post w users.admin.controller.ts</t>
        </is>
      </c>
      <c r="K25" s="11" t="inlineStr">
        <is>
          <t>LUKA</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BRAK</t>
        </is>
      </c>
      <c r="J34" s="12" t="inlineStr">
        <is>
          <t>—</t>
        </is>
      </c>
      <c r="K34" s="11" t="inlineStr">
        <is>
          <t>LUKA</t>
        </is>
      </c>
      <c r="L34" s="11" t="inlineStr">
        <is>
          <t>WYSOKA</t>
        </is>
      </c>
      <c r="M34" s="11" t="inlineStr">
        <is>
          <t>M</t>
        </is>
      </c>
      <c r="N34" s="12" t="inlineStr">
        <is>
          <t>4 z 5 hostingów PL to ma</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BRAK</t>
        </is>
      </c>
      <c r="J35" s="12" t="inlineStr">
        <is>
          <t>—</t>
        </is>
      </c>
      <c r="K35" s="11" t="inlineStr">
        <is>
          <t>LUKA</t>
        </is>
      </c>
      <c r="L35" s="11" t="inlineStr">
        <is>
          <t>NISKA</t>
        </is>
      </c>
      <c r="M35" s="11" t="inlineStr">
        <is>
          <t>S</t>
        </is>
      </c>
      <c r="N35" s="12" t="inlineStr"/>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BRAK</t>
        </is>
      </c>
      <c r="J46" s="12" t="inlineStr">
        <is>
          <t>—</t>
        </is>
      </c>
      <c r="K46" s="11" t="inlineStr">
        <is>
          <t>LUKA</t>
        </is>
      </c>
      <c r="L46" s="11" t="inlineStr">
        <is>
          <t>NISKA</t>
        </is>
      </c>
      <c r="M46" s="11" t="inlineStr">
        <is>
          <t>S</t>
        </is>
      </c>
      <c r="N46" s="12" t="inlineStr"/>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BRAK</t>
        </is>
      </c>
      <c r="J47" s="12" t="inlineStr">
        <is>
          <t>—</t>
        </is>
      </c>
      <c r="K47" s="11" t="inlineStr">
        <is>
          <t>LUKA</t>
        </is>
      </c>
      <c r="L47" s="11" t="inlineStr">
        <is>
          <t>NISKA</t>
        </is>
      </c>
      <c r="M47" s="11" t="inlineStr">
        <is>
          <t>S</t>
        </is>
      </c>
      <c r="N47" s="12" t="inlineStr"/>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BRAK</t>
        </is>
      </c>
      <c r="J62" s="12" t="inlineStr">
        <is>
          <t>—</t>
        </is>
      </c>
      <c r="K62" s="11" t="inlineStr">
        <is>
          <t>LUKA</t>
        </is>
      </c>
      <c r="L62" s="11" t="inlineStr">
        <is>
          <t>NISKA</t>
        </is>
      </c>
      <c r="M62" s="11" t="inlineStr">
        <is>
          <t>S</t>
        </is>
      </c>
      <c r="N62" s="12" t="inlineStr"/>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BRAK</t>
        </is>
      </c>
      <c r="J63" s="12" t="inlineStr">
        <is>
          <t>—</t>
        </is>
      </c>
      <c r="K63" s="11" t="inlineStr">
        <is>
          <t>LUKA</t>
        </is>
      </c>
      <c r="L63" s="11" t="inlineStr">
        <is>
          <t>ŚREDNIA</t>
        </is>
      </c>
      <c r="M63" s="11" t="inlineStr">
        <is>
          <t>S</t>
        </is>
      </c>
      <c r="N63" s="12" t="inlineStr">
        <is>
          <t>częste źródło ticketów „skończyło się miejsce”</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ServiceConnectionCard.tsx:235 — tylko odczyt flagi</t>
        </is>
      </c>
      <c r="K69" s="11" t="inlineStr">
        <is>
          <t>CZĘŚCIOWY</t>
        </is>
      </c>
      <c r="L69" s="11" t="inlineStr">
        <is>
          <t>WYSOKA</t>
        </is>
      </c>
      <c r="M69" s="11" t="inlineStr">
        <is>
          <t>M</t>
        </is>
      </c>
      <c r="N69" s="12" t="inlineStr">
        <is>
          <t>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BRAK</t>
        </is>
      </c>
      <c r="J70" s="12" t="inlineStr">
        <is>
          <t>—</t>
        </is>
      </c>
      <c r="K70" s="11" t="inlineStr">
        <is>
          <t>LUKA</t>
        </is>
      </c>
      <c r="L70" s="11" t="inlineStr">
        <is>
          <t>WYSOKA</t>
        </is>
      </c>
      <c r="M70" s="11" t="inlineStr">
        <is>
          <t>M</t>
        </is>
      </c>
      <c r="N70" s="12" t="inlineStr">
        <is>
          <t>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BRAK</t>
        </is>
      </c>
      <c r="J73" s="12" t="inlineStr">
        <is>
          <t>DeployTab.tsx:192 przyznaje brak</t>
        </is>
      </c>
      <c r="K73" s="11" t="inlineStr">
        <is>
          <t>LUKA</t>
        </is>
      </c>
      <c r="L73" s="11" t="inlineStr">
        <is>
          <t>ŚREDNIA</t>
        </is>
      </c>
      <c r="M73" s="11" t="inlineStr">
        <is>
          <t>M</t>
        </is>
      </c>
      <c r="N73" s="12" t="inlineStr">
        <is>
          <t>„Deploy”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services.controller.ts:717; directadmin.service.ts:2450</t>
        </is>
      </c>
      <c r="K74" s="11" t="inlineStr">
        <is>
          <t>CZĘŚCIOWY</t>
        </is>
      </c>
      <c r="L74" s="11" t="inlineStr">
        <is>
          <t>ŚREDNIA</t>
        </is>
      </c>
      <c r="M74" s="11" t="inlineStr">
        <is>
          <t>M</t>
        </is>
      </c>
      <c r="N74" s="12" t="inlineStr">
        <is>
          <t>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BRAK</t>
        </is>
      </c>
      <c r="J75" s="12" t="inlineStr">
        <is>
          <t>—</t>
        </is>
      </c>
      <c r="K75" s="11" t="inlineStr">
        <is>
          <t>LUKA</t>
        </is>
      </c>
      <c r="L75" s="11" t="inlineStr">
        <is>
          <t>NISKA</t>
        </is>
      </c>
      <c r="M75" s="11" t="inlineStr">
        <is>
          <t>M</t>
        </is>
      </c>
      <c r="N75" s="12" t="inlineStr"/>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BRAK</t>
        </is>
      </c>
      <c r="J84" s="12" t="inlineStr">
        <is>
          <t>—</t>
        </is>
      </c>
      <c r="K84" s="11" t="inlineStr">
        <is>
          <t>LUKA</t>
        </is>
      </c>
      <c r="L84" s="11" t="inlineStr">
        <is>
          <t>ŚREDNIA</t>
        </is>
      </c>
      <c r="M84" s="11" t="inlineStr">
        <is>
          <t>S</t>
        </is>
      </c>
      <c r="N84" s="12" t="inlineStr"/>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CZĘŚCIOWE</t>
        </is>
      </c>
      <c r="J86" s="12" t="inlineStr">
        <is>
          <t>link do DA zamiast SSO</t>
        </is>
      </c>
      <c r="K86" s="11" t="inlineStr">
        <is>
          <t>CZĘŚCIOWY</t>
        </is>
      </c>
      <c r="L86" s="11" t="inlineStr">
        <is>
          <t>ŚREDNIA</t>
        </is>
      </c>
      <c r="M86" s="11" t="inlineStr">
        <is>
          <t>S</t>
        </is>
      </c>
      <c r="N86" s="12" t="inlineStr">
        <is>
          <t>dostępny, ale przez wyjście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BRAK</t>
        </is>
      </c>
      <c r="J88" s="12" t="inlineStr">
        <is>
          <t>—</t>
        </is>
      </c>
      <c r="K88" s="11" t="inlineStr">
        <is>
          <t>LUKA</t>
        </is>
      </c>
      <c r="L88" s="11" t="inlineStr">
        <is>
          <t>WYSOKA</t>
        </is>
      </c>
      <c r="M88" s="11" t="inlineStr">
        <is>
          <t>M</t>
        </is>
      </c>
      <c r="N88" s="12" t="inlineStr">
        <is>
          <t>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w ramach backupu konta</t>
        </is>
      </c>
      <c r="K89" s="11" t="inlineStr">
        <is>
          <t>CZĘŚCIOWY</t>
        </is>
      </c>
      <c r="L89" s="11" t="inlineStr">
        <is>
          <t>ŚREDNIA</t>
        </is>
      </c>
      <c r="M89" s="11" t="inlineStr">
        <is>
          <t>S</t>
        </is>
      </c>
      <c r="N89" s="12" t="inlineStr">
        <is>
          <t>brak osobnej akcji „zrzuć bazę”</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BRAK</t>
        </is>
      </c>
      <c r="J91" s="12" t="inlineStr">
        <is>
          <t>—</t>
        </is>
      </c>
      <c r="K91" s="11" t="inlineStr">
        <is>
          <t>LUKA</t>
        </is>
      </c>
      <c r="L91" s="11" t="inlineStr">
        <is>
          <t>WYSOKA</t>
        </is>
      </c>
      <c r="M91" s="11" t="inlineStr">
        <is>
          <t>M</t>
        </is>
      </c>
      <c r="N91" s="12" t="inlineStr">
        <is>
          <t>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w statystykach konta</t>
        </is>
      </c>
      <c r="K93" s="11" t="inlineStr">
        <is>
          <t>CZĘŚCIOWY</t>
        </is>
      </c>
      <c r="L93" s="11" t="inlineStr">
        <is>
          <t>NISKA</t>
        </is>
      </c>
      <c r="M93" s="11" t="inlineStr">
        <is>
          <t>S</t>
        </is>
      </c>
      <c r="N93" s="12" t="inlineStr"/>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BRAK</t>
        </is>
      </c>
      <c r="J94" s="12" t="inlineStr">
        <is>
          <t>—</t>
        </is>
      </c>
      <c r="K94" s="11" t="inlineStr">
        <is>
          <t>LUKA</t>
        </is>
      </c>
      <c r="L94" s="11" t="inlineStr">
        <is>
          <t>NISKA</t>
        </is>
      </c>
      <c r="M94" s="11" t="inlineStr">
        <is>
          <t>S</t>
        </is>
      </c>
      <c r="N94" s="12" t="inlineStr"/>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BRAK</t>
        </is>
      </c>
      <c r="J100" s="12" t="inlineStr">
        <is>
          <t>—</t>
        </is>
      </c>
      <c r="K100" s="11" t="inlineStr">
        <is>
          <t>LUKA</t>
        </is>
      </c>
      <c r="L100" s="11" t="inlineStr">
        <is>
          <t>ŚREDNIA</t>
        </is>
      </c>
      <c r="M100" s="11" t="inlineStr">
        <is>
          <t>S</t>
        </is>
      </c>
      <c r="N100" s="12" t="inlineStr"/>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CZĘŚCIOWE</t>
        </is>
      </c>
      <c r="J107" s="12" t="inlineStr">
        <is>
          <t>link do DA</t>
        </is>
      </c>
      <c r="K107" s="11" t="inlineStr">
        <is>
          <t>CZĘŚCIOWY</t>
        </is>
      </c>
      <c r="L107" s="11" t="inlineStr">
        <is>
          <t>ŚREDNIA</t>
        </is>
      </c>
      <c r="M107" s="11" t="inlineStr">
        <is>
          <t>S</t>
        </is>
      </c>
      <c r="N107" s="12" t="inlineStr"/>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2026-09-23 D1: mail-auth.ts dkimCheck — selektory w publicznym DNS, a gdy brak: klucz &lt;sel&gt;._domainkey ze strefy DA do skopiowania u zewnętrznego DNS; test mail-auth.spec.ts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ENDPOINT BEZ UI</t>
        </is>
      </c>
      <c r="J112" s="12" t="inlineStr">
        <is>
          <t>services.controller.ts:114</t>
        </is>
      </c>
      <c r="K112" s="11" t="inlineStr">
        <is>
          <t>LUKA</t>
        </is>
      </c>
      <c r="L112" s="11" t="inlineStr">
        <is>
          <t>ŚREDNIA</t>
        </is>
      </c>
      <c r="M112" s="11" t="inlineStr">
        <is>
          <t>S</t>
        </is>
      </c>
      <c r="N112" s="12" t="inlineStr">
        <is>
          <t>backend w pełni działa, brak wejścia z UI</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BRAK</t>
        </is>
      </c>
      <c r="J113" s="12" t="inlineStr">
        <is>
          <t>—</t>
        </is>
      </c>
      <c r="K113" s="11" t="inlineStr">
        <is>
          <t>LUKA</t>
        </is>
      </c>
      <c r="L113" s="11" t="inlineStr">
        <is>
          <t>ŚREDNIA</t>
        </is>
      </c>
      <c r="M113" s="11" t="inlineStr">
        <is>
          <t>M</t>
        </is>
      </c>
      <c r="N113" s="12" t="inlineStr">
        <is>
          <t>„gdzie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BRAK</t>
        </is>
      </c>
      <c r="J114" s="12" t="inlineStr">
        <is>
          <t>—</t>
        </is>
      </c>
      <c r="K114" s="11" t="inlineStr">
        <is>
          <t>LUKA</t>
        </is>
      </c>
      <c r="L114" s="11" t="inlineStr">
        <is>
          <t>ŚREDNIA</t>
        </is>
      </c>
      <c r="M114" s="11" t="inlineStr">
        <is>
          <t>S</t>
        </is>
      </c>
      <c r="N114" s="12" t="inlineStr">
        <is>
          <t>cyber_Folks publikuje jawnie: 1000/dobę, 300/15 min</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w ramach migracji, nie jako osobne narzędzie</t>
        </is>
      </c>
      <c r="K115" s="11" t="inlineStr">
        <is>
          <t>CZĘŚCIOWY</t>
        </is>
      </c>
      <c r="L115" s="11" t="inlineStr">
        <is>
          <t>ŚREDNIA</t>
        </is>
      </c>
      <c r="M115" s="11" t="inlineStr">
        <is>
          <t>S</t>
        </is>
      </c>
      <c r="N115" s="12" t="inlineStr"/>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ATRAPA</t>
        </is>
      </c>
      <c r="J130" s="12" t="inlineStr">
        <is>
          <t>zależne od F-01</t>
        </is>
      </c>
      <c r="K130" s="11" t="inlineStr">
        <is>
          <t>LUKA</t>
        </is>
      </c>
      <c r="L130" s="11" t="inlineStr">
        <is>
          <t>ŚREDNIA</t>
        </is>
      </c>
      <c r="M130" s="11" t="inlineStr">
        <is>
          <t>S</t>
        </is>
      </c>
      <c r="N130" s="12" t="inlineStr"/>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BRAK</t>
        </is>
      </c>
      <c r="J138" s="12" t="inlineStr">
        <is>
          <t>—</t>
        </is>
      </c>
      <c r="K138" s="11" t="inlineStr">
        <is>
          <t>LUKA</t>
        </is>
      </c>
      <c r="L138" s="11" t="inlineStr">
        <is>
          <t>NISKA</t>
        </is>
      </c>
      <c r="M138" s="11" t="inlineStr">
        <is>
          <t>S</t>
        </is>
      </c>
      <c r="N138" s="12" t="inlineStr"/>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BRAK</t>
        </is>
      </c>
      <c r="J142" s="12" t="inlineStr">
        <is>
          <t>—</t>
        </is>
      </c>
      <c r="K142" s="11" t="inlineStr">
        <is>
          <t>LUKA</t>
        </is>
      </c>
      <c r="L142" s="11" t="inlineStr">
        <is>
          <t>WYSOKA</t>
        </is>
      </c>
      <c r="M142" s="11" t="inlineStr">
        <is>
          <t>L</t>
        </is>
      </c>
      <c r="N142" s="12" t="inlineStr">
        <is>
          <t>Imunify to koszt licencyjny — pozycja do unit economics</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CZĘŚCIOWE</t>
        </is>
      </c>
      <c r="J150" s="12" t="inlineStr">
        <is>
          <t>session-idle-guard.tsx</t>
        </is>
      </c>
      <c r="K150" s="11" t="inlineStr">
        <is>
          <t>CZĘŚCIOWY</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BRAK</t>
        </is>
      </c>
      <c r="J153" s="12" t="inlineStr">
        <is>
          <t>—</t>
        </is>
      </c>
      <c r="K153" s="11" t="inlineStr">
        <is>
          <t>LUKA</t>
        </is>
      </c>
      <c r="L153" s="11" t="inlineStr">
        <is>
          <t>NISKA</t>
        </is>
      </c>
      <c r="M153" s="11" t="inlineStr">
        <is>
          <t>S</t>
        </is>
      </c>
      <c r="N153" s="12" t="inlineStr"/>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BRAK</t>
        </is>
      </c>
      <c r="J166" s="12" t="inlineStr">
        <is>
          <t>—</t>
        </is>
      </c>
      <c r="K166" s="11" t="inlineStr">
        <is>
          <t>LUKA</t>
        </is>
      </c>
      <c r="L166" s="11" t="inlineStr">
        <is>
          <t>WYSOKA</t>
        </is>
      </c>
      <c r="M166" s="11" t="inlineStr">
        <is>
          <t>M</t>
        </is>
      </c>
      <c r="N166" s="12" t="inlineStr">
        <is>
          <t>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ATRAPA</t>
        </is>
      </c>
      <c r="J167" s="12" t="inlineStr">
        <is>
          <t>services.controller.ts:788-793 — buduje z BIEŻĄCEGO inwentarza konta, nie z archiwum</t>
        </is>
      </c>
      <c r="K167" s="11" t="inlineStr">
        <is>
          <t>LUKA</t>
        </is>
      </c>
      <c r="L167" s="11" t="inlineStr">
        <is>
          <t>WYSOKA</t>
        </is>
      </c>
      <c r="M167" s="11" t="inlineStr">
        <is>
          <t>M</t>
        </is>
      </c>
      <c r="N167" s="12" t="inlineStr">
        <is>
          <t>nazwa funkcji obiecuje coś, czego nie robi</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ENDPOINT BEZ UI</t>
        </is>
      </c>
      <c r="J174" s="12" t="inlineStr">
        <is>
          <t>subscriptions.admin.controller.ts:69,86 — zero wywołań w admin-panel</t>
        </is>
      </c>
      <c r="K174" s="11" t="inlineStr">
        <is>
          <t>LUKA</t>
        </is>
      </c>
      <c r="L174" s="11" t="inlineStr">
        <is>
          <t>ŚREDNIA</t>
        </is>
      </c>
      <c r="M174" s="11" t="inlineStr">
        <is>
          <t>S</t>
        </is>
      </c>
      <c r="N174" s="12" t="inlineStr">
        <is>
          <t>Skorygowane: klient ma self-restore z kopii lokalnych, operator ma działający endpoint. Brakuje przycisku.</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BRAK</t>
        </is>
      </c>
      <c r="J175" s="12" t="inlineStr">
        <is>
          <t>node-onboard-live.sh:240-244 tylko log_warn; wizard węzła (wizard-content.ts:21-40) nie ma kroku backupu</t>
        </is>
      </c>
      <c r="K175" s="11" t="inlineStr">
        <is>
          <t>LUKA</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BRAK</t>
        </is>
      </c>
      <c r="J184" s="12" t="inlineStr">
        <is>
          <t>—</t>
        </is>
      </c>
      <c r="K184" s="11" t="inlineStr">
        <is>
          <t>LUKA</t>
        </is>
      </c>
      <c r="L184" s="11" t="inlineStr">
        <is>
          <t>WYSOKA</t>
        </is>
      </c>
      <c r="M184" s="11" t="inlineStr">
        <is>
          <t>M</t>
        </is>
      </c>
      <c r="N184" s="12" t="inlineStr">
        <is>
          <t>4 z 5 hostingów PL to ma</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BRAK</t>
        </is>
      </c>
      <c r="J185" s="12" t="inlineStr">
        <is>
          <t>—</t>
        </is>
      </c>
      <c r="K185" s="11" t="inlineStr">
        <is>
          <t>LUKA</t>
        </is>
      </c>
      <c r="L185" s="11" t="inlineStr">
        <is>
          <t>ŚREDNIA</t>
        </is>
      </c>
      <c r="M185" s="11" t="inlineStr">
        <is>
          <t>M</t>
        </is>
      </c>
      <c r="N185" s="12" t="inlineStr"/>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BRAK</t>
        </is>
      </c>
      <c r="J188" s="12" t="inlineStr">
        <is>
          <t>—</t>
        </is>
      </c>
      <c r="K188" s="11" t="inlineStr">
        <is>
          <t>LUKA</t>
        </is>
      </c>
      <c r="L188" s="11" t="inlineStr">
        <is>
          <t>ŚREDNIA</t>
        </is>
      </c>
      <c r="M188" s="11" t="inlineStr">
        <is>
          <t>M</t>
        </is>
      </c>
      <c r="N188" s="12" t="inlineStr"/>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BRAK</t>
        </is>
      </c>
      <c r="J193" s="12" t="inlineStr">
        <is>
          <t>—</t>
        </is>
      </c>
      <c r="K193" s="11" t="inlineStr">
        <is>
          <t>LUKA</t>
        </is>
      </c>
      <c r="L193" s="11" t="inlineStr">
        <is>
          <t>ŚREDNIA</t>
        </is>
      </c>
      <c r="M193" s="11" t="inlineStr">
        <is>
          <t>M</t>
        </is>
      </c>
      <c r="N193" s="12" t="inlineStr"/>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BRAK</t>
        </is>
      </c>
      <c r="J194" s="12" t="inlineStr">
        <is>
          <t>—</t>
        </is>
      </c>
      <c r="K194" s="11" t="inlineStr">
        <is>
          <t>LUKA</t>
        </is>
      </c>
      <c r="L194" s="11" t="inlineStr">
        <is>
          <t>NISKA</t>
        </is>
      </c>
      <c r="M194" s="11" t="inlineStr">
        <is>
          <t>L</t>
        </is>
      </c>
      <c r="N194" s="12" t="inlineStr">
        <is>
          <t>realna przewaga dla agencji</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BRAK</t>
        </is>
      </c>
      <c r="J195" s="12" t="inlineStr">
        <is>
          <t>—</t>
        </is>
      </c>
      <c r="K195" s="11" t="inlineStr">
        <is>
          <t>LUKA</t>
        </is>
      </c>
      <c r="L195" s="11" t="inlineStr">
        <is>
          <t>NISKA</t>
        </is>
      </c>
      <c r="M195" s="11" t="inlineStr">
        <is>
          <t>S</t>
        </is>
      </c>
      <c r="N195" s="12" t="inlineStr"/>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CZĘŚCIOWE</t>
        </is>
      </c>
      <c r="J198" s="12" t="inlineStr">
        <is>
          <t>services.controller.ts:1001</t>
        </is>
      </c>
      <c r="K198" s="11" t="inlineStr">
        <is>
          <t>CZĘŚCIOWY</t>
        </is>
      </c>
      <c r="L198" s="11" t="inlineStr">
        <is>
          <t>ŚREDNIA</t>
        </is>
      </c>
      <c r="M198" s="11" t="inlineStr">
        <is>
          <t>S</t>
        </is>
      </c>
      <c r="N198" s="12" t="inlineStr">
        <is>
          <t>OSŁABIONE: migration-preflight.service.ts:93-131 — dla SFTP/SSH, czyli głównego kanału plików, testowany jest wyłącznie baner portu. Literówka w haśle przejdzie preflight.</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CZĘŚCIOWE</t>
        </is>
      </c>
      <c r="J202" s="12" t="inlineStr">
        <is>
          <t>migrations.staff.controller.ts:75,90,126</t>
        </is>
      </c>
      <c r="K202" s="11" t="inlineStr">
        <is>
          <t>CZĘŚCIOWY</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BRAK</t>
        </is>
      </c>
      <c r="J204" s="12" t="inlineStr">
        <is>
          <t>—</t>
        </is>
      </c>
      <c r="K204" s="11" t="inlineStr">
        <is>
          <t>LUKA</t>
        </is>
      </c>
      <c r="L204" s="11" t="inlineStr">
        <is>
          <t>WYSOKA</t>
        </is>
      </c>
      <c r="M204" s="11" t="inlineStr">
        <is>
          <t>M</t>
        </is>
      </c>
      <c r="N204" s="12" t="inlineStr"/>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BRAK</t>
        </is>
      </c>
      <c r="J205" s="12" t="inlineStr">
        <is>
          <t>—</t>
        </is>
      </c>
      <c r="K205" s="11" t="inlineStr">
        <is>
          <t>LUKA</t>
        </is>
      </c>
      <c r="L205" s="11" t="inlineStr">
        <is>
          <t>WYSOKA</t>
        </is>
      </c>
      <c r="M205" s="11" t="inlineStr">
        <is>
          <t>M</t>
        </is>
      </c>
      <c r="N205" s="12" t="inlineStr">
        <is>
          <t>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BRAK</t>
        </is>
      </c>
      <c r="J216" s="12" t="inlineStr">
        <is>
          <t>—</t>
        </is>
      </c>
      <c r="K216" s="11" t="inlineStr">
        <is>
          <t>LUKA</t>
        </is>
      </c>
      <c r="L216" s="11" t="inlineStr">
        <is>
          <t>ŚREDNIA</t>
        </is>
      </c>
      <c r="M216" s="11" t="inlineStr">
        <is>
          <t>S</t>
        </is>
      </c>
      <c r="N216" s="12" t="inlineStr">
        <is>
          <t>żaden hosting PL nie publikuje — okazja na transparentność</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BRAK</t>
        </is>
      </c>
      <c r="J217" s="12" t="inlineStr">
        <is>
          <t>—</t>
        </is>
      </c>
      <c r="K217" s="11" t="inlineStr">
        <is>
          <t>LUKA</t>
        </is>
      </c>
      <c r="L217" s="11" t="inlineStr">
        <is>
          <t>WYSOKA</t>
        </is>
      </c>
      <c r="M217" s="11" t="inlineStr">
        <is>
          <t>M</t>
        </is>
      </c>
      <c r="N217" s="12" t="inlineStr">
        <is>
          <t>wszystkie 5 hostingów PL to ma; seohost reklamuje jako darmowe</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BRAK</t>
        </is>
      </c>
      <c r="J218" s="12" t="inlineStr">
        <is>
          <t>—</t>
        </is>
      </c>
      <c r="K218" s="11" t="inlineStr">
        <is>
          <t>LUKA</t>
        </is>
      </c>
      <c r="L218" s="11" t="inlineStr">
        <is>
          <t>WYSOKA</t>
        </is>
      </c>
      <c r="M218" s="11" t="inlineStr">
        <is>
          <t>M</t>
        </is>
      </c>
      <c r="N218" s="12" t="inlineStr">
        <is>
          <t>j.w. — bez tego klient nie zdiagnozuje własnej strony</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BRAK</t>
        </is>
      </c>
      <c r="J219" s="12" t="inlineStr">
        <is>
          <t>—</t>
        </is>
      </c>
      <c r="K219" s="11" t="inlineStr">
        <is>
          <t>LUKA</t>
        </is>
      </c>
      <c r="L219" s="11" t="inlineStr">
        <is>
          <t>ŚREDNIA</t>
        </is>
      </c>
      <c r="M219" s="11" t="inlineStr">
        <is>
          <t>S</t>
        </is>
      </c>
      <c r="N219" s="12" t="inlineStr"/>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CZĘŚCIOWE</t>
        </is>
      </c>
      <c r="J221" s="12" t="inlineStr">
        <is>
          <t>monitoring dostępności działa; brak alertów o limitach zasobów</t>
        </is>
      </c>
      <c r="K221" s="11" t="inlineStr">
        <is>
          <t>CZĘŚCIOWY</t>
        </is>
      </c>
      <c r="L221" s="11" t="inlineStr">
        <is>
          <t>ŚREDNIA</t>
        </is>
      </c>
      <c r="M221" s="11" t="inlineStr">
        <is>
          <t>S</t>
        </is>
      </c>
      <c r="N221" s="12" t="inlineStr"/>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BRAK</t>
        </is>
      </c>
      <c r="J230" s="12" t="inlineStr">
        <is>
          <t>—</t>
        </is>
      </c>
      <c r="K230" s="11" t="inlineStr">
        <is>
          <t>LUKA</t>
        </is>
      </c>
      <c r="L230" s="11" t="inlineStr">
        <is>
          <t>ŚREDNIA</t>
        </is>
      </c>
      <c r="M230" s="11" t="inlineStr">
        <is>
          <t>S</t>
        </is>
      </c>
      <c r="N230" s="12" t="inlineStr">
        <is>
          <t>obecnie usuń i dodaj ponownie</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b.d.</t>
        </is>
      </c>
      <c r="J231" s="12" t="inlineStr">
        <is>
          <t>zależne od konfiguracji DA</t>
        </is>
      </c>
      <c r="K231" s="11" t="inlineStr">
        <is>
          <t>CZĘŚCIOWY</t>
        </is>
      </c>
      <c r="L231" s="11" t="inlineStr">
        <is>
          <t>NISKA</t>
        </is>
      </c>
      <c r="M231" s="11" t="inlineStr">
        <is>
          <t>S</t>
        </is>
      </c>
      <c r="N231" s="12" t="inlineStr">
        <is>
          <t>cyber_Folks ma minimum 60 min — okazja</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BRAK</t>
        </is>
      </c>
      <c r="J232" s="12" t="inlineStr">
        <is>
          <t>—</t>
        </is>
      </c>
      <c r="K232" s="11" t="inlineStr">
        <is>
          <t>LUKA</t>
        </is>
      </c>
      <c r="L232" s="11" t="inlineStr">
        <is>
          <t>ŚREDNIA</t>
        </is>
      </c>
      <c r="M232" s="11" t="inlineStr">
        <is>
          <t>S</t>
        </is>
      </c>
      <c r="N232" s="12" t="inlineStr">
        <is>
          <t>seohost to reklamuje</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BRAK</t>
        </is>
      </c>
      <c r="J233" s="12" t="inlineStr">
        <is>
          <t>—</t>
        </is>
      </c>
      <c r="K233" s="11" t="inlineStr">
        <is>
          <t>LUKA</t>
        </is>
      </c>
      <c r="L233" s="11" t="inlineStr">
        <is>
          <t>ŚREDNIA</t>
        </is>
      </c>
      <c r="M233" s="11" t="inlineStr">
        <is>
          <t>M</t>
        </is>
      </c>
      <c r="N233" s="12" t="inlineStr"/>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BRAK</t>
        </is>
      </c>
      <c r="J235" s="12" t="inlineStr">
        <is>
          <t>api-scopes.ts:3 — 3 zakresy read-only; przyznane w api-tokens-client.tsx:158</t>
        </is>
      </c>
      <c r="K235" s="11" t="inlineStr">
        <is>
          <t>LUKA</t>
        </is>
      </c>
      <c r="L235" s="11" t="inlineStr">
        <is>
          <t>ŚREDNIA</t>
        </is>
      </c>
      <c r="M235" s="11" t="inlineStr">
        <is>
          <t>L</t>
        </is>
      </c>
      <c r="N235" s="12" t="inlineStr">
        <is>
          <t>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CZĘŚCIOWE</t>
        </is>
      </c>
      <c r="J236" s="12" t="inlineStr">
        <is>
          <t>api-tokens.controller.ts:35</t>
        </is>
      </c>
      <c r="K236" s="11" t="inlineStr">
        <is>
          <t>CZĘŚCIOWY</t>
        </is>
      </c>
      <c r="L236" s="11" t="inlineStr">
        <is>
          <t>NISKA</t>
        </is>
      </c>
      <c r="M236" s="11" t="inlineStr">
        <is>
          <t>S</t>
        </is>
      </c>
      <c r="N236" s="12" t="inlineStr"/>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BRAK</t>
        </is>
      </c>
      <c r="J237" s="12" t="inlineStr">
        <is>
          <t>—</t>
        </is>
      </c>
      <c r="K237" s="11" t="inlineStr">
        <is>
          <t>LUKA</t>
        </is>
      </c>
      <c r="L237" s="11" t="inlineStr">
        <is>
          <t>NISKA</t>
        </is>
      </c>
      <c r="M237" s="11" t="inlineStr">
        <is>
          <t>M</t>
        </is>
      </c>
      <c r="N237" s="12" t="inlineStr"/>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BRAK</t>
        </is>
      </c>
      <c r="J246" s="12" t="inlineStr">
        <is>
          <t>brak flagi isDuplicate, brak endpointu</t>
        </is>
      </c>
      <c r="K246" s="11" t="inlineStr">
        <is>
          <t>LUKA</t>
        </is>
      </c>
      <c r="L246" s="11" t="inlineStr">
        <is>
          <t>ŚREDNIA</t>
        </is>
      </c>
      <c r="M246" s="11" t="inlineStr">
        <is>
          <t>M</t>
        </is>
      </c>
      <c r="N246" s="12" t="inlineStr">
        <is>
          <t>Skorygowane: brak flagi potwierdzony, ale przy fakturze ustrukturyzowanej i PDF wystawianym na żądanie duplikat nie blokuje sprzedaży.</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BRAK</t>
        </is>
      </c>
      <c r="J248" s="12" t="inlineStr">
        <is>
          <t>invoices.service.ts:17 — DEFAULT_VAT_RATE = 23 na sztywno</t>
        </is>
      </c>
      <c r="K248" s="11" t="inlineStr">
        <is>
          <t>LUKA</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CZĘŚCIOWE</t>
        </is>
      </c>
      <c r="J249" s="12" t="inlineStr">
        <is>
          <t>invoice-pdf.service.ts:61 formatuje PLN/EUR/USD; brak kursu i przeliczenia (art. 31a)</t>
        </is>
      </c>
      <c r="K249" s="11" t="inlineStr">
        <is>
          <t>CZĘŚCIOWY</t>
        </is>
      </c>
      <c r="L249" s="11" t="inlineStr">
        <is>
          <t>WYSOKA</t>
        </is>
      </c>
      <c r="M249" s="11" t="inlineStr">
        <is>
          <t>M</t>
        </is>
      </c>
      <c r="N249" s="12" t="inlineStr">
        <is>
          <t>KSeF odrzuca wszystko poza PLN (fa3-xml.builder.ts:64-66)</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LUKA</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LUKA</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LUKA</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LUKA</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billing.controller.ts:107</t>
        </is>
      </c>
      <c r="K261" s="11" t="inlineStr">
        <is>
          <t>PRZEWAGA</t>
        </is>
      </c>
      <c r="L261" s="11" t="inlineStr">
        <is>
          <t>—</t>
        </is>
      </c>
      <c r="M261" s="11" t="inlineStr">
        <is>
          <t>—</t>
        </is>
      </c>
      <c r="N261" s="12" t="inlineStr">
        <is>
          <t>ZERO testów (wallet-auto-topup.service.ts, 258 l.)</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CZĘŚCIOWE</t>
        </is>
      </c>
      <c r="J263" s="12" t="inlineStr">
        <is>
          <t>renewal-reminder.scheduler.ts — przypomnienie, nie proforma</t>
        </is>
      </c>
      <c r="K263" s="11" t="inlineStr">
        <is>
          <t>CZĘŚCIOWY</t>
        </is>
      </c>
      <c r="L263" s="11" t="inlineStr">
        <is>
          <t>ŚREDNIA</t>
        </is>
      </c>
      <c r="M263" s="11" t="inlineStr">
        <is>
          <t>S</t>
        </is>
      </c>
      <c r="N263" s="12" t="inlineStr">
        <is>
          <t>wszystkie 5 hostingów PL wystawia proformę</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CZĘŚCIOWE</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t>
        </is>
      </c>
      <c r="K265" s="11" t="inlineStr">
        <is>
          <t>CZĘŚCIOWY</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BRAK</t>
        </is>
      </c>
      <c r="J266" s="12" t="inlineStr">
        <is>
          <t>karta zapisuje się tylko przy okazji Stripe Checkout</t>
        </is>
      </c>
      <c r="K266" s="11" t="inlineStr">
        <is>
          <t>LUKA</t>
        </is>
      </c>
      <c r="L266" s="11" t="inlineStr">
        <is>
          <t>ŚREDNIA</t>
        </is>
      </c>
      <c r="M266" s="11" t="inlineStr">
        <is>
          <t>S</t>
        </is>
      </c>
      <c r="N266" s="12" t="inlineStr"/>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ENDPOINT BEZ UI</t>
        </is>
      </c>
      <c r="J267" s="12" t="inlineStr">
        <is>
          <t>billing.controller.ts:70 — zero odwołań w panelu</t>
        </is>
      </c>
      <c r="K267" s="11" t="inlineStr">
        <is>
          <t>LUKA</t>
        </is>
      </c>
      <c r="L267" s="11" t="inlineStr">
        <is>
          <t>NISKA</t>
        </is>
      </c>
      <c r="M267" s="11" t="inlineStr">
        <is>
          <t>S</t>
        </is>
      </c>
      <c r="N267" s="12" t="inlineStr"/>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BRAK</t>
        </is>
      </c>
      <c r="J277" s="12" t="inlineStr">
        <is>
          <t>renewal.scheduler.ts:74-78 wybiera wyłącznie status ACTIVE — subskrypcja w PAST_DUE (:236-241) nie jest ponawiana; getPaymentRetryUrl (subscriptions.service.ts:1509-1516) odrzuca wszystko poza STRIPE_CARD</t>
        </is>
      </c>
      <c r="K277" s="11" t="inlineStr">
        <is>
          <t>LUKA</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BRAK</t>
        </is>
      </c>
      <c r="J278" s="12" t="inlineStr">
        <is>
          <t>brak jakiegokolwiek zapytania/raportu; luka Z-02 była otwarta do 2026-08-21</t>
        </is>
      </c>
      <c r="K278" s="11" t="inlineStr">
        <is>
          <t>LUKA</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BRAK</t>
        </is>
      </c>
      <c r="J279" s="12" t="inlineStr">
        <is>
          <t>node-migration-worker.sh — host źródła pochodzi z formularza i nie jest niczym ograniczony</t>
        </is>
      </c>
      <c r="K279" s="11" t="inlineStr">
        <is>
          <t>LUKA</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b.d.</t>
        </is>
      </c>
      <c r="J281" s="12" t="inlineStr">
        <is>
          <t>brak przeglądu; sprawdzone tylko wystąpienia Date.now() w kluczach</t>
        </is>
      </c>
      <c r="K281" s="11" t="inlineStr">
        <is>
          <t>LUKA</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FLAGA</t>
        </is>
      </c>
      <c r="J286" s="12" t="inlineStr">
        <is>
          <t>ai.controller.ts:53 — AI_API_KEY</t>
        </is>
      </c>
      <c r="K286" s="11" t="inlineStr">
        <is>
          <t>CZĘŚCIOWY</t>
        </is>
      </c>
      <c r="L286" s="11" t="inlineStr">
        <is>
          <t>NISKA</t>
        </is>
      </c>
      <c r="M286" s="11" t="inlineStr">
        <is>
          <t>S</t>
        </is>
      </c>
      <c r="N286" s="12" t="inlineStr"/>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notifications-tab.tsx:70 — sekcja „Zawsze włączone” to statyczny tekst bez backendu</t>
        </is>
      </c>
      <c r="K291" s="11" t="inlineStr">
        <is>
          <t>CZĘŚCIOWY</t>
        </is>
      </c>
      <c r="L291" s="11" t="inlineStr">
        <is>
          <t>ŚREDNIA</t>
        </is>
      </c>
      <c r="M291" s="11" t="inlineStr">
        <is>
          <t>S</t>
        </is>
      </c>
      <c r="N291" s="12" t="inlineStr">
        <is>
          <t>sterowalne są tylko zgody marketingowe</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ENDPOINT BEZ UI</t>
        </is>
      </c>
      <c r="J292" s="12" t="inlineStr">
        <is>
          <t>product-ops.admin.controller.ts:281,307,342,427; product-ops/data.ts:78-85 to same GET-y</t>
        </is>
      </c>
      <c r="K292" s="11" t="inlineStr">
        <is>
          <t>LUKA</t>
        </is>
      </c>
      <c r="L292" s="11" t="inlineStr">
        <is>
          <t>WYSOKA</t>
        </is>
      </c>
      <c r="M292" s="11" t="inlineStr">
        <is>
          <t>M</t>
        </is>
      </c>
      <c r="N292" s="12" t="inlineStr">
        <is>
          <t>cały panel Product Ops/NOC jest read-only</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ENDPOINT BEZ UI</t>
        </is>
      </c>
      <c r="J293" s="12" t="inlineStr">
        <is>
          <t>product-ops.admin.controller.ts:342</t>
        </is>
      </c>
      <c r="K293" s="11" t="inlineStr">
        <is>
          <t>LUKA</t>
        </is>
      </c>
      <c r="L293" s="11" t="inlineStr">
        <is>
          <t>ŚREDNIA</t>
        </is>
      </c>
      <c r="M293" s="11" t="inlineStr">
        <is>
          <t>S</t>
        </is>
      </c>
      <c r="N293" s="12" t="inlineStr"/>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BRAK</t>
        </is>
      </c>
      <c r="J294" s="12" t="inlineStr">
        <is>
          <t>brak modułu, encji i trasy; jest tylko outbound-abuse.guard.ts:7-18 bez UI</t>
        </is>
      </c>
      <c r="K294" s="11" t="inlineStr">
        <is>
          <t>LUKA</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ai-chat.service.ts (223 l.)</t>
        </is>
      </c>
      <c r="K300" s="11" t="inlineStr">
        <is>
          <t>PRZEWAGA</t>
        </is>
      </c>
      <c r="L300" s="11" t="inlineStr">
        <is>
          <t>—</t>
        </is>
      </c>
      <c r="M300" s="11" t="inlineStr">
        <is>
          <t>—</t>
        </is>
      </c>
      <c r="N300" s="12" t="inlineStr">
        <is>
          <t>OSŁABIONE: wynik renderowany jako surowy JSON.stringify w &lt;pre&gt; (ticket-detail-panel.tsx:346-349), bez możliwości wstawienia do odpowiedzi.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ATRAPA</t>
        </is>
      </c>
      <c r="J301" s="12" t="inlineStr">
        <is>
          <t>tickets/page.tsx:24 → /tickets/${id}; trasa nie istnieje w admin-panel</t>
        </is>
      </c>
      <c r="K301" s="11" t="inlineStr">
        <is>
          <t>LUKA</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BRAK</t>
        </is>
      </c>
      <c r="J308" s="12" t="inlineStr">
        <is>
          <t>—</t>
        </is>
      </c>
      <c r="K308" s="11" t="inlineStr">
        <is>
          <t>LUKA</t>
        </is>
      </c>
      <c r="L308" s="11" t="inlineStr">
        <is>
          <t>ŚREDNIA</t>
        </is>
      </c>
      <c r="M308" s="11" t="inlineStr">
        <is>
          <t>L</t>
        </is>
      </c>
      <c r="N308" s="12" t="inlineStr">
        <is>
          <t>bez tego reseller nie jest produktem</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reseller.admin.controller.ts:44,50 — tylko operator, nie reseller</t>
        </is>
      </c>
      <c r="K309" s="11" t="inlineStr">
        <is>
          <t>CZĘŚCIOWY</t>
        </is>
      </c>
      <c r="L309" s="11" t="inlineStr">
        <is>
          <t>NISKA</t>
        </is>
      </c>
      <c r="M309" s="11" t="inlineStr">
        <is>
          <t>M</t>
        </is>
      </c>
      <c r="N309" s="12" t="inlineStr"/>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ATRAPA</t>
        </is>
      </c>
      <c r="J310" s="12" t="inlineStr">
        <is>
          <t>reseller-client.tsx:49 — jedyna akcja to „Napisz do nas”</t>
        </is>
      </c>
      <c r="K310" s="11" t="inlineStr">
        <is>
          <t>LUKA</t>
        </is>
      </c>
      <c r="L310" s="11" t="inlineStr">
        <is>
          <t>NISKA</t>
        </is>
      </c>
      <c r="M310" s="11" t="inlineStr">
        <is>
          <t>M</t>
        </is>
      </c>
      <c r="N310" s="12" t="inlineStr">
        <is>
          <t>strona sprzedażowa bez operacji zapisu</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data-export.service.ts:43-76 (ZIP, 12 sekcji, 13 tabel, TTL 7 dni)</t>
        </is>
      </c>
      <c r="K316" s="11" t="inlineStr">
        <is>
          <t>PRZEWAGA</t>
        </is>
      </c>
      <c r="L316" s="11" t="inlineStr">
        <is>
          <t>—</t>
        </is>
      </c>
      <c r="M316" s="11" t="inlineStr">
        <is>
          <t>—</t>
        </is>
      </c>
      <c r="N316" s="12" t="inlineStr">
        <is>
          <t>ZERO testów</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account-deletion.service.ts:29,308,383-432</t>
        </is>
      </c>
      <c r="K317" s="11" t="inlineStr">
        <is>
          <t>PRZEWAGA</t>
        </is>
      </c>
      <c r="L317" s="11" t="inlineStr">
        <is>
          <t>WYSOKA</t>
        </is>
      </c>
      <c r="M317" s="11" t="inlineStr">
        <is>
          <t>—</t>
        </is>
      </c>
      <c r="N317" s="12" t="inlineStr">
        <is>
          <t>ZERO testów na operacji NIEODWRACALNEJ (twarde kasowanie konta DA)</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retention.scheduler.ts:29,30,87,95</t>
        </is>
      </c>
      <c r="K323" s="11" t="inlineStr">
        <is>
          <t>PRZEWAGA</t>
        </is>
      </c>
      <c r="L323" s="11" t="inlineStr">
        <is>
          <t>—</t>
        </is>
      </c>
      <c r="M323" s="11" t="inlineStr">
        <is>
          <t>—</t>
        </is>
      </c>
      <c r="N323" s="12" t="inlineStr">
        <is>
          <t>ZERO testów</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BRAK</t>
        </is>
      </c>
      <c r="J327" s="12" t="inlineStr">
        <is>
          <t>docs/legal/EAA_AUDYT_DOSTEPNOSCI_2026-07-07.md — audyt wykonany, skip-link i focus-visible naprawione w commicie z 2026-07-07</t>
        </is>
      </c>
      <c r="K327" s="11" t="inlineStr">
        <is>
          <t>LUKA</t>
        </is>
      </c>
      <c r="L327" s="11" t="inlineStr">
        <is>
          <t>ŚREDNIA</t>
        </is>
      </c>
      <c r="M327" s="11" t="inlineStr">
        <is>
          <t>L</t>
        </is>
      </c>
      <c r="N327" s="12" t="inlineStr">
        <is>
          <t>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b.d.</t>
        </is>
      </c>
      <c r="J328" s="12" t="inlineStr">
        <is>
          <t>poza kodem</t>
        </is>
      </c>
      <c r="K328" s="11" t="inlineStr">
        <is>
          <t>CZĘŚCIOWY</t>
        </is>
      </c>
      <c r="L328" s="11" t="inlineStr">
        <is>
          <t>ŚREDNIA</t>
        </is>
      </c>
      <c r="M328" s="11" t="inlineStr">
        <is>
          <t>S</t>
        </is>
      </c>
      <c r="N328" s="12" t="inlineStr">
        <is>
          <t>wszystkie 5 hostingów PL to eksponuje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b.d.</t>
        </is>
      </c>
      <c r="J339" s="12" t="inlineStr">
        <is>
          <t>brak audytu w repo</t>
        </is>
      </c>
      <c r="K339" s="11" t="inlineStr">
        <is>
          <t>CZĘŚCIOWY</t>
        </is>
      </c>
      <c r="L339" s="11" t="inlineStr">
        <is>
          <t>WYSOKA</t>
        </is>
      </c>
      <c r="M339" s="11" t="inlineStr">
        <is>
          <t>M</t>
        </is>
      </c>
      <c r="N339" s="12" t="inlineStr">
        <is>
          <t>twardy wymóg zapisany w decyzji brandingowej DA</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BRAK</t>
        </is>
      </c>
      <c r="J353" s="12" t="inlineStr">
        <is>
          <t>admin-panel i staff-panel: 0 plików; client-panel: 1 plik bez runnera (brak skryptu test w package.json:5-11)</t>
        </is>
      </c>
      <c r="K353" s="11" t="inlineStr">
        <is>
          <t>LUKA</t>
        </is>
      </c>
      <c r="L353" s="11" t="inlineStr">
        <is>
          <t>ŚREDNIA</t>
        </is>
      </c>
      <c r="M353" s="11" t="inlineStr">
        <is>
          <t>L</t>
        </is>
      </c>
      <c r="N353" s="12" t="inlineStr"/>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BRAK</t>
        </is>
      </c>
      <c r="J354" s="12" t="inlineStr">
        <is>
          <t>zero plików .spec w apps/api/src/auth</t>
        </is>
      </c>
      <c r="K354" s="11" t="inlineStr">
        <is>
          <t>LUKA</t>
        </is>
      </c>
      <c r="L354" s="11" t="inlineStr">
        <is>
          <t>WYSOKA</t>
        </is>
      </c>
      <c r="M354" s="11" t="inlineStr">
        <is>
          <t>M</t>
        </is>
      </c>
      <c r="N354" s="12" t="inlineStr">
        <is>
          <t>Reklasyfikacja jak X-01 — z zastrzeżeniem, że po ustaleniach Z-02 i Z-04 to właśnie moduł auth i guardy są miejscem, gdzie brak testów już zamienił się w realne luki.</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LUKA</t>
        </is>
      </c>
      <c r="L355" s="11" t="inlineStr">
        <is>
          <t>WYSOKA</t>
        </is>
      </c>
      <c r="M355" s="11" t="inlineStr">
        <is>
          <t>M</t>
        </is>
      </c>
      <c r="N355" s="12" t="inlineStr">
        <is>
          <t>Reklasyfikacja jak X-01.</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BRAK</t>
        </is>
      </c>
      <c r="J356" s="12" t="inlineStr">
        <is>
          <t>offsite-restore.service.ts (regex chroniący przed path traversal na wejściu od klienta) — ZERO testów</t>
        </is>
      </c>
      <c r="K356" s="11" t="inlineStr">
        <is>
          <t>LUKA</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BRAK</t>
        </is>
      </c>
      <c r="J357" s="12" t="inlineStr">
        <is>
          <t>directadmin.service.ts ma 3057 linii; testowany jest wyłącznie helper mergeAdminSettingsPayload</t>
        </is>
      </c>
      <c r="K357" s="11" t="inlineStr">
        <is>
          <t>LUKA</t>
        </is>
      </c>
      <c r="L357" s="11" t="inlineStr">
        <is>
          <t>WYSOKA</t>
        </is>
      </c>
      <c r="M357" s="11" t="inlineStr">
        <is>
          <t>L</t>
        </is>
      </c>
      <c r="N357" s="12" t="inlineStr"/>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ATRAPA</t>
        </is>
      </c>
      <c r="J358" s="12" t="inlineStr">
        <is>
          <t>3 pliki spec czytają Reflect.getMetadata(ROLES_KEY) — weryfikują, że dekorator napisano, nie że guard blokuje</t>
        </is>
      </c>
      <c r="K358" s="11" t="inlineStr">
        <is>
          <t>LUKA</t>
        </is>
      </c>
      <c r="L358" s="11" t="inlineStr">
        <is>
          <t>WYSOKA</t>
        </is>
      </c>
      <c r="M358" s="11" t="inlineStr">
        <is>
          <t>M</t>
        </is>
      </c>
      <c r="N358" s="12" t="inlineStr">
        <is>
          <t>pokrycie pozorne w najdroższym możliwym miejscu</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BRAK</t>
        </is>
      </c>
      <c r="J365" s="12" t="inlineStr">
        <is>
          <t>node-capacity.ts — bramka fizyczna odmawia po przekroczeniu progu, nie przed</t>
        </is>
      </c>
      <c r="K365" s="11" t="inlineStr">
        <is>
          <t>LUKA</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BRAK</t>
        </is>
      </c>
      <c r="J367" s="12" t="inlineStr">
        <is>
          <t>autoscaling-engine.service.ts — obcięcie zostawia wpis w dzienniku audytu i warn w logu, ale panel klienta nie pokazuje niczego</t>
        </is>
      </c>
      <c r="K367" s="11" t="inlineStr">
        <is>
          <t>LUKA</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CZĘŚCIOWE</t>
        </is>
      </c>
      <c r="J373" s="12" t="inlineStr">
        <is>
          <t>libs/eslint-config/node.mjs oraz apps/*/eslint.config.mjs — reguły włączone, ale część jako ostrzeżenia; 209 ostrzeżeń w panelach, 58 w API</t>
        </is>
      </c>
      <c r="K373" s="11" t="inlineStr">
        <is>
          <t>CZĘŚCIOWY</t>
        </is>
      </c>
      <c r="L373" s="11" t="inlineStr">
        <is>
          <t>ŚREDNIA</t>
        </is>
      </c>
      <c r="M373" s="11" t="inlineStr">
        <is>
          <t>M</t>
        </is>
      </c>
      <c r="N373" s="12" t="inlineStr">
        <is>
          <t>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BRAK</t>
        </is>
      </c>
      <c r="J376" s="12" t="inlineStr">
        <is>
          <t>apps/api/src/compliance/data-export.service.ts — buildZipToFile bez żadnego testu; apps/api/src/compliance/*.spec.ts — brak pokrycia tej ścieżki</t>
        </is>
      </c>
      <c r="K376" s="11" t="inlineStr">
        <is>
          <t>LUKA</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b.d.</t>
        </is>
      </c>
      <c r="J378" s="12" t="inlineStr">
        <is>
          <t>faktura-za-portfel.ts — TYPY_SPRZEDAZY nie obejmuje TOPUP; billing.service.ts:handleCheckoutCompleted — doładowanie kredytuje portfel i nie tworzy dokumentu</t>
        </is>
      </c>
      <c r="K378" s="11" t="inlineStr">
        <is>
          <t>CZĘŚCIOWY</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BRAK</t>
        </is>
      </c>
      <c r="J390" s="12" t="inlineStr">
        <is>
          <t>package.json (korzeń) — @eslint/js ^10.0.1 przy braku jakiegokolwiek eslint.config.* w korzeniu; libs/eslint-config/node_modules: eslint 10.9.0 obok @eslint/js 9.39.5; apps/api, apps/www, apps/client-panel, apps/status-page, libs/directadmin-sdk — eslint 9.39.5</t>
        </is>
      </c>
      <c r="K390" s="11" t="inlineStr">
        <is>
          <t>LUKA</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BRAK</t>
        </is>
      </c>
      <c r="J392" s="12" t="inlineStr">
        <is>
          <t>audyt/dane/macierz.csv — ostatnia pozycja przed 2026-08-28 to X-34 z 24.08; brak w macierzy bylo 32 pozycji: DEP-01, ENV-01, ENV-02, X-37..X-48 (bez X-44 w macierzy), DEV-01, KSEF-01..05, PANEL-01, OPS-01, NODE-01..03, SEC-01..06</t>
        </is>
      </c>
      <c r="K392" s="11" t="inlineStr">
        <is>
          <t>LUKA</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BRAK</t>
        </is>
      </c>
      <c r="J393" s="12" t="inlineStr">
        <is>
          <t>GitHub: 8 otwartych PR-ów, przebiegi CI #147–#150 od `dependabot[bot]`, 2026-08-28</t>
        </is>
      </c>
      <c r="K393" s="11" t="inlineStr">
        <is>
          <t>LUKA</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BRAK</t>
        </is>
      </c>
      <c r="J398" s="12" t="inlineStr">
        <is>
          <t>D1: odczyt obu plików, 2026-08-28. Świadomie NIE naprawiane dzisiaj — włączenie `strictNullChecks` w projekcie tej wielkości to osobna, duża praca z własnym planem, a nie doklejka do sprzątania martwych przypisań. Zapisane, żeby decyzja o terminie była decyzją, a nie przeoczeniem.</t>
        </is>
      </c>
      <c r="K398" s="11" t="inlineStr">
        <is>
          <t>LUKA</t>
        </is>
      </c>
      <c r="L398" s="11" t="inlineStr">
        <is>
          <t>WYSOKA</t>
        </is>
      </c>
      <c r="M398" s="11" t="inlineStr">
        <is>
          <t>L</t>
        </is>
      </c>
      <c r="N398"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BRAK</t>
        </is>
      </c>
      <c r="J399" s="12" t="inlineStr">
        <is>
          <t>D3 (maszyna deweloperska): `FATAL: role "verris" does not exist` oraz `role "postgres" does not exist` przy połączeniu po gnieździe wewnątrz kontenera; `docker inspect` potwierdza `POSTGRES_USER=verris` w konfiguracji</t>
        </is>
      </c>
      <c r="K399" s="11" t="inlineStr">
        <is>
          <t>LUKA</t>
        </is>
      </c>
      <c r="L399" s="11" t="inlineStr">
        <is>
          <t>WYSOKA</t>
        </is>
      </c>
      <c r="M399" s="11" t="inlineStr">
        <is>
          <t>S</t>
        </is>
      </c>
      <c r="N399" s="12"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LUKA</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CZĘŚCIOWY</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LUKA</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sheetData>
  <autoFilter ref="A1:N430"/>
  <conditionalFormatting sqref="D2:D43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3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3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3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3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3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3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3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2026-09-23T10:08:53Z</dcterms:created>
  <dcterms:modified xmlns:dcterms="http://purl.org/dc/terms/" xmlns:xsi="http://www.w3.org/2001/XMLSchema-instance" xsi:type="dcterms:W3CDTF">2026-09-23T10:08:53Z</dcterms:modified>
</cp:coreProperties>
</file>