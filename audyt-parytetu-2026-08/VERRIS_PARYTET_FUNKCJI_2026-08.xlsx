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2026-10-14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COUNTIF(Macierz!$K$2:$K$441,A6)</f>
        <v/>
      </c>
    </row>
    <row r="7">
      <c r="A7" s="5" t="inlineStr">
        <is>
          <t>PRZEWAGA</t>
        </is>
      </c>
      <c r="B7" s="5">
        <f>COUNTIF(Macierz!$K$2:$K$441,A7)</f>
        <v/>
      </c>
    </row>
    <row r="8">
      <c r="A8" s="5" t="inlineStr">
        <is>
          <t>CZĘŚCIOWY</t>
        </is>
      </c>
      <c r="B8" s="5">
        <f>COUNTIF(Macierz!$K$2:$K$441,A8)</f>
        <v/>
      </c>
    </row>
    <row r="9">
      <c r="A9" s="5" t="inlineStr">
        <is>
          <t>LUKA</t>
        </is>
      </c>
      <c r="B9" s="5">
        <f>COUNTIF(Macierz!$K$2:$K$441,A9)</f>
        <v/>
      </c>
    </row>
    <row r="10">
      <c r="A10" s="5" t="inlineStr">
        <is>
          <t>POZA ZAKRESEM</t>
        </is>
      </c>
      <c r="B10" s="5">
        <f>COUNTIF(Macierz!$K$2:$K$441,A10)</f>
        <v/>
      </c>
    </row>
    <row r="13">
      <c r="A13" s="3" t="inlineStr">
        <is>
          <t>Stan implementacji</t>
        </is>
      </c>
    </row>
    <row r="14">
      <c r="A14" s="4" t="inlineStr">
        <is>
          <t>Wartość</t>
        </is>
      </c>
      <c r="B14" s="4" t="inlineStr">
        <is>
          <t>Pozycji</t>
        </is>
      </c>
    </row>
    <row r="15">
      <c r="A15" s="5" t="inlineStr">
        <is>
          <t>DZIAŁA</t>
        </is>
      </c>
      <c r="B15" s="5">
        <f>COUNTIF(Macierz!$I$2:$I$441,A15)</f>
        <v/>
      </c>
    </row>
    <row r="16">
      <c r="A16" s="5" t="inlineStr">
        <is>
          <t>CZĘŚCIOWE</t>
        </is>
      </c>
      <c r="B16" s="5">
        <f>COUNTIF(Macierz!$I$2:$I$441,A16)</f>
        <v/>
      </c>
    </row>
    <row r="17">
      <c r="A17" s="5" t="inlineStr">
        <is>
          <t>FLAGA</t>
        </is>
      </c>
      <c r="B17" s="5">
        <f>COUNTIF(Macierz!$I$2:$I$441,A17)</f>
        <v/>
      </c>
    </row>
    <row r="18">
      <c r="A18" s="5" t="inlineStr">
        <is>
          <t>ATRAPA</t>
        </is>
      </c>
      <c r="B18" s="5">
        <f>COUNTIF(Macierz!$I$2:$I$441,A18)</f>
        <v/>
      </c>
    </row>
    <row r="19">
      <c r="A19" s="5" t="inlineStr">
        <is>
          <t>ENDPOINT BEZ UI</t>
        </is>
      </c>
      <c r="B19" s="5">
        <f>COUNTIF(Macierz!$I$2:$I$441,A19)</f>
        <v/>
      </c>
    </row>
    <row r="20">
      <c r="A20" s="5" t="inlineStr">
        <is>
          <t>BRAK</t>
        </is>
      </c>
      <c r="B20" s="5">
        <f>COUNTIF(Macierz!$I$2:$I$441,A20)</f>
        <v/>
      </c>
    </row>
    <row r="21">
      <c r="A21" s="5" t="inlineStr">
        <is>
          <t>b.d.</t>
        </is>
      </c>
      <c r="B21" s="5">
        <f>COUNTIF(Macierz!$I$2:$I$441,A21)</f>
        <v/>
      </c>
    </row>
    <row r="24">
      <c r="A24" s="3" t="inlineStr">
        <is>
          <t>Krytyczność luk</t>
        </is>
      </c>
    </row>
    <row r="25">
      <c r="A25" s="4" t="inlineStr">
        <is>
          <t>Wartość</t>
        </is>
      </c>
      <c r="B25" s="4" t="inlineStr">
        <is>
          <t>Pozycji</t>
        </is>
      </c>
    </row>
    <row r="26">
      <c r="A26" s="6" t="inlineStr">
        <is>
          <t>BLOKER STARTU</t>
        </is>
      </c>
      <c r="B26" s="6">
        <f>COUNTIF(Macierz!$L$2:$L$441,A26)</f>
        <v/>
      </c>
    </row>
    <row r="27">
      <c r="A27" s="5" t="inlineStr">
        <is>
          <t>WYSOKA</t>
        </is>
      </c>
      <c r="B27" s="5">
        <f>COUNTIF(Macierz!$L$2:$L$441,A27)</f>
        <v/>
      </c>
    </row>
    <row r="28">
      <c r="A28" s="5" t="inlineStr">
        <is>
          <t>ŚREDNIA</t>
        </is>
      </c>
      <c r="B28" s="5">
        <f>COUNTIF(Macierz!$L$2:$L$441,A28)</f>
        <v/>
      </c>
    </row>
    <row r="29">
      <c r="A29" s="5" t="inlineStr">
        <is>
          <t>NISKA</t>
        </is>
      </c>
      <c r="B29" s="5">
        <f>COUNTIF(Macierz!$L$2:$L$441,A29)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COUNTIF(Macierz!$B$2:$B$441,"A")</f>
        <v/>
      </c>
      <c r="C33" s="7">
        <f>COUNTIFS(Macierz!$B$2:$B$441,"A",Macierz!$K$2:$K$441,"PARYTET")+COUNTIFS(Macierz!$B$2:$B$441,"A",Macierz!$K$2:$K$441,"PRZEWAGA")</f>
        <v/>
      </c>
      <c r="D33" s="7">
        <f>COUNTIFS(Macierz!$B$2:$B$441,"A",Macierz!$K$2:$K$441,"LUKA")</f>
        <v/>
      </c>
      <c r="E33" s="7">
        <f>COUNTIFS(Macierz!$B$2:$B$441,"A",Macierz!$L$2:$L$441,"BLOKER STARTU")</f>
        <v/>
      </c>
      <c r="F33" s="8">
        <f>IFERROR(C33/B33,0)</f>
        <v/>
      </c>
    </row>
    <row r="34">
      <c r="A34" s="7" t="inlineStr">
        <is>
          <t>B — Runtime WWW</t>
        </is>
      </c>
      <c r="B34" s="7">
        <f>COUNTIF(Macierz!$B$2:$B$441,"B")</f>
        <v/>
      </c>
      <c r="C34" s="7">
        <f>COUNTIFS(Macierz!$B$2:$B$441,"B",Macierz!$K$2:$K$441,"PARYTET")+COUNTIFS(Macierz!$B$2:$B$441,"B",Macierz!$K$2:$K$441,"PRZEWAGA")</f>
        <v/>
      </c>
      <c r="D34" s="7">
        <f>COUNTIFS(Macierz!$B$2:$B$441,"B",Macierz!$K$2:$K$441,"LUKA")</f>
        <v/>
      </c>
      <c r="E34" s="7">
        <f>COUNTIFS(Macierz!$B$2:$B$441,"B",Macierz!$L$2:$L$441,"BLOKER STARTU")</f>
        <v/>
      </c>
      <c r="F34" s="8">
        <f>IFERROR(C34/B34,0)</f>
        <v/>
      </c>
    </row>
    <row r="35">
      <c r="A35" s="7" t="inlineStr">
        <is>
          <t>C — Pliki, FTP, SSH, Git</t>
        </is>
      </c>
      <c r="B35" s="7">
        <f>COUNTIF(Macierz!$B$2:$B$441,"C")</f>
        <v/>
      </c>
      <c r="C35" s="7">
        <f>COUNTIFS(Macierz!$B$2:$B$441,"C",Macierz!$K$2:$K$441,"PARYTET")+COUNTIFS(Macierz!$B$2:$B$441,"C",Macierz!$K$2:$K$441,"PRZEWAGA")</f>
        <v/>
      </c>
      <c r="D35" s="7">
        <f>COUNTIFS(Macierz!$B$2:$B$441,"C",Macierz!$K$2:$K$441,"LUKA")</f>
        <v/>
      </c>
      <c r="E35" s="7">
        <f>COUNTIFS(Macierz!$B$2:$B$441,"C",Macierz!$L$2:$L$441,"BLOKER STARTU")</f>
        <v/>
      </c>
      <c r="F35" s="8">
        <f>IFERROR(C35/B35,0)</f>
        <v/>
      </c>
    </row>
    <row r="36">
      <c r="A36" s="7" t="inlineStr">
        <is>
          <t>D — Bazy danych</t>
        </is>
      </c>
      <c r="B36" s="7">
        <f>COUNTIF(Macierz!$B$2:$B$441,"D")</f>
        <v/>
      </c>
      <c r="C36" s="7">
        <f>COUNTIFS(Macierz!$B$2:$B$441,"D",Macierz!$K$2:$K$441,"PARYTET")+COUNTIFS(Macierz!$B$2:$B$441,"D",Macierz!$K$2:$K$441,"PRZEWAGA")</f>
        <v/>
      </c>
      <c r="D36" s="7">
        <f>COUNTIFS(Macierz!$B$2:$B$441,"D",Macierz!$K$2:$K$441,"LUKA")</f>
        <v/>
      </c>
      <c r="E36" s="7">
        <f>COUNTIFS(Macierz!$B$2:$B$441,"D",Macierz!$L$2:$L$441,"BLOKER STARTU")</f>
        <v/>
      </c>
      <c r="F36" s="8">
        <f>IFERROR(C36/B36,0)</f>
        <v/>
      </c>
    </row>
    <row r="37">
      <c r="A37" s="7" t="inlineStr">
        <is>
          <t>E — Poczta</t>
        </is>
      </c>
      <c r="B37" s="7">
        <f>COUNTIF(Macierz!$B$2:$B$441,"E")</f>
        <v/>
      </c>
      <c r="C37" s="7">
        <f>COUNTIFS(Macierz!$B$2:$B$441,"E",Macierz!$K$2:$K$441,"PARYTET")+COUNTIFS(Macierz!$B$2:$B$441,"E",Macierz!$K$2:$K$441,"PRZEWAGA")</f>
        <v/>
      </c>
      <c r="D37" s="7">
        <f>COUNTIFS(Macierz!$B$2:$B$441,"E",Macierz!$K$2:$K$441,"LUKA")</f>
        <v/>
      </c>
      <c r="E37" s="7">
        <f>COUNTIFS(Macierz!$B$2:$B$441,"E",Macierz!$L$2:$L$441,"BLOKER STARTU")</f>
        <v/>
      </c>
      <c r="F37" s="8">
        <f>IFERROR(C37/B37,0)</f>
        <v/>
      </c>
    </row>
    <row r="38">
      <c r="A38" s="7" t="inlineStr">
        <is>
          <t>F — DNS</t>
        </is>
      </c>
      <c r="B38" s="7">
        <f>COUNTIF(Macierz!$B$2:$B$441,"F")</f>
        <v/>
      </c>
      <c r="C38" s="7">
        <f>COUNTIFS(Macierz!$B$2:$B$441,"F",Macierz!$K$2:$K$441,"PARYTET")+COUNTIFS(Macierz!$B$2:$B$441,"F",Macierz!$K$2:$K$441,"PRZEWAGA")</f>
        <v/>
      </c>
      <c r="D38" s="7">
        <f>COUNTIFS(Macierz!$B$2:$B$441,"F",Macierz!$K$2:$K$441,"LUKA")</f>
        <v/>
      </c>
      <c r="E38" s="7">
        <f>COUNTIFS(Macierz!$B$2:$B$441,"F",Macierz!$L$2:$L$441,"BLOKER STARTU")</f>
        <v/>
      </c>
      <c r="F38" s="8">
        <f>IFERROR(C38/B38,0)</f>
        <v/>
      </c>
    </row>
    <row r="39">
      <c r="A39" s="7" t="inlineStr">
        <is>
          <t>G — SSL i bezpieczeństwo</t>
        </is>
      </c>
      <c r="B39" s="7">
        <f>COUNTIF(Macierz!$B$2:$B$441,"G")</f>
        <v/>
      </c>
      <c r="C39" s="7">
        <f>COUNTIFS(Macierz!$B$2:$B$441,"G",Macierz!$K$2:$K$441,"PARYTET")+COUNTIFS(Macierz!$B$2:$B$441,"G",Macierz!$K$2:$K$441,"PRZEWAGA")</f>
        <v/>
      </c>
      <c r="D39" s="7">
        <f>COUNTIFS(Macierz!$B$2:$B$441,"G",Macierz!$K$2:$K$441,"LUKA")</f>
        <v/>
      </c>
      <c r="E39" s="7">
        <f>COUNTIFS(Macierz!$B$2:$B$441,"G",Macierz!$L$2:$L$441,"BLOKER STARTU")</f>
        <v/>
      </c>
      <c r="F39" s="8">
        <f>IFERROR(C39/B39,0)</f>
        <v/>
      </c>
    </row>
    <row r="40">
      <c r="A40" s="7" t="inlineStr">
        <is>
          <t>H — Backup i odtwarzanie</t>
        </is>
      </c>
      <c r="B40" s="7">
        <f>COUNTIF(Macierz!$B$2:$B$441,"H")</f>
        <v/>
      </c>
      <c r="C40" s="7">
        <f>COUNTIFS(Macierz!$B$2:$B$441,"H",Macierz!$K$2:$K$441,"PARYTET")+COUNTIFS(Macierz!$B$2:$B$441,"H",Macierz!$K$2:$K$441,"PRZEWAGA")</f>
        <v/>
      </c>
      <c r="D40" s="7">
        <f>COUNTIFS(Macierz!$B$2:$B$441,"H",Macierz!$K$2:$K$441,"LUKA")</f>
        <v/>
      </c>
      <c r="E40" s="7">
        <f>COUNTIFS(Macierz!$B$2:$B$441,"H",Macierz!$L$2:$L$441,"BLOKER STARTU")</f>
        <v/>
      </c>
      <c r="F40" s="8">
        <f>IFERROR(C40/B40,0)</f>
        <v/>
      </c>
    </row>
    <row r="41">
      <c r="A41" s="7" t="inlineStr">
        <is>
          <t>I — Aplikacje i WordPress</t>
        </is>
      </c>
      <c r="B41" s="7">
        <f>COUNTIF(Macierz!$B$2:$B$441,"I")</f>
        <v/>
      </c>
      <c r="C41" s="7">
        <f>COUNTIFS(Macierz!$B$2:$B$441,"I",Macierz!$K$2:$K$441,"PARYTET")+COUNTIFS(Macierz!$B$2:$B$441,"I",Macierz!$K$2:$K$441,"PRZEWAGA")</f>
        <v/>
      </c>
      <c r="D41" s="7">
        <f>COUNTIFS(Macierz!$B$2:$B$441,"I",Macierz!$K$2:$K$441,"LUKA")</f>
        <v/>
      </c>
      <c r="E41" s="7">
        <f>COUNTIFS(Macierz!$B$2:$B$441,"I",Macierz!$L$2:$L$441,"BLOKER STARTU")</f>
        <v/>
      </c>
      <c r="F41" s="8">
        <f>IFERROR(C41/B41,0)</f>
        <v/>
      </c>
    </row>
    <row r="42">
      <c r="A42" s="7" t="inlineStr">
        <is>
          <t>J — Wydajność i cache</t>
        </is>
      </c>
      <c r="B42" s="7">
        <f>COUNTIF(Macierz!$B$2:$B$441,"J")</f>
        <v/>
      </c>
      <c r="C42" s="7">
        <f>COUNTIFS(Macierz!$B$2:$B$441,"J",Macierz!$K$2:$K$441,"PARYTET")+COUNTIFS(Macierz!$B$2:$B$441,"J",Macierz!$K$2:$K$441,"PRZEWAGA")</f>
        <v/>
      </c>
      <c r="D42" s="7">
        <f>COUNTIFS(Macierz!$B$2:$B$441,"J",Macierz!$K$2:$K$441,"LUKA")</f>
        <v/>
      </c>
      <c r="E42" s="7">
        <f>COUNTIFS(Macierz!$B$2:$B$441,"J",Macierz!$L$2:$L$441,"BLOKER STARTU")</f>
        <v/>
      </c>
      <c r="F42" s="8">
        <f>IFERROR(C42/B42,0)</f>
        <v/>
      </c>
    </row>
    <row r="43">
      <c r="A43" s="7" t="inlineStr">
        <is>
          <t>K — Statystyki, logi, limity</t>
        </is>
      </c>
      <c r="B43" s="7">
        <f>COUNTIF(Macierz!$B$2:$B$441,"K")</f>
        <v/>
      </c>
      <c r="C43" s="7">
        <f>COUNTIFS(Macierz!$B$2:$B$441,"K",Macierz!$K$2:$K$441,"PARYTET")+COUNTIFS(Macierz!$B$2:$B$441,"K",Macierz!$K$2:$K$441,"PRZEWAGA")</f>
        <v/>
      </c>
      <c r="D43" s="7">
        <f>COUNTIFS(Macierz!$B$2:$B$441,"K",Macierz!$K$2:$K$441,"LUKA")</f>
        <v/>
      </c>
      <c r="E43" s="7">
        <f>COUNTIFS(Macierz!$B$2:$B$441,"K",Macierz!$L$2:$L$441,"BLOKER STARTU")</f>
        <v/>
      </c>
      <c r="F43" s="8">
        <f>IFERROR(C43/B43,0)</f>
        <v/>
      </c>
    </row>
    <row r="44">
      <c r="A44" s="7" t="inlineStr">
        <is>
          <t>L — Automatyzacja</t>
        </is>
      </c>
      <c r="B44" s="7">
        <f>COUNTIF(Macierz!$B$2:$B$441,"L")</f>
        <v/>
      </c>
      <c r="C44" s="7">
        <f>COUNTIFS(Macierz!$B$2:$B$441,"L",Macierz!$K$2:$K$441,"PARYTET")+COUNTIFS(Macierz!$B$2:$B$441,"L",Macierz!$K$2:$K$441,"PRZEWAGA")</f>
        <v/>
      </c>
      <c r="D44" s="7">
        <f>COUNTIFS(Macierz!$B$2:$B$441,"L",Macierz!$K$2:$K$441,"LUKA")</f>
        <v/>
      </c>
      <c r="E44" s="7">
        <f>COUNTIFS(Macierz!$B$2:$B$441,"L",Macierz!$L$2:$L$441,"BLOKER STARTU")</f>
        <v/>
      </c>
      <c r="F44" s="8">
        <f>IFERROR(C44/B44,0)</f>
        <v/>
      </c>
    </row>
    <row r="45">
      <c r="A45" s="7" t="inlineStr">
        <is>
          <t>M — Rozliczenia</t>
        </is>
      </c>
      <c r="B45" s="7">
        <f>COUNTIF(Macierz!$B$2:$B$441,"M")</f>
        <v/>
      </c>
      <c r="C45" s="7">
        <f>COUNTIFS(Macierz!$B$2:$B$441,"M",Macierz!$K$2:$K$441,"PARYTET")+COUNTIFS(Macierz!$B$2:$B$441,"M",Macierz!$K$2:$K$441,"PRZEWAGA")</f>
        <v/>
      </c>
      <c r="D45" s="7">
        <f>COUNTIFS(Macierz!$B$2:$B$441,"M",Macierz!$K$2:$K$441,"LUKA")</f>
        <v/>
      </c>
      <c r="E45" s="7">
        <f>COUNTIFS(Macierz!$B$2:$B$441,"M",Macierz!$L$2:$L$441,"BLOKER STARTU")</f>
        <v/>
      </c>
      <c r="F45" s="8">
        <f>IFERROR(C45/B45,0)</f>
        <v/>
      </c>
    </row>
    <row r="46">
      <c r="A46" s="7" t="inlineStr">
        <is>
          <t>N — Wsparcie i ops</t>
        </is>
      </c>
      <c r="B46" s="7">
        <f>COUNTIF(Macierz!$B$2:$B$441,"N")</f>
        <v/>
      </c>
      <c r="C46" s="7">
        <f>COUNTIFS(Macierz!$B$2:$B$441,"N",Macierz!$K$2:$K$441,"PARYTET")+COUNTIFS(Macierz!$B$2:$B$441,"N",Macierz!$K$2:$K$441,"PRZEWAGA")</f>
        <v/>
      </c>
      <c r="D46" s="7">
        <f>COUNTIFS(Macierz!$B$2:$B$441,"N",Macierz!$K$2:$K$441,"LUKA")</f>
        <v/>
      </c>
      <c r="E46" s="7">
        <f>COUNTIFS(Macierz!$B$2:$B$441,"N",Macierz!$L$2:$L$441,"BLOKER STARTU")</f>
        <v/>
      </c>
      <c r="F46" s="8">
        <f>IFERROR(C46/B46,0)</f>
        <v/>
      </c>
    </row>
    <row r="47">
      <c r="A47" s="7" t="inlineStr">
        <is>
          <t>O — Multi-user i reseller</t>
        </is>
      </c>
      <c r="B47" s="7">
        <f>COUNTIF(Macierz!$B$2:$B$441,"O")</f>
        <v/>
      </c>
      <c r="C47" s="7">
        <f>COUNTIFS(Macierz!$B$2:$B$441,"O",Macierz!$K$2:$K$441,"PARYTET")+COUNTIFS(Macierz!$B$2:$B$441,"O",Macierz!$K$2:$K$441,"PRZEWAGA")</f>
        <v/>
      </c>
      <c r="D47" s="7">
        <f>COUNTIFS(Macierz!$B$2:$B$441,"O",Macierz!$K$2:$K$441,"LUKA")</f>
        <v/>
      </c>
      <c r="E47" s="7">
        <f>COUNTIFS(Macierz!$B$2:$B$441,"O",Macierz!$L$2:$L$441,"BLOKER STARTU")</f>
        <v/>
      </c>
      <c r="F47" s="8">
        <f>IFERROR(C47/B47,0)</f>
        <v/>
      </c>
    </row>
    <row r="48">
      <c r="A48" s="7" t="inlineStr">
        <is>
          <t>P — Zgodność</t>
        </is>
      </c>
      <c r="B48" s="7">
        <f>COUNTIF(Macierz!$B$2:$B$441,"P")</f>
        <v/>
      </c>
      <c r="C48" s="7">
        <f>COUNTIFS(Macierz!$B$2:$B$441,"P",Macierz!$K$2:$K$441,"PARYTET")+COUNTIFS(Macierz!$B$2:$B$441,"P",Macierz!$K$2:$K$441,"PRZEWAGA")</f>
        <v/>
      </c>
      <c r="D48" s="7">
        <f>COUNTIFS(Macierz!$B$2:$B$441,"P",Macierz!$K$2:$K$441,"LUKA")</f>
        <v/>
      </c>
      <c r="E48" s="7">
        <f>COUNTIFS(Macierz!$B$2:$B$441,"P",Macierz!$L$2:$L$441,"BLOKER STARTU")</f>
        <v/>
      </c>
      <c r="F48" s="8">
        <f>IFERROR(C48/B48,0)</f>
        <v/>
      </c>
    </row>
    <row r="49">
      <c r="A49" s="7" t="inlineStr">
        <is>
          <t>Q — Przewaga</t>
        </is>
      </c>
      <c r="B49" s="7">
        <f>COUNTIF(Macierz!$B$2:$B$441,"Q")</f>
        <v/>
      </c>
      <c r="C49" s="7">
        <f>COUNTIFS(Macierz!$B$2:$B$441,"Q",Macierz!$K$2:$K$441,"PARYTET")+COUNTIFS(Macierz!$B$2:$B$441,"Q",Macierz!$K$2:$K$441,"PRZEWAGA")</f>
        <v/>
      </c>
      <c r="D49" s="7">
        <f>COUNTIFS(Macierz!$B$2:$B$441,"Q",Macierz!$K$2:$K$441,"LUKA")</f>
        <v/>
      </c>
      <c r="E49" s="7">
        <f>COUNTIFS(Macierz!$B$2:$B$441,"Q",Macierz!$L$2:$L$441,"BLOKER STARTU")</f>
        <v/>
      </c>
      <c r="F49" s="8">
        <f>IFERROR(C49/B49,0)</f>
        <v/>
      </c>
    </row>
    <row r="50">
      <c r="A50" s="7" t="inlineStr">
        <is>
          <t>X — Infrastruktura jakości</t>
        </is>
      </c>
      <c r="B50" s="7">
        <f>COUNTIF(Macierz!$B$2:$B$441,"X")</f>
        <v/>
      </c>
      <c r="C50" s="7">
        <f>COUNTIFS(Macierz!$B$2:$B$441,"X",Macierz!$K$2:$K$441,"PARYTET")+COUNTIFS(Macierz!$B$2:$B$441,"X",Macierz!$K$2:$K$441,"PRZEWAGA")</f>
        <v/>
      </c>
      <c r="D50" s="7">
        <f>COUNTIFS(Macierz!$B$2:$B$441,"X",Macierz!$K$2:$K$441,"LUKA")</f>
        <v/>
      </c>
      <c r="E50" s="7">
        <f>COUNTIFS(Macierz!$B$2:$B$441,"X",Macierz!$L$2:$L$441,"BLOKER STARTU")</f>
        <v/>
      </c>
      <c r="F50" s="8">
        <f>IFERROR(C50/B50,0)</f>
        <v/>
      </c>
    </row>
    <row r="51">
      <c r="A51" s="7" t="inlineStr">
        <is>
          <t>Z — Pass adwersaryjny</t>
        </is>
      </c>
      <c r="B51" s="7">
        <f>COUNTIF(Macierz!$B$2:$B$441,"Z")</f>
        <v/>
      </c>
      <c r="C51" s="7">
        <f>COUNTIFS(Macierz!$B$2:$B$441,"Z",Macierz!$K$2:$K$441,"PARYTET")+COUNTIFS(Macierz!$B$2:$B$441,"Z",Macierz!$K$2:$K$441,"PRZEWAGA")</f>
        <v/>
      </c>
      <c r="D51" s="7">
        <f>COUNTIFS(Macierz!$B$2:$B$441,"Z",Macierz!$K$2:$K$441,"LUKA")</f>
        <v/>
      </c>
      <c r="E51" s="7">
        <f>COUNTIFS(Macierz!$B$2:$B$441,"Z",Macierz!$L$2:$L$441,"BLOKER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is>
          <t>2026-10-08: usunięcie domeny-poddomeny zdejmuje delegację NS/DS w strefie rodzica (60ff05ba) — D3 t1: z10.d3.hvln.pl dodana (NS+DS w d3.hvln.pl) i usunięta (delegacja znika); sieroty test3/4/5, z18b, z09 usunięte z panelu (DS przez dsrecs0 działa). | 2026-10-08 KOD (495019a5): także usunięcie CAŁEGO konta (retencja, operator, RODO, wycofanie provisioningu), którego domena jest poddomeną domeny innego konta na tym węźle (z18b) — domeny konta czytane przed usunięciem, po nim NS/DS zdejmowane w strefie konta-rodzica (najbliższy żywy przodek, ten sam węzeł), audyt HOSTING_DNS_DELEGATION_REMOVED. Testy D2 + integracja. Zostaje: D3 na t1 (konto z domeną-poddomeną d3.hvln.pl → usunięcie przez operatora → NS/DS znikają z d3.hvln.pl). Poza zakresem nadal: rodzic będący domeną dodatkową innego konta.</t>
        </is>
      </c>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 | 2026-10-07 KOD + D3: zmiana serwerów nazw zarejestrowanej domeny (panel → Serwery nazw, OpenProvider PUT /v1/domains/{id} name_servers, walidacja 2–8 hostów, audyt DOMAIN_NAMESERVERS_UPDATED) — d91ce97. verris-test-d3-2026.com z 04.10 miała ns1/ns2.verris.pl → ustawione ns3/ns4.verris.pl, rejestrator przyjął.</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 | 2026-10-07 KOD: webhook OpenProvidera (podpis HMAC + klucz, Caddy tylko adresy OP): incomingTransfer* domyka transfer od razu, outgoingTransferCompleted/deletionCompleted = domena odeszła (bez odnowień i przypomnień); codzienne sprawdzenie stanu jako zabezpieczenie — 20c5196. Transfer wychodzący wcześniej nieobsługiwany. Webhook do włączenia: klucze (prod-ustaw-klucze.sh openprovider) + formularz OP. | 2026-10-07 PRODUKCJA: webhook zapisany w panelu OP (sandbox); test OP dotarł do API — 2× REGISTRAR_WEBHOOK w dzienniku (13:16 UTC). Sandbox OP wysyła z 34.91.59.39 (brak w dokumentacji OP, wykryte tcpdumpem) — dopisany do Caddy (503c1c3); odrzucenia logowane z powodem (fe283d0).</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DZIAŁA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PARYTET</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 | 2026-10-06 D3 SANDBOX: włączenie ukrycia dla verris-test-d3-2026.com (29,97 K = 3 lata do końca ważności) — OpenProvider „Wpp contract is not signed”; zwrot zadziałał; komunikat klienta poprawiony (0827480). Zostaje: akceptacja umowy WPP w panelu OpenProvidera (właściciel), ponowny test. | 2026-10-07 D3 SANDBOX po podpisaniu umowy WPP (sandbox + produkcja): włączenie dla verris-test-d3-2026.com — 29,97 K z portfela, „Dane w WHOIS ukryte”; wyłączenie bez opłaty działa. Zamknięte 2026-10-07. Do decyzji: ponowne włączenie w tym samym okresie pobiera opłatę jeszcze raz. | 2026-10-07 DECYZJA WŁAŚCICIELA: ukrycie danych bezpłatne (WPP w członkostwie OpenProvidera), cena dalej ustawiana w adminie: 0 = bezpłatnie, puste = niedostępne (3bc7107). D3: cena 0 w adminie, włączenie na verris-test-d3-2026.com — audyt priceAmount 0.00, bez zamówienia i bez obciążenia portfela. Kwestia ponownej opłaty w tym samym okresie nieaktualna.</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 | 2026-10-10: przycisk „Zaloguj jako klient” w panelu obsługi tylko z CUSTOMERS_VIEW + CUSTOMERS_IMPERSONATE (staff-panel lib/staff-access.ts:31-35, test zaloguj-jako-klient.spec.tsx); passkey klienta zablokowany w sesji impersonacji (33d775dc, audyt bezpieczeństwa 09.10 A07).</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 | 2026-10-08 profil t1 OK=65: strony błędów 403/404/500/502/503/504 w marce Verris (cd2143b9); o05.d3.hvln.pl/&lt;brak&gt; → 404 Verris bez śladów serwera.</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 | 2026-10-10: wspólna lista RBL_ZONES bez SORBS (deliverability/rbl.ts:5-10); monitoring IP węzłów admin-readiness/rbl-reputation.scheduler.ts:62-63,126 (stan „nieznany”, NODE_RBL_UNKNOWN); test rbl-reputation.scheduler.spec.ts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 | 2026-10-10: monitoring reputacji IP węzłów liczył timeout listy jako „brak wpisu”, więc awaria DNS wyglądała jak czyste IP. Teraz stan „nieznany” z alertem do adminów (przypomnienie najwyżej raz na dobę na węzeł) i wpisem na pulpicie (stan-platformy.ts:149). dnsbl.sorbs.net usunięty z list (SORBS zamknięty w 2024). D2. Do sprawdzenia na węźle: czy resolver API nie jest odrzucany przez Spamhaus (alert „nieznany”).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 | 2026-10-08 DECYZJA WŁAŚCICIELA: po starcie — na start webmail przez logowanie z panelu (SSO) za 2FA panelu; osobne 2FA w Roundcube jako nowa funkcja po 11.01.2027.</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 | 2026-10-06/07 D3 SANDBOX OpenProvider (test2.d3.hvln.pl, EssentialSSL 48,99 K): trzy pierwsze zamówienia odrzucone, zwrot do portfela zadziałał za każdym razem; przyczyna widoczna dopiero po 19f9613/086016a — „CSR contains an invalid country code” → b449a39 (C=PL w CSR). Czwarte zamówienie przyjęte: stan „oczekuje na weryfikację”, opłata pobrana. Zostaje: rekord DNS od wystawcy, wydanie i instalacja. | 2026-10-07 ZNALEZISKO D3: zamówienie 348 (sandbox OP) stało w weryfikacji — OpenProvider zwraca skróty CSR (md5/sha256 + plik DCV), nie dns_record; rekord CNAME składany wg Sectigo (60e6496). Sandbox podstawia dane wystawcy (vendor_order_id 960000000) — wydanie i instalacja dopiero na produkcyjnym koncie OP (PB-05). | 2026-10-07 po deployu 60e6496: SSL_ORDER_DNS_ADDED 18:00 UTC, rekord _6b18…cd.test2.d3.hvln.pl CNAME …sectigo.com. widoczny w publicznym DNS. Zostaje wydanie i instalacja na produkcyjnym OP.</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 | 2026-10-07 D3 t1: d3.hvln.pl w trybie Blokowanie → SQLi/XSS/traversal 406 (wpis ModSecurity w logu), strona/wp-login/wyszukiwanie 200. ZNALEZISKO: nowe konta miały w bazie DETECTION, a bez zadania WAF_APPLY działa konfiguracja serwera (blokowanie) — panel pokazywał nieprawdę; decyzja właściciela: domyślnie blokowanie (0c8b222d, migracja 20261007200000). Admin: usunięte konta poza licznikiem kont i tabelą WAF (4c55370).</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 | 2026-10-07 KOD (ea29d344): zmiana hasła i dodanie/usunięcie passkey nie miały wpisu audytu — dodane (PASSWORD_CHANGED, PASSKEY_ADDED/REMOVED); „Aktywność konta” pokazuje też 2FA, zmianę e-maila, wylogowanie wszędzie, tokeny API, zaproszenia IAM, zmiany domen i wstrzymanie/wznowienie usługi, z polskimi etykietami (strażnik etykiet w teście). Komunikaty API po polsku (7fb717f0, 9427c77c). Do D3: podgląd po deployu.</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 | 2026-10-10: gotowość t1 na karcie węzła w adminie: offsite 10.10 03:51 OK (D3 10.10 ok. 13:00).</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DZIAŁA</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PARYTET</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 | 2026-10-13 D3 W OBIE STRONY (t1→t2, potem czysty powrót t2→t1, konto rdeetgju / pb55.d3.hvln.pl): admin „Odtworzenie na innym węźle” → lista kopii z prefiksu węzła źródłowego → odtworzenie → panel sam przepina usługę i księgę węzłów (paczka 36, migracja uzgodnienia). Powrót: odtworzenie gotowe 22:00:52, usługa na TEST-NRB-01, lista węzłów t1 5 kont / t2 0; strona 200 z 2.28.204.249; mail z Gmaila 22:11:09 → LMTP „250 Saved”, plik w Maildir/cur z grupą mail — grupę Maildir wyrównuje sam skrypt (paczka 40, maildir_grupa na węźle), bez ręcznego chgrp. Odmowa na węźle z istniejącym kontem sprawdzona. Kroki operatora poza przyciskiem (jak w runbooku): delegacja NS strefy-poddomeny u rodzica (dodaj→usuń, poprawka paczki 40) i usunięcie konta-sieroty na węźle źródłowym. RPO = ostatnia kopia off-site (mail z 20:45, po kopii 20:24, nie przyjechał — zgodnie z założeniem odtworzenia po awarii).</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 | 2026-10-11 D4: ops/scripts/restore-drill-isolated.sh na control-plane (właściciel Dominik Kowalski) — latest.sql.gz.age 03:17 UTC, suma i age OK, wiersze Invoice 5 / Plan 5 / Account 7 / User 15 / Subscription 15, 11 s, wpis RestoreDrill wynik=OK; konto d3 na t1 z kopii off-site (user.admin.ovsekucx.tar.zst 11.10 16:18:57, 367 MB) przez panel klienta (pobranie) + admin „Odtworzenie konta z kopii” (pliki+bazy+poczta, kopia bezpieczeństwa) 17:11:56→17:14:04, strona i 3 skrzynki działają</t>
        </is>
      </c>
      <c r="K176" s="11" t="inlineStr">
        <is>
          <t>PARYTET</t>
        </is>
      </c>
      <c r="L176" s="11" t="inlineStr">
        <is>
          <t>WYSOKA</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 | 2026-10-10 (przegląd): przypomnienie o próbie (proba-odtworzenia.scheduler.ts:41, codziennie 08:30, od 7 dni przed terminem, czyli od ok. 14.09) nie przełożyło się na próbę przez ponad 3 tygodnie. Nie sprawdzono, czy maile przypomnień dotarły — do sprawdzenia przy PB-54, bo przypomnienie, które nie wywołuje działania, to ten sam rodzaj usterki co alert z H-24. | 2026-10-11: PB-54 wykonane (D4) — flaga BLOKER STARTU zdjęta. Następna próba: do 2026-11-10 (cykl 30 dni, przypomnienie proba-odtworzenia.scheduler.ts).</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 | 2026-10-10 (przegląd): „potwierdzone odtworzenie” w poziomie D3 tej pozycji to próba z 2026-08-22 — ta sama, której ważność wygasła 21.09 (H-20). Werdykt bez zmian, bo pozycja dotyczy powstawania kopii, nie odtwarzania, ale odczytu kopii control-plane w tej aktualizacji nie było; dowód odtwarzalności tej kopii wraca razem z H-20 (PB-54).</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 | 2026-10-08 KOD (23429b36, uwaga Dominika): wykrywanie zwraca listę stron z katalogiem względem startu FTP — cPanel DomainInfo::domains_data (documentroot−homedir), DirectAdmin CMD_API_DOMAIN?action=document_root (fallback /domains/&lt;d&gt;/public_html), Plesk przez XML API (działa z loginem klienta; REST v2 był tylko dla administratora) z www_root, loginem FTP subskrypcji i bazami subskrypcji. Kreator: „Którą stronę przenosimy?” + zaznaczanie baz strony. Testy D2. Zostaje: D3 z prawdziwymi panelami (Plesk Dominika jako klient i admin, DA innego dostawcy, cPanel).</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 | 2026-10-08: host zakazany (sieć prywatna, serwer Verris) = status „blocked”, kreator nie przechodzi dalej (c6f0eeb4) — D3 t1.</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 | 2026-10-08 D3 t1: migracja „Pliki” FTP z Pleska → z09.d3.hvln.pl, 3864 pliki / 109 MB, pliki z właścicielem konta. Znaleziska naprawione: kopia lokalna padała przy FTP wskazującym wprost katalog strony (d53c979b), zgłoszenie błędu workera ginęło przy logu &gt;128 KiB (f5089076), test strony bez bazy eskalował (208571a0), eskalacja = jeden mail do klienta (217f5a2a), kreator po deployu wisiał (efd06019). | 2026-10-08 KOD (23429b36): tryb „Wszystko naraz” — pliki, bazy i skrzynki w jednym zleceniu; brakujące skrzynki docelowe zakładane z hasłem ze starego hostingu (po teście logowania do źródła i limicie migracji). Testy D2. Zostaje: D3 „Cała strona” i „Wszystko naraz” z Pleska na t1.</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DZIAŁA</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 | 2026-10-07: stan zgodny z wezel.csv (sprawdzone na t1 29.09).</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 | 2026-10-09: autoscaling-billing.service.ts:158-196 (reszta groszy, Account.scaledCostCarryPln), :282,297-331 doplataZaPodbicie (Account.scaledBlockPaid*, schema.prisma:1303-1313); test autoskalowanie-rozliczenie.int-spec.ts:81-118,133-260</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 | 2026-10-10: rozliczenie bloków 15 min domknięte w dwóch miejscach: (1) podbicie poziomu w trakcie opłaconego bloku dopłaca proporcjonalnie różnicę za pozostałe minuty (spadek bez zwrotu, dopłata raz przy równoległych przebiegach silnika i crona, rabat operatora i rozliczenie poza Verris też ją obejmują); (2) reszta groszy przechodzi między blokami — blok za 0,0165 zł nie jest już zaokrąglany w górę przy każdym pobraniu (suma pobrań zgodna z cennikiem zamiast +21%). Wdrożone 10.10 (integracja API 351/351). Pieniądze → D3 przy pierwszym szczycie z portfelem na t1.</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DZIAŁA</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 | 2026-10-07 D3 t1 (d3.hvln.pl): Logi WWW → Błędy → „Pobierz” = d3.hvln.pl-error-2026-10-07.log, 100 linii chronologicznie, w tym wpisy ModSecurity z testu WAF — prawdziwe dane z węzła.</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 | 2026-10-10: sonda monitoringu sprawdza host przez tę samą listę zastrzeżonych zakresów co migracje i webhooki (site-monitor.service.ts:25,830 → resolvePublicHost; 7d5cc87c, test site-monitor-ssrf.spec.ts).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 | 2026-10-10: pływający asystent pracowników w panelu admina z kontekstem strony (components/asystent.tsx, asystent-actions.ts); wiedza STAFF to słownik „?” i 3 runbooki z białej listy (test na sekrety, IP i e-maile); runbooki nie trafiają do bazy wiedzy klienta (628c061d). Z prawdziwym dostawcą AI w panelu admina — niesprawdzone.</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 | 2026-10-09: vat.ts:20-21,75 (spoza UE netto tylko po weryfikacji obsługi); vat-weryfikacja.service.ts + vat-weryfikacja.admin.controller.ts:28,39,50 (weryfikacja, cofnięcie, dane nabywcy — BILLING_MANAGE); users.service.ts:548-555 (po 1. płatności klient nie zmienia kraju ani NIP); test vat-weryfikacja-nabywcy.int-spec.ts, vat-weryfikacja.service.spec.ts</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 | 2026-10-10: decyzja właściciela 09.10 — nabywca spoza UE płaci netto („np”) dopiero po ręcznej weryfikacji przez obsługę (kto, kiedy i na jakiej podstawie — w dzienniku); do tego czasu 23% jak w Polsce. Po pierwszej płatności klient nie zmienia sam kraju ani NIP — zmienia obsługa („Dane nabywcy” na karcie klienta, Fala 1B). Status VAT nabywcy na karcie klienta w adminie (status-vat-nabywcy.tsx); hotfix React #441 przy wczytywaniu karty (a0a1420a). Wdrożone 10.10; D3 10.10 ok. 13:00: karta klienta d3 się wczytuje. Weryfikacja nabywcy spoza UE na żywo — przy pierwszym takim kliencie (pieniądze → D3).</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CZĘŚCIOWE</t>
        </is>
      </c>
      <c r="J254" s="12" t="inlineStr">
        <is>
          <t>ksef.admin.controller.ts:38; zero wystąpień UPO w admin-panel | 2026-10-10: ksef.admin.controller.ts:37-42 (GET /admin/ksef/invoices/:id/upo); admin invoices/[invoiceId]/page.tsx — „Pobierz UPO” przez app/api/invoices-upo/[id]/route.ts:18; test route.spec.ts</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 | 2026-10-10 (przegląd): DZIAŁA → CZĘŚCIOWE. Przycisk „Pobierz UPO” pokazuje się tylko dla faktury ze statusem KSeF ACCEPTED albo nieznanym (admin-panel lib/akcje/faktura.ts:77), a własny moduł KSeF jest zamrożony (PB-13), więc na produkcji ścieżka nie ma na czym zadziałać. Definicja ukończenia dla ENDPOINT BEZ UI wymaga też wpisu w dzienniku i testu guardu API — test route.spec.ts sprawdza proxy Next.js (401 bez sesji, 404 z API), nie guard @Roles(ADMIN) w ksef.admin.controller.ts:20-21; pobranie UPO nie zostawia wpisu. Kod przycisku jest (D2); DZIAŁA dopiero przy integracji KSeF po starcie, z pobraniem UPO prawdziwej faktury (D3). Werdykt bez zmian.</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 | 2026-10-10 (B1): PATCH /admin/billing/promo-codes/:id — billing.admin.controller.ts:89 → promo.service.ts:214 updatePromoCode (active, validTo, maxRedemptions, opis; dziennik przed/po); admin promo-codes/akcje-kodu.tsx („Wyłącz”/„Edytuj”); test kody-promocyjne.int-spec.ts:172-252</t>
        </is>
      </c>
      <c r="K262" s="11" t="inlineStr">
        <is>
          <t>PARYTET</t>
        </is>
      </c>
      <c r="L262" s="11" t="inlineStr">
        <is>
          <t>ŚREDNIA</t>
        </is>
      </c>
      <c r="M262" s="11" t="inlineStr">
        <is>
          <t>—</t>
        </is>
      </c>
      <c r="N262" s="12" t="inlineStr">
        <is>
          <t>ZERO testów | 2026-10-10: „ZERO testów” nieaktualne — kody-promocyjne.int-spec.ts pokrywa voucher, limity przy równoległych żądaniach, kod na zakup i odnowienie. Bloker B1 z audytu paneli operatora (OD-20: kodu nie dało się wyłączyć ani skrócić) zamknięty: wyłączony albo przeterminowany kod jest odrzucany przy zakupie i przy odnowieniu (test :209-251). Wdrożone 10.10. D3 10.10 ok. 13:00: kody promocyjne w panelu admina z przyciskami „Wyłącz”/„Edytuj” działają.</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DZIAŁA</t>
        </is>
      </c>
      <c r="J272" s="12" t="inlineStr">
        <is>
          <t>addon.service.ts:120 — 2 z 3 to workorder do BOK; addons/zlecenia-dodatkow (admin/dodatki :id/zrealizowano, :id/odmowa); staff-panel karta „Zlecenie dodatku” na zgłoszeniu; test zlecenia-dodatkow.int-spec.ts</t>
        </is>
      </c>
      <c r="K272" s="11" t="inlineStr">
        <is>
          <t>PARYTET</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 | 2026-10-12 DECYZJA WŁAŚCICIELA: dedykowany IP jak na rynku PL — zakup dodatku i realizacja przez zespół w zgłoszeniu (t1 ma jeden adres IP; API DA bez opisu swaggera na t1). KOD (23b8b8a1): zespół zamyka zlecenie — „Zrealizowano” (L2+) albo „Odmowa ze zwrotem” (L4, zwrot raz). D3 prod 12.10: zakup „Dedykowane IP” z portfela d3 (25 K, dwa kliknięcia → jedno obciążenie) → zgłoszenie #3034e7af dla zespołu (priorytet Wysoki przy aktywnym wsparciu priorytetowym); L1 widzi „zamyka specjalista (L2+)”; L4: odmowa ze zwrotem → portfel 173,50 → 198,50 K, w Dodatkach „Zwrócony — &lt;powód&gt;”, odpowiedź zespołu w zgłoszeniu. Wsparcie priorytetowe: zakup i przedłużenie działają (d3, do 10.11).</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 | 2026-10-09 (7d5cc87c): jedna lista zastrzeżonych zakresów ops/scripts/lib/zastrzezone-zakresy.txt dla API (migration-net.util.ts:14-24,97 — także adresy control-plane i węzłów z adresy-wezlow.rejestr.ts; webhook-post.ts:78-90) i guarda węzła (migration-input-guard.sh:114-145,290 — m.in. NAT64 64:ff9b::/96, 6to4, Teredo); API w produkcji nie startuje bez VERRIS_CONTROL_PLANE_IPS (podpis-skryptow.ts:77-87); testy zastrzezone-zakresy.spec.ts (rozjazd kopii listy = czerwień), ssrf-adresy-wezlow.int-spec.ts</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 | 2026-10-07 KOD: okno DNS-rebinding zamknięte — vg_pin_public rozwiązuje host raz, worker łączy się z przypiętym IP (rsync, lftp, mysqldump, ssh, imapsync z SNI). Do D3 na t1 (decyzja właściciela: test 08.10). | 2026-10-08 D3 t1: API odmawia 127.0.0.1, 10.0.0.1 i nazwy z rekordami publicznym+127.0.0.1 (test dostępów i start, bez nowego zlecenia); guard `pin` na t1 odmawia prywatnych, mieszanego i WŁASNYCH adresów węzła (d3.hvln.pl, 2.28.204.249), 8.8.8.8 przechodzi; pozytywny FTP z Pleska (hvln.pl) → z09.d3.hvln.pl: 3864 pliki / 109 MB. Przy teście domknięte: odmowa adresów węzła i control-plane (c6f0eeb4), raport workera z logiem &gt;128 KiB (f5089076), ACL x/rX przy FTP na katalog strony (d53c979b). | 2026-10-10: granica SSRF z audytu bezpieczeństwa 09.10 — wcześniej listy zakresów w API i w guardzie węzła się różniły (adres NAT64 64:ff9b::7f00:1 = 127.0.0.1 przechodził), a adresy control-plane nie były zastrzeżone. Wdrożone 10.10. D3 t1 10.10 00:02 (Onboard LIVE wgrał nowy guard): `64:ff9b::7f00:1` → odmowa, `8.8.8.8` → OK.</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 | 2026-10-10 (B2): zapis tylko z KB_MANAGE — kb.admin.controller.ts:29,52-110 (StaffPermissionsGuard + @StaffPerm), role-systemowe.ts:38,86; test kb.admin.controller.spec.ts</t>
        </is>
      </c>
      <c r="K285" s="11" t="inlineStr">
        <is>
          <t>PARYTET</t>
        </is>
      </c>
      <c r="L285" s="11" t="inlineStr">
        <is>
          <t>—</t>
        </is>
      </c>
      <c r="M285" s="11" t="inlineStr">
        <is>
          <t>—</t>
        </is>
      </c>
      <c r="N285" s="12" t="inlineStr">
        <is>
          <t>2026-10-10: B2 z audytu paneli operatora zamknięty — wcześniej każdy STAFF mógł zmieniać i usuwać artykuły widoczne dla klientów i indeksowane przez asystenta; KB_MANAGE mają L4 i Marketing. Panel obsługi /knowledge pokazuje artykuły bazy wiedzy zamiast pustych szablonów (2df53554). D3 10.10 ok. 13:00: artykuły są, ale Markdown nie jest renderowany (surowe ## i bloki kodu — staff knowledge/page.tsx:82 wypisuje bodyMarkdown jako tekst) — błąd UX do Fali 2 (PB-51). Artykuł „Autoskalowanie” na produkcji nadal obiecuje „rekomendacje zmiany planu” — poprawione teksty (3dcec634) czekają na wklejenie do CMS przez właściciela.</t>
        </is>
      </c>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 | 2026-10-07 KOD + PRODUKCJA: widok „uptime monitor” — paski dni (90/30), dostępność per usługa, czas odpowiedzi 24 h, historia zdarzeń; publiczne /status bez nazw węzłów i adresów sond (984ab00, ce11836, b4755b4, logo 924af52). Pierwsze sondy na t1 (HTTPS d3.hvln.pl, SMTP 587, DNS) — dane na żywo; IMAP na 993 po 48561be (TLS od razu). | 2026-10-07 PRODUKCJA: sondy platformy bez węzła (89343bd) — Panel klienta, Strona verris.pl, API (/readyz); IMAP 993 po TLS. /status pokazuje 6 usług z danymi na żywo (15:25). Kopie zapasowe i płatności jeszcze bez sond.</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 | 2026-10-11 D3: poczta-konta-operatora.service.ts:89 (zablokuj), :118 (zwolnij); test int poczta-konta-operatora.int-spec.ts; t1 d3.hvln.pl: mail() z PHP przed blokadą true (15:43:45), po „Zablokuj wysyłkę” false (15:45:24), kolejka konta i węzła 0 (15:46:15), po „Zwolnij” true (15:47:33); dziennik HOSTING_MAIL_SENDING_BLOCKED/UNBLOCKED + OUTBOUND_CORDON_APPLIED</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 | 2026-10-11: warunek zamknięcia z D4 spełniony na t1 (PB-52) — flaga BLOKER STARTU zdjęta. Limit wysyłki 5/dobę i kolejka konta/węzła też sprawdzone na żywo.</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 | 2026-10-10 (Fala 1B): admin customers/[userId]/historia-klienta.tsx — Komunikacja (GET /admin/email-log/user/:id; tokeny i linki jednorazowe maskowane w email-log.service.ts:120-143), historia logowań w Dostępach, „Kto oglądał” w Dzienniku; sekcje wspólne z obsługą (lib/sekcje-karty-klienta.ts:10,30); „Dane nabywcy” (vat-weryfikacja.admin.controller.ts:50); test karta-klienta.spec.tsx</t>
        </is>
      </c>
      <c r="K299" s="11" t="inlineStr">
        <is>
          <t>PRZEWAGA</t>
        </is>
      </c>
      <c r="L299" s="11" t="inlineStr">
        <is>
          <t>—</t>
        </is>
      </c>
      <c r="M299" s="11" t="inlineStr">
        <is>
          <t>—</t>
        </is>
      </c>
      <c r="N299" s="12" t="inlineStr">
        <is>
          <t>2026-10-10: 08.10: spójna karta klienta w panelu obsługi i admina, każde otwarcie karty przez operatora w dzienniku, L1 otwiera kartę usługi w podglądzie (pakiet obsługi). 10.10 Fala 1B: Komunikacja, logowania, „Kto oglądał” i dane nabywcy na karcie klienta — trzy pierwsze na razie tylko dla ADMIN (KARTY_TYLKO_ADMIN), dla L1 w Fali 2 wg decyzji D9. D3 10.10 ok. 13:00: karta klienta d3 — Komunikacja i Dostępy (historia logowań 30 dni) działają. ZNALEZISKO D3: reset hasła klienta w adminie pokazuje operatorowi nowe hasło (operational-forms.tsx:276 → users.admin.controller.ts:207) — sprzeczne z decyzją D3 z 10.10 (operator nie zna haseł) → Fala 2A (PB-51).</t>
        </is>
      </c>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 | 2026-10-07 D3 t1: klient resellera (dominik+klient@, konto założone przez resellera) z usługą o05.d3.hvln.pl (założona przez operatora); panel resellera → Wstrzymaj → strona pokazuje „Ta strona jest tymczasowo niedostępna” (Verris), e-mail do klienta; Wznów → strona wraca. ZNALEZISKO: surowe „pending_payment” przy usłudze klienta — poprawione (958100b5).</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 | 2026-10-08 PRODUKCJA (D3): reseller d3 („Test Verris”) założył z panelu konto dominik+o06@dkowalski.pl o 15:56 → admin: „klient od 08.10.2026 · przez resellera Test Verris”, oś czasu „Konto założone przez resellera”; panel resellera: Klienci 1→2 („0 usług · od 8.10.2026”); mail z marką resellera, link ustawienia hasła 72 h, link do zgłoszenia nadużycia. Poprawione (b5e34fbf, decyzja właściciela): temat i treść „Konto założyła dla Ciebie firma Test Verris” zamiast „Test Verris założył(a) Ci konto”.</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 | 2026-10-07 D3 (produkcja, flaga tylko dla d3): reseller Test Verris +25%; „Zaloguj jako klient” na dominik+klient → zamówienie Poczty Standard pokazało 12,49 K (9,99 + 25%), portfel pobrał 11,24 K = 12,49 − 10% rabatu na start. Konto nie powstało (t1 wstrzymany do 18.10) → 3 próby → automatyczny zwrot 11,24 K, zamówienie anulowane. Znalezione i poprawione w kodzie: (1) detal resellera bez snapshotu = faktyczna cena (d99e925f), (2) rabat na start niewidoczny przed zapłatą poza hostingiem (7d8178c0, order-flow.spec.tsx), (3) zwrot opłaty nie cofał prowizji — teraz podstawa = opłata − zwroty, w karencji CANCELED/mniejsza kwota (39c68bdf, narzut-resellera.int-spec.ts). Zostaje: zakup z założonym kontem po 18.10, prowizja po karencji, wypłata. | 2026-10-07 DECYZJA WŁAŚCICIELA + KOD: rabat na start i kody rabatowe Verris nie obejmują klientów aktywnego resellera (API odmawia kodu, panel bez rabatu i pola kodu) — b92eb687, zakup-z-portfela.int-spec.ts. Przy okazji: brak węzła → odmowa przed pobraniem (073b9801), cena na liście = kwota odnowienia (8bd1525f). | 2026-10-07 23:45 D3 (produkcja, po deployu): jako dominik+klient (impersonacja) — zamówienie poczty 12,49 K bez „Rabat na start” i bez pola kodu (także z ?promo=START20); „Zamów i opłać” przy wstrzymanym t1 → „Sprzedaż jest chwilowo wstrzymana… Nic nie pobraliśmy”, portfel 25,00 K bez zmian; lista usług: cena = kwota odnowienia. Rozliczenie poza Verris przywrócone; sesja właściciela wróciła po zakończeniu impersonacji. | 2026-10-08 DECYZJA + KOD: także kody promocyjne Verris (kredyt na portfel, bonus do doładowania) poza klientami aktywnego resellera — PromoService we wszystkich wejściach kodu, panel bez pól kodu w Płatnościach (a46a1e17).</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 | 2026-10-08 PRODUKCJA (D3) ponownie: panel klienta o05 (impersonacja za zgodą właściciela) — menu: logo z api.verris.pl/public/reseller-logo/rsl_e2b216c615 (360×90) + „Test Verris” + „na infrastrukturze Verris”; mail resellera z 08.10 z tą samą marką. Tytuł karty przeglądarki zostaje „Verris — Panel klienta” (własna domena panelu po starcie).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 | 2026-10-10: martwe uprawnienia podpięte — audit.admin.controller.ts:31 (AUDIT_VIEW), compliance.admin.controller.ts:113-143 (COMPLIANCE_MANAGE), plans.admin.controller.ts:36 (PLANS_MANAGE), test martwe-uprawnienia.spec.ts:40-75; front admina fail-closed przy błędzie API uprawnień (admin-panel lib/staff-access.ts:20-21); menu obsługi wg uprawnień (staff-panel lib/menu-obslugi.ts + spec); „Zaloguj jako klient” tylko z CUSTOMERS_IMPERSONATE (staff-panel lib/staff-access.ts:31-35)</t>
        </is>
      </c>
      <c r="K312" s="11" t="inlineStr">
        <is>
          <t>PARYTET</t>
        </is>
      </c>
      <c r="L312" s="11" t="inlineStr">
        <is>
          <t>—</t>
        </is>
      </c>
      <c r="M312" s="11" t="inlineStr">
        <is>
          <t>—</t>
        </is>
      </c>
      <c r="N312" s="12" t="inlineStr">
        <is>
          <t>2026-10-10: 08.10: role L1–L4 i funkcyjne, wnioski o operację (pakiet obsługi). 10.10 Fala 1A: RBAC operatora egzekwowany w API i w obu panelach (D2). ZOSTAJE przed betą: przejście ról L1–L4 na żywo przez przełączenie roli istniejącego konta staff — bez tego RBAC zostaje na D2.</t>
        </is>
      </c>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 | 2026-10-10: karta operatora /operators/[id] (role, blokada, Grafana) i „Twoje konto” (2FA, passkey, break-glass); stan 2FA i passkey zespołu na liście (operators/page.tsx; users.admin.service.ts:54-121; test stan-2fa-zespolu.int-spec.ts); poczta zespołu „Zawieś skrzynkę” (878dcc18)</t>
        </is>
      </c>
      <c r="K313" s="11" t="inlineStr">
        <is>
          <t>PARYTET</t>
        </is>
      </c>
      <c r="L313" s="11" t="inlineStr">
        <is>
          <t>—</t>
        </is>
      </c>
      <c r="M313" s="11" t="inlineStr">
        <is>
          <t>—</t>
        </is>
      </c>
      <c r="N313" s="12" t="inlineStr">
        <is>
          <t>2026-10-10: porządki admina (patch 12) i Fala 1B. Przełącznik wymuszenia 2FA dla zespołu w panelu (decyzja D10, ADMIN) — Fala 2A (PB-51); do tego czasu zmienna REQUIRE_2FA_FOR_STAFF (auth.service.ts:702).</t>
        </is>
      </c>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PRZEWAGA</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 | 2026-10-14 D3 (produkcja, właściciel, VoiceOver na macOS): logowanie, zakup, karta usługi i nowe zgłoszenie przechodzą klawiaturą i czytnikiem ekranu. Pierwsze zgłoszenie „formularz zgłoszenia niedostępny z klawiatury” było pomyłką przy teście — właściciel potwierdził, że działa; równolegle w przeglądarce sprawdzone: wszystkie pola formularza w kolejności Tab, bez inert/aria-hidden, Tab nieblokowany przez skrypty. Panele admin/obsługa — skan nazw kontrolek czysty (25.09). Zamknięte 2026-10-14.</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 | 2026-10-08 DECYZJA WŁAŚCICIELA: program EKO włączony na becie. FEATURE_ECO domyślnie true — strona Program EKO działa na produkcji (d3: 116 pkt, przelicznik 100 pkt = 10 K, 08.10). Wymiana na portfel do sprawdzenia przez testerów bety.</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 | 2026-10-10: white label — metodologia raportu EKO bez nazw oprogramowania węzła (eco-report.service.ts; test common/biala-etykieta-teksty-klienta.spec.ts:12; 414d4937).</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 | 2026-10-08 DECYZJA WŁAŚCICIELA: Newsletter po starcie — pakiety zostają za flagą, dostawcę SMTP dla EMM_SMTP_URL wybieramy po starcie (podprocesor do RCPD i polityki).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PARYTET</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 | 2026-10-08: werdykt PARYTET — zakup VPS z portfela działa na produkcji (D3 06.10, serwer po ~10 s); sprzedaż wszystkim klientom za flagą FEATURE_VPS (decyzja biznesowa, nie brak w kodzie) — jak Q-07.</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PARYTET</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 | 2026-10-07: werdykt PARYTET — konsola w przeglądarce działa na produkcji (D3 06.10 wieczór).</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PARYTET</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 | 2026-10-08: werdykt PARYTET — snapshot i przywrócenie ze snapshotu działają na produkcji (D3 06.10). Reinstalacja z listy obrazów to to samo wywołanie przebudowy z innym obrazem — nie sprawdzana osobno na żywo.</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 | 2026-10-10: admin components/command-palette.tsx + lib/akcje/{rejestr,wezel,klient,usluga,faktura,globalne,szukaj}.ts — tryb obiekt → działanie; wyszukiwarka API: węzły, zgłoszenia i migracje z uprawnieniami per typ (search.service.ts:69); testy command-palette.spec.tsx, szukaj.spec.ts</t>
        </is>
      </c>
      <c r="K343" s="11" t="inlineStr">
        <is>
          <t>PRZEWAGA</t>
        </is>
      </c>
      <c r="L343" s="11" t="inlineStr">
        <is>
          <t>—</t>
        </is>
      </c>
      <c r="M343" s="11" t="inlineStr">
        <is>
          <t>—</t>
        </is>
      </c>
      <c r="N343" s="12" t="inlineStr">
        <is>
          <t>2026-10-10: porządki admina — Cmd+K ze słowami kluczowymi i stronami spoza menu, skrót ⌘K; „onboard t1” prowadzi do karty i podświetla przycisk; akcja bez uprawnień prowadzi do „Wyślij wniosek”; SSO do DA węzła uruchamia się prosto z palety (d6bb2e88). D2.</t>
        </is>
      </c>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 | 2026-10-09: ops/caddy/Caddyfile:90-110 (vpn_only: panele obsługi i admina oraz GlitchTip tylko z CADDY_INTERNAL_ALLOW_CIDR; pusta albo zbyt szeroka lista /0–/7 = 403 dla wszystkich), ops/caddy/start.sh:25-28 (zła lista nie kładzie proxy, panele zamknięte); test panele-wewnetrzne-vpn.spec.ts</t>
        </is>
      </c>
      <c r="K348" s="11" t="inlineStr">
        <is>
          <t>PRZEWAGA</t>
        </is>
      </c>
      <c r="L348" s="11" t="inlineStr">
        <is>
          <t>—</t>
        </is>
      </c>
      <c r="M348" s="11" t="inlineStr">
        <is>
          <t>—</t>
        </is>
      </c>
      <c r="N348" s="12" t="inlineStr">
        <is>
          <t>2026-10-10: domknięty fail-open z audytu bezpieczeństwa 09.10 — domyślna wartość w docker-compose.prod.yml była „0.0.0.0/0 ::/0”, czyli panele operatora były osiągalne z internetu mimo VPN. Teraz fail-closed; produkcja CADDY_INTERNAL_ALLOW_CIDR=10.88.0.0/24, rekordy AAAA admin/staff usunięte. D3 10.10 ok. 13:00: bez VPN panel admina i obsługi → 403, przez VPN działają.</t>
        </is>
      </c>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 | 2026-10-08 KOD: płatny monitoring (MON-3) — rozliczanie nie patrzyło na stan usługi: po anulowaniu hostingu co miesiąc pobierało opłatę za monitoring nieistniejącej strony, po wznowieniu wstrzymanej nadrabiało zaległe miesiące co godzinę → koniec z usługą, bez opłaty dla nieaktywnej, nowy okres od dziś, włączenie tylko dla działającej (monitoring-platny, 4; 4e2fcd73). Kody Verris dla klientów resellera (kody-promocyjne +1). Test strony statusu liczył dni w UTC zamiast w Warszawie (czerwony 00:00–02:00) — poprawiony test. Integracja: 63 pliki / 281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DZIAŁA</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PARYTET</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 | 2026-10-13 D3 t2 (onboard LIVE z kreatora): /var/log/verris-node-onboard.log — linia 295 security-install-verris-security.sh: brak /etc/audit/rules.d (EL10 bez audit-rules), 296 „[FAIL] security-hardening-baseline.sh zakończony błędem”, linia 297 to już nagłówek następnego uruchomienia (=== Verris node onboard LIVE ===, Start 11:40:13Z) — bramka „hardening” zatrzymała onboard przed IP w DA i readiness. Readiness na końcu zbiera usterki i odmawia raz (linie 10675–10682, 11106–11112), zgodnie z projektem. Zamknięte 2026-10-13.</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DZIAŁA</t>
        </is>
      </c>
      <c r="J412" s="12" t="inlineStr">
        <is>
          <t>verris-egress-odswiez.timer (co 15 s) → security-control-plane-egress.sh --odswiez; Panel 06.10: timer active, „Odświeżenie: 12 nowych adresów”</t>
        </is>
      </c>
      <c r="K412" s="11" t="inlineStr">
        <is>
          <t>PARYTET</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DZIAŁA</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PARYTET</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DZIAŁA</t>
        </is>
      </c>
      <c r="J416" s="12" t="inlineStr">
        <is>
          <t>pomiar --pomiar 2026-10-06 (host 14 d): zero połączeń hosta do Stripe; Stripe tylko z kontenera API (FORWARD)</t>
        </is>
      </c>
      <c r="K416" s="11" t="inlineStr">
        <is>
          <t>PARYTET</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DZIAŁA</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PARYTET</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DZIAŁA</t>
        </is>
      </c>
      <c r="J418" s="12" t="inlineStr">
        <is>
          <t>obserwacja wpięta w DOCKER-USER, 1674 pakiety zliczone, 0 DROP/REJECT</t>
        </is>
      </c>
      <c r="K418" s="11" t="inlineStr">
        <is>
          <t>PARYTET</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 | 2026-10-12 D3 PROD (control-plane, Dominik): raport --kontenery-raport po 4 d pomiaru — VERRIS-FWD-SKAN/SMTP/IOC: 0, skok FORWARD→DOCKER-USER jest, werdykt „nic by nie odcięło”; --kontenery-egzekwuj kod 0 (10:09:34Z); egzekwuj w egress-kontenery-tryb, DROP w VERRIS_FWD_SKAN i VERRIS_FWD_SMTP, VERRIS_FWD_EGZEKW wpięty w DOCKER-USER; z kontenera api: Paynow/Stripe/KSeF/Turnstile/Hetzner/OpenProvider odpowiadają kodem HTTP, metadane 169.254.169.254 → ECONNREFUSED; po włączeniu panel operatora czyta konto d3 z węzła (poczta, bazy — 10:10Z). Powrót: --kontenery-pomiar (runbook docs/ops/RUNBOOK_X41_EGRESS_KONTENEROW.md).</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 | 2026-10-10: ta sama klasa błędu w panelu admina — miejsca `.catch(() =&gt; [])` (role, kolejka zakładania, karta węzła i inne) pokazują „Nie udało się wczytać — Spróbuj ponownie” (components/nie-wczytano.tsx + spec; e00968bb) zamiast pustej listy.</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row r="441">
      <c r="A441" s="11" t="inlineStr">
        <is>
          <t>SEC-11</t>
        </is>
      </c>
      <c r="B441" s="12" t="inlineStr">
        <is>
          <t>G</t>
        </is>
      </c>
      <c r="C441" s="11" t="inlineStr">
        <is>
          <t>CSP z nonce w panelach i na www — bez 'unsafe-inline' w script-src</t>
        </is>
      </c>
      <c r="D441" s="11" t="inlineStr">
        <is>
          <t>—</t>
        </is>
      </c>
      <c r="E441" s="11" t="inlineStr">
        <is>
          <t>—</t>
        </is>
      </c>
      <c r="F441" s="11" t="inlineStr">
        <is>
          <t>—</t>
        </is>
      </c>
      <c r="G441" s="11" t="inlineStr">
        <is>
          <t>—</t>
        </is>
      </c>
      <c r="H441" s="11" t="inlineStr">
        <is>
          <t>—</t>
        </is>
      </c>
      <c r="I441" s="11" t="inlineStr">
        <is>
          <t>DZIAŁA</t>
        </is>
      </c>
      <c r="J441" s="12"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K441" s="11" t="inlineStr">
        <is>
          <t>PARYTET</t>
        </is>
      </c>
      <c r="L441" s="11" t="inlineStr">
        <is>
          <t>WYSOKA</t>
        </is>
      </c>
      <c r="M441" s="11" t="inlineStr">
        <is>
          <t>S</t>
        </is>
      </c>
      <c r="N441" s="12"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 | 2026-10-12 D3 PROD (odczyt nagłówków, bez zmian): verris.pl /, /cennik, /hosting, panel.verris.pl, admin.verris.pl i staff.verris.pl — dokładnie jeden nagłówek Content-Security-Policy, script-src 'nonce-…' 'strict-dynamic' 'self' + domeny analityki/płatności, bez 'unsafe-inline' w script-src; nonce inny przy każdym z dwóch kolejnych pobrań; wszystkie &lt;script&gt; w HTML mają nonce poza application/ld+json (dane, nie kod). Konsola panelu klienta (karta d3, kopie) bez naruszeń CSP. style-src z 'unsafe-inline' zostaje świadomie (opis wyżej).</t>
        </is>
      </c>
    </row>
  </sheetData>
  <autoFilter ref="A1:N441"/>
  <conditionalFormatting sqref="D2:D441">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1">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1">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1">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1">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1">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1">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1">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2026-10-14T10:17:35Z</dcterms:created>
  <dcterms:modified xmlns:dcterms="http://purl.org/dc/terms/" xmlns:xsi="http://www.w3.org/2001/XMLSchema-instance" xsi:type="dcterms:W3CDTF">2026-10-14T10:17:36Z</dcterms:modified>
</cp:coreProperties>
</file>