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COUNTIF(Macierz!$K$2:$K$379,A6)</f>
        <v/>
      </c>
    </row>
    <row r="7">
      <c r="A7" s="5" t="inlineStr">
        <is>
          <t>PRZEWAGA</t>
        </is>
      </c>
      <c r="B7" s="5">
        <f>COUNTIF(Macierz!$K$2:$K$379,A7)</f>
        <v/>
      </c>
    </row>
    <row r="8">
      <c r="A8" s="5" t="inlineStr">
        <is>
          <t>CZĘŚCIOWY</t>
        </is>
      </c>
      <c r="B8" s="5">
        <f>COUNTIF(Macierz!$K$2:$K$379,A8)</f>
        <v/>
      </c>
    </row>
    <row r="9">
      <c r="A9" s="5" t="inlineStr">
        <is>
          <t>LUKA</t>
        </is>
      </c>
      <c r="B9" s="5">
        <f>COUNTIF(Macierz!$K$2:$K$379,A9)</f>
        <v/>
      </c>
    </row>
    <row r="10">
      <c r="A10" s="5" t="inlineStr">
        <is>
          <t>POZA ZAKRESEM</t>
        </is>
      </c>
      <c r="B10" s="5">
        <f>COUNTIF(Macierz!$K$2:$K$379,A10)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COUNTIF(Macierz!$I$2:$I$379,A15)</f>
        <v/>
      </c>
    </row>
    <row r="16">
      <c r="A16" s="5" t="inlineStr">
        <is>
          <t>CZĘŚCIOWE</t>
        </is>
      </c>
      <c r="B16" s="5">
        <f>COUNTIF(Macierz!$I$2:$I$379,A16)</f>
        <v/>
      </c>
    </row>
    <row r="17">
      <c r="A17" s="5" t="inlineStr">
        <is>
          <t>FLAGA</t>
        </is>
      </c>
      <c r="B17" s="5">
        <f>COUNTIF(Macierz!$I$2:$I$379,A17)</f>
        <v/>
      </c>
    </row>
    <row r="18">
      <c r="A18" s="5" t="inlineStr">
        <is>
          <t>ATRAPA</t>
        </is>
      </c>
      <c r="B18" s="5">
        <f>COUNTIF(Macierz!$I$2:$I$379,A18)</f>
        <v/>
      </c>
    </row>
    <row r="19">
      <c r="A19" s="5" t="inlineStr">
        <is>
          <t>ENDPOINT BEZ UI</t>
        </is>
      </c>
      <c r="B19" s="5">
        <f>COUNTIF(Macierz!$I$2:$I$379,A19)</f>
        <v/>
      </c>
    </row>
    <row r="20">
      <c r="A20" s="5" t="inlineStr">
        <is>
          <t>BRAK</t>
        </is>
      </c>
      <c r="B20" s="5">
        <f>COUNTIF(Macierz!$I$2:$I$379,A20)</f>
        <v/>
      </c>
    </row>
    <row r="21">
      <c r="A21" s="5" t="inlineStr">
        <is>
          <t>b.d.</t>
        </is>
      </c>
      <c r="B21" s="5">
        <f>COUNTIF(Macierz!$I$2:$I$379,A21)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COUNTIF(Macierz!$L$2:$L$379,A26)</f>
        <v/>
      </c>
    </row>
    <row r="27">
      <c r="A27" s="5" t="inlineStr">
        <is>
          <t>WYSOKA</t>
        </is>
      </c>
      <c r="B27" s="5">
        <f>COUNTIF(Macierz!$L$2:$L$379,A27)</f>
        <v/>
      </c>
    </row>
    <row r="28">
      <c r="A28" s="5" t="inlineStr">
        <is>
          <t>ŚREDNIA</t>
        </is>
      </c>
      <c r="B28" s="5">
        <f>COUNTIF(Macierz!$L$2:$L$379,A28)</f>
        <v/>
      </c>
    </row>
    <row r="29">
      <c r="A29" s="5" t="inlineStr">
        <is>
          <t>NISKA</t>
        </is>
      </c>
      <c r="B29" s="5">
        <f>COUNTIF(Macierz!$L$2:$L$379,A29)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COUNTIF(Macierz!$B$2:$B$379,"A")</f>
        <v/>
      </c>
      <c r="C33" s="7">
        <f>COUNTIFS(Macierz!$B$2:$B$379,"A",Macierz!$K$2:$K$379,"PARYTET")+COUNTIFS(Macierz!$B$2:$B$379,"A",Macierz!$K$2:$K$379,"PRZEWAGA")</f>
        <v/>
      </c>
      <c r="D33" s="7">
        <f>COUNTIFS(Macierz!$B$2:$B$379,"A",Macierz!$K$2:$K$379,"LUKA")</f>
        <v/>
      </c>
      <c r="E33" s="7">
        <f>COUNTIFS(Macierz!$B$2:$B$379,"A",Macierz!$L$2:$L$379,"BLOKER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COUNTIF(Macierz!$B$2:$B$379,"B")</f>
        <v/>
      </c>
      <c r="C34" s="7">
        <f>COUNTIFS(Macierz!$B$2:$B$379,"B",Macierz!$K$2:$K$379,"PARYTET")+COUNTIFS(Macierz!$B$2:$B$379,"B",Macierz!$K$2:$K$379,"PRZEWAGA")</f>
        <v/>
      </c>
      <c r="D34" s="7">
        <f>COUNTIFS(Macierz!$B$2:$B$379,"B",Macierz!$K$2:$K$379,"LUKA")</f>
        <v/>
      </c>
      <c r="E34" s="7">
        <f>COUNTIFS(Macierz!$B$2:$B$379,"B",Macierz!$L$2:$L$379,"BLOKER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COUNTIF(Macierz!$B$2:$B$379,"C")</f>
        <v/>
      </c>
      <c r="C35" s="7">
        <f>COUNTIFS(Macierz!$B$2:$B$379,"C",Macierz!$K$2:$K$379,"PARYTET")+COUNTIFS(Macierz!$B$2:$B$379,"C",Macierz!$K$2:$K$379,"PRZEWAGA")</f>
        <v/>
      </c>
      <c r="D35" s="7">
        <f>COUNTIFS(Macierz!$B$2:$B$379,"C",Macierz!$K$2:$K$379,"LUKA")</f>
        <v/>
      </c>
      <c r="E35" s="7">
        <f>COUNTIFS(Macierz!$B$2:$B$379,"C",Macierz!$L$2:$L$379,"BLOKER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COUNTIF(Macierz!$B$2:$B$379,"D")</f>
        <v/>
      </c>
      <c r="C36" s="7">
        <f>COUNTIFS(Macierz!$B$2:$B$379,"D",Macierz!$K$2:$K$379,"PARYTET")+COUNTIFS(Macierz!$B$2:$B$379,"D",Macierz!$K$2:$K$379,"PRZEWAGA")</f>
        <v/>
      </c>
      <c r="D36" s="7">
        <f>COUNTIFS(Macierz!$B$2:$B$379,"D",Macierz!$K$2:$K$379,"LUKA")</f>
        <v/>
      </c>
      <c r="E36" s="7">
        <f>COUNTIFS(Macierz!$B$2:$B$379,"D",Macierz!$L$2:$L$379,"BLOKER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COUNTIF(Macierz!$B$2:$B$379,"E")</f>
        <v/>
      </c>
      <c r="C37" s="7">
        <f>COUNTIFS(Macierz!$B$2:$B$379,"E",Macierz!$K$2:$K$379,"PARYTET")+COUNTIFS(Macierz!$B$2:$B$379,"E",Macierz!$K$2:$K$379,"PRZEWAGA")</f>
        <v/>
      </c>
      <c r="D37" s="7">
        <f>COUNTIFS(Macierz!$B$2:$B$379,"E",Macierz!$K$2:$K$379,"LUKA")</f>
        <v/>
      </c>
      <c r="E37" s="7">
        <f>COUNTIFS(Macierz!$B$2:$B$379,"E",Macierz!$L$2:$L$379,"BLOKER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COUNTIF(Macierz!$B$2:$B$379,"F")</f>
        <v/>
      </c>
      <c r="C38" s="7">
        <f>COUNTIFS(Macierz!$B$2:$B$379,"F",Macierz!$K$2:$K$379,"PARYTET")+COUNTIFS(Macierz!$B$2:$B$379,"F",Macierz!$K$2:$K$379,"PRZEWAGA")</f>
        <v/>
      </c>
      <c r="D38" s="7">
        <f>COUNTIFS(Macierz!$B$2:$B$379,"F",Macierz!$K$2:$K$379,"LUKA")</f>
        <v/>
      </c>
      <c r="E38" s="7">
        <f>COUNTIFS(Macierz!$B$2:$B$379,"F",Macierz!$L$2:$L$379,"BLOKER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COUNTIF(Macierz!$B$2:$B$379,"G")</f>
        <v/>
      </c>
      <c r="C39" s="7">
        <f>COUNTIFS(Macierz!$B$2:$B$379,"G",Macierz!$K$2:$K$379,"PARYTET")+COUNTIFS(Macierz!$B$2:$B$379,"G",Macierz!$K$2:$K$379,"PRZEWAGA")</f>
        <v/>
      </c>
      <c r="D39" s="7">
        <f>COUNTIFS(Macierz!$B$2:$B$379,"G",Macierz!$K$2:$K$379,"LUKA")</f>
        <v/>
      </c>
      <c r="E39" s="7">
        <f>COUNTIFS(Macierz!$B$2:$B$379,"G",Macierz!$L$2:$L$379,"BLOKER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COUNTIF(Macierz!$B$2:$B$379,"H")</f>
        <v/>
      </c>
      <c r="C40" s="7">
        <f>COUNTIFS(Macierz!$B$2:$B$379,"H",Macierz!$K$2:$K$379,"PARYTET")+COUNTIFS(Macierz!$B$2:$B$379,"H",Macierz!$K$2:$K$379,"PRZEWAGA")</f>
        <v/>
      </c>
      <c r="D40" s="7">
        <f>COUNTIFS(Macierz!$B$2:$B$379,"H",Macierz!$K$2:$K$379,"LUKA")</f>
        <v/>
      </c>
      <c r="E40" s="7">
        <f>COUNTIFS(Macierz!$B$2:$B$379,"H",Macierz!$L$2:$L$379,"BLOKER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COUNTIF(Macierz!$B$2:$B$379,"I")</f>
        <v/>
      </c>
      <c r="C41" s="7">
        <f>COUNTIFS(Macierz!$B$2:$B$379,"I",Macierz!$K$2:$K$379,"PARYTET")+COUNTIFS(Macierz!$B$2:$B$379,"I",Macierz!$K$2:$K$379,"PRZEWAGA")</f>
        <v/>
      </c>
      <c r="D41" s="7">
        <f>COUNTIFS(Macierz!$B$2:$B$379,"I",Macierz!$K$2:$K$379,"LUKA")</f>
        <v/>
      </c>
      <c r="E41" s="7">
        <f>COUNTIFS(Macierz!$B$2:$B$379,"I",Macierz!$L$2:$L$379,"BLOKER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COUNTIF(Macierz!$B$2:$B$379,"J")</f>
        <v/>
      </c>
      <c r="C42" s="7">
        <f>COUNTIFS(Macierz!$B$2:$B$379,"J",Macierz!$K$2:$K$379,"PARYTET")+COUNTIFS(Macierz!$B$2:$B$379,"J",Macierz!$K$2:$K$379,"PRZEWAGA")</f>
        <v/>
      </c>
      <c r="D42" s="7">
        <f>COUNTIFS(Macierz!$B$2:$B$379,"J",Macierz!$K$2:$K$379,"LUKA")</f>
        <v/>
      </c>
      <c r="E42" s="7">
        <f>COUNTIFS(Macierz!$B$2:$B$379,"J",Macierz!$L$2:$L$379,"BLOKER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COUNTIF(Macierz!$B$2:$B$379,"K")</f>
        <v/>
      </c>
      <c r="C43" s="7">
        <f>COUNTIFS(Macierz!$B$2:$B$379,"K",Macierz!$K$2:$K$379,"PARYTET")+COUNTIFS(Macierz!$B$2:$B$379,"K",Macierz!$K$2:$K$379,"PRZEWAGA")</f>
        <v/>
      </c>
      <c r="D43" s="7">
        <f>COUNTIFS(Macierz!$B$2:$B$379,"K",Macierz!$K$2:$K$379,"LUKA")</f>
        <v/>
      </c>
      <c r="E43" s="7">
        <f>COUNTIFS(Macierz!$B$2:$B$379,"K",Macierz!$L$2:$L$379,"BLOKER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COUNTIF(Macierz!$B$2:$B$379,"L")</f>
        <v/>
      </c>
      <c r="C44" s="7">
        <f>COUNTIFS(Macierz!$B$2:$B$379,"L",Macierz!$K$2:$K$379,"PARYTET")+COUNTIFS(Macierz!$B$2:$B$379,"L",Macierz!$K$2:$K$379,"PRZEWAGA")</f>
        <v/>
      </c>
      <c r="D44" s="7">
        <f>COUNTIFS(Macierz!$B$2:$B$379,"L",Macierz!$K$2:$K$379,"LUKA")</f>
        <v/>
      </c>
      <c r="E44" s="7">
        <f>COUNTIFS(Macierz!$B$2:$B$379,"L",Macierz!$L$2:$L$379,"BLOKER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COUNTIF(Macierz!$B$2:$B$379,"M")</f>
        <v/>
      </c>
      <c r="C45" s="7">
        <f>COUNTIFS(Macierz!$B$2:$B$379,"M",Macierz!$K$2:$K$379,"PARYTET")+COUNTIFS(Macierz!$B$2:$B$379,"M",Macierz!$K$2:$K$379,"PRZEWAGA")</f>
        <v/>
      </c>
      <c r="D45" s="7">
        <f>COUNTIFS(Macierz!$B$2:$B$379,"M",Macierz!$K$2:$K$379,"LUKA")</f>
        <v/>
      </c>
      <c r="E45" s="7">
        <f>COUNTIFS(Macierz!$B$2:$B$379,"M",Macierz!$L$2:$L$379,"BLOKER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COUNTIF(Macierz!$B$2:$B$379,"N")</f>
        <v/>
      </c>
      <c r="C46" s="7">
        <f>COUNTIFS(Macierz!$B$2:$B$379,"N",Macierz!$K$2:$K$379,"PARYTET")+COUNTIFS(Macierz!$B$2:$B$379,"N",Macierz!$K$2:$K$379,"PRZEWAGA")</f>
        <v/>
      </c>
      <c r="D46" s="7">
        <f>COUNTIFS(Macierz!$B$2:$B$379,"N",Macierz!$K$2:$K$379,"LUKA")</f>
        <v/>
      </c>
      <c r="E46" s="7">
        <f>COUNTIFS(Macierz!$B$2:$B$379,"N",Macierz!$L$2:$L$379,"BLOKER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COUNTIF(Macierz!$B$2:$B$379,"O")</f>
        <v/>
      </c>
      <c r="C47" s="7">
        <f>COUNTIFS(Macierz!$B$2:$B$379,"O",Macierz!$K$2:$K$379,"PARYTET")+COUNTIFS(Macierz!$B$2:$B$379,"O",Macierz!$K$2:$K$379,"PRZEWAGA")</f>
        <v/>
      </c>
      <c r="D47" s="7">
        <f>COUNTIFS(Macierz!$B$2:$B$379,"O",Macierz!$K$2:$K$379,"LUKA")</f>
        <v/>
      </c>
      <c r="E47" s="7">
        <f>COUNTIFS(Macierz!$B$2:$B$379,"O",Macierz!$L$2:$L$379,"BLOKER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COUNTIF(Macierz!$B$2:$B$379,"P")</f>
        <v/>
      </c>
      <c r="C48" s="7">
        <f>COUNTIFS(Macierz!$B$2:$B$379,"P",Macierz!$K$2:$K$379,"PARYTET")+COUNTIFS(Macierz!$B$2:$B$379,"P",Macierz!$K$2:$K$379,"PRZEWAGA")</f>
        <v/>
      </c>
      <c r="D48" s="7">
        <f>COUNTIFS(Macierz!$B$2:$B$379,"P",Macierz!$K$2:$K$379,"LUKA")</f>
        <v/>
      </c>
      <c r="E48" s="7">
        <f>COUNTIFS(Macierz!$B$2:$B$379,"P",Macierz!$L$2:$L$379,"BLOKER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COUNTIF(Macierz!$B$2:$B$379,"Q")</f>
        <v/>
      </c>
      <c r="C49" s="7">
        <f>COUNTIFS(Macierz!$B$2:$B$379,"Q",Macierz!$K$2:$K$379,"PARYTET")+COUNTIFS(Macierz!$B$2:$B$379,"Q",Macierz!$K$2:$K$379,"PRZEWAGA")</f>
        <v/>
      </c>
      <c r="D49" s="7">
        <f>COUNTIFS(Macierz!$B$2:$B$379,"Q",Macierz!$K$2:$K$379,"LUKA")</f>
        <v/>
      </c>
      <c r="E49" s="7">
        <f>COUNTIFS(Macierz!$B$2:$B$379,"Q",Macierz!$L$2:$L$379,"BLOKER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COUNTIF(Macierz!$B$2:$B$379,"X")</f>
        <v/>
      </c>
      <c r="C50" s="7">
        <f>COUNTIFS(Macierz!$B$2:$B$379,"X",Macierz!$K$2:$K$379,"PARYTET")+COUNTIFS(Macierz!$B$2:$B$379,"X",Macierz!$K$2:$K$379,"PRZEWAGA")</f>
        <v/>
      </c>
      <c r="D50" s="7">
        <f>COUNTIFS(Macierz!$B$2:$B$379,"X",Macierz!$K$2:$K$379,"LUKA")</f>
        <v/>
      </c>
      <c r="E50" s="7">
        <f>COUNTIFS(Macierz!$B$2:$B$379,"X",Macierz!$L$2:$L$379,"BLOKER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COUNTIF(Macierz!$B$2:$B$379,"Z")</f>
        <v/>
      </c>
      <c r="C51" s="7">
        <f>COUNTIFS(Macierz!$B$2:$B$379,"Z",Macierz!$K$2:$K$379,"PARYTET")+COUNTIFS(Macierz!$B$2:$B$379,"Z",Macierz!$K$2:$K$379,"PRZEWAGA")</f>
        <v/>
      </c>
      <c r="D51" s="7">
        <f>COUNTIFS(Macierz!$B$2:$B$379,"Z",Macierz!$K$2:$K$379,"LUKA")</f>
        <v/>
      </c>
      <c r="E51" s="7">
        <f>COUNTIFS(Macierz!$B$2:$B$379,"Z",Macierz!$L$2:$L$379,"BLOKER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CZĘŚCIOWE</t>
        </is>
      </c>
      <c r="J176" s="12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K176" s="11" t="inlineStr">
        <is>
          <t>CZĘŚCIOWY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L</t>
        </is>
      </c>
      <c r="N244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DZIAŁA</t>
        </is>
      </c>
      <c r="J272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2" s="11" t="inlineStr">
        <is>
          <t>PARYTET</t>
        </is>
      </c>
      <c r="L272" s="11" t="inlineStr">
        <is>
          <t>—</t>
        </is>
      </c>
      <c r="M272" s="11" t="inlineStr">
        <is>
          <t>L</t>
        </is>
      </c>
      <c r="N272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M</t>
        </is>
      </c>
      <c r="N274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6">
      <c r="A376" s="11" t="inlineStr">
        <is>
          <t>M-34</t>
        </is>
      </c>
      <c r="B376" s="12" t="inlineStr">
        <is>
          <t>M</t>
        </is>
      </c>
      <c r="C376" s="11" t="inlineStr">
        <is>
          <t>Model prepaid potwierdzony z księgową — doładowanie bez faktury zaliczkowej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TAK</t>
        </is>
      </c>
      <c r="H376" s="11" t="inlineStr">
        <is>
          <t>TAK</t>
        </is>
      </c>
      <c r="I376" s="11" t="inlineStr">
        <is>
          <t>b.d.</t>
        </is>
      </c>
      <c r="J376" s="12" t="inlineStr">
        <is>
          <t>faktura-za-portfel.ts — TYPY_SPRZEDAZY nie obejmuje TOPUP; billing.service.ts:handleCheckoutCompleted — doładowanie kredytuje portfel i nie tworzy dokumentu</t>
        </is>
      </c>
      <c r="K376" s="11" t="inlineStr">
        <is>
          <t>CZĘŚCIOWY</t>
        </is>
      </c>
      <c r="L376" s="11" t="inlineStr">
        <is>
          <t>WYSOKA</t>
        </is>
      </c>
      <c r="M376" s="11" t="inlineStr">
        <is>
          <t>S</t>
        </is>
      </c>
      <c r="N376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7">
      <c r="A377" s="11" t="inlineStr">
        <is>
          <t>X-24</t>
        </is>
      </c>
      <c r="B377" s="12" t="inlineStr">
        <is>
          <t>X</t>
        </is>
      </c>
      <c r="C377" s="11" t="inlineStr">
        <is>
          <t>Panel admina woła ścieżki, które API naprawdę wystawia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apps/api/src/test/sciezki-panelu.spec.ts — 5 testów; porównuje wywołania adminApi() z panelu z trasami zadeklarowanymi w kontrolerach API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8">
      <c r="A378" s="11" t="inlineStr">
        <is>
          <t>X-25</t>
        </is>
      </c>
      <c r="B378" s="12" t="inlineStr">
        <is>
          <t>X</t>
        </is>
      </c>
      <c r="C378" s="11" t="inlineStr">
        <is>
          <t>Asercje po migracji biegną także na produkcji, z rollbackiem przy naruszeniu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79">
      <c r="A379" s="11" t="inlineStr">
        <is>
          <t>X-26</t>
        </is>
      </c>
      <c r="B379" s="12" t="inlineStr">
        <is>
          <t>X</t>
        </is>
      </c>
      <c r="C379" s="11" t="inlineStr">
        <is>
          <t>Skrypty powłoki mają bit wykonywalności — także po świeżym git clone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</sheetData>
  <autoFilter ref="A1:N379"/>
  <conditionalFormatting sqref="D2:D379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9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9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9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9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9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9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9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2026-08-22T17:52:08Z</dcterms:created>
  <dcterms:modified xmlns:dcterms="http://purl.org/dc/terms/" xmlns:xsi="http://www.w3.org/2001/XMLSchema-instance" xsi:type="dcterms:W3CDTF">2026-08-22T17:52:08Z</dcterms:modified>
</cp:coreProperties>
</file>