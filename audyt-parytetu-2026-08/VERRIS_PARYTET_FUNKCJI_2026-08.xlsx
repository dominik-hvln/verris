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2026-08-22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COUNTIF(Macierz!$K$2:$K$376,A6)</f>
        <v/>
      </c>
    </row>
    <row r="7">
      <c r="A7" s="5" t="inlineStr">
        <is>
          <t>PRZEWAGA</t>
        </is>
      </c>
      <c r="B7" s="5">
        <f>COUNTIF(Macierz!$K$2:$K$376,A7)</f>
        <v/>
      </c>
    </row>
    <row r="8">
      <c r="A8" s="5" t="inlineStr">
        <is>
          <t>CZĘŚCIOWY</t>
        </is>
      </c>
      <c r="B8" s="5">
        <f>COUNTIF(Macierz!$K$2:$K$376,A8)</f>
        <v/>
      </c>
    </row>
    <row r="9">
      <c r="A9" s="5" t="inlineStr">
        <is>
          <t>LUKA</t>
        </is>
      </c>
      <c r="B9" s="5">
        <f>COUNTIF(Macierz!$K$2:$K$376,A9)</f>
        <v/>
      </c>
    </row>
    <row r="10">
      <c r="A10" s="5" t="inlineStr">
        <is>
          <t>POZA ZAKRESEM</t>
        </is>
      </c>
      <c r="B10" s="5">
        <f>COUNTIF(Macierz!$K$2:$K$376,A10)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COUNTIF(Macierz!$I$2:$I$376,A15)</f>
        <v/>
      </c>
    </row>
    <row r="16">
      <c r="A16" s="5" t="inlineStr">
        <is>
          <t>CZĘŚCIOWE</t>
        </is>
      </c>
      <c r="B16" s="5">
        <f>COUNTIF(Macierz!$I$2:$I$376,A16)</f>
        <v/>
      </c>
    </row>
    <row r="17">
      <c r="A17" s="5" t="inlineStr">
        <is>
          <t>FLAGA</t>
        </is>
      </c>
      <c r="B17" s="5">
        <f>COUNTIF(Macierz!$I$2:$I$376,A17)</f>
        <v/>
      </c>
    </row>
    <row r="18">
      <c r="A18" s="5" t="inlineStr">
        <is>
          <t>ATRAPA</t>
        </is>
      </c>
      <c r="B18" s="5">
        <f>COUNTIF(Macierz!$I$2:$I$376,A18)</f>
        <v/>
      </c>
    </row>
    <row r="19">
      <c r="A19" s="5" t="inlineStr">
        <is>
          <t>ENDPOINT BEZ UI</t>
        </is>
      </c>
      <c r="B19" s="5">
        <f>COUNTIF(Macierz!$I$2:$I$376,A19)</f>
        <v/>
      </c>
    </row>
    <row r="20">
      <c r="A20" s="5" t="inlineStr">
        <is>
          <t>BRAK</t>
        </is>
      </c>
      <c r="B20" s="5">
        <f>COUNTIF(Macierz!$I$2:$I$376,A20)</f>
        <v/>
      </c>
    </row>
    <row r="21">
      <c r="A21" s="5" t="inlineStr">
        <is>
          <t>b.d.</t>
        </is>
      </c>
      <c r="B21" s="5">
        <f>COUNTIF(Macierz!$I$2:$I$376,A21)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COUNTIF(Macierz!$L$2:$L$376,A26)</f>
        <v/>
      </c>
    </row>
    <row r="27">
      <c r="A27" s="5" t="inlineStr">
        <is>
          <t>WYSOKA</t>
        </is>
      </c>
      <c r="B27" s="5">
        <f>COUNTIF(Macierz!$L$2:$L$376,A27)</f>
        <v/>
      </c>
    </row>
    <row r="28">
      <c r="A28" s="5" t="inlineStr">
        <is>
          <t>ŚREDNIA</t>
        </is>
      </c>
      <c r="B28" s="5">
        <f>COUNTIF(Macierz!$L$2:$L$376,A28)</f>
        <v/>
      </c>
    </row>
    <row r="29">
      <c r="A29" s="5" t="inlineStr">
        <is>
          <t>NISKA</t>
        </is>
      </c>
      <c r="B29" s="5">
        <f>COUNTIF(Macierz!$L$2:$L$376,A29)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COUNTIF(Macierz!$B$2:$B$376,"A")</f>
        <v/>
      </c>
      <c r="C33" s="7">
        <f>COUNTIFS(Macierz!$B$2:$B$376,"A",Macierz!$K$2:$K$376,"PARYTET")+COUNTIFS(Macierz!$B$2:$B$376,"A",Macierz!$K$2:$K$376,"PRZEWAGA")</f>
        <v/>
      </c>
      <c r="D33" s="7">
        <f>COUNTIFS(Macierz!$B$2:$B$376,"A",Macierz!$K$2:$K$376,"LUKA")</f>
        <v/>
      </c>
      <c r="E33" s="7">
        <f>COUNTIFS(Macierz!$B$2:$B$376,"A",Macierz!$L$2:$L$376,"BLOKER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COUNTIF(Macierz!$B$2:$B$376,"B")</f>
        <v/>
      </c>
      <c r="C34" s="7">
        <f>COUNTIFS(Macierz!$B$2:$B$376,"B",Macierz!$K$2:$K$376,"PARYTET")+COUNTIFS(Macierz!$B$2:$B$376,"B",Macierz!$K$2:$K$376,"PRZEWAGA")</f>
        <v/>
      </c>
      <c r="D34" s="7">
        <f>COUNTIFS(Macierz!$B$2:$B$376,"B",Macierz!$K$2:$K$376,"LUKA")</f>
        <v/>
      </c>
      <c r="E34" s="7">
        <f>COUNTIFS(Macierz!$B$2:$B$376,"B",Macierz!$L$2:$L$376,"BLOKER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COUNTIF(Macierz!$B$2:$B$376,"C")</f>
        <v/>
      </c>
      <c r="C35" s="7">
        <f>COUNTIFS(Macierz!$B$2:$B$376,"C",Macierz!$K$2:$K$376,"PARYTET")+COUNTIFS(Macierz!$B$2:$B$376,"C",Macierz!$K$2:$K$376,"PRZEWAGA")</f>
        <v/>
      </c>
      <c r="D35" s="7">
        <f>COUNTIFS(Macierz!$B$2:$B$376,"C",Macierz!$K$2:$K$376,"LUKA")</f>
        <v/>
      </c>
      <c r="E35" s="7">
        <f>COUNTIFS(Macierz!$B$2:$B$376,"C",Macierz!$L$2:$L$376,"BLOKER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COUNTIF(Macierz!$B$2:$B$376,"D")</f>
        <v/>
      </c>
      <c r="C36" s="7">
        <f>COUNTIFS(Macierz!$B$2:$B$376,"D",Macierz!$K$2:$K$376,"PARYTET")+COUNTIFS(Macierz!$B$2:$B$376,"D",Macierz!$K$2:$K$376,"PRZEWAGA")</f>
        <v/>
      </c>
      <c r="D36" s="7">
        <f>COUNTIFS(Macierz!$B$2:$B$376,"D",Macierz!$K$2:$K$376,"LUKA")</f>
        <v/>
      </c>
      <c r="E36" s="7">
        <f>COUNTIFS(Macierz!$B$2:$B$376,"D",Macierz!$L$2:$L$376,"BLOKER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COUNTIF(Macierz!$B$2:$B$376,"E")</f>
        <v/>
      </c>
      <c r="C37" s="7">
        <f>COUNTIFS(Macierz!$B$2:$B$376,"E",Macierz!$K$2:$K$376,"PARYTET")+COUNTIFS(Macierz!$B$2:$B$376,"E",Macierz!$K$2:$K$376,"PRZEWAGA")</f>
        <v/>
      </c>
      <c r="D37" s="7">
        <f>COUNTIFS(Macierz!$B$2:$B$376,"E",Macierz!$K$2:$K$376,"LUKA")</f>
        <v/>
      </c>
      <c r="E37" s="7">
        <f>COUNTIFS(Macierz!$B$2:$B$376,"E",Macierz!$L$2:$L$376,"BLOKER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COUNTIF(Macierz!$B$2:$B$376,"F")</f>
        <v/>
      </c>
      <c r="C38" s="7">
        <f>COUNTIFS(Macierz!$B$2:$B$376,"F",Macierz!$K$2:$K$376,"PARYTET")+COUNTIFS(Macierz!$B$2:$B$376,"F",Macierz!$K$2:$K$376,"PRZEWAGA")</f>
        <v/>
      </c>
      <c r="D38" s="7">
        <f>COUNTIFS(Macierz!$B$2:$B$376,"F",Macierz!$K$2:$K$376,"LUKA")</f>
        <v/>
      </c>
      <c r="E38" s="7">
        <f>COUNTIFS(Macierz!$B$2:$B$376,"F",Macierz!$L$2:$L$376,"BLOKER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COUNTIF(Macierz!$B$2:$B$376,"G")</f>
        <v/>
      </c>
      <c r="C39" s="7">
        <f>COUNTIFS(Macierz!$B$2:$B$376,"G",Macierz!$K$2:$K$376,"PARYTET")+COUNTIFS(Macierz!$B$2:$B$376,"G",Macierz!$K$2:$K$376,"PRZEWAGA")</f>
        <v/>
      </c>
      <c r="D39" s="7">
        <f>COUNTIFS(Macierz!$B$2:$B$376,"G",Macierz!$K$2:$K$376,"LUKA")</f>
        <v/>
      </c>
      <c r="E39" s="7">
        <f>COUNTIFS(Macierz!$B$2:$B$376,"G",Macierz!$L$2:$L$376,"BLOKER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COUNTIF(Macierz!$B$2:$B$376,"H")</f>
        <v/>
      </c>
      <c r="C40" s="7">
        <f>COUNTIFS(Macierz!$B$2:$B$376,"H",Macierz!$K$2:$K$376,"PARYTET")+COUNTIFS(Macierz!$B$2:$B$376,"H",Macierz!$K$2:$K$376,"PRZEWAGA")</f>
        <v/>
      </c>
      <c r="D40" s="7">
        <f>COUNTIFS(Macierz!$B$2:$B$376,"H",Macierz!$K$2:$K$376,"LUKA")</f>
        <v/>
      </c>
      <c r="E40" s="7">
        <f>COUNTIFS(Macierz!$B$2:$B$376,"H",Macierz!$L$2:$L$376,"BLOKER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COUNTIF(Macierz!$B$2:$B$376,"I")</f>
        <v/>
      </c>
      <c r="C41" s="7">
        <f>COUNTIFS(Macierz!$B$2:$B$376,"I",Macierz!$K$2:$K$376,"PARYTET")+COUNTIFS(Macierz!$B$2:$B$376,"I",Macierz!$K$2:$K$376,"PRZEWAGA")</f>
        <v/>
      </c>
      <c r="D41" s="7">
        <f>COUNTIFS(Macierz!$B$2:$B$376,"I",Macierz!$K$2:$K$376,"LUKA")</f>
        <v/>
      </c>
      <c r="E41" s="7">
        <f>COUNTIFS(Macierz!$B$2:$B$376,"I",Macierz!$L$2:$L$376,"BLOKER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COUNTIF(Macierz!$B$2:$B$376,"J")</f>
        <v/>
      </c>
      <c r="C42" s="7">
        <f>COUNTIFS(Macierz!$B$2:$B$376,"J",Macierz!$K$2:$K$376,"PARYTET")+COUNTIFS(Macierz!$B$2:$B$376,"J",Macierz!$K$2:$K$376,"PRZEWAGA")</f>
        <v/>
      </c>
      <c r="D42" s="7">
        <f>COUNTIFS(Macierz!$B$2:$B$376,"J",Macierz!$K$2:$K$376,"LUKA")</f>
        <v/>
      </c>
      <c r="E42" s="7">
        <f>COUNTIFS(Macierz!$B$2:$B$376,"J",Macierz!$L$2:$L$376,"BLOKER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COUNTIF(Macierz!$B$2:$B$376,"K")</f>
        <v/>
      </c>
      <c r="C43" s="7">
        <f>COUNTIFS(Macierz!$B$2:$B$376,"K",Macierz!$K$2:$K$376,"PARYTET")+COUNTIFS(Macierz!$B$2:$B$376,"K",Macierz!$K$2:$K$376,"PRZEWAGA")</f>
        <v/>
      </c>
      <c r="D43" s="7">
        <f>COUNTIFS(Macierz!$B$2:$B$376,"K",Macierz!$K$2:$K$376,"LUKA")</f>
        <v/>
      </c>
      <c r="E43" s="7">
        <f>COUNTIFS(Macierz!$B$2:$B$376,"K",Macierz!$L$2:$L$376,"BLOKER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COUNTIF(Macierz!$B$2:$B$376,"L")</f>
        <v/>
      </c>
      <c r="C44" s="7">
        <f>COUNTIFS(Macierz!$B$2:$B$376,"L",Macierz!$K$2:$K$376,"PARYTET")+COUNTIFS(Macierz!$B$2:$B$376,"L",Macierz!$K$2:$K$376,"PRZEWAGA")</f>
        <v/>
      </c>
      <c r="D44" s="7">
        <f>COUNTIFS(Macierz!$B$2:$B$376,"L",Macierz!$K$2:$K$376,"LUKA")</f>
        <v/>
      </c>
      <c r="E44" s="7">
        <f>COUNTIFS(Macierz!$B$2:$B$376,"L",Macierz!$L$2:$L$376,"BLOKER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COUNTIF(Macierz!$B$2:$B$376,"M")</f>
        <v/>
      </c>
      <c r="C45" s="7">
        <f>COUNTIFS(Macierz!$B$2:$B$376,"M",Macierz!$K$2:$K$376,"PARYTET")+COUNTIFS(Macierz!$B$2:$B$376,"M",Macierz!$K$2:$K$376,"PRZEWAGA")</f>
        <v/>
      </c>
      <c r="D45" s="7">
        <f>COUNTIFS(Macierz!$B$2:$B$376,"M",Macierz!$K$2:$K$376,"LUKA")</f>
        <v/>
      </c>
      <c r="E45" s="7">
        <f>COUNTIFS(Macierz!$B$2:$B$376,"M",Macierz!$L$2:$L$376,"BLOKER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COUNTIF(Macierz!$B$2:$B$376,"N")</f>
        <v/>
      </c>
      <c r="C46" s="7">
        <f>COUNTIFS(Macierz!$B$2:$B$376,"N",Macierz!$K$2:$K$376,"PARYTET")+COUNTIFS(Macierz!$B$2:$B$376,"N",Macierz!$K$2:$K$376,"PRZEWAGA")</f>
        <v/>
      </c>
      <c r="D46" s="7">
        <f>COUNTIFS(Macierz!$B$2:$B$376,"N",Macierz!$K$2:$K$376,"LUKA")</f>
        <v/>
      </c>
      <c r="E46" s="7">
        <f>COUNTIFS(Macierz!$B$2:$B$376,"N",Macierz!$L$2:$L$376,"BLOKER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COUNTIF(Macierz!$B$2:$B$376,"O")</f>
        <v/>
      </c>
      <c r="C47" s="7">
        <f>COUNTIFS(Macierz!$B$2:$B$376,"O",Macierz!$K$2:$K$376,"PARYTET")+COUNTIFS(Macierz!$B$2:$B$376,"O",Macierz!$K$2:$K$376,"PRZEWAGA")</f>
        <v/>
      </c>
      <c r="D47" s="7">
        <f>COUNTIFS(Macierz!$B$2:$B$376,"O",Macierz!$K$2:$K$376,"LUKA")</f>
        <v/>
      </c>
      <c r="E47" s="7">
        <f>COUNTIFS(Macierz!$B$2:$B$376,"O",Macierz!$L$2:$L$376,"BLOKER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COUNTIF(Macierz!$B$2:$B$376,"P")</f>
        <v/>
      </c>
      <c r="C48" s="7">
        <f>COUNTIFS(Macierz!$B$2:$B$376,"P",Macierz!$K$2:$K$376,"PARYTET")+COUNTIFS(Macierz!$B$2:$B$376,"P",Macierz!$K$2:$K$376,"PRZEWAGA")</f>
        <v/>
      </c>
      <c r="D48" s="7">
        <f>COUNTIFS(Macierz!$B$2:$B$376,"P",Macierz!$K$2:$K$376,"LUKA")</f>
        <v/>
      </c>
      <c r="E48" s="7">
        <f>COUNTIFS(Macierz!$B$2:$B$376,"P",Macierz!$L$2:$L$376,"BLOKER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COUNTIF(Macierz!$B$2:$B$376,"Q")</f>
        <v/>
      </c>
      <c r="C49" s="7">
        <f>COUNTIFS(Macierz!$B$2:$B$376,"Q",Macierz!$K$2:$K$376,"PARYTET")+COUNTIFS(Macierz!$B$2:$B$376,"Q",Macierz!$K$2:$K$376,"PRZEWAGA")</f>
        <v/>
      </c>
      <c r="D49" s="7">
        <f>COUNTIFS(Macierz!$B$2:$B$376,"Q",Macierz!$K$2:$K$376,"LUKA")</f>
        <v/>
      </c>
      <c r="E49" s="7">
        <f>COUNTIFS(Macierz!$B$2:$B$376,"Q",Macierz!$L$2:$L$376,"BLOKER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COUNTIF(Macierz!$B$2:$B$376,"X")</f>
        <v/>
      </c>
      <c r="C50" s="7">
        <f>COUNTIFS(Macierz!$B$2:$B$376,"X",Macierz!$K$2:$K$376,"PARYTET")+COUNTIFS(Macierz!$B$2:$B$376,"X",Macierz!$K$2:$K$376,"PRZEWAGA")</f>
        <v/>
      </c>
      <c r="D50" s="7">
        <f>COUNTIFS(Macierz!$B$2:$B$376,"X",Macierz!$K$2:$K$376,"LUKA")</f>
        <v/>
      </c>
      <c r="E50" s="7">
        <f>COUNTIFS(Macierz!$B$2:$B$376,"X",Macierz!$L$2:$L$376,"BLOKER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COUNTIF(Macierz!$B$2:$B$376,"Z")</f>
        <v/>
      </c>
      <c r="C51" s="7">
        <f>COUNTIFS(Macierz!$B$2:$B$376,"Z",Macierz!$K$2:$K$376,"PARYTET")+COUNTIFS(Macierz!$B$2:$B$376,"Z",Macierz!$K$2:$K$376,"PRZEWAGA")</f>
        <v/>
      </c>
      <c r="D51" s="7">
        <f>COUNTIFS(Macierz!$B$2:$B$376,"Z",Macierz!$K$2:$K$376,"LUKA")</f>
        <v/>
      </c>
      <c r="E51" s="7">
        <f>COUNTIFS(Macierz!$B$2:$B$376,"Z",Macierz!$L$2:$L$376,"BLOKER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7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CZĘŚCIOWE</t>
        </is>
      </c>
      <c r="J30" s="12" t="inlineStr">
        <is>
          <t>services.controller.ts:125</t>
        </is>
      </c>
      <c r="K30" s="11" t="inlineStr">
        <is>
          <t>CZĘŚCIOWY</t>
        </is>
      </c>
      <c r="L30" s="11" t="inlineStr">
        <is>
          <t>WYSOKA</t>
        </is>
      </c>
      <c r="M30" s="11" t="inlineStr">
        <is>
          <t>—</t>
        </is>
      </c>
      <c r="N30" s="12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BRAK</t>
        </is>
      </c>
      <c r="J176" s="12" t="inlineStr">
        <is>
          <t>ops/scripts/restore-drill-isolated.sh istnieje jako procedura ręczna; live-readiness.service.ts:175-177 sprawdza tylko czy backup się WYKONAŁ</t>
        </is>
      </c>
      <c r="K176" s="11" t="inlineStr">
        <is>
          <t>LUKA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ops/backup-postgres.sh, backup-mirror-external.sh, backup-verify.sh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poza panelem, infra</t>
        </is>
      </c>
    </row>
    <row r="180">
      <c r="A180" s="11" t="inlineStr">
        <is>
          <t>I-01</t>
        </is>
      </c>
      <c r="B180" s="12" t="inlineStr">
        <is>
          <t>I</t>
        </is>
      </c>
      <c r="C180" s="11" t="inlineStr">
        <is>
          <t>Autoinstalator aplikacji</t>
        </is>
      </c>
      <c r="D180" s="11" t="inlineStr">
        <is>
          <t>PŁATNE</t>
        </is>
      </c>
      <c r="E180" s="11" t="inlineStr">
        <is>
          <t>TAK</t>
        </is>
      </c>
      <c r="F180" s="11" t="inlineStr">
        <is>
          <t>PŁATNE</t>
        </is>
      </c>
      <c r="G180" s="11" t="inlineStr">
        <is>
          <t>TAK</t>
        </is>
      </c>
      <c r="H180" s="11" t="inlineStr">
        <is>
          <t>TAK</t>
        </is>
      </c>
      <c r="I180" s="11" t="inlineStr">
        <is>
          <t>CZĘŚCIOWE</t>
        </is>
      </c>
      <c r="J180" s="12" t="inlineStr">
        <is>
          <t>app-install.service.ts:25,32 — katalog ma 2 pozycje</t>
        </is>
      </c>
      <c r="K180" s="11" t="inlineStr">
        <is>
          <t>CZĘŚCIOWY</t>
        </is>
      </c>
      <c r="L180" s="11" t="inlineStr">
        <is>
          <t>WYSOKA</t>
        </is>
      </c>
      <c r="M180" s="11" t="inlineStr">
        <is>
          <t>M</t>
        </is>
      </c>
      <c r="N180" s="12" t="inlineStr">
        <is>
          <t>Softaculous/Installatron ma ~400 aplikacji; my mamy Nextcloud i PrestaShop | KOREKTA 2026-08-21: niezależnie od ubogiego katalogu, ścieżka wykonania była przerwana — node-app-install.sh nie był kopiowany do obrazu, więc /agent/tasks/app-install/script zwracał 500 i zadanie APP_INSTALL nie mogło się wykonać na produkcji. Naprawione razem z B-01.</t>
        </is>
      </c>
    </row>
    <row r="181">
      <c r="A181" s="11" t="inlineStr">
        <is>
          <t>I-02</t>
        </is>
      </c>
      <c r="B181" s="12" t="inlineStr">
        <is>
          <t>I</t>
        </is>
      </c>
      <c r="C181" s="11" t="inlineStr">
        <is>
          <t>Instalacja WordPressa jednym kliknięciem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DZIAŁA</t>
        </is>
      </c>
      <c r="J181" s="12" t="inlineStr">
        <is>
          <t>services.controller.ts:218</t>
        </is>
      </c>
      <c r="K181" s="11" t="inlineStr">
        <is>
          <t>PARYTET</t>
        </is>
      </c>
      <c r="L181" s="11" t="inlineStr">
        <is>
          <t>—</t>
        </is>
      </c>
      <c r="M181" s="11" t="inlineStr">
        <is>
          <t>—</t>
        </is>
      </c>
      <c r="N181" s="12" t="inlineStr">
        <is>
          <t>NodeTask WP_INSTALL + wp-cli</t>
        </is>
      </c>
    </row>
    <row r="182">
      <c r="A182" s="11" t="inlineStr">
        <is>
          <t>I-03</t>
        </is>
      </c>
      <c r="B182" s="12" t="inlineStr">
        <is>
          <t>I</t>
        </is>
      </c>
      <c r="C182" s="11" t="inlineStr">
        <is>
          <t>Status instalacji WordPressa</t>
        </is>
      </c>
      <c r="D182" s="11" t="inlineStr">
        <is>
          <t>CZĘŚĆ</t>
        </is>
      </c>
      <c r="E182" s="11" t="inlineStr">
        <is>
          <t>TAK</t>
        </is>
      </c>
      <c r="F182" s="11" t="inlineStr">
        <is>
          <t>CZĘŚĆ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services.controller.ts:213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/>
    </row>
    <row r="183">
      <c r="A183" s="11" t="inlineStr">
        <is>
          <t>I-04</t>
        </is>
      </c>
      <c r="B183" s="12" t="inlineStr">
        <is>
          <t>I</t>
        </is>
      </c>
      <c r="C183" s="11" t="inlineStr">
        <is>
          <t>Automatyczne aktualizacje WordPressa</t>
        </is>
      </c>
      <c r="D183" s="11" t="inlineStr">
        <is>
          <t>PŁATNE</t>
        </is>
      </c>
      <c r="E183" s="11" t="inlineStr">
        <is>
          <t>TAK</t>
        </is>
      </c>
      <c r="F183" s="11" t="inlineStr">
        <is>
          <t>PŁATNE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BRAK</t>
        </is>
      </c>
      <c r="J183" s="12" t="inlineStr">
        <is>
          <t>—</t>
        </is>
      </c>
      <c r="K183" s="11" t="inlineStr">
        <is>
          <t>LUKA</t>
        </is>
      </c>
      <c r="L183" s="11" t="inlineStr">
        <is>
          <t>WYSOKA</t>
        </is>
      </c>
      <c r="M183" s="11" t="inlineStr">
        <is>
          <t>M</t>
        </is>
      </c>
      <c r="N183" s="12" t="inlineStr">
        <is>
          <t>4 z 5 hostingów PL to ma</t>
        </is>
      </c>
    </row>
    <row r="184">
      <c r="A184" s="11" t="inlineStr">
        <is>
          <t>I-05</t>
        </is>
      </c>
      <c r="B184" s="12" t="inlineStr">
        <is>
          <t>I</t>
        </is>
      </c>
      <c r="C184" s="11" t="inlineStr">
        <is>
          <t>Aktualizacje wtyczek i motywów z panelu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CZĘŚĆ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ŚREDNIA</t>
        </is>
      </c>
      <c r="M184" s="11" t="inlineStr">
        <is>
          <t>M</t>
        </is>
      </c>
      <c r="N184" s="12" t="inlineStr"/>
    </row>
    <row r="185">
      <c r="A185" s="11" t="inlineStr">
        <is>
          <t>I-06</t>
        </is>
      </c>
      <c r="B185" s="12" t="inlineStr">
        <is>
          <t>I</t>
        </is>
      </c>
      <c r="C185" s="11" t="inlineStr">
        <is>
          <t>Smart Updates (test przed aktualizacją)</t>
        </is>
      </c>
      <c r="D185" s="11" t="inlineStr">
        <is>
          <t>NIE</t>
        </is>
      </c>
      <c r="E185" s="11" t="inlineStr">
        <is>
          <t>PŁATNE</t>
        </is>
      </c>
      <c r="F185" s="11" t="inlineStr">
        <is>
          <t>NIE</t>
        </is>
      </c>
      <c r="G185" s="11" t="inlineStr">
        <is>
          <t>NIE</t>
        </is>
      </c>
      <c r="H185" s="11" t="inlineStr">
        <is>
          <t>CZĘŚĆ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POZA ZAKRESEM</t>
        </is>
      </c>
      <c r="L185" s="11" t="inlineStr">
        <is>
          <t>NISKA</t>
        </is>
      </c>
      <c r="M185" s="11" t="inlineStr">
        <is>
          <t>L</t>
        </is>
      </c>
      <c r="N185" s="12" t="inlineStr">
        <is>
          <t>wyróżnik Pleska, rynek PL tego nie ma</t>
        </is>
      </c>
    </row>
    <row r="186">
      <c r="A186" s="11" t="inlineStr">
        <is>
          <t>I-07</t>
        </is>
      </c>
      <c r="B186" s="12" t="inlineStr">
        <is>
          <t>I</t>
        </is>
      </c>
      <c r="C186" s="11" t="inlineStr">
        <is>
          <t>Skanowanie podatności WordPressa</t>
        </is>
      </c>
      <c r="D186" s="11" t="inlineStr">
        <is>
          <t>NIE</t>
        </is>
      </c>
      <c r="E186" s="11" t="inlineStr">
        <is>
          <t>TAK</t>
        </is>
      </c>
      <c r="F186" s="11" t="inlineStr">
        <is>
          <t>NIE</t>
        </is>
      </c>
      <c r="G186" s="11" t="inlineStr">
        <is>
          <t>CZĘŚĆ</t>
        </is>
      </c>
      <c r="H186" s="11" t="inlineStr">
        <is>
          <t>TAK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LUKA</t>
        </is>
      </c>
      <c r="L186" s="11" t="inlineStr">
        <is>
          <t>ŚREDNIA</t>
        </is>
      </c>
      <c r="M186" s="11" t="inlineStr">
        <is>
          <t>L</t>
        </is>
      </c>
      <c r="N186" s="12" t="inlineStr">
        <is>
          <t>Plesk używa Patchstack</t>
        </is>
      </c>
    </row>
    <row r="187">
      <c r="A187" s="11" t="inlineStr">
        <is>
          <t>I-08</t>
        </is>
      </c>
      <c r="B187" s="12" t="inlineStr">
        <is>
          <t>I</t>
        </is>
      </c>
      <c r="C187" s="11" t="inlineStr">
        <is>
          <t>Hardening WordPressa (checklist)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CZĘŚĆ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M</t>
        </is>
      </c>
      <c r="N187" s="12" t="inlineStr"/>
    </row>
    <row r="188">
      <c r="A188" s="11" t="inlineStr">
        <is>
          <t>I-09</t>
        </is>
      </c>
      <c r="B188" s="12" t="inlineStr">
        <is>
          <t>I</t>
        </is>
      </c>
      <c r="C188" s="11" t="inlineStr">
        <is>
          <t>Staging — utworzenie kopii roboczej</t>
        </is>
      </c>
      <c r="D188" s="11" t="inlineStr">
        <is>
          <t>PŁATNE</t>
        </is>
      </c>
      <c r="E188" s="11" t="inlineStr">
        <is>
          <t>TAK</t>
        </is>
      </c>
      <c r="F188" s="11" t="inlineStr">
        <is>
          <t>PŁATNE</t>
        </is>
      </c>
      <c r="G188" s="11" t="inlineStr">
        <is>
          <t>CZĘŚĆ</t>
        </is>
      </c>
      <c r="H188" s="11" t="inlineStr">
        <is>
          <t>TAK</t>
        </is>
      </c>
      <c r="I188" s="11" t="inlineStr">
        <is>
          <t>DZIAŁA</t>
        </is>
      </c>
      <c r="J188" s="12" t="inlineStr">
        <is>
          <t>services.controller.ts:182</t>
        </is>
      </c>
      <c r="K188" s="11" t="inlineStr">
        <is>
          <t>PRZEWAGA</t>
        </is>
      </c>
      <c r="L188" s="11" t="inlineStr">
        <is>
          <t>—</t>
        </is>
      </c>
      <c r="M188" s="11" t="inlineStr">
        <is>
          <t>—</t>
        </is>
      </c>
      <c r="N188" s="12" t="inlineStr">
        <is>
          <t>tylko 2 z 5 hostingów PL ma staging</t>
        </is>
      </c>
    </row>
    <row r="189">
      <c r="A189" s="11" t="inlineStr">
        <is>
          <t>I-10</t>
        </is>
      </c>
      <c r="B189" s="12" t="inlineStr">
        <is>
          <t>I</t>
        </is>
      </c>
      <c r="C189" s="11" t="inlineStr">
        <is>
          <t>Staging — odświeżenie z produkcji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StagingTab.tsx:174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/>
    </row>
    <row r="190">
      <c r="A190" s="11" t="inlineStr">
        <is>
          <t>I-11</t>
        </is>
      </c>
      <c r="B190" s="12" t="inlineStr">
        <is>
          <t>I</t>
        </is>
      </c>
      <c r="C190" s="11" t="inlineStr">
        <is>
          <t>Staging — publikacja na produkcję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CZĘŚCIOWE</t>
        </is>
      </c>
      <c r="J190" s="12" t="inlineStr">
        <is>
          <t>services.controller.ts:187</t>
        </is>
      </c>
      <c r="K190" s="11" t="inlineStr">
        <is>
          <t>CZĘŚCIOWY</t>
        </is>
      </c>
      <c r="L190" s="11" t="inlineStr">
        <is>
          <t>WYSOKA</t>
        </is>
      </c>
      <c r="M190" s="11" t="inlineStr">
        <is>
          <t>S</t>
        </is>
      </c>
      <c r="N190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1">
      <c r="A191" s="11" t="inlineStr">
        <is>
          <t>I-12</t>
        </is>
      </c>
      <c r="B191" s="12" t="inlineStr">
        <is>
          <t>I</t>
        </is>
      </c>
      <c r="C191" s="11" t="inlineStr">
        <is>
          <t>Staging — usunięcie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DZIAŁA</t>
        </is>
      </c>
      <c r="J191" s="12" t="inlineStr">
        <is>
          <t>services.controller.ts:192</t>
        </is>
      </c>
      <c r="K191" s="11" t="inlineStr">
        <is>
          <t>PRZEWAGA</t>
        </is>
      </c>
      <c r="L191" s="11" t="inlineStr">
        <is>
          <t>—</t>
        </is>
      </c>
      <c r="M191" s="11" t="inlineStr">
        <is>
          <t>—</t>
        </is>
      </c>
      <c r="N191" s="12" t="inlineStr"/>
    </row>
    <row r="192">
      <c r="A192" s="11" t="inlineStr">
        <is>
          <t>I-13</t>
        </is>
      </c>
      <c r="B192" s="12" t="inlineStr">
        <is>
          <t>I</t>
        </is>
      </c>
      <c r="C192" s="11" t="inlineStr">
        <is>
          <t>Klonowanie strony między domenami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BRAK</t>
        </is>
      </c>
      <c r="J192" s="12" t="inlineStr">
        <is>
          <t>—</t>
        </is>
      </c>
      <c r="K192" s="11" t="inlineStr">
        <is>
          <t>LUKA</t>
        </is>
      </c>
      <c r="L192" s="11" t="inlineStr">
        <is>
          <t>ŚREDNIA</t>
        </is>
      </c>
      <c r="M192" s="11" t="inlineStr">
        <is>
          <t>M</t>
        </is>
      </c>
      <c r="N192" s="12" t="inlineStr"/>
    </row>
    <row r="193">
      <c r="A193" s="11" t="inlineStr">
        <is>
          <t>I-14</t>
        </is>
      </c>
      <c r="B193" s="12" t="inlineStr">
        <is>
          <t>I</t>
        </is>
      </c>
      <c r="C193" s="11" t="inlineStr">
        <is>
          <t>Masowe zarządzanie wieloma instalacjami WP</t>
        </is>
      </c>
      <c r="D193" s="11" t="inlineStr">
        <is>
          <t>NIE</t>
        </is>
      </c>
      <c r="E193" s="11" t="inlineStr">
        <is>
          <t>TAK</t>
        </is>
      </c>
      <c r="F193" s="11" t="inlineStr">
        <is>
          <t>NIE</t>
        </is>
      </c>
      <c r="G193" s="11" t="inlineStr">
        <is>
          <t>NIE</t>
        </is>
      </c>
      <c r="H193" s="11" t="inlineStr">
        <is>
          <t>CZĘŚĆ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NISKA</t>
        </is>
      </c>
      <c r="M193" s="11" t="inlineStr">
        <is>
          <t>L</t>
        </is>
      </c>
      <c r="N193" s="12" t="inlineStr">
        <is>
          <t>realna przewaga dla agencji</t>
        </is>
      </c>
    </row>
    <row r="194">
      <c r="A194" s="11" t="inlineStr">
        <is>
          <t>I-15</t>
        </is>
      </c>
      <c r="B194" s="12" t="inlineStr">
        <is>
          <t>I</t>
        </is>
      </c>
      <c r="C194" s="11" t="inlineStr">
        <is>
          <t>Tryb konserwacji WordPressa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S</t>
        </is>
      </c>
      <c r="N194" s="12" t="inlineStr"/>
    </row>
    <row r="195">
      <c r="A195" s="11" t="inlineStr">
        <is>
          <t>I-16</t>
        </is>
      </c>
      <c r="B195" s="12" t="inlineStr">
        <is>
          <t>I</t>
        </is>
      </c>
      <c r="C195" s="11" t="inlineStr">
        <is>
          <t>WP-CLI</t>
        </is>
      </c>
      <c r="D195" s="11" t="inlineStr">
        <is>
          <t>TAK</t>
        </is>
      </c>
      <c r="E195" s="11" t="inlineStr">
        <is>
          <t>TAK</t>
        </is>
      </c>
      <c r="F195" s="11" t="inlineStr">
        <is>
          <t>TAK</t>
        </is>
      </c>
      <c r="G195" s="11" t="inlineStr">
        <is>
          <t>CZĘŚĆ</t>
        </is>
      </c>
      <c r="H195" s="11" t="inlineStr">
        <is>
          <t>TAK</t>
        </is>
      </c>
      <c r="I195" s="11" t="inlineStr">
        <is>
          <t>CZĘŚCIOWE</t>
        </is>
      </c>
      <c r="J195" s="12" t="inlineStr">
        <is>
          <t>używane wewnętrznie przy WP_INSTALL</t>
        </is>
      </c>
      <c r="K195" s="11" t="inlineStr">
        <is>
          <t>CZĘŚCIOWY</t>
        </is>
      </c>
      <c r="L195" s="11" t="inlineStr">
        <is>
          <t>ŚREDNIA</t>
        </is>
      </c>
      <c r="M195" s="11" t="inlineStr">
        <is>
          <t>S</t>
        </is>
      </c>
      <c r="N195" s="12" t="inlineStr">
        <is>
          <t>klient nie ma bezpośredniego dostępu (dziedziczy C-21)</t>
        </is>
      </c>
    </row>
    <row r="196">
      <c r="A196" s="11" t="inlineStr">
        <is>
          <t>I-17</t>
        </is>
      </c>
      <c r="B196" s="12" t="inlineStr">
        <is>
          <t>I</t>
        </is>
      </c>
      <c r="C196" s="11" t="inlineStr">
        <is>
          <t>Migracja z innego hostingu — wykrywanie źródła</t>
        </is>
      </c>
      <c r="D196" s="11" t="inlineStr">
        <is>
          <t>NIE</t>
        </is>
      </c>
      <c r="E196" s="11" t="inlineStr">
        <is>
          <t>TAK</t>
        </is>
      </c>
      <c r="F196" s="11" t="inlineStr">
        <is>
          <t>NIE</t>
        </is>
      </c>
      <c r="G196" s="11" t="inlineStr">
        <is>
          <t>CZĘŚĆ</t>
        </is>
      </c>
      <c r="H196" s="11" t="inlineStr">
        <is>
          <t>CZĘŚĆ</t>
        </is>
      </c>
      <c r="I196" s="11" t="inlineStr">
        <is>
          <t>DZIAŁA</t>
        </is>
      </c>
      <c r="J196" s="12" t="inlineStr">
        <is>
          <t>services.controller.ts:978</t>
        </is>
      </c>
      <c r="K196" s="11" t="inlineStr">
        <is>
          <t>PRZEWAGA</t>
        </is>
      </c>
      <c r="L196" s="11" t="inlineStr">
        <is>
          <t>—</t>
        </is>
      </c>
      <c r="M196" s="11" t="inlineStr">
        <is>
          <t>—</t>
        </is>
      </c>
      <c r="N196" s="12" t="inlineStr">
        <is>
          <t>na rynku PL migrację robi dostawca ręcznie</t>
        </is>
      </c>
    </row>
    <row r="197">
      <c r="A197" s="11" t="inlineStr">
        <is>
          <t>I-18</t>
        </is>
      </c>
      <c r="B197" s="12" t="inlineStr">
        <is>
          <t>I</t>
        </is>
      </c>
      <c r="C197" s="11" t="inlineStr">
        <is>
          <t>Migracja — test poświadczeń (preflight)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NIE</t>
        </is>
      </c>
      <c r="H197" s="11" t="inlineStr">
        <is>
          <t>NIE</t>
        </is>
      </c>
      <c r="I197" s="11" t="inlineStr">
        <is>
          <t>CZĘŚCIOWE</t>
        </is>
      </c>
      <c r="J197" s="12" t="inlineStr">
        <is>
          <t>services.controller.ts:1001</t>
        </is>
      </c>
      <c r="K197" s="11" t="inlineStr">
        <is>
          <t>CZĘŚCIOWY</t>
        </is>
      </c>
      <c r="L197" s="11" t="inlineStr">
        <is>
          <t>ŚREDNIA</t>
        </is>
      </c>
      <c r="M197" s="11" t="inlineStr">
        <is>
          <t>S</t>
        </is>
      </c>
      <c r="N197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8">
      <c r="A198" s="11" t="inlineStr">
        <is>
          <t>I-19</t>
        </is>
      </c>
      <c r="B198" s="12" t="inlineStr">
        <is>
          <t>I</t>
        </is>
      </c>
      <c r="C198" s="11" t="inlineStr">
        <is>
          <t>Migracja — uruchomienie (pliki + baza + poczta)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CZĘŚĆ</t>
        </is>
      </c>
      <c r="H198" s="11" t="inlineStr">
        <is>
          <t>CZĘŚĆ</t>
        </is>
      </c>
      <c r="I198" s="11" t="inlineStr">
        <is>
          <t>DZIAŁA</t>
        </is>
      </c>
      <c r="J198" s="12" t="inlineStr">
        <is>
          <t>migration-orchestrator.service.ts:636,655</t>
        </is>
      </c>
      <c r="K198" s="11" t="inlineStr">
        <is>
          <t>PRZEWAGA</t>
        </is>
      </c>
      <c r="L198" s="11" t="inlineStr">
        <is>
          <t>—</t>
        </is>
      </c>
      <c r="M198" s="11" t="inlineStr">
        <is>
          <t>—</t>
        </is>
      </c>
      <c r="N198" s="12" t="inlineStr">
        <is>
          <t>rsync + mysqldump; test D1 (11 przypadków)</t>
        </is>
      </c>
    </row>
    <row r="199">
      <c r="A199" s="11" t="inlineStr">
        <is>
          <t>I-20</t>
        </is>
      </c>
      <c r="B199" s="12" t="inlineStr">
        <is>
          <t>I</t>
        </is>
      </c>
      <c r="C199" s="11" t="inlineStr">
        <is>
          <t>Migracja — delta-sync przed przełączeniem</t>
        </is>
      </c>
      <c r="D199" s="11" t="inlineStr">
        <is>
          <t>NIE</t>
        </is>
      </c>
      <c r="E199" s="11" t="inlineStr">
        <is>
          <t>CZĘŚĆ</t>
        </is>
      </c>
      <c r="F199" s="11" t="inlineStr">
        <is>
          <t>NIE</t>
        </is>
      </c>
      <c r="G199" s="11" t="inlineStr">
        <is>
          <t>NIE</t>
        </is>
      </c>
      <c r="H199" s="11" t="inlineStr">
        <is>
          <t>NIE</t>
        </is>
      </c>
      <c r="I199" s="11" t="inlineStr">
        <is>
          <t>DZIAŁA</t>
        </is>
      </c>
      <c r="J199" s="12" t="inlineStr">
        <is>
          <t>services.controller.ts:1041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realny wyróżnik: minimalizuje przestój</t>
        </is>
      </c>
    </row>
    <row r="200">
      <c r="A200" s="11" t="inlineStr">
        <is>
          <t>I-21</t>
        </is>
      </c>
      <c r="B200" s="12" t="inlineStr">
        <is>
          <t>I</t>
        </is>
      </c>
      <c r="C200" s="11" t="inlineStr">
        <is>
          <t>Migracja — plan i weryfikacja cutoveru</t>
        </is>
      </c>
      <c r="D200" s="11" t="inlineStr">
        <is>
          <t>NIE</t>
        </is>
      </c>
      <c r="E200" s="11" t="inlineStr">
        <is>
          <t>NIE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services.controller.ts:1052,1062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/>
    </row>
    <row r="201">
      <c r="A201" s="11" t="inlineStr">
        <is>
          <t>I-22</t>
        </is>
      </c>
      <c r="B201" s="12" t="inlineStr">
        <is>
          <t>I</t>
        </is>
      </c>
      <c r="C201" s="11" t="inlineStr">
        <is>
          <t>Migracja — cockpit operatora</t>
        </is>
      </c>
      <c r="D201" s="11" t="inlineStr">
        <is>
          <t>NIE</t>
        </is>
      </c>
      <c r="E201" s="11" t="inlineStr">
        <is>
          <t>TAK</t>
        </is>
      </c>
      <c r="F201" s="11" t="inlineStr">
        <is>
          <t>NIE</t>
        </is>
      </c>
      <c r="G201" s="11" t="inlineStr">
        <is>
          <t>—</t>
        </is>
      </c>
      <c r="H201" s="11" t="inlineStr">
        <is>
          <t>—</t>
        </is>
      </c>
      <c r="I201" s="11" t="inlineStr">
        <is>
          <t>CZĘŚCIOWE</t>
        </is>
      </c>
      <c r="J201" s="12" t="inlineStr">
        <is>
          <t>migrations.staff.controller.ts:75,90,126</t>
        </is>
      </c>
      <c r="K201" s="11" t="inlineStr">
        <is>
          <t>CZĘŚCIOWY</t>
        </is>
      </c>
      <c r="L201" s="11" t="inlineStr">
        <is>
          <t>ŚREDNIA</t>
        </is>
      </c>
      <c r="M201" s="11" t="inlineStr">
        <is>
          <t>S</t>
        </is>
      </c>
      <c r="N201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2">
      <c r="A202" s="11" t="inlineStr">
        <is>
          <t>J-01</t>
        </is>
      </c>
      <c r="B202" s="12" t="inlineStr">
        <is>
          <t>J</t>
        </is>
      </c>
      <c r="C202" s="11" t="inlineStr">
        <is>
          <t>LiteSpeed / serwer o wysokiej wydajności</t>
        </is>
      </c>
      <c r="D202" s="11" t="inlineStr">
        <is>
          <t>PŁATNE</t>
        </is>
      </c>
      <c r="E202" s="11" t="inlineStr">
        <is>
          <t>CZĘŚĆ</t>
        </is>
      </c>
      <c r="F202" s="11" t="inlineStr">
        <is>
          <t>PŁATNE</t>
        </is>
      </c>
      <c r="G202" s="11" t="inlineStr">
        <is>
          <t>CZĘŚĆ</t>
        </is>
      </c>
      <c r="H202" s="11" t="inlineStr">
        <is>
          <t>CZĘŚĆ</t>
        </is>
      </c>
      <c r="I202" s="11" t="inlineStr">
        <is>
          <t>b.d.</t>
        </is>
      </c>
      <c r="J202" s="12" t="inlineStr">
        <is>
          <t>decyzja infrastrukturalna, poza kodem panelu</t>
        </is>
      </c>
      <c r="K202" s="11" t="inlineStr">
        <is>
          <t>CZĘŚCIOWY</t>
        </is>
      </c>
      <c r="L202" s="11" t="inlineStr">
        <is>
          <t>WYSOKA</t>
        </is>
      </c>
      <c r="M202" s="11" t="inlineStr">
        <is>
          <t>—</t>
        </is>
      </c>
      <c r="N202" s="12" t="inlineStr">
        <is>
          <t>koszt licencji — pozycja do unit economics</t>
        </is>
      </c>
    </row>
    <row r="203">
      <c r="A203" s="11" t="inlineStr">
        <is>
          <t>J-02</t>
        </is>
      </c>
      <c r="B203" s="12" t="inlineStr">
        <is>
          <t>J</t>
        </is>
      </c>
      <c r="C203" s="11" t="inlineStr">
        <is>
          <t>Cache stron (LSCache) sterowany z panelu</t>
        </is>
      </c>
      <c r="D203" s="11" t="inlineStr">
        <is>
          <t>PŁATNE</t>
        </is>
      </c>
      <c r="E203" s="11" t="inlineStr">
        <is>
          <t>TAK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TAK</t>
        </is>
      </c>
      <c r="I203" s="11" t="inlineStr">
        <is>
          <t>BRAK</t>
        </is>
      </c>
      <c r="J203" s="12" t="inlineStr">
        <is>
          <t>—</t>
        </is>
      </c>
      <c r="K203" s="11" t="inlineStr">
        <is>
          <t>LUKA</t>
        </is>
      </c>
      <c r="L203" s="11" t="inlineStr">
        <is>
          <t>WYSOKA</t>
        </is>
      </c>
      <c r="M203" s="11" t="inlineStr">
        <is>
          <t>M</t>
        </is>
      </c>
      <c r="N203" s="12" t="inlineStr"/>
    </row>
    <row r="204">
      <c r="A204" s="11" t="inlineStr">
        <is>
          <t>J-03</t>
        </is>
      </c>
      <c r="B204" s="12" t="inlineStr">
        <is>
          <t>J</t>
        </is>
      </c>
      <c r="C204" s="11" t="inlineStr">
        <is>
          <t>Cache obiektowy (Redis) dla WordPressa</t>
        </is>
      </c>
      <c r="D204" s="11" t="inlineStr">
        <is>
          <t>CZĘŚĆ</t>
        </is>
      </c>
      <c r="E204" s="11" t="inlineStr">
        <is>
          <t>TAK</t>
        </is>
      </c>
      <c r="F204" s="11" t="inlineStr">
        <is>
          <t>CZĘŚĆ</t>
        </is>
      </c>
      <c r="G204" s="11" t="inlineStr">
        <is>
          <t>TAK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>
        <is>
          <t>patrz D-15</t>
        </is>
      </c>
    </row>
    <row r="205">
      <c r="A205" s="11" t="inlineStr">
        <is>
          <t>J-04</t>
        </is>
      </c>
      <c r="B205" s="12" t="inlineStr">
        <is>
          <t>J</t>
        </is>
      </c>
      <c r="C205" s="11" t="inlineStr">
        <is>
          <t>HTTP/3</t>
        </is>
      </c>
      <c r="D205" s="11" t="inlineStr">
        <is>
          <t>TAK</t>
        </is>
      </c>
      <c r="E205" s="11" t="inlineStr">
        <is>
          <t>TAK</t>
        </is>
      </c>
      <c r="F205" s="11" t="inlineStr">
        <is>
          <t>TAK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b.d.</t>
        </is>
      </c>
      <c r="J205" s="12" t="inlineStr">
        <is>
          <t>poza kodem panelu</t>
        </is>
      </c>
      <c r="K205" s="11" t="inlineStr">
        <is>
          <t>CZĘŚCIOWY</t>
        </is>
      </c>
      <c r="L205" s="11" t="inlineStr">
        <is>
          <t>ŚREDNIA</t>
        </is>
      </c>
      <c r="M205" s="11" t="inlineStr">
        <is>
          <t>—</t>
        </is>
      </c>
      <c r="N205" s="12" t="inlineStr">
        <is>
          <t>4 z 5 hostingów PL już ma</t>
        </is>
      </c>
    </row>
    <row r="206">
      <c r="A206" s="11" t="inlineStr">
        <is>
          <t>J-05</t>
        </is>
      </c>
      <c r="B206" s="12" t="inlineStr">
        <is>
          <t>J</t>
        </is>
      </c>
      <c r="C206" s="11" t="inlineStr">
        <is>
          <t>CDN</t>
        </is>
      </c>
      <c r="D206" s="11" t="inlineStr">
        <is>
          <t>CZĘŚĆ</t>
        </is>
      </c>
      <c r="E206" s="11" t="inlineStr">
        <is>
          <t>TAK</t>
        </is>
      </c>
      <c r="F206" s="11" t="inlineStr">
        <is>
          <t>CZĘŚĆ</t>
        </is>
      </c>
      <c r="G206" s="11" t="inlineStr">
        <is>
          <t>PŁATNE</t>
        </is>
      </c>
      <c r="H206" s="11" t="inlineStr">
        <is>
          <t>TAK</t>
        </is>
      </c>
      <c r="I206" s="11" t="inlineStr">
        <is>
          <t>BRAK</t>
        </is>
      </c>
      <c r="J206" s="12" t="inlineStr">
        <is>
          <t>—</t>
        </is>
      </c>
      <c r="K206" s="11" t="inlineStr">
        <is>
          <t>LUKA</t>
        </is>
      </c>
      <c r="L206" s="11" t="inlineStr">
        <is>
          <t>NISKA</t>
        </is>
      </c>
      <c r="M206" s="11" t="inlineStr">
        <is>
          <t>L</t>
        </is>
      </c>
      <c r="N206" s="12" t="inlineStr">
        <is>
          <t>na rynku PL płatny dodatek</t>
        </is>
      </c>
    </row>
    <row r="207">
      <c r="A207" s="11" t="inlineStr">
        <is>
          <t>J-06</t>
        </is>
      </c>
      <c r="B207" s="12" t="inlineStr">
        <is>
          <t>J</t>
        </is>
      </c>
      <c r="C207" s="11" t="inlineStr">
        <is>
          <t>Optymalizacja obrazów</t>
        </is>
      </c>
      <c r="D207" s="11" t="inlineStr">
        <is>
          <t>NIE</t>
        </is>
      </c>
      <c r="E207" s="11" t="inlineStr">
        <is>
          <t>TAK</t>
        </is>
      </c>
      <c r="F207" s="11" t="inlineStr">
        <is>
          <t>NIE</t>
        </is>
      </c>
      <c r="G207" s="11" t="inlineStr">
        <is>
          <t>NIE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M</t>
        </is>
      </c>
      <c r="N207" s="12" t="inlineStr"/>
    </row>
    <row r="208">
      <c r="A208" s="11" t="inlineStr">
        <is>
          <t>J-07</t>
        </is>
      </c>
      <c r="B208" s="12" t="inlineStr">
        <is>
          <t>J</t>
        </is>
      </c>
      <c r="C208" s="11" t="inlineStr">
        <is>
          <t>Dedykowany adres IP</t>
        </is>
      </c>
      <c r="D208" s="11" t="inlineStr">
        <is>
          <t>TAK</t>
        </is>
      </c>
      <c r="E208" s="11" t="inlineStr">
        <is>
          <t>TAK</t>
        </is>
      </c>
      <c r="F208" s="11" t="inlineStr">
        <is>
          <t>TAK</t>
        </is>
      </c>
      <c r="G208" s="11" t="inlineStr">
        <is>
          <t>PŁATNE</t>
        </is>
      </c>
      <c r="H208" s="11" t="inlineStr">
        <is>
          <t>CZĘŚĆ</t>
        </is>
      </c>
      <c r="I208" s="11" t="inlineStr">
        <is>
          <t>CZĘŚCIOWE</t>
        </is>
      </c>
      <c r="J208" s="12" t="inlineStr">
        <is>
          <t>addons — jako dodatek typu workorder</t>
        </is>
      </c>
      <c r="K208" s="11" t="inlineStr">
        <is>
          <t>CZĘŚCIOWY</t>
        </is>
      </c>
      <c r="L208" s="11" t="inlineStr">
        <is>
          <t>ŚREDNIA</t>
        </is>
      </c>
      <c r="M208" s="11" t="inlineStr">
        <is>
          <t>S</t>
        </is>
      </c>
      <c r="N208" s="12" t="inlineStr">
        <is>
          <t>addon.service.ts:120 — realizacja przez zgłoszenie do BOK, nie automat</t>
        </is>
      </c>
    </row>
    <row r="209">
      <c r="A209" s="11" t="inlineStr">
        <is>
          <t>J-08</t>
        </is>
      </c>
      <c r="B209" s="12" t="inlineStr">
        <is>
          <t>J</t>
        </is>
      </c>
      <c r="C209" s="11" t="inlineStr">
        <is>
          <t>Autoskalowanie zasobów</t>
        </is>
      </c>
      <c r="D209" s="11" t="inlineStr">
        <is>
          <t>NIE</t>
        </is>
      </c>
      <c r="E209" s="11" t="inlineStr">
        <is>
          <t>NIE</t>
        </is>
      </c>
      <c r="F209" s="11" t="inlineStr">
        <is>
          <t>NIE</t>
        </is>
      </c>
      <c r="G209" s="11" t="inlineStr">
        <is>
          <t>CZĘŚĆ</t>
        </is>
      </c>
      <c r="H209" s="11" t="inlineStr">
        <is>
          <t>TAK</t>
        </is>
      </c>
      <c r="I209" s="11" t="inlineStr">
        <is>
          <t>DZIAŁA</t>
        </is>
      </c>
      <c r="J209" s="12" t="inlineStr">
        <is>
          <t>autoscaling-engine.service.ts:64 (cron 1 min)</t>
        </is>
      </c>
      <c r="K209" s="11" t="inlineStr">
        <is>
          <t>PRZEWAGA</t>
        </is>
      </c>
      <c r="L209" s="11" t="inlineStr">
        <is>
          <t>—</t>
        </is>
      </c>
      <c r="M209" s="11" t="inlineStr">
        <is>
          <t>—</t>
        </is>
      </c>
      <c r="N209" s="12" t="inlineStr">
        <is>
          <t>tylko dhosting ma coś podobnego na rynku PL</t>
        </is>
      </c>
    </row>
    <row r="210">
      <c r="A210" s="11" t="inlineStr">
        <is>
          <t>J-09</t>
        </is>
      </c>
      <c r="B210" s="12" t="inlineStr">
        <is>
          <t>J</t>
        </is>
      </c>
      <c r="C210" s="11" t="inlineStr">
        <is>
          <t>Limit miesięcznego kosztu autoskalowania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NIE</t>
        </is>
      </c>
      <c r="H210" s="11" t="inlineStr">
        <is>
          <t>CZĘŚĆ</t>
        </is>
      </c>
      <c r="I210" s="11" t="inlineStr">
        <is>
          <t>DZIAŁA</t>
        </is>
      </c>
      <c r="J210" s="12" t="inlineStr">
        <is>
          <t>subscriptions.controller.ts:120; test autoscaling-engine.cap.spec.ts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cap egzekwowany w silniku, test D1</t>
        </is>
      </c>
    </row>
    <row r="211">
      <c r="A211" s="11" t="inlineStr">
        <is>
          <t>J-10</t>
        </is>
      </c>
      <c r="B211" s="12" t="inlineStr">
        <is>
          <t>J</t>
        </is>
      </c>
      <c r="C211" s="11" t="inlineStr">
        <is>
          <t>Kalkulator kosztu 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autoscaling.controller.ts:12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/>
    </row>
    <row r="212">
      <c r="A212" s="11" t="inlineStr">
        <is>
          <t>J-11</t>
        </is>
      </c>
      <c r="B212" s="12" t="inlineStr">
        <is>
          <t>J</t>
        </is>
      </c>
      <c r="C212" s="11" t="inlineStr">
        <is>
          <t>Historia zdarzeń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subscriptions.controller.ts:138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K-01</t>
        </is>
      </c>
      <c r="B213" s="12" t="inlineStr">
        <is>
          <t>K</t>
        </is>
      </c>
      <c r="C213" s="11" t="inlineStr">
        <is>
          <t>Zużycie CPU / RAM / IO na wykresie</t>
        </is>
      </c>
      <c r="D213" s="11" t="inlineStr">
        <is>
          <t>TAK</t>
        </is>
      </c>
      <c r="E213" s="11" t="inlineStr">
        <is>
          <t>TAK</t>
        </is>
      </c>
      <c r="F213" s="11" t="inlineStr">
        <is>
          <t>TAK</t>
        </is>
      </c>
      <c r="G213" s="11" t="inlineStr">
        <is>
          <t>TAK</t>
        </is>
      </c>
      <c r="H213" s="11" t="inlineStr">
        <is>
          <t>TAK</t>
        </is>
      </c>
      <c r="I213" s="11" t="inlineStr">
        <is>
          <t>DZIAŁA</t>
        </is>
      </c>
      <c r="J213" s="12" t="inlineStr">
        <is>
          <t>services.controller.ts:881</t>
        </is>
      </c>
      <c r="K213" s="11" t="inlineStr">
        <is>
          <t>PARYTET</t>
        </is>
      </c>
      <c r="L213" s="11" t="inlineStr">
        <is>
          <t>—</t>
        </is>
      </c>
      <c r="M213" s="11" t="inlineStr">
        <is>
          <t>—</t>
        </is>
      </c>
      <c r="N213" s="12" t="inlineStr">
        <is>
          <t>realna telemetria LVE, 24 h / 7 d</t>
        </is>
      </c>
    </row>
    <row r="214">
      <c r="A214" s="11" t="inlineStr">
        <is>
          <t>K-02</t>
        </is>
      </c>
      <c r="B214" s="12" t="inlineStr">
        <is>
          <t>K</t>
        </is>
      </c>
      <c r="C214" s="11" t="inlineStr">
        <is>
          <t>Zużycie powierzchni i transferu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services.controller.ts:936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/>
    </row>
    <row r="215">
      <c r="A215" s="11" t="inlineStr">
        <is>
          <t>K-03</t>
        </is>
      </c>
      <c r="B215" s="12" t="inlineStr">
        <is>
          <t>K</t>
        </is>
      </c>
      <c r="C215" s="11" t="inlineStr">
        <is>
          <t>Licznik inodów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b.d.</t>
        </is>
      </c>
      <c r="H215" s="11" t="inlineStr">
        <is>
          <t>CZĘŚĆ</t>
        </is>
      </c>
      <c r="I215" s="11" t="inlineStr">
        <is>
          <t>BRAK</t>
        </is>
      </c>
      <c r="J215" s="12" t="inlineStr">
        <is>
          <t>—</t>
        </is>
      </c>
      <c r="K215" s="11" t="inlineStr">
        <is>
          <t>LUKA</t>
        </is>
      </c>
      <c r="L215" s="11" t="inlineStr">
        <is>
          <t>ŚREDNIA</t>
        </is>
      </c>
      <c r="M215" s="11" t="inlineStr">
        <is>
          <t>S</t>
        </is>
      </c>
      <c r="N215" s="12" t="inlineStr">
        <is>
          <t>żaden hosting PL nie publikuje — okazja na transparentność</t>
        </is>
      </c>
    </row>
    <row r="216">
      <c r="A216" s="11" t="inlineStr">
        <is>
          <t>K-04</t>
        </is>
      </c>
      <c r="B216" s="12" t="inlineStr">
        <is>
          <t>K</t>
        </is>
      </c>
      <c r="C216" s="11" t="inlineStr">
        <is>
          <t>Logi dostępu WWW (access log)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TAK</t>
        </is>
      </c>
      <c r="H216" s="11" t="inlineStr">
        <is>
          <t>TAK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WYSOKA</t>
        </is>
      </c>
      <c r="M216" s="11" t="inlineStr">
        <is>
          <t>M</t>
        </is>
      </c>
      <c r="N216" s="12" t="inlineStr">
        <is>
          <t>wszystkie 5 hostingów PL to ma; seohost reklamuje jako darmowe</t>
        </is>
      </c>
    </row>
    <row r="217">
      <c r="A217" s="11" t="inlineStr">
        <is>
          <t>K-05</t>
        </is>
      </c>
      <c r="B217" s="12" t="inlineStr">
        <is>
          <t>K</t>
        </is>
      </c>
      <c r="C217" s="11" t="inlineStr">
        <is>
          <t>Logi błędów PHP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j.w. — bez tego klient nie zdiagnozuje własnej strony</t>
        </is>
      </c>
    </row>
    <row r="218">
      <c r="A218" s="11" t="inlineStr">
        <is>
          <t>K-06</t>
        </is>
      </c>
      <c r="B218" s="12" t="inlineStr">
        <is>
          <t>K</t>
        </is>
      </c>
      <c r="C218" s="11" t="inlineStr">
        <is>
          <t>Surowe logi do pobrania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CZĘŚĆ</t>
        </is>
      </c>
      <c r="H218" s="11" t="inlineStr">
        <is>
          <t>CZĘŚĆ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ŚREDNIA</t>
        </is>
      </c>
      <c r="M218" s="11" t="inlineStr">
        <is>
          <t>S</t>
        </is>
      </c>
      <c r="N218" s="12" t="inlineStr"/>
    </row>
    <row r="219">
      <c r="A219" s="11" t="inlineStr">
        <is>
          <t>K-07</t>
        </is>
      </c>
      <c r="B219" s="12" t="inlineStr">
        <is>
          <t>K</t>
        </is>
      </c>
      <c r="C219" s="11" t="inlineStr">
        <is>
          <t>Statystyki odwiedzin (AWStats/Webalizer)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NIE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POZA ZAKRESEM</t>
        </is>
      </c>
      <c r="L219" s="11" t="inlineStr">
        <is>
          <t>NISKA</t>
        </is>
      </c>
      <c r="M219" s="11" t="inlineStr">
        <is>
          <t>—</t>
        </is>
      </c>
      <c r="N219" s="12" t="inlineStr">
        <is>
          <t>zastąpione własną analityką (K-12)</t>
        </is>
      </c>
    </row>
    <row r="220">
      <c r="A220" s="11" t="inlineStr">
        <is>
          <t>K-08</t>
        </is>
      </c>
      <c r="B220" s="12" t="inlineStr">
        <is>
          <t>K</t>
        </is>
      </c>
      <c r="C220" s="11" t="inlineStr">
        <is>
          <t>Powiadomienia o przekroczeniu limitów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TAK</t>
        </is>
      </c>
      <c r="I220" s="11" t="inlineStr">
        <is>
          <t>CZĘŚCIOWE</t>
        </is>
      </c>
      <c r="J220" s="12" t="inlineStr">
        <is>
          <t>monitoring dostępności działa; brak alertów o limitach zasobów</t>
        </is>
      </c>
      <c r="K220" s="11" t="inlineStr">
        <is>
          <t>CZĘŚCIOWY</t>
        </is>
      </c>
      <c r="L220" s="11" t="inlineStr">
        <is>
          <t>ŚREDNIA</t>
        </is>
      </c>
      <c r="M220" s="11" t="inlineStr">
        <is>
          <t>S</t>
        </is>
      </c>
      <c r="N220" s="12" t="inlineStr"/>
    </row>
    <row r="221">
      <c r="A221" s="11" t="inlineStr">
        <is>
          <t>K-09</t>
        </is>
      </c>
      <c r="B221" s="12" t="inlineStr">
        <is>
          <t>K</t>
        </is>
      </c>
      <c r="C221" s="11" t="inlineStr">
        <is>
          <t>Health-check usługi (DNS/TLS/poczta/HTTP)</t>
        </is>
      </c>
      <c r="D221" s="11" t="inlineStr">
        <is>
          <t>NIE</t>
        </is>
      </c>
      <c r="E221" s="11" t="inlineStr">
        <is>
          <t>CZĘŚĆ</t>
        </is>
      </c>
      <c r="F221" s="11" t="inlineStr">
        <is>
          <t>NIE</t>
        </is>
      </c>
      <c r="G221" s="11" t="inlineStr">
        <is>
          <t>NIE</t>
        </is>
      </c>
      <c r="H221" s="11" t="inlineStr">
        <is>
          <t>CZĘŚĆ</t>
        </is>
      </c>
      <c r="I221" s="11" t="inlineStr">
        <is>
          <t>DZIAŁA</t>
        </is>
      </c>
      <c r="J221" s="12" t="inlineStr">
        <is>
          <t>services.controller.ts:865</t>
        </is>
      </c>
      <c r="K221" s="11" t="inlineStr">
        <is>
          <t>PRZEWAGA</t>
        </is>
      </c>
      <c r="L221" s="11" t="inlineStr">
        <is>
          <t>—</t>
        </is>
      </c>
      <c r="M221" s="11" t="inlineStr">
        <is>
          <t>—</t>
        </is>
      </c>
      <c r="N221" s="12" t="inlineStr">
        <is>
          <t>z podpowiedziami „co zrobić”</t>
        </is>
      </c>
    </row>
    <row r="222">
      <c r="A222" s="11" t="inlineStr">
        <is>
          <t>K-10</t>
        </is>
      </c>
      <c r="B222" s="12" t="inlineStr">
        <is>
          <t>K</t>
        </is>
      </c>
      <c r="C222" s="11" t="inlineStr">
        <is>
          <t>Monitoring dostępności strony</t>
        </is>
      </c>
      <c r="D222" s="11" t="inlineStr">
        <is>
          <t>NIE</t>
        </is>
      </c>
      <c r="E222" s="11" t="inlineStr">
        <is>
          <t>TAK</t>
        </is>
      </c>
      <c r="F222" s="11" t="inlineStr">
        <is>
          <t>NIE</t>
        </is>
      </c>
      <c r="G222" s="11" t="inlineStr">
        <is>
          <t>CZĘŚĆ</t>
        </is>
      </c>
      <c r="H222" s="11" t="inlineStr">
        <is>
          <t>TAK</t>
        </is>
      </c>
      <c r="I222" s="11" t="inlineStr">
        <is>
          <t>DZIAŁA</t>
        </is>
      </c>
      <c r="J222" s="12" t="inlineStr">
        <is>
          <t>services.controller.ts:147,157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powiadomieniami e-mail</t>
        </is>
      </c>
    </row>
    <row r="223">
      <c r="A223" s="11" t="inlineStr">
        <is>
          <t>K-11</t>
        </is>
      </c>
      <c r="B223" s="12" t="inlineStr">
        <is>
          <t>K</t>
        </is>
      </c>
      <c r="C223" s="11" t="inlineStr">
        <is>
          <t>Powiadomienia o wykrytej niedostępności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/>
    </row>
    <row r="224">
      <c r="A224" s="11" t="inlineStr">
        <is>
          <t>K-12</t>
        </is>
      </c>
      <c r="B224" s="12" t="inlineStr">
        <is>
          <t>K</t>
        </is>
      </c>
      <c r="C224" s="11" t="inlineStr">
        <is>
          <t>Analityka odwiedzin bez cookies</t>
        </is>
      </c>
      <c r="D224" s="11" t="inlineStr">
        <is>
          <t>NIE</t>
        </is>
      </c>
      <c r="E224" s="11" t="inlineStr">
        <is>
          <t>NIE</t>
        </is>
      </c>
      <c r="F224" s="11" t="inlineStr">
        <is>
          <t>NIE</t>
        </is>
      </c>
      <c r="G224" s="11" t="inlineStr">
        <is>
          <t>NIE</t>
        </is>
      </c>
      <c r="H224" s="11" t="inlineStr">
        <is>
          <t>NIE</t>
        </is>
      </c>
      <c r="I224" s="11" t="inlineStr">
        <is>
          <t>DZIAŁA</t>
        </is>
      </c>
      <c r="J224" s="12" t="inlineStr">
        <is>
          <t>analytics-sites.controller.ts:30,51; retencja 90 dni (analytics-sites.service.ts:49)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>
        <is>
          <t>nikt na rynku PL tego nie ma</t>
        </is>
      </c>
    </row>
    <row r="225">
      <c r="A225" s="11" t="inlineStr">
        <is>
          <t>K-13</t>
        </is>
      </c>
      <c r="B225" s="12" t="inlineStr">
        <is>
          <t>K</t>
        </is>
      </c>
      <c r="C225" s="11" t="inlineStr">
        <is>
          <t>Analityka — snippet do wklejenia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analytics-public.controller.ts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/>
    </row>
    <row r="226">
      <c r="A226" s="11" t="inlineStr">
        <is>
          <t>K-14</t>
        </is>
      </c>
      <c r="B226" s="12" t="inlineStr">
        <is>
          <t>K</t>
        </is>
      </c>
      <c r="C226" s="11" t="inlineStr">
        <is>
          <t>Wolne zapytania SQL</t>
        </is>
      </c>
      <c r="D226" s="11" t="inlineStr">
        <is>
          <t>TAK</t>
        </is>
      </c>
      <c r="E226" s="11" t="inlineStr">
        <is>
          <t>TAK</t>
        </is>
      </c>
      <c r="F226" s="11" t="inlineStr">
        <is>
          <t>CZĘŚĆ</t>
        </is>
      </c>
      <c r="G226" s="11" t="inlineStr">
        <is>
          <t>NIE</t>
        </is>
      </c>
      <c r="H226" s="11" t="inlineStr">
        <is>
          <t>CZĘŚĆ</t>
        </is>
      </c>
      <c r="I226" s="11" t="inlineStr">
        <is>
          <t>BRAK</t>
        </is>
      </c>
      <c r="J226" s="12" t="inlineStr">
        <is>
          <t>—</t>
        </is>
      </c>
      <c r="K226" s="11" t="inlineStr">
        <is>
          <t>LUKA</t>
        </is>
      </c>
      <c r="L226" s="11" t="inlineStr">
        <is>
          <t>NISKA</t>
        </is>
      </c>
      <c r="M226" s="11" t="inlineStr">
        <is>
          <t>M</t>
        </is>
      </c>
      <c r="N226" s="12" t="inlineStr"/>
    </row>
    <row r="227">
      <c r="A227" s="11" t="inlineStr">
        <is>
          <t>L-01</t>
        </is>
      </c>
      <c r="B227" s="12" t="inlineStr">
        <is>
          <t>L</t>
        </is>
      </c>
      <c r="C227" s="11" t="inlineStr">
        <is>
          <t>Zadanie cron — dodanie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TAK</t>
        </is>
      </c>
      <c r="G227" s="11" t="inlineStr">
        <is>
          <t>TAK</t>
        </is>
      </c>
      <c r="H227" s="11" t="inlineStr">
        <is>
          <t>TAK</t>
        </is>
      </c>
      <c r="I227" s="11" t="inlineStr">
        <is>
          <t>DZIAŁA</t>
        </is>
      </c>
      <c r="J227" s="12" t="inlineStr">
        <is>
          <t>services.controller.ts:640</t>
        </is>
      </c>
      <c r="K227" s="11" t="inlineStr">
        <is>
          <t>PARYTET</t>
        </is>
      </c>
      <c r="L227" s="11" t="inlineStr">
        <is>
          <t>—</t>
        </is>
      </c>
      <c r="M227" s="11" t="inlineStr">
        <is>
          <t>—</t>
        </is>
      </c>
      <c r="N227" s="12" t="inlineStr">
        <is>
          <t>presety harmonogramu</t>
        </is>
      </c>
    </row>
    <row r="228">
      <c r="A228" s="11" t="inlineStr">
        <is>
          <t>L-02</t>
        </is>
      </c>
      <c r="B228" s="12" t="inlineStr">
        <is>
          <t>L</t>
        </is>
      </c>
      <c r="C228" s="11" t="inlineStr">
        <is>
          <t>Zadanie cron — usunięcie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services.controller.ts:657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/>
    </row>
    <row r="229">
      <c r="A229" s="11" t="inlineStr">
        <is>
          <t>L-03</t>
        </is>
      </c>
      <c r="B229" s="12" t="inlineStr">
        <is>
          <t>L</t>
        </is>
      </c>
      <c r="C229" s="11" t="inlineStr">
        <is>
          <t>Zadanie cron — edycja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BRAK</t>
        </is>
      </c>
      <c r="J229" s="12" t="inlineStr">
        <is>
          <t>—</t>
        </is>
      </c>
      <c r="K229" s="11" t="inlineStr">
        <is>
          <t>LUKA</t>
        </is>
      </c>
      <c r="L229" s="11" t="inlineStr">
        <is>
          <t>ŚREDNIA</t>
        </is>
      </c>
      <c r="M229" s="11" t="inlineStr">
        <is>
          <t>S</t>
        </is>
      </c>
      <c r="N229" s="12" t="inlineStr">
        <is>
          <t>obecnie usuń i dodaj ponownie</t>
        </is>
      </c>
    </row>
    <row r="230">
      <c r="A230" s="11" t="inlineStr">
        <is>
          <t>L-04</t>
        </is>
      </c>
      <c r="B230" s="12" t="inlineStr">
        <is>
          <t>L</t>
        </is>
      </c>
      <c r="C230" s="11" t="inlineStr">
        <is>
          <t>Cron z interwałem 1 minuty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CZĘŚĆ</t>
        </is>
      </c>
      <c r="H230" s="11" t="inlineStr">
        <is>
          <t>TAK</t>
        </is>
      </c>
      <c r="I230" s="11" t="inlineStr">
        <is>
          <t>b.d.</t>
        </is>
      </c>
      <c r="J230" s="12" t="inlineStr">
        <is>
          <t>zależne od konfiguracji DA</t>
        </is>
      </c>
      <c r="K230" s="11" t="inlineStr">
        <is>
          <t>CZĘŚCIOWY</t>
        </is>
      </c>
      <c r="L230" s="11" t="inlineStr">
        <is>
          <t>NISKA</t>
        </is>
      </c>
      <c r="M230" s="11" t="inlineStr">
        <is>
          <t>S</t>
        </is>
      </c>
      <c r="N230" s="12" t="inlineStr">
        <is>
          <t>cyber_Folks ma minimum 60 min — okazja</t>
        </is>
      </c>
    </row>
    <row r="231">
      <c r="A231" s="11" t="inlineStr">
        <is>
          <t>L-05</t>
        </is>
      </c>
      <c r="B231" s="12" t="inlineStr">
        <is>
          <t>L</t>
        </is>
      </c>
      <c r="C231" s="11" t="inlineStr">
        <is>
          <t>Cron z wyborem wersji PHP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CZĘŚĆ</t>
        </is>
      </c>
      <c r="I231" s="11" t="inlineStr">
        <is>
          <t>BRAK</t>
        </is>
      </c>
      <c r="J231" s="12" t="inlineStr">
        <is>
          <t>—</t>
        </is>
      </c>
      <c r="K231" s="11" t="inlineStr">
        <is>
          <t>LUKA</t>
        </is>
      </c>
      <c r="L231" s="11" t="inlineStr">
        <is>
          <t>ŚREDNIA</t>
        </is>
      </c>
      <c r="M231" s="11" t="inlineStr">
        <is>
          <t>S</t>
        </is>
      </c>
      <c r="N231" s="12" t="inlineStr">
        <is>
          <t>seohost to reklamuje</t>
        </is>
      </c>
    </row>
    <row r="232">
      <c r="A232" s="11" t="inlineStr">
        <is>
          <t>L-06</t>
        </is>
      </c>
      <c r="B232" s="12" t="inlineStr">
        <is>
          <t>L</t>
        </is>
      </c>
      <c r="C232" s="11" t="inlineStr">
        <is>
          <t>Podgląd wyniku ostatniego wykonania crona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CZĘŚĆ</t>
        </is>
      </c>
      <c r="G232" s="11" t="inlineStr">
        <is>
          <t>NIE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M</t>
        </is>
      </c>
      <c r="N232" s="12" t="inlineStr"/>
    </row>
    <row r="233">
      <c r="A233" s="11" t="inlineStr">
        <is>
          <t>L-07</t>
        </is>
      </c>
      <c r="B233" s="12" t="inlineStr">
        <is>
          <t>L</t>
        </is>
      </c>
      <c r="C233" s="11" t="inlineStr">
        <is>
          <t>Publiczne API — odczyt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TAK</t>
        </is>
      </c>
      <c r="G233" s="11" t="inlineStr">
        <is>
          <t>NIE</t>
        </is>
      </c>
      <c r="H233" s="11" t="inlineStr">
        <is>
          <t>TAK</t>
        </is>
      </c>
      <c r="I233" s="11" t="inlineStr">
        <is>
          <t>CZĘŚCIOWE</t>
        </is>
      </c>
      <c r="J233" s="12" t="inlineStr">
        <is>
          <t>public-api.controller.ts:22-98 — 5 endpointów GET</t>
        </is>
      </c>
      <c r="K233" s="11" t="inlineStr">
        <is>
          <t>PRZEWAGA</t>
        </is>
      </c>
      <c r="L233" s="11" t="inlineStr">
        <is>
          <t>—</t>
        </is>
      </c>
      <c r="M233" s="11" t="inlineStr">
        <is>
          <t>—</t>
        </is>
      </c>
      <c r="N233" s="12" t="inlineStr">
        <is>
          <t>żaden hosting PL nie ma publicznego API</t>
        </is>
      </c>
    </row>
    <row r="234">
      <c r="A234" s="11" t="inlineStr">
        <is>
          <t>L-08</t>
        </is>
      </c>
      <c r="B234" s="12" t="inlineStr">
        <is>
          <t>L</t>
        </is>
      </c>
      <c r="C234" s="11" t="inlineStr">
        <is>
          <t>Publiczne API — zapis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BRAK</t>
        </is>
      </c>
      <c r="J234" s="12" t="inlineStr">
        <is>
          <t>api-scopes.ts:3 — 3 zakresy read-only; przyznane w api-tokens-client.tsx:158</t>
        </is>
      </c>
      <c r="K234" s="11" t="inlineStr">
        <is>
          <t>LUKA</t>
        </is>
      </c>
      <c r="L234" s="11" t="inlineStr">
        <is>
          <t>ŚREDNIA</t>
        </is>
      </c>
      <c r="M234" s="11" t="inlineStr">
        <is>
          <t>L</t>
        </is>
      </c>
      <c r="N234" s="12" t="inlineStr">
        <is>
          <t>strona obiecuje „CI/CD, Terraform, skrypty” przy samych GET-ach</t>
        </is>
      </c>
    </row>
    <row r="235">
      <c r="A235" s="11" t="inlineStr">
        <is>
          <t>L-09</t>
        </is>
      </c>
      <c r="B235" s="12" t="inlineStr">
        <is>
          <t>L</t>
        </is>
      </c>
      <c r="C235" s="11" t="inlineStr">
        <is>
          <t>Tokeny API z zakresami uprawnień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CZĘŚCIOWE</t>
        </is>
      </c>
      <c r="J235" s="12" t="inlineStr">
        <is>
          <t>api-tokens.controller.ts:35</t>
        </is>
      </c>
      <c r="K235" s="11" t="inlineStr">
        <is>
          <t>CZĘŚCIOWY</t>
        </is>
      </c>
      <c r="L235" s="11" t="inlineStr">
        <is>
          <t>NISKA</t>
        </is>
      </c>
      <c r="M235" s="11" t="inlineStr">
        <is>
          <t>S</t>
        </is>
      </c>
      <c r="N235" s="12" t="inlineStr"/>
    </row>
    <row r="236">
      <c r="A236" s="11" t="inlineStr">
        <is>
          <t>L-10</t>
        </is>
      </c>
      <c r="B236" s="12" t="inlineStr">
        <is>
          <t>L</t>
        </is>
      </c>
      <c r="C236" s="11" t="inlineStr">
        <is>
          <t>Webhooki dla klienta</t>
        </is>
      </c>
      <c r="D236" s="11" t="inlineStr">
        <is>
          <t>CZĘŚĆ</t>
        </is>
      </c>
      <c r="E236" s="11" t="inlineStr">
        <is>
          <t>TAK</t>
        </is>
      </c>
      <c r="F236" s="11" t="inlineStr">
        <is>
          <t>NIE</t>
        </is>
      </c>
      <c r="G236" s="11" t="inlineStr">
        <is>
          <t>NIE</t>
        </is>
      </c>
      <c r="H236" s="11" t="inlineStr">
        <is>
          <t>CZĘŚĆ</t>
        </is>
      </c>
      <c r="I236" s="11" t="inlineStr">
        <is>
          <t>BRAK</t>
        </is>
      </c>
      <c r="J236" s="12" t="inlineStr">
        <is>
          <t>—</t>
        </is>
      </c>
      <c r="K236" s="11" t="inlineStr">
        <is>
          <t>LUKA</t>
        </is>
      </c>
      <c r="L236" s="11" t="inlineStr">
        <is>
          <t>NISKA</t>
        </is>
      </c>
      <c r="M236" s="11" t="inlineStr">
        <is>
          <t>M</t>
        </is>
      </c>
      <c r="N236" s="12" t="inlineStr"/>
    </row>
    <row r="237">
      <c r="A237" s="11" t="inlineStr">
        <is>
          <t>L-11</t>
        </is>
      </c>
      <c r="B237" s="12" t="inlineStr">
        <is>
          <t>L</t>
        </is>
      </c>
      <c r="C237" s="11" t="inlineStr">
        <is>
          <t>Asystent AI w panelu</t>
        </is>
      </c>
      <c r="D237" s="11" t="inlineStr">
        <is>
          <t>NIE</t>
        </is>
      </c>
      <c r="E237" s="11" t="inlineStr">
        <is>
          <t>NIE</t>
        </is>
      </c>
      <c r="F237" s="11" t="inlineStr">
        <is>
          <t>NIE</t>
        </is>
      </c>
      <c r="G237" s="11" t="inlineStr">
        <is>
          <t>CZĘŚĆ</t>
        </is>
      </c>
      <c r="H237" s="11" t="inlineStr">
        <is>
          <t>TAK</t>
        </is>
      </c>
      <c r="I237" s="11" t="inlineStr">
        <is>
          <t>FLAGA</t>
        </is>
      </c>
      <c r="J237" s="12" t="inlineStr">
        <is>
          <t>HostingAssistant.tsx:61; ai-provider.service.ts:21 — AI_API_KEY domyślnie pusty</t>
        </is>
      </c>
      <c r="K237" s="11" t="inlineStr">
        <is>
          <t>CZĘŚCIOWY</t>
        </is>
      </c>
      <c r="L237" s="11" t="inlineStr">
        <is>
          <t>ŚREDNIA</t>
        </is>
      </c>
      <c r="M237" s="11" t="inlineStr">
        <is>
          <t>S</t>
        </is>
      </c>
      <c r="N237" s="12" t="inlineStr">
        <is>
          <t>funkcja wygląda na wbudowaną, a bez klucza milczy</t>
        </is>
      </c>
    </row>
    <row r="238">
      <c r="A238" s="11" t="inlineStr">
        <is>
          <t>L-12</t>
        </is>
      </c>
      <c r="B238" s="12" t="inlineStr">
        <is>
          <t>L</t>
        </is>
      </c>
      <c r="C238" s="11" t="inlineStr">
        <is>
          <t>Prognoza zużycia zasobów (AI)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NIE</t>
        </is>
      </c>
      <c r="H238" s="11" t="inlineStr">
        <is>
          <t>CZĘŚĆ</t>
        </is>
      </c>
      <c r="I238" s="11" t="inlineStr">
        <is>
          <t>FLAGA</t>
        </is>
      </c>
      <c r="J238" s="12" t="inlineStr">
        <is>
          <t>hosting-forecast-actions.ts:7; fallback ServiceForecastPanel.tsx:97</t>
        </is>
      </c>
      <c r="K238" s="11" t="inlineStr">
        <is>
          <t>CZĘŚCIOWY</t>
        </is>
      </c>
      <c r="L238" s="11" t="inlineStr">
        <is>
          <t>NISKA</t>
        </is>
      </c>
      <c r="M238" s="11" t="inlineStr">
        <is>
          <t>S</t>
        </is>
      </c>
      <c r="N238" s="12" t="inlineStr"/>
    </row>
    <row r="239">
      <c r="A239" s="11" t="inlineStr">
        <is>
          <t>M-01</t>
        </is>
      </c>
      <c r="B239" s="12" t="inlineStr">
        <is>
          <t>M</t>
        </is>
      </c>
      <c r="C239" s="11" t="inlineStr">
        <is>
          <t>Faktura VAT dostępna w panelu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TAK</t>
        </is>
      </c>
      <c r="H239" s="11" t="inlineStr">
        <is>
          <t>TAK</t>
        </is>
      </c>
      <c r="I239" s="11" t="inlineStr">
        <is>
          <t>DZIAŁA</t>
        </is>
      </c>
      <c r="J239" s="12" t="inlineStr">
        <is>
          <t>invoices.controller.ts:23,46</t>
        </is>
      </c>
      <c r="K239" s="11" t="inlineStr">
        <is>
          <t>PARYTET</t>
        </is>
      </c>
      <c r="L239" s="11" t="inlineStr">
        <is>
          <t>—</t>
        </is>
      </c>
      <c r="M239" s="11" t="inlineStr">
        <is>
          <t>—</t>
        </is>
      </c>
      <c r="N239" s="12" t="inlineStr"/>
    </row>
    <row r="240">
      <c r="A240" s="11" t="inlineStr">
        <is>
          <t>M-02</t>
        </is>
      </c>
      <c r="B240" s="12" t="inlineStr">
        <is>
          <t>M</t>
        </is>
      </c>
      <c r="C240" s="11" t="inlineStr">
        <is>
          <t>Numeracja faktur odporna na wyścigi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invoices.service.ts:245-267 (ON CONFLICT ... seq+1)</t>
        </is>
      </c>
      <c r="K240" s="11" t="inlineStr">
        <is>
          <t>PARYTET</t>
        </is>
      </c>
      <c r="L240" s="11" t="inlineStr">
        <is>
          <t>WYSOKA</t>
        </is>
      </c>
      <c r="M240" s="11" t="inlineStr">
        <is>
          <t>—</t>
        </is>
      </c>
      <c r="N240" s="12" t="inlineStr">
        <is>
          <t>poprawnie zrobione, ale ZERO testów przy raw SQL</t>
        </is>
      </c>
    </row>
    <row r="241">
      <c r="A241" s="11" t="inlineStr">
        <is>
          <t>M-03</t>
        </is>
      </c>
      <c r="B241" s="12" t="inlineStr">
        <is>
          <t>M</t>
        </is>
      </c>
      <c r="C241" s="11" t="inlineStr">
        <is>
          <t>Numer nadawany dopiero przy opłaceniu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b.d.</t>
        </is>
      </c>
      <c r="H241" s="11" t="inlineStr">
        <is>
          <t>b.d.</t>
        </is>
      </c>
      <c r="I241" s="11" t="inlineStr">
        <is>
          <t>DZIAŁA</t>
        </is>
      </c>
      <c r="J241" s="12" t="inlineStr">
        <is>
          <t>invoices.service.ts:183-189</t>
        </is>
      </c>
      <c r="K241" s="11" t="inlineStr">
        <is>
          <t>PRZEWAGA</t>
        </is>
      </c>
      <c r="L241" s="11" t="inlineStr">
        <is>
          <t>—</t>
        </is>
      </c>
      <c r="M241" s="11" t="inlineStr">
        <is>
          <t>—</t>
        </is>
      </c>
      <c r="N241" s="12" t="inlineStr">
        <is>
          <t>nie „pali” sekwencji</t>
        </is>
      </c>
    </row>
    <row r="242">
      <c r="A242" s="11" t="inlineStr">
        <is>
          <t>M-04</t>
        </is>
      </c>
      <c r="B242" s="12" t="inlineStr">
        <is>
          <t>M</t>
        </is>
      </c>
      <c r="C242" s="11" t="inlineStr">
        <is>
          <t>Snapshot danych sprzedawcy i nabywcy (art. 106e)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TAK</t>
        </is>
      </c>
      <c r="H242" s="11" t="inlineStr">
        <is>
          <t>TAK</t>
        </is>
      </c>
      <c r="I242" s="11" t="inlineStr">
        <is>
          <t>DZIAŁA</t>
        </is>
      </c>
      <c r="J242" s="12" t="inlineStr">
        <is>
          <t>invoices.service.ts:292-300,355-374</t>
        </is>
      </c>
      <c r="K242" s="11" t="inlineStr">
        <is>
          <t>PARYTET</t>
        </is>
      </c>
      <c r="L242" s="11" t="inlineStr">
        <is>
          <t>—</t>
        </is>
      </c>
      <c r="M242" s="11" t="inlineStr">
        <is>
          <t>—</t>
        </is>
      </c>
      <c r="N242" s="12" t="inlineStr"/>
    </row>
    <row r="243">
      <c r="A243" s="11" t="inlineStr">
        <is>
          <t>M-05</t>
        </is>
      </c>
      <c r="B243" s="12" t="inlineStr">
        <is>
          <t>M</t>
        </is>
      </c>
      <c r="C243" s="11" t="inlineStr">
        <is>
          <t>PDF faktury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invoice-pdf.service.ts (493 l.)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>
        <is>
          <t>ZERO testów</t>
        </is>
      </c>
    </row>
    <row r="244">
      <c r="A244" s="11" t="inlineStr">
        <is>
          <t>M-06</t>
        </is>
      </c>
      <c r="B244" s="12" t="inlineStr">
        <is>
          <t>M</t>
        </is>
      </c>
      <c r="C244" s="11" t="inlineStr">
        <is>
          <t>FAKTURA KORYGUJĄCA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BRAK</t>
        </is>
      </c>
      <c r="J244" s="12" t="inlineStr">
        <is>
          <t>zero wystąpień korekty w apps/api i schema.prisma; fa3-xml.builder.ts:177 zawsze &lt;RodzajFaktury&gt;VAT</t>
        </is>
      </c>
      <c r="K244" s="11" t="inlineStr">
        <is>
          <t>LUKA</t>
        </is>
      </c>
      <c r="L244" s="11" t="inlineStr">
        <is>
          <t>BLOKER STARTU</t>
        </is>
      </c>
      <c r="M244" s="11" t="inlineStr">
        <is>
          <t>L</t>
        </is>
      </c>
      <c r="N244" s="12" t="inlineStr">
        <is>
          <t>pierwszy zwrot, pierwsza rezygnacja w trakcie okresu, pierwsza literówka w NIP — i operator wychodzi poza system</t>
        </is>
      </c>
    </row>
    <row r="245">
      <c r="A245" s="11" t="inlineStr">
        <is>
          <t>M-07</t>
        </is>
      </c>
      <c r="B245" s="12" t="inlineStr">
        <is>
          <t>M</t>
        </is>
      </c>
      <c r="C245" s="11" t="inlineStr">
        <is>
          <t>DUPLIKAT FAKTURY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BRAK</t>
        </is>
      </c>
      <c r="J245" s="12" t="inlineStr">
        <is>
          <t>brak flagi isDuplicate, brak endpointu</t>
        </is>
      </c>
      <c r="K245" s="11" t="inlineStr">
        <is>
          <t>LUKA</t>
        </is>
      </c>
      <c r="L245" s="11" t="inlineStr">
        <is>
          <t>ŚREDNIA</t>
        </is>
      </c>
      <c r="M245" s="11" t="inlineStr">
        <is>
          <t>M</t>
        </is>
      </c>
      <c r="N245" s="12" t="inlineStr">
        <is>
          <t>Skorygowane: brak flagi potwierdzony, ale przy fakturze ustrukturyzowanej i PDF wystawianym na żądanie duplikat nie blokuje sprzedaży.</t>
        </is>
      </c>
    </row>
    <row r="246">
      <c r="A246" s="11" t="inlineStr">
        <is>
          <t>M-08</t>
        </is>
      </c>
      <c r="B246" s="12" t="inlineStr">
        <is>
          <t>M</t>
        </is>
      </c>
      <c r="C246" s="11" t="inlineStr">
        <is>
          <t>Anulowanie faktury (VOID) z panelu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CZĘŚĆ</t>
        </is>
      </c>
      <c r="H246" s="11" t="inlineStr">
        <is>
          <t>CZĘŚĆ</t>
        </is>
      </c>
      <c r="I246" s="11" t="inlineStr">
        <is>
          <t>BRAK</t>
        </is>
      </c>
      <c r="J246" s="12" t="inlineStr">
        <is>
          <t>InvoiceStatus.VOID w schema.prisma:1354 nigdy nie ustawiany</t>
        </is>
      </c>
      <c r="K246" s="11" t="inlineStr">
        <is>
          <t>LUKA</t>
        </is>
      </c>
      <c r="L246" s="11" t="inlineStr">
        <is>
          <t>WYSOKA</t>
        </is>
      </c>
      <c r="M246" s="11" t="inlineStr">
        <is>
          <t>S</t>
        </is>
      </c>
      <c r="N246" s="12" t="inlineStr"/>
    </row>
    <row r="247">
      <c r="A247" s="11" t="inlineStr">
        <is>
          <t>M-09</t>
        </is>
      </c>
      <c r="B247" s="12" t="inlineStr">
        <is>
          <t>M</t>
        </is>
      </c>
      <c r="C247" s="11" t="inlineStr">
        <is>
          <t>Stawki VAT inne niż 23%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TAK</t>
        </is>
      </c>
      <c r="H247" s="11" t="inlineStr">
        <is>
          <t>TAK</t>
        </is>
      </c>
      <c r="I247" s="11" t="inlineStr">
        <is>
          <t>BRAK</t>
        </is>
      </c>
      <c r="J247" s="12" t="inlineStr">
        <is>
          <t>invoices.service.ts:17 — DEFAULT_VAT_RATE = 23 na sztywno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M</t>
        </is>
      </c>
      <c r="N247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8">
      <c r="A248" s="11" t="inlineStr">
        <is>
          <t>M-10</t>
        </is>
      </c>
      <c r="B248" s="12" t="inlineStr">
        <is>
          <t>M</t>
        </is>
      </c>
      <c r="C248" s="11" t="inlineStr">
        <is>
          <t>Faktury w walucie obcej z przeliczeniem VAT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CZĘŚĆ</t>
        </is>
      </c>
      <c r="H248" s="11" t="inlineStr">
        <is>
          <t>TAK</t>
        </is>
      </c>
      <c r="I248" s="11" t="inlineStr">
        <is>
          <t>CZĘŚCIOWE</t>
        </is>
      </c>
      <c r="J248" s="12" t="inlineStr">
        <is>
          <t>invoice-pdf.service.ts:61 formatuje PLN/EUR/USD; brak kursu i przeliczenia (art. 31a)</t>
        </is>
      </c>
      <c r="K248" s="11" t="inlineStr">
        <is>
          <t>CZĘŚCIOWY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KSeF odrzuca wszystko poza PLN (fa3-xml.builder.ts:64-66)</t>
        </is>
      </c>
    </row>
    <row r="249">
      <c r="A249" s="11" t="inlineStr">
        <is>
          <t>M-11</t>
        </is>
      </c>
      <c r="B249" s="12" t="inlineStr">
        <is>
          <t>M</t>
        </is>
      </c>
      <c r="C249" s="11" t="inlineStr">
        <is>
          <t>KSeF — wysyłka faktury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NIE</t>
        </is>
      </c>
      <c r="I249" s="11" t="inlineStr">
        <is>
          <t>FLAGA</t>
        </is>
      </c>
      <c r="J249" s="12" t="inlineStr">
        <is>
          <t>ksef-v2.client.ts:138-165; FA(3) 1-0E; API v2</t>
        </is>
      </c>
      <c r="K249" s="11" t="inlineStr">
        <is>
          <t>PRZEWAGA</t>
        </is>
      </c>
      <c r="L249" s="11" t="inlineStr">
        <is>
          <t>—</t>
        </is>
      </c>
      <c r="M249" s="11" t="inlineStr">
        <is>
          <t>—</t>
        </is>
      </c>
      <c r="N249" s="12" t="inlineStr">
        <is>
          <t>OSŁABIONE: KSEF_ENABLED default '0', KSEF_ENV default 'test' (platform-settings.keys.ts:136-137). Po włączeniu bez zmiany env faktury idą na środowisko testowe MF.</t>
        </is>
      </c>
    </row>
    <row r="250">
      <c r="A250" s="11" t="inlineStr">
        <is>
          <t>M-12</t>
        </is>
      </c>
      <c r="B250" s="12" t="inlineStr">
        <is>
          <t>M</t>
        </is>
      </c>
      <c r="C250" s="11" t="inlineStr">
        <is>
          <t>KSeF — uwierzytelnianie tokenem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—</t>
        </is>
      </c>
      <c r="H250" s="11" t="inlineStr">
        <is>
          <t>—</t>
        </is>
      </c>
      <c r="I250" s="11" t="inlineStr">
        <is>
          <t>DZIAŁA</t>
        </is>
      </c>
      <c r="J250" s="12" t="inlineStr">
        <is>
          <t>ksef-v2.client.ts:256-379 (challenge → RSA-OAEP → redeem)</t>
        </is>
      </c>
      <c r="K250" s="11" t="inlineStr">
        <is>
          <t>PARYTET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ZERO testów na całym kliencie (487 l. kryptografii)</t>
        </is>
      </c>
    </row>
    <row r="251">
      <c r="A251" s="11" t="inlineStr">
        <is>
          <t>M-13</t>
        </is>
      </c>
      <c r="B251" s="12" t="inlineStr">
        <is>
          <t>M</t>
        </is>
      </c>
      <c r="C251" s="11" t="inlineStr">
        <is>
          <t>KSeF — szyfrowanie sesji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ksef-v2.client.ts:427-441 (RSA-OAEP + AES-256-CBC)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/>
    </row>
    <row r="252">
      <c r="A252" s="11" t="inlineStr">
        <is>
          <t>M-14</t>
        </is>
      </c>
      <c r="B252" s="12" t="inlineStr">
        <is>
          <t>M</t>
        </is>
      </c>
      <c r="C252" s="11" t="inlineStr">
        <is>
          <t>KSeF — numer i UPO widoczne dla klienta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TAK</t>
        </is>
      </c>
      <c r="H252" s="11" t="inlineStr">
        <is>
          <t>NIE</t>
        </is>
      </c>
      <c r="I252" s="11" t="inlineStr">
        <is>
          <t>BRAK</t>
        </is>
      </c>
      <c r="J252" s="12" t="inlineStr">
        <is>
          <t>zero wystąpień „ksef” w apps/client-panel</t>
        </is>
      </c>
      <c r="K252" s="11" t="inlineStr">
        <is>
          <t>LUKA</t>
        </is>
      </c>
      <c r="L252" s="11" t="inlineStr">
        <is>
          <t>WYSOKA</t>
        </is>
      </c>
      <c r="M252" s="11" t="inlineStr">
        <is>
          <t>S</t>
        </is>
      </c>
      <c r="N252" s="12" t="inlineStr">
        <is>
          <t>dhosting pokazuje numer KSeF i QR na fakturze</t>
        </is>
      </c>
    </row>
    <row r="253">
      <c r="A253" s="11" t="inlineStr">
        <is>
          <t>M-15</t>
        </is>
      </c>
      <c r="B253" s="12" t="inlineStr">
        <is>
          <t>M</t>
        </is>
      </c>
      <c r="C253" s="11" t="inlineStr">
        <is>
          <t>KSeF — pobranie UPO przez operatora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—</t>
        </is>
      </c>
      <c r="H253" s="11" t="inlineStr">
        <is>
          <t>—</t>
        </is>
      </c>
      <c r="I253" s="11" t="inlineStr">
        <is>
          <t>ENDPOINT BEZ UI</t>
        </is>
      </c>
      <c r="J253" s="12" t="inlineStr">
        <is>
          <t>ksef.admin.controller.ts:38; zero wystąpień UPO w admin-panel</t>
        </is>
      </c>
      <c r="K253" s="11" t="inlineStr">
        <is>
          <t>LUKA</t>
        </is>
      </c>
      <c r="L253" s="11" t="inlineStr">
        <is>
          <t>ŚREDNIA</t>
        </is>
      </c>
      <c r="M253" s="11" t="inlineStr">
        <is>
          <t>S</t>
        </is>
      </c>
      <c r="N253" s="12" t="inlineStr">
        <is>
          <t>Skorygowane: UPO jest dostępne w portalu MF, więc warunek dokumentu księgowego nie jest naruszony. Brakuje wygody.</t>
        </is>
      </c>
    </row>
    <row r="254">
      <c r="A254" s="11" t="inlineStr">
        <is>
          <t>M-16</t>
        </is>
      </c>
      <c r="B254" s="12" t="inlineStr">
        <is>
          <t>M</t>
        </is>
      </c>
      <c r="C254" s="11" t="inlineStr">
        <is>
          <t>KSeF — tryb offline/awaryjny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CZĘŚĆ</t>
        </is>
      </c>
      <c r="H254" s="11" t="inlineStr">
        <is>
          <t>NIE</t>
        </is>
      </c>
      <c r="I254" s="11" t="inlineStr">
        <is>
          <t>BRAK</t>
        </is>
      </c>
      <c r="J254" s="12" t="inlineStr">
        <is>
          <t>KsefStatus.OFFLINE w schema.prisma:1432 nigdy nie ustawiany</t>
        </is>
      </c>
      <c r="K254" s="11" t="inlineStr">
        <is>
          <t>LUKA</t>
        </is>
      </c>
      <c r="L254" s="11" t="inlineStr">
        <is>
          <t>BLOKER STARTU</t>
        </is>
      </c>
      <c r="M254" s="11" t="inlineStr">
        <is>
          <t>M</t>
        </is>
      </c>
      <c r="N254" s="12" t="inlineStr">
        <is>
          <t>awaria KSeF zostawia fakturę w PENDING, bez kodu QR offline</t>
        </is>
      </c>
    </row>
    <row r="255">
      <c r="A255" s="11" t="inlineStr">
        <is>
          <t>M-17</t>
        </is>
      </c>
      <c r="B255" s="12" t="inlineStr">
        <is>
          <t>M</t>
        </is>
      </c>
      <c r="C255" s="11" t="inlineStr">
        <is>
          <t>KSeF — walidacja XSD przed wysyłką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—</t>
        </is>
      </c>
      <c r="H255" s="11" t="inlineStr">
        <is>
          <t>—</t>
        </is>
      </c>
      <c r="I255" s="11" t="inlineStr">
        <is>
          <t>BRAK</t>
        </is>
      </c>
      <c r="J255" s="12" t="inlineStr">
        <is>
          <t>fa3-xml.builder.ts składa XML stringowo; komentarz ksef-v2.client.ts:61-62 sam to wskazuje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S</t>
        </is>
      </c>
      <c r="N255" s="12" t="inlineStr">
        <is>
          <t>smoke na api-test MF nie został wykonany</t>
        </is>
      </c>
    </row>
    <row r="256">
      <c r="A256" s="11" t="inlineStr">
        <is>
          <t>M-18</t>
        </is>
      </c>
      <c r="B256" s="12" t="inlineStr">
        <is>
          <t>M</t>
        </is>
      </c>
      <c r="C256" s="11" t="inlineStr">
        <is>
          <t>Płatności kartą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TAK</t>
        </is>
      </c>
      <c r="H256" s="11" t="inlineStr">
        <is>
          <t>TAK</t>
        </is>
      </c>
      <c r="I256" s="11" t="inlineStr">
        <is>
          <t>DZIAŁA</t>
        </is>
      </c>
      <c r="J256" s="12" t="inlineStr">
        <is>
          <t>stripe.client.ts:308</t>
        </is>
      </c>
      <c r="K256" s="11" t="inlineStr">
        <is>
          <t>PARYTET</t>
        </is>
      </c>
      <c r="L256" s="11" t="inlineStr">
        <is>
          <t>—</t>
        </is>
      </c>
      <c r="M256" s="11" t="inlineStr">
        <is>
          <t>—</t>
        </is>
      </c>
      <c r="N256" s="12" t="inlineStr"/>
    </row>
    <row r="257">
      <c r="A257" s="11" t="inlineStr">
        <is>
          <t>M-19</t>
        </is>
      </c>
      <c r="B257" s="12" t="inlineStr">
        <is>
          <t>M</t>
        </is>
      </c>
      <c r="C257" s="11" t="inlineStr">
        <is>
          <t>Płatności BLIK / Przelewy24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CZĘŚĆ</t>
        </is>
      </c>
      <c r="I257" s="11" t="inlineStr">
        <is>
          <t>DZIAŁA</t>
        </is>
      </c>
      <c r="J257" s="12" t="inlineStr">
        <is>
          <t>stripe.client.ts:309 (p24)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>
        <is>
          <t>przez Stripe, nie bezpośrednio</t>
        </is>
      </c>
    </row>
    <row r="258">
      <c r="A258" s="11" t="inlineStr">
        <is>
          <t>M-20</t>
        </is>
      </c>
      <c r="B258" s="12" t="inlineStr">
        <is>
          <t>M</t>
        </is>
      </c>
      <c r="C258" s="11" t="inlineStr">
        <is>
          <t>Płatności cykliczne / automatyczne odnowienia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TAK</t>
        </is>
      </c>
      <c r="I258" s="11" t="inlineStr">
        <is>
          <t>DZIAŁA</t>
        </is>
      </c>
      <c r="J258" s="12" t="inlineStr">
        <is>
          <t>renewal.scheduler.ts:17-29,45 (idempotencja na subscriptionId+period)</t>
        </is>
      </c>
      <c r="K258" s="11" t="inlineStr">
        <is>
          <t>PARYTET</t>
        </is>
      </c>
      <c r="L258" s="11" t="inlineStr">
        <is>
          <t>WYSOKA</t>
        </is>
      </c>
      <c r="M258" s="11" t="inlineStr">
        <is>
          <t>—</t>
        </is>
      </c>
      <c r="N258" s="12" t="inlineStr">
        <is>
          <t>ZERO testów na ścieżce, która sama wyłącza usługę klientowi</t>
        </is>
      </c>
    </row>
    <row r="259">
      <c r="A259" s="11" t="inlineStr">
        <is>
          <t>M-21</t>
        </is>
      </c>
      <c r="B259" s="12" t="inlineStr">
        <is>
          <t>M</t>
        </is>
      </c>
      <c r="C259" s="11" t="inlineStr">
        <is>
          <t>Portfel / przedpłata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CZĘŚĆ</t>
        </is>
      </c>
      <c r="H259" s="11" t="inlineStr">
        <is>
          <t>CZĘŚĆ</t>
        </is>
      </c>
      <c r="I259" s="11" t="inlineStr">
        <is>
          <t>DZIAŁA</t>
        </is>
      </c>
      <c r="J259" s="12" t="inlineStr">
        <is>
          <t>billing.controller.ts:44; wallet-ledger.service.spec.ts (test D1)</t>
        </is>
      </c>
      <c r="K259" s="11" t="inlineStr">
        <is>
          <t>PRZEWAGA</t>
        </is>
      </c>
      <c r="L259" s="11" t="inlineStr">
        <is>
          <t>—</t>
        </is>
      </c>
      <c r="M259" s="11" t="inlineStr">
        <is>
          <t>—</t>
        </is>
      </c>
      <c r="N259" s="12" t="inlineStr"/>
    </row>
    <row r="260">
      <c r="A260" s="11" t="inlineStr">
        <is>
          <t>M-22</t>
        </is>
      </c>
      <c r="B260" s="12" t="inlineStr">
        <is>
          <t>M</t>
        </is>
      </c>
      <c r="C260" s="11" t="inlineStr">
        <is>
          <t>Auto-doładowanie portfela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NIE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billing.controller.ts:107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>
        <is>
          <t>ZERO testów (wallet-auto-topup.service.ts, 258 l.)</t>
        </is>
      </c>
    </row>
    <row r="261">
      <c r="A261" s="11" t="inlineStr">
        <is>
          <t>M-23</t>
        </is>
      </c>
      <c r="B261" s="12" t="inlineStr">
        <is>
          <t>M</t>
        </is>
      </c>
      <c r="C261" s="11" t="inlineStr">
        <is>
          <t>Kody promocyjne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TAK</t>
        </is>
      </c>
      <c r="H261" s="11" t="inlineStr">
        <is>
          <t>TAK</t>
        </is>
      </c>
      <c r="I261" s="11" t="inlineStr">
        <is>
          <t>DZIAŁA</t>
        </is>
      </c>
      <c r="J261" s="12" t="inlineStr">
        <is>
          <t>promo.service.ts (559 l.); billing.controller.ts:91</t>
        </is>
      </c>
      <c r="K261" s="11" t="inlineStr">
        <is>
          <t>PARYTET</t>
        </is>
      </c>
      <c r="L261" s="11" t="inlineStr">
        <is>
          <t>ŚREDNIA</t>
        </is>
      </c>
      <c r="M261" s="11" t="inlineStr">
        <is>
          <t>—</t>
        </is>
      </c>
      <c r="N261" s="12" t="inlineStr">
        <is>
          <t>ZERO testów</t>
        </is>
      </c>
    </row>
    <row r="262">
      <c r="A262" s="11" t="inlineStr">
        <is>
          <t>M-24</t>
        </is>
      </c>
      <c r="B262" s="12" t="inlineStr">
        <is>
          <t>M</t>
        </is>
      </c>
      <c r="C262" s="11" t="inlineStr">
        <is>
          <t>Proforma przed odnowieniem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CZĘŚĆ</t>
        </is>
      </c>
      <c r="I262" s="11" t="inlineStr">
        <is>
          <t>CZĘŚCIOWE</t>
        </is>
      </c>
      <c r="J262" s="12" t="inlineStr">
        <is>
          <t>renewal-reminder.scheduler.ts — przypomnienie, nie proforma</t>
        </is>
      </c>
      <c r="K262" s="11" t="inlineStr">
        <is>
          <t>CZĘŚCIOWY</t>
        </is>
      </c>
      <c r="L262" s="11" t="inlineStr">
        <is>
          <t>ŚREDNIA</t>
        </is>
      </c>
      <c r="M262" s="11" t="inlineStr">
        <is>
          <t>S</t>
        </is>
      </c>
      <c r="N262" s="12" t="inlineStr">
        <is>
          <t>wszystkie 5 hostingów PL wystawia proformę</t>
        </is>
      </c>
    </row>
    <row r="263">
      <c r="A263" s="11" t="inlineStr">
        <is>
          <t>M-25</t>
        </is>
      </c>
      <c r="B263" s="12" t="inlineStr">
        <is>
          <t>M</t>
        </is>
      </c>
      <c r="C263" s="11" t="inlineStr">
        <is>
          <t>Automatyczne zawieszenie za brak płatności</t>
        </is>
      </c>
      <c r="D263" s="11" t="inlineStr">
        <is>
          <t>TAK</t>
        </is>
      </c>
      <c r="E263" s="11" t="inlineStr">
        <is>
          <t>TAK</t>
        </is>
      </c>
      <c r="F263" s="11" t="inlineStr">
        <is>
          <t>TAK</t>
        </is>
      </c>
      <c r="G263" s="11" t="inlineStr">
        <is>
          <t>TAK</t>
        </is>
      </c>
      <c r="H263" s="11" t="inlineStr">
        <is>
          <t>TAK</t>
        </is>
      </c>
      <c r="I263" s="11" t="inlineStr">
        <is>
          <t>DZIAŁA</t>
        </is>
      </c>
      <c r="J263" s="12" t="inlineStr">
        <is>
          <t>renewal.scheduler.ts:250-303 (grace 3 dni); subscriptions.service.ts:597-645</t>
        </is>
      </c>
      <c r="K263" s="11" t="inlineStr">
        <is>
          <t>PARYTET</t>
        </is>
      </c>
      <c r="L263" s="11" t="inlineStr">
        <is>
          <t>WYSOKA</t>
        </is>
      </c>
      <c r="M263" s="11" t="inlineStr">
        <is>
          <t>—</t>
        </is>
      </c>
      <c r="N263" s="12" t="inlineStr">
        <is>
          <t>ZERO testów</t>
        </is>
      </c>
    </row>
    <row r="264">
      <c r="A264" s="11" t="inlineStr">
        <is>
          <t>M-26</t>
        </is>
      </c>
      <c r="B264" s="12" t="inlineStr">
        <is>
          <t>M</t>
        </is>
      </c>
      <c r="C264" s="11" t="inlineStr">
        <is>
          <t>Usunięcie zapisanej karty przez klienta</t>
        </is>
      </c>
      <c r="D264" s="11" t="inlineStr">
        <is>
          <t>NIE</t>
        </is>
      </c>
      <c r="E264" s="11" t="inlineStr">
        <is>
          <t>NIE</t>
        </is>
      </c>
      <c r="F264" s="11" t="inlineStr">
        <is>
          <t>NIE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BRAK</t>
        </is>
      </c>
      <c r="J264" s="12" t="inlineStr">
        <is>
          <t>billing.controller.ts:38 tylko GET, brak DELETE</t>
        </is>
      </c>
      <c r="K264" s="11" t="inlineStr">
        <is>
          <t>LUKA</t>
        </is>
      </c>
      <c r="L264" s="11" t="inlineStr">
        <is>
          <t>WYSOKA</t>
        </is>
      </c>
      <c r="M264" s="11" t="inlineStr">
        <is>
          <t>S</t>
        </is>
      </c>
      <c r="N264" s="12" t="inlineStr">
        <is>
          <t>wymóg konsumencki</t>
        </is>
      </c>
    </row>
    <row r="265">
      <c r="A265" s="11" t="inlineStr">
        <is>
          <t>M-27</t>
        </is>
      </c>
      <c r="B265" s="12" t="inlineStr">
        <is>
          <t>M</t>
        </is>
      </c>
      <c r="C265" s="11" t="inlineStr">
        <is>
          <t>Dodanie karty niezależnie od zakupu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karta zapisuje się tylko przy okazji Stripe Checkout</t>
        </is>
      </c>
      <c r="K265" s="11" t="inlineStr">
        <is>
          <t>LUKA</t>
        </is>
      </c>
      <c r="L265" s="11" t="inlineStr">
        <is>
          <t>ŚREDNIA</t>
        </is>
      </c>
      <c r="M265" s="11" t="inlineStr">
        <is>
          <t>S</t>
        </is>
      </c>
      <c r="N265" s="12" t="inlineStr"/>
    </row>
    <row r="266">
      <c r="A266" s="11" t="inlineStr">
        <is>
          <t>M-28</t>
        </is>
      </c>
      <c r="B266" s="12" t="inlineStr">
        <is>
          <t>M</t>
        </is>
      </c>
      <c r="C266" s="11" t="inlineStr">
        <is>
          <t>Eksport historii transakcji do CSV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CZĘŚĆ</t>
        </is>
      </c>
      <c r="H266" s="11" t="inlineStr">
        <is>
          <t>CZĘŚĆ</t>
        </is>
      </c>
      <c r="I266" s="11" t="inlineStr">
        <is>
          <t>ENDPOINT BEZ UI</t>
        </is>
      </c>
      <c r="J266" s="12" t="inlineStr">
        <is>
          <t>billing.controller.ts:70 — zero odwołań w panelu</t>
        </is>
      </c>
      <c r="K266" s="11" t="inlineStr">
        <is>
          <t>LUKA</t>
        </is>
      </c>
      <c r="L266" s="11" t="inlineStr">
        <is>
          <t>NISKA</t>
        </is>
      </c>
      <c r="M266" s="11" t="inlineStr">
        <is>
          <t>S</t>
        </is>
      </c>
      <c r="N266" s="12" t="inlineStr"/>
    </row>
    <row r="267">
      <c r="A267" s="11" t="inlineStr">
        <is>
          <t>M-29</t>
        </is>
      </c>
      <c r="B267" s="12" t="inlineStr">
        <is>
          <t>M</t>
        </is>
      </c>
      <c r="C267" s="11" t="inlineStr">
        <is>
          <t>Ręczne uznanie portfela klienta przez operatora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—</t>
        </is>
      </c>
      <c r="H267" s="11" t="inlineStr">
        <is>
          <t>—</t>
        </is>
      </c>
      <c r="I267" s="11" t="inlineStr">
        <is>
          <t>DZIAŁA</t>
        </is>
      </c>
      <c r="J267" s="12" t="inlineStr">
        <is>
          <t>billing.admin.controller.ts:35</t>
        </is>
      </c>
      <c r="K267" s="11" t="inlineStr">
        <is>
          <t>PARYTET</t>
        </is>
      </c>
      <c r="L267" s="11" t="inlineStr">
        <is>
          <t>—</t>
        </is>
      </c>
      <c r="M267" s="11" t="inlineStr">
        <is>
          <t>—</t>
        </is>
      </c>
      <c r="N267" s="12" t="inlineStr"/>
    </row>
    <row r="268">
      <c r="A268" s="11" t="inlineStr">
        <is>
          <t>M-30</t>
        </is>
      </c>
      <c r="B268" s="12" t="inlineStr">
        <is>
          <t>M</t>
        </is>
      </c>
      <c r="C268" s="11" t="inlineStr">
        <is>
          <t>Katalog produktów i cenniki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TAK</t>
        </is>
      </c>
      <c r="H268" s="11" t="inlineStr">
        <is>
          <t>TAK</t>
        </is>
      </c>
      <c r="I268" s="11" t="inlineStr">
        <is>
          <t>DZIAŁA</t>
        </is>
      </c>
      <c r="J268" s="12" t="inlineStr">
        <is>
          <t>plans.admin.controller.ts:45,51,66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M-31</t>
        </is>
      </c>
      <c r="B269" s="12" t="inlineStr">
        <is>
          <t>M</t>
        </is>
      </c>
      <c r="C269" s="11" t="inlineStr">
        <is>
          <t>Prorata przy zmianie planu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CZĘŚĆ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plan-proration.util.ts:47; test D1 (7 przypadków, cross-interval)</t>
        </is>
      </c>
      <c r="K269" s="11" t="inlineStr">
        <is>
          <t>PRZEWAGA</t>
        </is>
      </c>
      <c r="L269" s="11" t="inlineStr">
        <is>
          <t>—</t>
        </is>
      </c>
      <c r="M269" s="11" t="inlineStr">
        <is>
          <t>—</t>
        </is>
      </c>
      <c r="N269" s="12" t="inlineStr">
        <is>
          <t>jedna z najlepiej pokrytych rzeczy w repo</t>
        </is>
      </c>
    </row>
    <row r="270">
      <c r="A270" s="11" t="inlineStr">
        <is>
          <t>M-32</t>
        </is>
      </c>
      <c r="B270" s="12" t="inlineStr">
        <is>
          <t>M</t>
        </is>
      </c>
      <c r="C270" s="11" t="inlineStr">
        <is>
          <t>Kolejka provisioningu z retry</t>
        </is>
      </c>
      <c r="D270" s="11" t="inlineStr">
        <is>
          <t>TAK</t>
        </is>
      </c>
      <c r="E270" s="11" t="inlineStr">
        <is>
          <t>TAK</t>
        </is>
      </c>
      <c r="F270" s="11" t="inlineStr">
        <is>
          <t>TAK</t>
        </is>
      </c>
      <c r="G270" s="11" t="inlineStr">
        <is>
          <t>—</t>
        </is>
      </c>
      <c r="H270" s="11" t="inlineStr">
        <is>
          <t>—</t>
        </is>
      </c>
      <c r="I270" s="11" t="inlineStr">
        <is>
          <t>DZIAŁA</t>
        </is>
      </c>
      <c r="J270" s="12" t="inlineStr">
        <is>
          <t>provisioning-queue.admin.controller.ts:31,58</t>
        </is>
      </c>
      <c r="K270" s="11" t="inlineStr">
        <is>
          <t>PARYTET</t>
        </is>
      </c>
      <c r="L270" s="11" t="inlineStr">
        <is>
          <t>—</t>
        </is>
      </c>
      <c r="M270" s="11" t="inlineStr">
        <is>
          <t>—</t>
        </is>
      </c>
      <c r="N270" s="12" t="inlineStr"/>
    </row>
    <row r="271">
      <c r="A271" s="11" t="inlineStr">
        <is>
          <t>M-33</t>
        </is>
      </c>
      <c r="B271" s="12" t="inlineStr">
        <is>
          <t>M</t>
        </is>
      </c>
      <c r="C271" s="11" t="inlineStr">
        <is>
          <t>Dodatki płatne (IP, wsparcie priorytetowe)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TAK</t>
        </is>
      </c>
      <c r="H271" s="11" t="inlineStr">
        <is>
          <t>TAK</t>
        </is>
      </c>
      <c r="I271" s="11" t="inlineStr">
        <is>
          <t>CZĘŚCIOWE</t>
        </is>
      </c>
      <c r="J271" s="12" t="inlineStr">
        <is>
          <t>addon.service.ts:120 — 2 z 3 to workorder do BOK</t>
        </is>
      </c>
      <c r="K271" s="11" t="inlineStr">
        <is>
          <t>CZĘŚCIOWY</t>
        </is>
      </c>
      <c r="L271" s="11" t="inlineStr">
        <is>
          <t>NISKA</t>
        </is>
      </c>
      <c r="M271" s="11" t="inlineStr">
        <is>
          <t>M</t>
        </is>
      </c>
      <c r="N271" s="12" t="inlineStr"/>
    </row>
    <row r="272">
      <c r="A272" s="11" t="inlineStr">
        <is>
          <t>Z-01</t>
        </is>
      </c>
      <c r="B272" s="12" t="inlineStr">
        <is>
          <t>M</t>
        </is>
      </c>
      <c r="C272" s="11" t="inlineStr">
        <is>
          <t>Faktura VAT dla płatności portfelem</t>
        </is>
      </c>
      <c r="D272" s="11" t="inlineStr">
        <is>
          <t>NIE</t>
        </is>
      </c>
      <c r="E272" s="11" t="inlineStr">
        <is>
          <t>NIE</t>
        </is>
      </c>
      <c r="F272" s="11" t="inlineStr">
        <is>
          <t>NIE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DZIAŁA</t>
        </is>
      </c>
      <c r="J272" s="12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K272" s="11" t="inlineStr">
        <is>
          <t>PARYTET</t>
        </is>
      </c>
      <c r="L272" s="11" t="inlineStr">
        <is>
          <t>—</t>
        </is>
      </c>
      <c r="M272" s="11" t="inlineStr">
        <is>
          <t>L</t>
        </is>
      </c>
      <c r="N272" s="12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</row>
    <row r="273">
      <c r="A273" s="11" t="inlineStr">
        <is>
          <t>Z-02</t>
        </is>
      </c>
      <c r="B273" s="12" t="inlineStr">
        <is>
          <t>M</t>
        </is>
      </c>
      <c r="C273" s="11" t="inlineStr">
        <is>
          <t>Blokada zamówienia usługi bez opłaty przez klienta</t>
        </is>
      </c>
      <c r="D273" s="11" t="inlineStr">
        <is>
          <t>TAK</t>
        </is>
      </c>
      <c r="E273" s="11" t="inlineStr">
        <is>
          <t>TAK</t>
        </is>
      </c>
      <c r="F273" s="11" t="inlineStr">
        <is>
          <t>TAK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dto/subscription.dto.ts — @IsIn(CLIENT_PAYMENT_SOURCES); subscriptions.service.ts — ForbiddenException dla MANUAL bez allowManual; test subscriptions.create-guard.spec.ts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S</t>
        </is>
      </c>
      <c r="N273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4">
      <c r="A274" s="11" t="inlineStr">
        <is>
          <t>Z-05</t>
        </is>
      </c>
      <c r="B274" s="12" t="inlineStr">
        <is>
          <t>M</t>
        </is>
      </c>
      <c r="C274" s="11" t="inlineStr">
        <is>
          <t>Odporność webhooka płatności na błąd w trakcie obsługi</t>
        </is>
      </c>
      <c r="D274" s="11" t="inlineStr">
        <is>
          <t>NIE</t>
        </is>
      </c>
      <c r="E274" s="11" t="inlineStr">
        <is>
          <t>NIE</t>
        </is>
      </c>
      <c r="F274" s="11" t="inlineStr">
        <is>
          <t>NIE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DZIAŁA</t>
        </is>
      </c>
      <c r="J274" s="12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K274" s="11" t="inlineStr">
        <is>
          <t>PARYTET</t>
        </is>
      </c>
      <c r="L274" s="11" t="inlineStr">
        <is>
          <t>—</t>
        </is>
      </c>
      <c r="M274" s="11" t="inlineStr">
        <is>
          <t>M</t>
        </is>
      </c>
      <c r="N274" s="12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</row>
    <row r="275">
      <c r="A275" s="11" t="inlineStr">
        <is>
          <t>Z-06</t>
        </is>
      </c>
      <c r="B275" s="12" t="inlineStr">
        <is>
          <t>M</t>
        </is>
      </c>
      <c r="C275" s="11" t="inlineStr">
        <is>
          <t>Klucz idempotencji obciążenia za dodatek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DZIAŁA</t>
        </is>
      </c>
      <c r="J275" s="12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K275" s="11" t="inlineStr">
        <is>
          <t>PARYTET</t>
        </is>
      </c>
      <c r="L275" s="11" t="inlineStr">
        <is>
          <t>—</t>
        </is>
      </c>
      <c r="M275" s="11" t="inlineStr">
        <is>
          <t>S</t>
        </is>
      </c>
      <c r="N275" s="12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</row>
    <row r="276">
      <c r="A276" s="11" t="inlineStr">
        <is>
          <t>Z-07</t>
        </is>
      </c>
      <c r="B276" s="12" t="inlineStr">
        <is>
          <t>M</t>
        </is>
      </c>
      <c r="C276" s="11" t="inlineStr">
        <is>
          <t>Ponowienie płatności portfelem w okresie karencji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BRAK</t>
        </is>
      </c>
      <c r="J276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6" s="11" t="inlineStr">
        <is>
          <t>LUKA</t>
        </is>
      </c>
      <c r="L276" s="11" t="inlineStr">
        <is>
          <t>WYSOKA</t>
        </is>
      </c>
      <c r="M276" s="11" t="inlineStr">
        <is>
          <t>M</t>
        </is>
      </c>
      <c r="N276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7">
      <c r="A277" s="11" t="inlineStr">
        <is>
          <t>Z-08</t>
        </is>
      </c>
      <c r="B277" s="12" t="inlineStr">
        <is>
          <t>M</t>
        </is>
      </c>
      <c r="C277" s="11" t="inlineStr">
        <is>
          <t>Przegląd istniejących subskrypcji MANUAL założonych przez klientów</t>
        </is>
      </c>
      <c r="D277" s="11" t="inlineStr">
        <is>
          <t>—</t>
        </is>
      </c>
      <c r="E277" s="11" t="inlineStr">
        <is>
          <t>—</t>
        </is>
      </c>
      <c r="F277" s="11" t="inlineStr">
        <is>
          <t>—</t>
        </is>
      </c>
      <c r="G277" s="11" t="inlineStr">
        <is>
          <t>—</t>
        </is>
      </c>
      <c r="H277" s="11" t="inlineStr">
        <is>
          <t>—</t>
        </is>
      </c>
      <c r="I277" s="11" t="inlineStr">
        <is>
          <t>BRAK</t>
        </is>
      </c>
      <c r="J277" s="12" t="inlineStr">
        <is>
          <t>brak jakiegokolwiek zapytania/raportu; luka Z-02 była otwarta do 2026-08-21</t>
        </is>
      </c>
      <c r="K277" s="11" t="inlineStr">
        <is>
          <t>LUKA</t>
        </is>
      </c>
      <c r="L277" s="11" t="inlineStr">
        <is>
          <t>ŚREDNIA</t>
        </is>
      </c>
      <c r="M277" s="11" t="inlineStr">
        <is>
          <t>S</t>
        </is>
      </c>
      <c r="N277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8">
      <c r="A278" s="11" t="inlineStr">
        <is>
          <t>Z-09</t>
        </is>
      </c>
      <c r="B278" s="12" t="inlineStr">
        <is>
          <t>G</t>
        </is>
      </c>
      <c r="C278" s="11" t="inlineStr">
        <is>
          <t>Ograniczenie hostów, do których łączy się worker migracji (SSRF z węzła)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node-migration-worker.sh — host źródła pochodzi z formularza i nie jest niczym ograniczony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M</t>
        </is>
      </c>
      <c r="N278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79">
      <c r="A279" s="11" t="inlineStr">
        <is>
          <t>Z-10</t>
        </is>
      </c>
      <c r="B279" s="12" t="inlineStr">
        <is>
          <t>O</t>
        </is>
      </c>
      <c r="C279" s="11" t="inlineStr">
        <is>
          <t>Izolacja rekordów między kontami klientów + dziennik odmów subkont</t>
        </is>
      </c>
      <c r="D279" s="11" t="inlineStr">
        <is>
          <t>TAK</t>
        </is>
      </c>
      <c r="E279" s="11" t="inlineStr">
        <is>
          <t>TAK</t>
        </is>
      </c>
      <c r="F279" s="11" t="inlineStr">
        <is>
          <t>CZĘŚĆ</t>
        </is>
      </c>
      <c r="G279" s="11" t="inlineStr">
        <is>
          <t>CZĘŚĆ</t>
        </is>
      </c>
      <c r="H279" s="11" t="inlineStr">
        <is>
          <t>TAK</t>
        </is>
      </c>
      <c r="I279" s="11" t="inlineStr">
        <is>
          <t>b.d.</t>
        </is>
      </c>
      <c r="J279" s="12" t="inlineStr">
        <is>
          <t>brak systematycznego przeglądu; każdy serwis sprawdza właściciela zasobu po swojemu</t>
        </is>
      </c>
      <c r="K279" s="11" t="inlineStr">
        <is>
          <t>LUKA</t>
        </is>
      </c>
      <c r="L279" s="11" t="inlineStr">
        <is>
          <t>WYSOKA</t>
        </is>
      </c>
      <c r="M279" s="11" t="inlineStr">
        <is>
          <t>L</t>
        </is>
      </c>
      <c r="N279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0">
      <c r="A280" s="11" t="inlineStr">
        <is>
          <t>Z-11</t>
        </is>
      </c>
      <c r="B280" s="12" t="inlineStr">
        <is>
          <t>M</t>
        </is>
      </c>
      <c r="C280" s="11" t="inlineStr">
        <is>
          <t>Przegląd wszystkich kluczy idempotencji pod kątem poprawności</t>
        </is>
      </c>
      <c r="D280" s="11" t="inlineStr">
        <is>
          <t>—</t>
        </is>
      </c>
      <c r="E280" s="11" t="inlineStr">
        <is>
          <t>—</t>
        </is>
      </c>
      <c r="F280" s="11" t="inlineStr">
        <is>
          <t>—</t>
        </is>
      </c>
      <c r="G280" s="11" t="inlineStr">
        <is>
          <t>—</t>
        </is>
      </c>
      <c r="H280" s="11" t="inlineStr">
        <is>
          <t>—</t>
        </is>
      </c>
      <c r="I280" s="11" t="inlineStr">
        <is>
          <t>b.d.</t>
        </is>
      </c>
      <c r="J280" s="12" t="inlineStr">
        <is>
          <t>brak przeglądu; sprawdzone tylko wystąpienia Date.now() w kluczach</t>
        </is>
      </c>
      <c r="K280" s="11" t="inlineStr">
        <is>
          <t>LUKA</t>
        </is>
      </c>
      <c r="L280" s="11" t="inlineStr">
        <is>
          <t>ŚREDNIA</t>
        </is>
      </c>
      <c r="M280" s="11" t="inlineStr">
        <is>
          <t>M</t>
        </is>
      </c>
      <c r="N280" s="12" t="inlineStr">
        <is>
          <t>Odkryte przy zamykaniu Z-06. Sprawdziłem, że Date.now() w kluczu idempotencji występował tylko w jednym miejscu — ale to sprawdzenie odpowiada wyłącznie na pytanie „czy klucz jest zmienny", nie na pytanie „czy klucz identyfikuje właściwą operację". Klucz może być stabilny i jednocześnie zły: za szeroki (blokuje legalne powtórzenie) albo za wąski (nie łapie duplikatu). Do przejścia po wszystkich wywołaniach wallet.debit/credit i handlerach webhooków.</t>
        </is>
      </c>
    </row>
    <row r="281">
      <c r="A281" s="11" t="inlineStr">
        <is>
          <t>N-01</t>
        </is>
      </c>
      <c r="B281" s="12" t="inlineStr">
        <is>
          <t>N</t>
        </is>
      </c>
      <c r="C281" s="11" t="inlineStr">
        <is>
          <t>System zgłoszeń dla klienta</t>
        </is>
      </c>
      <c r="D281" s="11" t="inlineStr">
        <is>
          <t>NIE</t>
        </is>
      </c>
      <c r="E281" s="11" t="inlineStr">
        <is>
          <t>NIE</t>
        </is>
      </c>
      <c r="F281" s="11" t="inlineStr">
        <is>
          <t>TAK</t>
        </is>
      </c>
      <c r="G281" s="11" t="inlineStr">
        <is>
          <t>TAK</t>
        </is>
      </c>
      <c r="H281" s="11" t="inlineStr">
        <is>
          <t>TAK</t>
        </is>
      </c>
      <c r="I281" s="11" t="inlineStr">
        <is>
          <t>DZIAŁA</t>
        </is>
      </c>
      <c r="J281" s="12" t="inlineStr">
        <is>
          <t>tickets.controller.ts:92,98</t>
        </is>
      </c>
      <c r="K281" s="11" t="inlineStr">
        <is>
          <t>PARYTET</t>
        </is>
      </c>
      <c r="L281" s="11" t="inlineStr">
        <is>
          <t>—</t>
        </is>
      </c>
      <c r="M281" s="11" t="inlineStr">
        <is>
          <t>—</t>
        </is>
      </c>
      <c r="N281" s="12" t="inlineStr"/>
    </row>
    <row r="282">
      <c r="A282" s="11" t="inlineStr">
        <is>
          <t>N-02</t>
        </is>
      </c>
      <c r="B282" s="12" t="inlineStr">
        <is>
          <t>N</t>
        </is>
      </c>
      <c r="C282" s="11" t="inlineStr">
        <is>
          <t>Załączniki w zgłoszeniu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CZĘŚĆ</t>
        </is>
      </c>
      <c r="G282" s="11" t="inlineStr">
        <is>
          <t>TAK</t>
        </is>
      </c>
      <c r="H282" s="11" t="inlineStr">
        <is>
          <t>TAK</t>
        </is>
      </c>
      <c r="I282" s="11" t="inlineStr">
        <is>
          <t>DZIAŁA</t>
        </is>
      </c>
      <c r="J282" s="12" t="inlineStr">
        <is>
          <t>tickets.controller.ts:98,245</t>
        </is>
      </c>
      <c r="K282" s="11" t="inlineStr">
        <is>
          <t>PARYTET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N-03</t>
        </is>
      </c>
      <c r="B283" s="12" t="inlineStr">
        <is>
          <t>N</t>
        </is>
      </c>
      <c r="C283" s="11" t="inlineStr">
        <is>
          <t>Ocena obsługi (CSAT)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NIE</t>
        </is>
      </c>
      <c r="G283" s="11" t="inlineStr">
        <is>
          <t>CZĘŚĆ</t>
        </is>
      </c>
      <c r="H283" s="11" t="inlineStr">
        <is>
          <t>CZĘŚĆ</t>
        </is>
      </c>
      <c r="I283" s="11" t="inlineStr">
        <is>
          <t>DZIAŁA</t>
        </is>
      </c>
      <c r="J283" s="12" t="inlineStr">
        <is>
          <t>tickets.controller.ts:279</t>
        </is>
      </c>
      <c r="K283" s="11" t="inlineStr">
        <is>
          <t>PRZEWAGA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N-04</t>
        </is>
      </c>
      <c r="B284" s="12" t="inlineStr">
        <is>
          <t>N</t>
        </is>
      </c>
      <c r="C284" s="11" t="inlineStr">
        <is>
          <t>Baza wiedzy po polsku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TAK</t>
        </is>
      </c>
      <c r="H284" s="11" t="inlineStr">
        <is>
          <t>TAK</t>
        </is>
      </c>
      <c r="I284" s="11" t="inlineStr">
        <is>
          <t>DZIAŁA</t>
        </is>
      </c>
      <c r="J284" s="12" t="inlineStr">
        <is>
          <t>kb.public.controller.ts:226</t>
        </is>
      </c>
      <c r="K284" s="11" t="inlineStr">
        <is>
          <t>PARYTET</t>
        </is>
      </c>
      <c r="L284" s="11" t="inlineStr">
        <is>
          <t>—</t>
        </is>
      </c>
      <c r="M284" s="11" t="inlineStr">
        <is>
          <t>—</t>
        </is>
      </c>
      <c r="N284" s="12" t="inlineStr"/>
    </row>
    <row r="285">
      <c r="A285" s="11" t="inlineStr">
        <is>
          <t>N-05</t>
        </is>
      </c>
      <c r="B285" s="12" t="inlineStr">
        <is>
          <t>N</t>
        </is>
      </c>
      <c r="C285" s="11" t="inlineStr">
        <is>
          <t>Podpowiedzi artykułów przy zgłoszeniu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NIE</t>
        </is>
      </c>
      <c r="H285" s="11" t="inlineStr">
        <is>
          <t>CZĘŚĆ</t>
        </is>
      </c>
      <c r="I285" s="11" t="inlineStr">
        <is>
          <t>FLAGA</t>
        </is>
      </c>
      <c r="J285" s="12" t="inlineStr">
        <is>
          <t>ai.controller.ts:53 — AI_API_KEY</t>
        </is>
      </c>
      <c r="K285" s="11" t="inlineStr">
        <is>
          <t>CZĘŚCIOWY</t>
        </is>
      </c>
      <c r="L285" s="11" t="inlineStr">
        <is>
          <t>NISKA</t>
        </is>
      </c>
      <c r="M285" s="11" t="inlineStr">
        <is>
          <t>S</t>
        </is>
      </c>
      <c r="N285" s="12" t="inlineStr"/>
    </row>
    <row r="286">
      <c r="A286" s="11" t="inlineStr">
        <is>
          <t>N-06</t>
        </is>
      </c>
      <c r="B286" s="12" t="inlineStr">
        <is>
          <t>N</t>
        </is>
      </c>
      <c r="C286" s="11" t="inlineStr">
        <is>
          <t>Publiczna strona statusu usług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CZĘŚĆ</t>
        </is>
      </c>
      <c r="H286" s="11" t="inlineStr">
        <is>
          <t>TAK</t>
        </is>
      </c>
      <c r="I286" s="11" t="inlineStr">
        <is>
          <t>DZIAŁA</t>
        </is>
      </c>
      <c r="J286" s="12" t="inlineStr">
        <is>
          <t>probes-admin.controller.ts:33; apps/status-page</t>
        </is>
      </c>
      <c r="K286" s="11" t="inlineStr">
        <is>
          <t>PRZEWAGA</t>
        </is>
      </c>
      <c r="L286" s="11" t="inlineStr">
        <is>
          <t>—</t>
        </is>
      </c>
      <c r="M286" s="11" t="inlineStr">
        <is>
          <t>—</t>
        </is>
      </c>
      <c r="N286" s="12" t="inlineStr">
        <is>
          <t>tylko cyber_Folks i dhosting mają na rynku PL</t>
        </is>
      </c>
    </row>
    <row r="287">
      <c r="A287" s="11" t="inlineStr">
        <is>
          <t>N-07</t>
        </is>
      </c>
      <c r="B287" s="12" t="inlineStr">
        <is>
          <t>N</t>
        </is>
      </c>
      <c r="C287" s="11" t="inlineStr">
        <is>
          <t>Ręczne tworzenie incydentu na status page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ENDPOINT BEZ UI</t>
        </is>
      </c>
      <c r="J287" s="12" t="inlineStr">
        <is>
          <t>product-ops.admin.controller.ts:371; brak UI tworzenia</t>
        </is>
      </c>
      <c r="K287" s="11" t="inlineStr">
        <is>
          <t>LUKA</t>
        </is>
      </c>
      <c r="L287" s="11" t="inlineStr">
        <is>
          <t>WYSOKA</t>
        </is>
      </c>
      <c r="M287" s="11" t="inlineStr">
        <is>
          <t>S</t>
        </is>
      </c>
      <c r="N287" s="12" t="inlineStr">
        <is>
          <t>w kryzysie nie ma jak zakomunikować awarii</t>
        </is>
      </c>
    </row>
    <row r="288">
      <c r="A288" s="11" t="inlineStr">
        <is>
          <t>N-08</t>
        </is>
      </c>
      <c r="B288" s="12" t="inlineStr">
        <is>
          <t>N</t>
        </is>
      </c>
      <c r="C288" s="11" t="inlineStr">
        <is>
          <t>Edycja i zamknięcie incydentu</t>
        </is>
      </c>
      <c r="D288" s="11" t="inlineStr">
        <is>
          <t>NIE</t>
        </is>
      </c>
      <c r="E288" s="11" t="inlineStr">
        <is>
          <t>NIE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DZIAŁA</t>
        </is>
      </c>
      <c r="J288" s="12" t="inlineStr">
        <is>
          <t>status/actions.ts:158,177</t>
        </is>
      </c>
      <c r="K288" s="11" t="inlineStr">
        <is>
          <t>PARYTET</t>
        </is>
      </c>
      <c r="L288" s="11" t="inlineStr">
        <is>
          <t>—</t>
        </is>
      </c>
      <c r="M288" s="11" t="inlineStr">
        <is>
          <t>—</t>
        </is>
      </c>
      <c r="N288" s="12" t="inlineStr"/>
    </row>
    <row r="289">
      <c r="A289" s="11" t="inlineStr">
        <is>
          <t>N-09</t>
        </is>
      </c>
      <c r="B289" s="12" t="inlineStr">
        <is>
          <t>N</t>
        </is>
      </c>
      <c r="C289" s="11" t="inlineStr">
        <is>
          <t>Powiadomienia w panelu (dzwonek)</t>
        </is>
      </c>
      <c r="D289" s="11" t="inlineStr">
        <is>
          <t>NIE</t>
        </is>
      </c>
      <c r="E289" s="11" t="inlineStr">
        <is>
          <t>CZĘŚĆ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DZIAŁA</t>
        </is>
      </c>
      <c r="J289" s="12" t="inlineStr">
        <is>
          <t>notifications.controller.ts:12,20,26</t>
        </is>
      </c>
      <c r="K289" s="11" t="inlineStr">
        <is>
          <t>PARYTET</t>
        </is>
      </c>
      <c r="L289" s="11" t="inlineStr">
        <is>
          <t>—</t>
        </is>
      </c>
      <c r="M289" s="11" t="inlineStr">
        <is>
          <t>—</t>
        </is>
      </c>
      <c r="N289" s="12" t="inlineStr"/>
    </row>
    <row r="290">
      <c r="A290" s="11" t="inlineStr">
        <is>
          <t>N-10</t>
        </is>
      </c>
      <c r="B290" s="12" t="inlineStr">
        <is>
          <t>N</t>
        </is>
      </c>
      <c r="C290" s="11" t="inlineStr">
        <is>
          <t>Preferencje powiadomień e-mail</t>
        </is>
      </c>
      <c r="D290" s="11" t="inlineStr">
        <is>
          <t>NIE</t>
        </is>
      </c>
      <c r="E290" s="11" t="inlineStr">
        <is>
          <t>CZĘŚĆ</t>
        </is>
      </c>
      <c r="F290" s="11" t="inlineStr">
        <is>
          <t>NIE</t>
        </is>
      </c>
      <c r="G290" s="11" t="inlineStr">
        <is>
          <t>CZĘŚĆ</t>
        </is>
      </c>
      <c r="H290" s="11" t="inlineStr">
        <is>
          <t>TAK</t>
        </is>
      </c>
      <c r="I290" s="11" t="inlineStr">
        <is>
          <t>CZĘŚCIOWE</t>
        </is>
      </c>
      <c r="J290" s="12" t="inlineStr">
        <is>
          <t>notifications-tab.tsx:70 — sekcja „Zawsze włączone” to statyczny tekst bez backendu</t>
        </is>
      </c>
      <c r="K290" s="11" t="inlineStr">
        <is>
          <t>CZĘŚCIOWY</t>
        </is>
      </c>
      <c r="L290" s="11" t="inlineStr">
        <is>
          <t>ŚREDNIA</t>
        </is>
      </c>
      <c r="M290" s="11" t="inlineStr">
        <is>
          <t>S</t>
        </is>
      </c>
      <c r="N290" s="12" t="inlineStr">
        <is>
          <t>sterowalne są tylko zgody marketingowe</t>
        </is>
      </c>
    </row>
    <row r="291">
      <c r="A291" s="11" t="inlineStr">
        <is>
          <t>N-11</t>
        </is>
      </c>
      <c r="B291" s="12" t="inlineStr">
        <is>
          <t>N</t>
        </is>
      </c>
      <c r="C291" s="11" t="inlineStr">
        <is>
          <t>Ogłoszenia i okna serwisowe</t>
        </is>
      </c>
      <c r="D291" s="11" t="inlineStr">
        <is>
          <t>CZĘŚĆ</t>
        </is>
      </c>
      <c r="E291" s="11" t="inlineStr">
        <is>
          <t>TAK</t>
        </is>
      </c>
      <c r="F291" s="11" t="inlineStr">
        <is>
          <t>CZĘŚĆ</t>
        </is>
      </c>
      <c r="G291" s="11" t="inlineStr">
        <is>
          <t>CZĘŚĆ</t>
        </is>
      </c>
      <c r="H291" s="11" t="inlineStr">
        <is>
          <t>CZĘŚĆ</t>
        </is>
      </c>
      <c r="I291" s="11" t="inlineStr">
        <is>
          <t>ENDPOINT BEZ UI</t>
        </is>
      </c>
      <c r="J291" s="12" t="inlineStr">
        <is>
          <t>product-ops.admin.controller.ts:281,307,342,427; product-ops/data.ts:78-85 to same GET-y</t>
        </is>
      </c>
      <c r="K291" s="11" t="inlineStr">
        <is>
          <t>LUKA</t>
        </is>
      </c>
      <c r="L291" s="11" t="inlineStr">
        <is>
          <t>WYSOKA</t>
        </is>
      </c>
      <c r="M291" s="11" t="inlineStr">
        <is>
          <t>M</t>
        </is>
      </c>
      <c r="N291" s="12" t="inlineStr">
        <is>
          <t>cały panel Product Ops/NOC jest read-only</t>
        </is>
      </c>
    </row>
    <row r="292">
      <c r="A292" s="11" t="inlineStr">
        <is>
          <t>N-12</t>
        </is>
      </c>
      <c r="B292" s="12" t="inlineStr">
        <is>
          <t>N</t>
        </is>
      </c>
      <c r="C292" s="11" t="inlineStr">
        <is>
          <t>Feature flagi z panelu operatora</t>
        </is>
      </c>
      <c r="D292" s="11" t="inlineStr">
        <is>
          <t>NIE</t>
        </is>
      </c>
      <c r="E292" s="11" t="inlineStr">
        <is>
          <t>CZĘŚĆ</t>
        </is>
      </c>
      <c r="F292" s="11" t="inlineStr">
        <is>
          <t>NIE</t>
        </is>
      </c>
      <c r="G292" s="11" t="inlineStr">
        <is>
          <t>—</t>
        </is>
      </c>
      <c r="H292" s="11" t="inlineStr">
        <is>
          <t>—</t>
        </is>
      </c>
      <c r="I292" s="11" t="inlineStr">
        <is>
          <t>ENDPOINT BEZ UI</t>
        </is>
      </c>
      <c r="J292" s="12" t="inlineStr">
        <is>
          <t>product-ops.admin.controller.ts:342</t>
        </is>
      </c>
      <c r="K292" s="11" t="inlineStr">
        <is>
          <t>LUKA</t>
        </is>
      </c>
      <c r="L292" s="11" t="inlineStr">
        <is>
          <t>ŚREDNIA</t>
        </is>
      </c>
      <c r="M292" s="11" t="inlineStr">
        <is>
          <t>S</t>
        </is>
      </c>
      <c r="N292" s="12" t="inlineStr"/>
    </row>
    <row r="293">
      <c r="A293" s="11" t="inlineStr">
        <is>
          <t>N-13</t>
        </is>
      </c>
      <c r="B293" s="12" t="inlineStr">
        <is>
          <t>N</t>
        </is>
      </c>
      <c r="C293" s="11" t="inlineStr">
        <is>
          <t>KOLEJKA OBSŁUGI NADUŻYĆ (ABUSE)</t>
        </is>
      </c>
      <c r="D293" s="11" t="inlineStr">
        <is>
          <t>TAK</t>
        </is>
      </c>
      <c r="E293" s="11" t="inlineStr">
        <is>
          <t>TAK</t>
        </is>
      </c>
      <c r="F293" s="11" t="inlineStr">
        <is>
          <t>CZĘŚĆ</t>
        </is>
      </c>
      <c r="G293" s="11" t="inlineStr">
        <is>
          <t>TAK</t>
        </is>
      </c>
      <c r="H293" s="11" t="inlineStr">
        <is>
          <t>TAK</t>
        </is>
      </c>
      <c r="I293" s="11" t="inlineStr">
        <is>
          <t>BRAK</t>
        </is>
      </c>
      <c r="J293" s="12" t="inlineStr">
        <is>
          <t>brak modułu, encji i trasy; jest tylko outbound-abuse.guard.ts:7-18 bez UI</t>
        </is>
      </c>
      <c r="K293" s="11" t="inlineStr">
        <is>
          <t>LUKA</t>
        </is>
      </c>
      <c r="L293" s="11" t="inlineStr">
        <is>
          <t>WYSOKA</t>
        </is>
      </c>
      <c r="M293" s="11" t="inlineStr">
        <is>
          <t>L</t>
        </is>
      </c>
      <c r="N293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4">
      <c r="A294" s="11" t="inlineStr">
        <is>
          <t>N-14</t>
        </is>
      </c>
      <c r="B294" s="12" t="inlineStr">
        <is>
          <t>N</t>
        </is>
      </c>
      <c r="C294" s="11" t="inlineStr">
        <is>
          <t>Cordon wysyłki poczty (auto-blokada spamu)</t>
        </is>
      </c>
      <c r="D294" s="11" t="inlineStr">
        <is>
          <t>CZĘŚĆ</t>
        </is>
      </c>
      <c r="E294" s="11" t="inlineStr">
        <is>
          <t>TAK</t>
        </is>
      </c>
      <c r="F294" s="11" t="inlineStr">
        <is>
          <t>CZĘŚĆ</t>
        </is>
      </c>
      <c r="G294" s="11" t="inlineStr">
        <is>
          <t>—</t>
        </is>
      </c>
      <c r="H294" s="11" t="inlineStr">
        <is>
          <t>—</t>
        </is>
      </c>
      <c r="I294" s="11" t="inlineStr">
        <is>
          <t>ENDPOINT BEZ UI</t>
        </is>
      </c>
      <c r="J294" s="12" t="inlineStr">
        <is>
          <t>outbound-cordon.admin.controller.ts:20,25,32; zero „cordon” w admin-panel</t>
        </is>
      </c>
      <c r="K294" s="11" t="inlineStr">
        <is>
          <t>LUKA</t>
        </is>
      </c>
      <c r="L294" s="11" t="inlineStr">
        <is>
          <t>WYSOKA</t>
        </is>
      </c>
      <c r="M294" s="11" t="inlineStr">
        <is>
          <t>S</t>
        </is>
      </c>
      <c r="N294" s="12" t="inlineStr">
        <is>
          <t>mechanizm działa, operator nie może go zobaczyć ani zdjąć</t>
        </is>
      </c>
    </row>
    <row r="295">
      <c r="A295" s="11" t="inlineStr">
        <is>
          <t>N-15</t>
        </is>
      </c>
      <c r="B295" s="12" t="inlineStr">
        <is>
          <t>N</t>
        </is>
      </c>
      <c r="C295" s="11" t="inlineStr">
        <is>
          <t>Migracja z innego hostingu wykonywana przez dostawcę</t>
        </is>
      </c>
      <c r="D295" s="11" t="inlineStr">
        <is>
          <t>NIE</t>
        </is>
      </c>
      <c r="E295" s="11" t="inlineStr">
        <is>
          <t>NIE</t>
        </is>
      </c>
      <c r="F295" s="11" t="inlineStr">
        <is>
          <t>NIE</t>
        </is>
      </c>
      <c r="G295" s="11" t="inlineStr">
        <is>
          <t>TAK</t>
        </is>
      </c>
      <c r="H295" s="11" t="inlineStr">
        <is>
          <t>CZĘŚĆ</t>
        </is>
      </c>
      <c r="I295" s="11" t="inlineStr">
        <is>
          <t>DZIAŁA</t>
        </is>
      </c>
      <c r="J295" s="12" t="inlineStr">
        <is>
          <t>cockpit migracji + kreator klienta</t>
        </is>
      </c>
      <c r="K295" s="11" t="inlineStr">
        <is>
          <t>PRZEWAGA</t>
        </is>
      </c>
      <c r="L295" s="11" t="inlineStr">
        <is>
          <t>—</t>
        </is>
      </c>
      <c r="M295" s="11" t="inlineStr">
        <is>
          <t>—</t>
        </is>
      </c>
      <c r="N295" s="12" t="inlineStr">
        <is>
          <t>4 z 5 hostingów PL robi ręcznie; u nas to produkt</t>
        </is>
      </c>
    </row>
    <row r="296">
      <c r="A296" s="11" t="inlineStr">
        <is>
          <t>N-16</t>
        </is>
      </c>
      <c r="B296" s="12" t="inlineStr">
        <is>
          <t>N</t>
        </is>
      </c>
      <c r="C296" s="11" t="inlineStr">
        <is>
          <t>SLA z zapisanymi kredytami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NIE</t>
        </is>
      </c>
      <c r="G296" s="11" t="inlineStr">
        <is>
          <t>CZĘŚĆ</t>
        </is>
      </c>
      <c r="H296" s="11" t="inlineStr">
        <is>
          <t>NIE</t>
        </is>
      </c>
      <c r="I296" s="11" t="inlineStr">
        <is>
          <t>FLAGA</t>
        </is>
      </c>
      <c r="J296" s="12" t="inlineStr">
        <is>
          <t>sla-credit.scheduler.ts:79 — if (!policy.enabled) return; SLA_CREDITS_ENABLED default '0' (platform-settings.keys.ts:116)</t>
        </is>
      </c>
      <c r="K296" s="11" t="inlineStr">
        <is>
          <t>CZĘŚCIOWY</t>
        </is>
      </c>
      <c r="L296" s="11" t="inlineStr">
        <is>
          <t>WYSOKA</t>
        </is>
      </c>
      <c r="M296" s="11" t="inlineStr">
        <is>
          <t>S</t>
        </is>
      </c>
      <c r="N296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7">
      <c r="A297" s="11" t="inlineStr">
        <is>
          <t>N-17</t>
        </is>
      </c>
      <c r="B297" s="12" t="inlineStr">
        <is>
          <t>N</t>
        </is>
      </c>
      <c r="C297" s="11" t="inlineStr">
        <is>
          <t>Szablony odpowiedzi obsługi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CZĘŚĆ</t>
        </is>
      </c>
      <c r="G297" s="11" t="inlineStr">
        <is>
          <t>—</t>
        </is>
      </c>
      <c r="H297" s="11" t="inlineStr">
        <is>
          <t>—</t>
        </is>
      </c>
      <c r="I297" s="11" t="inlineStr">
        <is>
          <t>DZIAŁA</t>
        </is>
      </c>
      <c r="J297" s="12" t="inlineStr">
        <is>
          <t>settings/canned-responses/actions.ts:23</t>
        </is>
      </c>
      <c r="K297" s="11" t="inlineStr">
        <is>
          <t>PARYTET</t>
        </is>
      </c>
      <c r="L297" s="11" t="inlineStr">
        <is>
          <t>—</t>
        </is>
      </c>
      <c r="M297" s="11" t="inlineStr">
        <is>
          <t>—</t>
        </is>
      </c>
      <c r="N297" s="12" t="inlineStr"/>
    </row>
    <row r="298">
      <c r="A298" s="11" t="inlineStr">
        <is>
          <t>N-18</t>
        </is>
      </c>
      <c r="B298" s="12" t="inlineStr">
        <is>
          <t>N</t>
        </is>
      </c>
      <c r="C298" s="11" t="inlineStr">
        <is>
          <t>CRM klienta 360 dla obsługi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NIE</t>
        </is>
      </c>
      <c r="G298" s="11" t="inlineStr">
        <is>
          <t>—</t>
        </is>
      </c>
      <c r="H298" s="11" t="inlineStr">
        <is>
          <t>—</t>
        </is>
      </c>
      <c r="I298" s="11" t="inlineStr">
        <is>
          <t>DZIAŁA</t>
        </is>
      </c>
      <c r="J298" s="12" t="inlineStr">
        <is>
          <t>crm-profile-data.ts; users.admin.controller.ts:109,120</t>
        </is>
      </c>
      <c r="K298" s="11" t="inlineStr">
        <is>
          <t>PRZEWAGA</t>
        </is>
      </c>
      <c r="L298" s="11" t="inlineStr">
        <is>
          <t>—</t>
        </is>
      </c>
      <c r="M298" s="11" t="inlineStr">
        <is>
          <t>—</t>
        </is>
      </c>
      <c r="N298" s="12" t="inlineStr"/>
    </row>
    <row r="299">
      <c r="A299" s="11" t="inlineStr">
        <is>
          <t>N-19</t>
        </is>
      </c>
      <c r="B299" s="12" t="inlineStr">
        <is>
          <t>N</t>
        </is>
      </c>
      <c r="C299" s="11" t="inlineStr">
        <is>
          <t>Sugestia AI odpowiedzi na zgłoszenie</t>
        </is>
      </c>
      <c r="D299" s="11" t="inlineStr">
        <is>
          <t>NIE</t>
        </is>
      </c>
      <c r="E299" s="11" t="inlineStr">
        <is>
          <t>NIE</t>
        </is>
      </c>
      <c r="F299" s="11" t="inlineStr">
        <is>
          <t>NIE</t>
        </is>
      </c>
      <c r="G299" s="11" t="inlineStr">
        <is>
          <t>NIE</t>
        </is>
      </c>
      <c r="H299" s="11" t="inlineStr">
        <is>
          <t>CZĘŚĆ</t>
        </is>
      </c>
      <c r="I299" s="11" t="inlineStr">
        <is>
          <t>DZIAŁA</t>
        </is>
      </c>
      <c r="J299" s="12" t="inlineStr">
        <is>
          <t>ai-chat.service.ts (223 l.)</t>
        </is>
      </c>
      <c r="K299" s="11" t="inlineStr">
        <is>
          <t>PRZEWAGA</t>
        </is>
      </c>
      <c r="L299" s="11" t="inlineStr">
        <is>
          <t>—</t>
        </is>
      </c>
      <c r="M299" s="11" t="inlineStr">
        <is>
          <t>—</t>
        </is>
      </c>
      <c r="N299" s="12" t="inlineStr">
        <is>
          <t>OSŁABIONE: wynik renderowany jako surowy JSON.stringify w &lt;pre&gt; (ticket-detail-panel.tsx:346-349), bez możliwości wstawienia do odpowiedzi.</t>
        </is>
      </c>
    </row>
    <row r="300">
      <c r="A300" s="11" t="inlineStr">
        <is>
          <t>N-20</t>
        </is>
      </c>
      <c r="B300" s="12" t="inlineStr">
        <is>
          <t>N</t>
        </is>
      </c>
      <c r="C300" s="11" t="inlineStr">
        <is>
          <t>Link ze zgłoszenia do szczegółu (admin)</t>
        </is>
      </c>
      <c r="D300" s="11" t="inlineStr">
        <is>
          <t>—</t>
        </is>
      </c>
      <c r="E300" s="11" t="inlineStr">
        <is>
          <t>—</t>
        </is>
      </c>
      <c r="F300" s="11" t="inlineStr">
        <is>
          <t>—</t>
        </is>
      </c>
      <c r="G300" s="11" t="inlineStr">
        <is>
          <t>—</t>
        </is>
      </c>
      <c r="H300" s="11" t="inlineStr">
        <is>
          <t>—</t>
        </is>
      </c>
      <c r="I300" s="11" t="inlineStr">
        <is>
          <t>ATRAPA</t>
        </is>
      </c>
      <c r="J300" s="12" t="inlineStr">
        <is>
          <t>tickets/page.tsx:24 → /tickets/${id}; trasa nie istnieje w admin-panel</t>
        </is>
      </c>
      <c r="K300" s="11" t="inlineStr">
        <is>
          <t>LUKA</t>
        </is>
      </c>
      <c r="L300" s="11" t="inlineStr">
        <is>
          <t>ŚREDNIA</t>
        </is>
      </c>
      <c r="M300" s="11" t="inlineStr">
        <is>
          <t>S</t>
        </is>
      </c>
      <c r="N300" s="12" t="inlineStr"/>
    </row>
    <row r="301">
      <c r="A301" s="11" t="inlineStr">
        <is>
          <t>N-21</t>
        </is>
      </c>
      <c r="B301" s="12" t="inlineStr">
        <is>
          <t>N</t>
        </is>
      </c>
      <c r="C301" s="11" t="inlineStr">
        <is>
          <t>Wsparcie telefoniczne</t>
        </is>
      </c>
      <c r="D301" s="11" t="inlineStr">
        <is>
          <t>NIE</t>
        </is>
      </c>
      <c r="E301" s="11" t="inlineStr">
        <is>
          <t>NIE</t>
        </is>
      </c>
      <c r="F301" s="11" t="inlineStr">
        <is>
          <t>NIE</t>
        </is>
      </c>
      <c r="G301" s="11" t="inlineStr">
        <is>
          <t>TAK</t>
        </is>
      </c>
      <c r="H301" s="11" t="inlineStr">
        <is>
          <t>CZĘŚĆ</t>
        </is>
      </c>
      <c r="I301" s="11" t="inlineStr">
        <is>
          <t>BRAK</t>
        </is>
      </c>
      <c r="J301" s="12" t="inlineStr">
        <is>
          <t>poza produktem</t>
        </is>
      </c>
      <c r="K301" s="11" t="inlineStr">
        <is>
          <t>LUKA</t>
        </is>
      </c>
      <c r="L301" s="11" t="inlineStr">
        <is>
          <t>ŚREDNIA</t>
        </is>
      </c>
      <c r="M301" s="11" t="inlineStr">
        <is>
          <t>—</t>
        </is>
      </c>
      <c r="N301" s="12" t="inlineStr">
        <is>
          <t>home.pl i nazwa.pl mają telefon 24/7 — decyzja operacyjna, nie produktowa</t>
        </is>
      </c>
    </row>
    <row r="302">
      <c r="A302" s="11" t="inlineStr">
        <is>
          <t>O-01</t>
        </is>
      </c>
      <c r="B302" s="12" t="inlineStr">
        <is>
          <t>O</t>
        </is>
      </c>
      <c r="C302" s="11" t="inlineStr">
        <is>
          <t>Subkonta z uprawnieniami (IAM)</t>
        </is>
      </c>
      <c r="D302" s="11" t="inlineStr">
        <is>
          <t>TAK</t>
        </is>
      </c>
      <c r="E302" s="11" t="inlineStr">
        <is>
          <t>TAK</t>
        </is>
      </c>
      <c r="F302" s="11" t="inlineStr">
        <is>
          <t>CZĘŚĆ</t>
        </is>
      </c>
      <c r="G302" s="11" t="inlineStr">
        <is>
          <t>CZĘŚĆ</t>
        </is>
      </c>
      <c r="H302" s="11" t="inlineStr">
        <is>
          <t>TAK</t>
        </is>
      </c>
      <c r="I302" s="11" t="inlineStr">
        <is>
          <t>DZIAŁA</t>
        </is>
      </c>
      <c r="J302" s="12" t="inlineStr">
        <is>
          <t>customer-iam.controller.ts:42,53,63,69</t>
        </is>
      </c>
      <c r="K302" s="11" t="inlineStr">
        <is>
          <t>PRZEWAGA</t>
        </is>
      </c>
      <c r="L302" s="11" t="inlineStr">
        <is>
          <t>—</t>
        </is>
      </c>
      <c r="M302" s="11" t="inlineStr">
        <is>
          <t>—</t>
        </is>
      </c>
      <c r="N302" s="12" t="inlineStr">
        <is>
          <t>tylko home.pl ma coś podobnego na rynku PL</t>
        </is>
      </c>
    </row>
    <row r="303">
      <c r="A303" s="11" t="inlineStr">
        <is>
          <t>O-02</t>
        </is>
      </c>
      <c r="B303" s="12" t="inlineStr">
        <is>
          <t>O</t>
        </is>
      </c>
      <c r="C303" s="11" t="inlineStr">
        <is>
          <t>Aktywacja subkonta z zaproszenia</t>
        </is>
      </c>
      <c r="D303" s="11" t="inlineStr">
        <is>
          <t>TAK</t>
        </is>
      </c>
      <c r="E303" s="11" t="inlineStr">
        <is>
          <t>TAK</t>
        </is>
      </c>
      <c r="F303" s="11" t="inlineStr">
        <is>
          <t>CZĘŚĆ</t>
        </is>
      </c>
      <c r="G303" s="11" t="inlineStr">
        <is>
          <t>CZĘŚĆ</t>
        </is>
      </c>
      <c r="H303" s="11" t="inlineStr">
        <is>
          <t>TAK</t>
        </is>
      </c>
      <c r="I303" s="11" t="inlineStr">
        <is>
          <t>DZIAŁA</t>
        </is>
      </c>
      <c r="J303" s="12" t="inlineStr">
        <is>
          <t>customer-iam.controller.ts:47</t>
        </is>
      </c>
      <c r="K303" s="11" t="inlineStr">
        <is>
          <t>PARYTET</t>
        </is>
      </c>
      <c r="L303" s="11" t="inlineStr">
        <is>
          <t>—</t>
        </is>
      </c>
      <c r="M303" s="11" t="inlineStr">
        <is>
          <t>—</t>
        </is>
      </c>
      <c r="N303" s="12" t="inlineStr"/>
    </row>
    <row r="304">
      <c r="A304" s="11" t="inlineStr">
        <is>
          <t>O-03</t>
        </is>
      </c>
      <c r="B304" s="12" t="inlineStr">
        <is>
          <t>O</t>
        </is>
      </c>
      <c r="C304" s="11" t="inlineStr">
        <is>
          <t>Dziennik audytu działań subkont</t>
        </is>
      </c>
      <c r="D304" s="11" t="inlineStr">
        <is>
          <t>CZĘŚĆ</t>
        </is>
      </c>
      <c r="E304" s="11" t="inlineStr">
        <is>
          <t>TAK</t>
        </is>
      </c>
      <c r="F304" s="11" t="inlineStr">
        <is>
          <t>NIE</t>
        </is>
      </c>
      <c r="G304" s="11" t="inlineStr">
        <is>
          <t>NIE</t>
        </is>
      </c>
      <c r="H304" s="11" t="inlineStr">
        <is>
          <t>CZĘŚĆ</t>
        </is>
      </c>
      <c r="I304" s="11" t="inlineStr">
        <is>
          <t>CZĘŚCIOWE</t>
        </is>
      </c>
      <c r="J304" s="12" t="inlineStr">
        <is>
          <t>customer-iam.controller.ts:36</t>
        </is>
      </c>
      <c r="K304" s="11" t="inlineStr">
        <is>
          <t>CZĘŚCIOWY</t>
        </is>
      </c>
      <c r="L304" s="11" t="inlineStr">
        <is>
          <t>ŚREDNIA</t>
        </is>
      </c>
      <c r="M304" s="11" t="inlineStr">
        <is>
          <t>M</t>
        </is>
      </c>
      <c r="N304" s="12" t="inlineStr">
        <is>
          <t>OSŁABIONE: customer-iam.service.ts:72-88 filtruje action startsWith CUSTOMER_IAM_ — istnieje 5 takich akcji. To dziennik zarządzania subkontami, nie ich działań.</t>
        </is>
      </c>
    </row>
    <row r="305">
      <c r="A305" s="11" t="inlineStr">
        <is>
          <t>O-04</t>
        </is>
      </c>
      <c r="B305" s="12" t="inlineStr">
        <is>
          <t>O</t>
        </is>
      </c>
      <c r="C305" s="11" t="inlineStr">
        <is>
          <t>Egzekwowanie uprawnień w nawigacji i API</t>
        </is>
      </c>
      <c r="D305" s="11" t="inlineStr">
        <is>
          <t>TAK</t>
        </is>
      </c>
      <c r="E305" s="11" t="inlineStr">
        <is>
          <t>TAK</t>
        </is>
      </c>
      <c r="F305" s="11" t="inlineStr">
        <is>
          <t>CZĘŚĆ</t>
        </is>
      </c>
      <c r="G305" s="11" t="inlineStr">
        <is>
          <t>—</t>
        </is>
      </c>
      <c r="H305" s="11" t="inlineStr">
        <is>
          <t>—</t>
        </is>
      </c>
      <c r="I305" s="11" t="inlineStr">
        <is>
          <t>DZIAŁA</t>
        </is>
      </c>
      <c r="J305" s="12" t="inlineStr">
        <is>
          <t>middleware.ts:39; customer-permissions.guard.ts:9; test D1</t>
        </is>
      </c>
      <c r="K305" s="11" t="inlineStr">
        <is>
          <t>PARYTET</t>
        </is>
      </c>
      <c r="L305" s="11" t="inlineStr">
        <is>
          <t>—</t>
        </is>
      </c>
      <c r="M305" s="11" t="inlineStr">
        <is>
          <t>—</t>
        </is>
      </c>
      <c r="N305" s="12" t="inlineStr"/>
    </row>
    <row r="306">
      <c r="A306" s="11" t="inlineStr">
        <is>
          <t>O-05</t>
        </is>
      </c>
      <c r="B306" s="12" t="inlineStr">
        <is>
          <t>O</t>
        </is>
      </c>
      <c r="C306" s="11" t="inlineStr">
        <is>
          <t>Reseller — przegląd klientów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TAK</t>
        </is>
      </c>
      <c r="G306" s="11" t="inlineStr">
        <is>
          <t>CZĘŚĆ</t>
        </is>
      </c>
      <c r="H306" s="11" t="inlineStr">
        <is>
          <t>CZĘŚĆ</t>
        </is>
      </c>
      <c r="I306" s="11" t="inlineStr">
        <is>
          <t>CZĘŚCIOWE</t>
        </is>
      </c>
      <c r="J306" s="12" t="inlineStr">
        <is>
          <t>reseller.controller.ts:12,17 — 2 GET-y, zero mutacji</t>
        </is>
      </c>
      <c r="K306" s="11" t="inlineStr">
        <is>
          <t>CZĘŚCIOWY</t>
        </is>
      </c>
      <c r="L306" s="11" t="inlineStr">
        <is>
          <t>ŚREDNIA</t>
        </is>
      </c>
      <c r="M306" s="11" t="inlineStr">
        <is>
          <t>L</t>
        </is>
      </c>
      <c r="N306" s="12" t="inlineStr"/>
    </row>
    <row r="307">
      <c r="A307" s="11" t="inlineStr">
        <is>
          <t>O-06</t>
        </is>
      </c>
      <c r="B307" s="12" t="inlineStr">
        <is>
          <t>O</t>
        </is>
      </c>
      <c r="C307" s="11" t="inlineStr">
        <is>
          <t>Reseller — zakładanie kont klientom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BRAK</t>
        </is>
      </c>
      <c r="J307" s="12" t="inlineStr">
        <is>
          <t>—</t>
        </is>
      </c>
      <c r="K307" s="11" t="inlineStr">
        <is>
          <t>LUKA</t>
        </is>
      </c>
      <c r="L307" s="11" t="inlineStr">
        <is>
          <t>ŚREDNIA</t>
        </is>
      </c>
      <c r="M307" s="11" t="inlineStr">
        <is>
          <t>L</t>
        </is>
      </c>
      <c r="N307" s="12" t="inlineStr">
        <is>
          <t>bez tego reseller nie jest produktem</t>
        </is>
      </c>
    </row>
    <row r="308">
      <c r="A308" s="11" t="inlineStr">
        <is>
          <t>O-07</t>
        </is>
      </c>
      <c r="B308" s="12" t="inlineStr">
        <is>
          <t>O</t>
        </is>
      </c>
      <c r="C308" s="11" t="inlineStr">
        <is>
          <t>Reseller — ustawianie własnej marży</t>
        </is>
      </c>
      <c r="D308" s="11" t="inlineStr">
        <is>
          <t>TAK</t>
        </is>
      </c>
      <c r="E308" s="11" t="inlineStr">
        <is>
          <t>TAK</t>
        </is>
      </c>
      <c r="F308" s="11" t="inlineStr">
        <is>
          <t>TAK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CZĘŚCIOWE</t>
        </is>
      </c>
      <c r="J308" s="12" t="inlineStr">
        <is>
          <t>reseller.admin.controller.ts:44,50 — tylko operator, nie reseller</t>
        </is>
      </c>
      <c r="K308" s="11" t="inlineStr">
        <is>
          <t>CZĘŚCIOWY</t>
        </is>
      </c>
      <c r="L308" s="11" t="inlineStr">
        <is>
          <t>NISKA</t>
        </is>
      </c>
      <c r="M308" s="11" t="inlineStr">
        <is>
          <t>M</t>
        </is>
      </c>
      <c r="N308" s="12" t="inlineStr"/>
    </row>
    <row r="309">
      <c r="A309" s="11" t="inlineStr">
        <is>
          <t>O-08</t>
        </is>
      </c>
      <c r="B309" s="12" t="inlineStr">
        <is>
          <t>O</t>
        </is>
      </c>
      <c r="C309" s="11" t="inlineStr">
        <is>
          <t>Reseller — samodzielne włączenie programu</t>
        </is>
      </c>
      <c r="D309" s="11" t="inlineStr">
        <is>
          <t>CZĘŚĆ</t>
        </is>
      </c>
      <c r="E309" s="11" t="inlineStr">
        <is>
          <t>CZĘŚĆ</t>
        </is>
      </c>
      <c r="F309" s="11" t="inlineStr">
        <is>
          <t>CZĘŚĆ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ATRAPA</t>
        </is>
      </c>
      <c r="J309" s="12" t="inlineStr">
        <is>
          <t>reseller-client.tsx:49 — jedyna akcja to „Napisz do nas”</t>
        </is>
      </c>
      <c r="K309" s="11" t="inlineStr">
        <is>
          <t>LUKA</t>
        </is>
      </c>
      <c r="L309" s="11" t="inlineStr">
        <is>
          <t>NISKA</t>
        </is>
      </c>
      <c r="M309" s="11" t="inlineStr">
        <is>
          <t>M</t>
        </is>
      </c>
      <c r="N309" s="12" t="inlineStr">
        <is>
          <t>strona sprzedażowa bez operacji zapisu</t>
        </is>
      </c>
    </row>
    <row r="310">
      <c r="A310" s="11" t="inlineStr">
        <is>
          <t>O-09</t>
        </is>
      </c>
      <c r="B310" s="12" t="inlineStr">
        <is>
          <t>O</t>
        </is>
      </c>
      <c r="C310" s="11" t="inlineStr">
        <is>
          <t>White-label / własna marka resellera</t>
        </is>
      </c>
      <c r="D310" s="11" t="inlineStr">
        <is>
          <t>TAK</t>
        </is>
      </c>
      <c r="E310" s="11" t="inlineStr">
        <is>
          <t>TAK</t>
        </is>
      </c>
      <c r="F310" s="11" t="inlineStr">
        <is>
          <t>TAK</t>
        </is>
      </c>
      <c r="G310" s="11" t="inlineStr">
        <is>
          <t>CZĘŚĆ</t>
        </is>
      </c>
      <c r="H310" s="11" t="inlineStr">
        <is>
          <t>CZĘŚĆ</t>
        </is>
      </c>
      <c r="I310" s="11" t="inlineStr">
        <is>
          <t>CZĘŚCIOWE</t>
        </is>
      </c>
      <c r="J310" s="12" t="inlineStr">
        <is>
          <t>reseller.admin.controller.ts:44 (brand po stronie operatora)</t>
        </is>
      </c>
      <c r="K310" s="11" t="inlineStr">
        <is>
          <t>CZĘŚCIOWY</t>
        </is>
      </c>
      <c r="L310" s="11" t="inlineStr">
        <is>
          <t>NISKA</t>
        </is>
      </c>
      <c r="M310" s="11" t="inlineStr">
        <is>
          <t>L</t>
        </is>
      </c>
      <c r="N310" s="12" t="inlineStr">
        <is>
          <t>seohost to reklamuje jako wyróżnik</t>
        </is>
      </c>
    </row>
    <row r="311">
      <c r="A311" s="11" t="inlineStr">
        <is>
          <t>O-10</t>
        </is>
      </c>
      <c r="B311" s="12" t="inlineStr">
        <is>
          <t>O</t>
        </is>
      </c>
      <c r="C311" s="11" t="inlineStr">
        <is>
          <t>Role i uprawnienia operatorów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—</t>
        </is>
      </c>
      <c r="H311" s="11" t="inlineStr">
        <is>
          <t>—</t>
        </is>
      </c>
      <c r="I311" s="11" t="inlineStr">
        <is>
          <t>DZIAŁA</t>
        </is>
      </c>
      <c r="J311" s="12" t="inlineStr">
        <is>
          <t>staff-roles.admin.controller.ts:31,36,41</t>
        </is>
      </c>
      <c r="K311" s="11" t="inlineStr">
        <is>
          <t>PARYTET</t>
        </is>
      </c>
      <c r="L311" s="11" t="inlineStr">
        <is>
          <t>—</t>
        </is>
      </c>
      <c r="M311" s="11" t="inlineStr">
        <is>
          <t>—</t>
        </is>
      </c>
      <c r="N311" s="12" t="inlineStr"/>
    </row>
    <row r="312">
      <c r="A312" s="11" t="inlineStr">
        <is>
          <t>O-11</t>
        </is>
      </c>
      <c r="B312" s="12" t="inlineStr">
        <is>
          <t>O</t>
        </is>
      </c>
      <c r="C312" s="11" t="inlineStr">
        <is>
          <t>Zarządzanie operatorami</t>
        </is>
      </c>
      <c r="D312" s="11" t="inlineStr">
        <is>
          <t>TAK</t>
        </is>
      </c>
      <c r="E312" s="11" t="inlineStr">
        <is>
          <t>TAK</t>
        </is>
      </c>
      <c r="F312" s="11" t="inlineStr">
        <is>
          <t>TAK</t>
        </is>
      </c>
      <c r="G312" s="11" t="inlineStr">
        <is>
          <t>—</t>
        </is>
      </c>
      <c r="H312" s="11" t="inlineStr">
        <is>
          <t>—</t>
        </is>
      </c>
      <c r="I312" s="11" t="inlineStr">
        <is>
          <t>DZIAŁA</t>
        </is>
      </c>
      <c r="J312" s="12" t="inlineStr">
        <is>
          <t>staff-roles.admin.controller.ts:51,56,61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/>
    </row>
    <row r="313">
      <c r="A313" s="11" t="inlineStr">
        <is>
          <t>O-12</t>
        </is>
      </c>
      <c r="B313" s="12" t="inlineStr">
        <is>
          <t>O</t>
        </is>
      </c>
      <c r="C313" s="11" t="inlineStr">
        <is>
          <t>Program partnerski / afiliacyjny</t>
        </is>
      </c>
      <c r="D313" s="11" t="inlineStr">
        <is>
          <t>NIE</t>
        </is>
      </c>
      <c r="E313" s="11" t="inlineStr">
        <is>
          <t>NIE</t>
        </is>
      </c>
      <c r="F313" s="11" t="inlineStr">
        <is>
          <t>NIE</t>
        </is>
      </c>
      <c r="G313" s="11" t="inlineStr">
        <is>
          <t>CZĘŚĆ</t>
        </is>
      </c>
      <c r="H313" s="11" t="inlineStr">
        <is>
          <t>TAK</t>
        </is>
      </c>
      <c r="I313" s="11" t="inlineStr">
        <is>
          <t>DZIAŁA</t>
        </is>
      </c>
      <c r="J313" s="12" t="inlineStr">
        <is>
          <t>partners.controller.ts:18,28,34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—</t>
        </is>
      </c>
      <c r="N313" s="12" t="inlineStr">
        <is>
          <t>wypłata na portfel lub IBAN</t>
        </is>
      </c>
    </row>
    <row r="314">
      <c r="A314" s="11" t="inlineStr">
        <is>
          <t>Z-04</t>
        </is>
      </c>
      <c r="B314" s="12" t="inlineStr">
        <is>
          <t>O</t>
        </is>
      </c>
      <c r="C314" s="11" t="inlineStr">
        <is>
          <t>Guard uprawnień subkont — domyślna odmowa</t>
        </is>
      </c>
      <c r="D314" s="11" t="inlineStr">
        <is>
          <t>TAK</t>
        </is>
      </c>
      <c r="E314" s="11" t="inlineStr">
        <is>
          <t>TAK</t>
        </is>
      </c>
      <c r="F314" s="11" t="inlineStr">
        <is>
          <t>CZĘŚĆ</t>
        </is>
      </c>
      <c r="G314" s="11" t="inlineStr">
        <is>
          <t>CZĘŚĆ</t>
        </is>
      </c>
      <c r="H314" s="11" t="inlineStr">
        <is>
          <t>TAK</t>
        </is>
      </c>
      <c r="I314" s="11" t="inlineStr">
        <is>
          <t>DZIAŁA</t>
        </is>
      </c>
      <c r="J314" s="12" t="inlineStr">
        <is>
          <t>customer-permissions.guard.ts — typ WymogTrasy, REGULY_TRAS, domyślne 'ODMOWA'; customer-permissions-coverage.spec.ts — 55 tras zamkniętych, lista jawna</t>
        </is>
      </c>
      <c r="K314" s="11" t="inlineStr">
        <is>
          <t>PARYTET</t>
        </is>
      </c>
      <c r="L314" s="11" t="inlineStr">
        <is>
          <t>—</t>
        </is>
      </c>
      <c r="M314" s="11" t="inlineStr">
        <is>
          <t>S</t>
        </is>
      </c>
      <c r="N314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5">
      <c r="A315" s="11" t="inlineStr">
        <is>
          <t>P-01</t>
        </is>
      </c>
      <c r="B315" s="12" t="inlineStr">
        <is>
          <t>P</t>
        </is>
      </c>
      <c r="C315" s="11" t="inlineStr">
        <is>
          <t>Eksport danych osobowych (art. 20)</t>
        </is>
      </c>
      <c r="D315" s="11" t="inlineStr">
        <is>
          <t>NIE</t>
        </is>
      </c>
      <c r="E315" s="11" t="inlineStr">
        <is>
          <t>CZĘŚĆ</t>
        </is>
      </c>
      <c r="F315" s="11" t="inlineStr">
        <is>
          <t>NIE</t>
        </is>
      </c>
      <c r="G315" s="11" t="inlineStr">
        <is>
          <t>CZĘŚĆ</t>
        </is>
      </c>
      <c r="H315" s="11" t="inlineStr">
        <is>
          <t>CZĘŚĆ</t>
        </is>
      </c>
      <c r="I315" s="11" t="inlineStr">
        <is>
          <t>DZIAŁA</t>
        </is>
      </c>
      <c r="J315" s="12" t="inlineStr">
        <is>
          <t>data-export.service.ts:43-76 (ZIP, 12 sekcji, 13 tabel, TTL 7 dni)</t>
        </is>
      </c>
      <c r="K315" s="11" t="inlineStr">
        <is>
          <t>PRZEWAGA</t>
        </is>
      </c>
      <c r="L315" s="11" t="inlineStr">
        <is>
          <t>—</t>
        </is>
      </c>
      <c r="M315" s="11" t="inlineStr">
        <is>
          <t>—</t>
        </is>
      </c>
      <c r="N315" s="12" t="inlineStr">
        <is>
          <t>ZERO testów</t>
        </is>
      </c>
    </row>
    <row r="316">
      <c r="A316" s="11" t="inlineStr">
        <is>
          <t>P-02</t>
        </is>
      </c>
      <c r="B316" s="12" t="inlineStr">
        <is>
          <t>P</t>
        </is>
      </c>
      <c r="C316" s="11" t="inlineStr">
        <is>
          <t>Żądanie usunięcia konta (art. 17)</t>
        </is>
      </c>
      <c r="D316" s="11" t="inlineStr">
        <is>
          <t>NIE</t>
        </is>
      </c>
      <c r="E316" s="11" t="inlineStr">
        <is>
          <t>CZĘŚĆ</t>
        </is>
      </c>
      <c r="F316" s="11" t="inlineStr">
        <is>
          <t>NIE</t>
        </is>
      </c>
      <c r="G316" s="11" t="inlineStr">
        <is>
          <t>CZĘŚĆ</t>
        </is>
      </c>
      <c r="H316" s="11" t="inlineStr">
        <is>
          <t>CZĘŚĆ</t>
        </is>
      </c>
      <c r="I316" s="11" t="inlineStr">
        <is>
          <t>DZIAŁA</t>
        </is>
      </c>
      <c r="J316" s="12" t="inlineStr">
        <is>
          <t>account-deletion.service.ts:29,308,383-432</t>
        </is>
      </c>
      <c r="K316" s="11" t="inlineStr">
        <is>
          <t>PRZEWAGA</t>
        </is>
      </c>
      <c r="L316" s="11" t="inlineStr">
        <is>
          <t>WYSOKA</t>
        </is>
      </c>
      <c r="M316" s="11" t="inlineStr">
        <is>
          <t>—</t>
        </is>
      </c>
      <c r="N316" s="12" t="inlineStr">
        <is>
          <t>ZERO testów na operacji NIEODWRACALNEJ (twarde kasowanie konta DA)</t>
        </is>
      </c>
    </row>
    <row r="317">
      <c r="A317" s="11" t="inlineStr">
        <is>
          <t>P-03</t>
        </is>
      </c>
      <c r="B317" s="12" t="inlineStr">
        <is>
          <t>P</t>
        </is>
      </c>
      <c r="C317" s="11" t="inlineStr">
        <is>
          <t>Wycofanie żądania usunięcia</t>
        </is>
      </c>
      <c r="D317" s="11" t="inlineStr">
        <is>
          <t>NIE</t>
        </is>
      </c>
      <c r="E317" s="11" t="inlineStr">
        <is>
          <t>NIE</t>
        </is>
      </c>
      <c r="F317" s="11" t="inlineStr">
        <is>
          <t>NIE</t>
        </is>
      </c>
      <c r="G317" s="11" t="inlineStr">
        <is>
          <t>b.d.</t>
        </is>
      </c>
      <c r="H317" s="11" t="inlineStr">
        <is>
          <t>b.d.</t>
        </is>
      </c>
      <c r="I317" s="11" t="inlineStr">
        <is>
          <t>DZIAŁA</t>
        </is>
      </c>
      <c r="J317" s="12" t="inlineStr">
        <is>
          <t>account-deletion.controller.ts:62</t>
        </is>
      </c>
      <c r="K317" s="11" t="inlineStr">
        <is>
          <t>PRZEWAGA</t>
        </is>
      </c>
      <c r="L317" s="11" t="inlineStr">
        <is>
          <t>—</t>
        </is>
      </c>
      <c r="M317" s="11" t="inlineStr">
        <is>
          <t>—</t>
        </is>
      </c>
      <c r="N317" s="12" t="inlineStr">
        <is>
          <t>karencja 14 dni</t>
        </is>
      </c>
    </row>
    <row r="318">
      <c r="A318" s="11" t="inlineStr">
        <is>
          <t>P-04</t>
        </is>
      </c>
      <c r="B318" s="12" t="inlineStr">
        <is>
          <t>P</t>
        </is>
      </c>
      <c r="C318" s="11" t="inlineStr">
        <is>
          <t>Historia zgód klienta</t>
        </is>
      </c>
      <c r="D318" s="11" t="inlineStr">
        <is>
          <t>NIE</t>
        </is>
      </c>
      <c r="E318" s="11" t="inlineStr">
        <is>
          <t>CZĘŚĆ</t>
        </is>
      </c>
      <c r="F318" s="11" t="inlineStr">
        <is>
          <t>NIE</t>
        </is>
      </c>
      <c r="G318" s="11" t="inlineStr">
        <is>
          <t>CZĘŚĆ</t>
        </is>
      </c>
      <c r="H318" s="11" t="inlineStr">
        <is>
          <t>CZĘŚĆ</t>
        </is>
      </c>
      <c r="I318" s="11" t="inlineStr">
        <is>
          <t>DZIAŁA</t>
        </is>
      </c>
      <c r="J318" s="12" t="inlineStr">
        <is>
          <t>consents.controller.ts:70</t>
        </is>
      </c>
      <c r="K318" s="11" t="inlineStr">
        <is>
          <t>PARYTET</t>
        </is>
      </c>
      <c r="L318" s="11" t="inlineStr">
        <is>
          <t>—</t>
        </is>
      </c>
      <c r="M318" s="11" t="inlineStr">
        <is>
          <t>—</t>
        </is>
      </c>
      <c r="N318" s="12" t="inlineStr"/>
    </row>
    <row r="319">
      <c r="A319" s="11" t="inlineStr">
        <is>
          <t>P-05</t>
        </is>
      </c>
      <c r="B319" s="12" t="inlineStr">
        <is>
          <t>P</t>
        </is>
      </c>
      <c r="C319" s="11" t="inlineStr">
        <is>
          <t>Ponowna akceptacja przy zmianie regulaminu</t>
        </is>
      </c>
      <c r="D319" s="11" t="inlineStr">
        <is>
          <t>NIE</t>
        </is>
      </c>
      <c r="E319" s="11" t="inlineStr">
        <is>
          <t>NIE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reconsent-modal.tsx:169; consents.controller.ts:76</t>
        </is>
      </c>
      <c r="K319" s="11" t="inlineStr">
        <is>
          <t>PRZEWAGA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P-06</t>
        </is>
      </c>
      <c r="B320" s="12" t="inlineStr">
        <is>
          <t>P</t>
        </is>
      </c>
      <c r="C320" s="11" t="inlineStr">
        <is>
          <t>Umowa powierzenia (DPA) do pobrania</t>
        </is>
      </c>
      <c r="D320" s="11" t="inlineStr">
        <is>
          <t>NIE</t>
        </is>
      </c>
      <c r="E320" s="11" t="inlineStr">
        <is>
          <t>CZĘŚĆ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dpa.controller.ts:23; dpa-pdf.service.ts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/>
    </row>
    <row r="321">
      <c r="A321" s="11" t="inlineStr">
        <is>
          <t>P-07</t>
        </is>
      </c>
      <c r="B321" s="12" t="inlineStr">
        <is>
          <t>P</t>
        </is>
      </c>
      <c r="C321" s="11" t="inlineStr">
        <is>
          <t>Dokumenty prawne z historią wersji</t>
        </is>
      </c>
      <c r="D321" s="11" t="inlineStr">
        <is>
          <t>NIE</t>
        </is>
      </c>
      <c r="E321" s="11" t="inlineStr">
        <is>
          <t>NIE</t>
        </is>
      </c>
      <c r="F321" s="11" t="inlineStr">
        <is>
          <t>NIE</t>
        </is>
      </c>
      <c r="G321" s="11" t="inlineStr">
        <is>
          <t>CZĘŚĆ</t>
        </is>
      </c>
      <c r="H321" s="11" t="inlineStr">
        <is>
          <t>CZĘŚĆ</t>
        </is>
      </c>
      <c r="I321" s="11" t="inlineStr">
        <is>
          <t>DZIAŁA</t>
        </is>
      </c>
      <c r="J321" s="12" t="inlineStr">
        <is>
          <t>legal-documents.controller.ts:36,49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>
        <is>
          <t>brakujący dokument → „Dokument w przygotowaniu”</t>
        </is>
      </c>
    </row>
    <row r="322">
      <c r="A322" s="11" t="inlineStr">
        <is>
          <t>P-08</t>
        </is>
      </c>
      <c r="B322" s="12" t="inlineStr">
        <is>
          <t>P</t>
        </is>
      </c>
      <c r="C322" s="11" t="inlineStr">
        <is>
          <t>Retencja i anonimizacja logów</t>
        </is>
      </c>
      <c r="D322" s="11" t="inlineStr">
        <is>
          <t>NIE</t>
        </is>
      </c>
      <c r="E322" s="11" t="inlineStr">
        <is>
          <t>CZĘŚĆ</t>
        </is>
      </c>
      <c r="F322" s="11" t="inlineStr">
        <is>
          <t>NIE</t>
        </is>
      </c>
      <c r="G322" s="11" t="inlineStr">
        <is>
          <t>b.d.</t>
        </is>
      </c>
      <c r="H322" s="11" t="inlineStr">
        <is>
          <t>b.d.</t>
        </is>
      </c>
      <c r="I322" s="11" t="inlineStr">
        <is>
          <t>DZIAŁA</t>
        </is>
      </c>
      <c r="J322" s="12" t="inlineStr">
        <is>
          <t>retention.scheduler.ts:29,30,87,95</t>
        </is>
      </c>
      <c r="K322" s="11" t="inlineStr">
        <is>
          <t>PRZEWAGA</t>
        </is>
      </c>
      <c r="L322" s="11" t="inlineStr">
        <is>
          <t>—</t>
        </is>
      </c>
      <c r="M322" s="11" t="inlineStr">
        <is>
          <t>—</t>
        </is>
      </c>
      <c r="N322" s="12" t="inlineStr">
        <is>
          <t>ZERO testów</t>
        </is>
      </c>
    </row>
    <row r="323">
      <c r="A323" s="11" t="inlineStr">
        <is>
          <t>P-09</t>
        </is>
      </c>
      <c r="B323" s="12" t="inlineStr">
        <is>
          <t>P</t>
        </is>
      </c>
      <c r="C323" s="11" t="inlineStr">
        <is>
          <t>Zgody marketingowe (opt-in/out)</t>
        </is>
      </c>
      <c r="D323" s="11" t="inlineStr">
        <is>
          <t>NIE</t>
        </is>
      </c>
      <c r="E323" s="11" t="inlineStr">
        <is>
          <t>NIE</t>
        </is>
      </c>
      <c r="F323" s="11" t="inlineStr">
        <is>
          <t>NIE</t>
        </is>
      </c>
      <c r="G323" s="11" t="inlineStr">
        <is>
          <t>TAK</t>
        </is>
      </c>
      <c r="H323" s="11" t="inlineStr">
        <is>
          <t>TAK</t>
        </is>
      </c>
      <c r="I323" s="11" t="inlineStr">
        <is>
          <t>DZIAŁA</t>
        </is>
      </c>
      <c r="J323" s="12" t="inlineStr">
        <is>
          <t>consents.controller.ts:99</t>
        </is>
      </c>
      <c r="K323" s="11" t="inlineStr">
        <is>
          <t>PARYTET</t>
        </is>
      </c>
      <c r="L323" s="11" t="inlineStr">
        <is>
          <t>—</t>
        </is>
      </c>
      <c r="M323" s="11" t="inlineStr">
        <is>
          <t>—</t>
        </is>
      </c>
      <c r="N323" s="12" t="inlineStr"/>
    </row>
    <row r="324">
      <c r="A324" s="11" t="inlineStr">
        <is>
          <t>P-10</t>
        </is>
      </c>
      <c r="B324" s="12" t="inlineStr">
        <is>
          <t>P</t>
        </is>
      </c>
      <c r="C324" s="11" t="inlineStr">
        <is>
          <t>Baner zgody na cookies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TAK</t>
        </is>
      </c>
      <c r="H324" s="11" t="inlineStr">
        <is>
          <t>TAK</t>
        </is>
      </c>
      <c r="I324" s="11" t="inlineStr">
        <is>
          <t>DZIAŁA</t>
        </is>
      </c>
      <c r="J324" s="12" t="inlineStr">
        <is>
          <t>cookie-consent.tsx</t>
        </is>
      </c>
      <c r="K324" s="11" t="inlineStr">
        <is>
          <t>PARYTET</t>
        </is>
      </c>
      <c r="L324" s="11" t="inlineStr">
        <is>
          <t>—</t>
        </is>
      </c>
      <c r="M324" s="11" t="inlineStr">
        <is>
          <t>—</t>
        </is>
      </c>
      <c r="N324" s="12" t="inlineStr"/>
    </row>
    <row r="325">
      <c r="A325" s="11" t="inlineStr">
        <is>
          <t>P-11</t>
        </is>
      </c>
      <c r="B325" s="12" t="inlineStr">
        <is>
          <t>P</t>
        </is>
      </c>
      <c r="C325" s="11" t="inlineStr">
        <is>
          <t>Rejestr czynności przetwarzania (art. 30)</t>
        </is>
      </c>
      <c r="D325" s="11" t="inlineStr">
        <is>
          <t>NIE</t>
        </is>
      </c>
      <c r="E325" s="11" t="inlineStr">
        <is>
          <t>NIE</t>
        </is>
      </c>
      <c r="F325" s="11" t="inlineStr">
        <is>
          <t>NIE</t>
        </is>
      </c>
      <c r="G325" s="11" t="inlineStr">
        <is>
          <t>b.d.</t>
        </is>
      </c>
      <c r="H325" s="11" t="inlineStr">
        <is>
          <t>b.d.</t>
        </is>
      </c>
      <c r="I325" s="11" t="inlineStr">
        <is>
          <t>BRAK</t>
        </is>
      </c>
      <c r="J325" s="12" t="inlineStr">
        <is>
          <t>docs/legal/rcpd.md — sekcje A (administrator), B (procesor, art. 30 ust. 2), C (art. 32), D (przeglądy)</t>
        </is>
      </c>
      <c r="K325" s="11" t="inlineStr">
        <is>
          <t>LUKA</t>
        </is>
      </c>
      <c r="L325" s="11" t="inlineStr">
        <is>
          <t>ŚREDNIA</t>
        </is>
      </c>
      <c r="M325" s="11" t="inlineStr">
        <is>
          <t>M</t>
        </is>
      </c>
      <c r="N325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6">
      <c r="A326" s="11" t="inlineStr">
        <is>
          <t>P-12</t>
        </is>
      </c>
      <c r="B326" s="12" t="inlineStr">
        <is>
          <t>P</t>
        </is>
      </c>
      <c r="C326" s="11" t="inlineStr">
        <is>
          <t>Dostępność panelu wg WCAG 2.1 AA (EAA)</t>
        </is>
      </c>
      <c r="D326" s="11" t="inlineStr">
        <is>
          <t>NIE</t>
        </is>
      </c>
      <c r="E326" s="11" t="inlineStr">
        <is>
          <t>CZĘŚĆ</t>
        </is>
      </c>
      <c r="F326" s="11" t="inlineStr">
        <is>
          <t>NIE</t>
        </is>
      </c>
      <c r="G326" s="11" t="inlineStr">
        <is>
          <t>b.d.</t>
        </is>
      </c>
      <c r="H326" s="11" t="inlineStr">
        <is>
          <t>b.d.</t>
        </is>
      </c>
      <c r="I326" s="11" t="inlineStr">
        <is>
          <t>BRAK</t>
        </is>
      </c>
      <c r="J326" s="12" t="inlineStr">
        <is>
          <t>docs/legal/EAA_AUDYT_DOSTEPNOSCI_2026-07-07.md — audyt wykonany, skip-link i focus-visible naprawione w commicie z 2026-07-07</t>
        </is>
      </c>
      <c r="K326" s="11" t="inlineStr">
        <is>
          <t>LUKA</t>
        </is>
      </c>
      <c r="L326" s="11" t="inlineStr">
        <is>
          <t>ŚREDNIA</t>
        </is>
      </c>
      <c r="M326" s="11" t="inlineStr">
        <is>
          <t>L</t>
        </is>
      </c>
      <c r="N326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7">
      <c r="A327" s="11" t="inlineStr">
        <is>
          <t>P-13</t>
        </is>
      </c>
      <c r="B327" s="12" t="inlineStr">
        <is>
          <t>P</t>
        </is>
      </c>
      <c r="C327" s="11" t="inlineStr">
        <is>
          <t>Deklaracja lokalizacji danych</t>
        </is>
      </c>
      <c r="D327" s="11" t="inlineStr">
        <is>
          <t>NIE</t>
        </is>
      </c>
      <c r="E327" s="11" t="inlineStr">
        <is>
          <t>NIE</t>
        </is>
      </c>
      <c r="F327" s="11" t="inlineStr">
        <is>
          <t>NIE</t>
        </is>
      </c>
      <c r="G327" s="11" t="inlineStr">
        <is>
          <t>TAK</t>
        </is>
      </c>
      <c r="H327" s="11" t="inlineStr">
        <is>
          <t>CZĘŚĆ</t>
        </is>
      </c>
      <c r="I327" s="11" t="inlineStr">
        <is>
          <t>b.d.</t>
        </is>
      </c>
      <c r="J327" s="12" t="inlineStr">
        <is>
          <t>poza kodem</t>
        </is>
      </c>
      <c r="K327" s="11" t="inlineStr">
        <is>
          <t>CZĘŚCIOWY</t>
        </is>
      </c>
      <c r="L327" s="11" t="inlineStr">
        <is>
          <t>ŚREDNIA</t>
        </is>
      </c>
      <c r="M327" s="11" t="inlineStr">
        <is>
          <t>S</t>
        </is>
      </c>
      <c r="N327" s="12" t="inlineStr">
        <is>
          <t>wszystkie 5 hostingów PL to eksponuje</t>
        </is>
      </c>
    </row>
    <row r="328">
      <c r="A328" s="11" t="inlineStr">
        <is>
          <t>P-14</t>
        </is>
      </c>
      <c r="B328" s="12" t="inlineStr">
        <is>
          <t>P</t>
        </is>
      </c>
      <c r="C328" s="11" t="inlineStr">
        <is>
          <t>Certyfikacja ISO 27001</t>
        </is>
      </c>
      <c r="D328" s="11" t="inlineStr">
        <is>
          <t>NIE</t>
        </is>
      </c>
      <c r="E328" s="11" t="inlineStr">
        <is>
          <t>NIE</t>
        </is>
      </c>
      <c r="F328" s="11" t="inlineStr">
        <is>
          <t>NIE</t>
        </is>
      </c>
      <c r="G328" s="11" t="inlineStr">
        <is>
          <t>CZĘŚĆ</t>
        </is>
      </c>
      <c r="H328" s="11" t="inlineStr">
        <is>
          <t>CZĘŚĆ</t>
        </is>
      </c>
      <c r="I328" s="11" t="inlineStr">
        <is>
          <t>BRAK</t>
        </is>
      </c>
      <c r="J328" s="12" t="inlineStr">
        <is>
          <t>—</t>
        </is>
      </c>
      <c r="K328" s="11" t="inlineStr">
        <is>
          <t>LUKA</t>
        </is>
      </c>
      <c r="L328" s="11" t="inlineStr">
        <is>
          <t>NISKA</t>
        </is>
      </c>
      <c r="M328" s="11" t="inlineStr">
        <is>
          <t>L</t>
        </is>
      </c>
      <c r="N328" s="12" t="inlineStr">
        <is>
          <t>home.pl i nazwa.pl mają — element przetargowy w B2B</t>
        </is>
      </c>
    </row>
    <row r="329">
      <c r="A329" s="11" t="inlineStr">
        <is>
          <t>P-15</t>
        </is>
      </c>
      <c r="B329" s="12" t="inlineStr">
        <is>
          <t>P</t>
        </is>
      </c>
      <c r="C329" s="11" t="inlineStr">
        <is>
          <t>Podpisane DPA z subprocesorami</t>
        </is>
      </c>
      <c r="D329" s="11" t="inlineStr">
        <is>
          <t>—</t>
        </is>
      </c>
      <c r="E329" s="11" t="inlineStr">
        <is>
          <t>—</t>
        </is>
      </c>
      <c r="F329" s="11" t="inlineStr">
        <is>
          <t>—</t>
        </is>
      </c>
      <c r="G329" s="11" t="inlineStr">
        <is>
          <t>—</t>
        </is>
      </c>
      <c r="H329" s="11" t="inlineStr">
        <is>
          <t>—</t>
        </is>
      </c>
      <c r="I329" s="11" t="inlineStr">
        <is>
          <t>BRAK</t>
        </is>
      </c>
      <c r="J329" s="12" t="inlineStr">
        <is>
          <t>docs/legal/dpa-subprocessors-tracking.md — wszystkie pozycje w statusie „do podpisania” lub „do akceptacji”, kolumna Data pusta</t>
        </is>
      </c>
      <c r="K329" s="11" t="inlineStr">
        <is>
          <t>LUKA</t>
        </is>
      </c>
      <c r="L329" s="11" t="inlineStr">
        <is>
          <t>BLOKER STARTU</t>
        </is>
      </c>
      <c r="M329" s="11" t="inlineStr">
        <is>
          <t>M</t>
        </is>
      </c>
      <c r="N329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30">
      <c r="A330" s="11" t="inlineStr">
        <is>
          <t>Q-01</t>
        </is>
      </c>
      <c r="B330" s="12" t="inlineStr">
        <is>
          <t>Q</t>
        </is>
      </c>
      <c r="C330" s="11" t="inlineStr">
        <is>
          <t>Program eko / punkty za oszczędność</t>
        </is>
      </c>
      <c r="D330" s="11" t="inlineStr">
        <is>
          <t>NIE</t>
        </is>
      </c>
      <c r="E330" s="11" t="inlineStr">
        <is>
          <t>NIE</t>
        </is>
      </c>
      <c r="F330" s="11" t="inlineStr">
        <is>
          <t>NIE</t>
        </is>
      </c>
      <c r="G330" s="11" t="inlineStr">
        <is>
          <t>NIE</t>
        </is>
      </c>
      <c r="H330" s="11" t="inlineStr">
        <is>
          <t>NIE</t>
        </is>
      </c>
      <c r="I330" s="11" t="inlineStr">
        <is>
          <t>FLAGA</t>
        </is>
      </c>
      <c r="J330" s="12" t="inlineStr">
        <is>
          <t>users.controller.ts:58,91; FEATURE_ECO domyślnie true</t>
        </is>
      </c>
      <c r="K330" s="11" t="inlineStr">
        <is>
          <t>PRZEWAGA</t>
        </is>
      </c>
      <c r="L330" s="11" t="inlineStr">
        <is>
          <t>—</t>
        </is>
      </c>
      <c r="M330" s="11" t="inlineStr">
        <is>
          <t>—</t>
        </is>
      </c>
      <c r="N330" s="12" t="inlineStr">
        <is>
          <t>nikt na rynku PL</t>
        </is>
      </c>
    </row>
    <row r="331">
      <c r="A331" s="11" t="inlineStr">
        <is>
          <t>Q-02</t>
        </is>
      </c>
      <c r="B331" s="12" t="inlineStr">
        <is>
          <t>Q</t>
        </is>
      </c>
      <c r="C331" s="11" t="inlineStr">
        <is>
          <t>Raport energetyczny usługi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CZĘŚCIOWE</t>
        </is>
      </c>
      <c r="J331" s="12" t="inlineStr">
        <is>
          <t>eco-report.service.ts:9 — jawnie deklarowany jako szacunek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metodologia opisana — uczciwe podejście</t>
        </is>
      </c>
    </row>
    <row r="332">
      <c r="A332" s="11" t="inlineStr">
        <is>
          <t>Q-03</t>
        </is>
      </c>
      <c r="B332" s="12" t="inlineStr">
        <is>
          <t>Q</t>
        </is>
      </c>
      <c r="C332" s="11" t="inlineStr">
        <is>
          <t>Badge eko do osadzenia na stronie klienta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DZIAŁA</t>
        </is>
      </c>
      <c r="J332" s="12" t="inlineStr">
        <is>
          <t>eco-public.controller.ts:32,74; test D1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4 warianty + pixel odsłon</t>
        </is>
      </c>
    </row>
    <row r="333">
      <c r="A333" s="11" t="inlineStr">
        <is>
          <t>Q-04</t>
        </is>
      </c>
      <c r="B333" s="12" t="inlineStr">
        <is>
          <t>Q</t>
        </is>
      </c>
      <c r="C333" s="11" t="inlineStr">
        <is>
          <t>Tryb eko usługi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NIE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subscriptions.controller.ts:73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wpływa m.in. na politykę backupów</t>
        </is>
      </c>
    </row>
    <row r="334">
      <c r="A334" s="11" t="inlineStr">
        <is>
          <t>Q-05</t>
        </is>
      </c>
      <c r="B334" s="12" t="inlineStr">
        <is>
          <t>Q</t>
        </is>
      </c>
      <c r="C334" s="11" t="inlineStr">
        <is>
          <t>E-mail marketing wbudowany w panel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CZĘŚĆ</t>
        </is>
      </c>
      <c r="H334" s="11" t="inlineStr">
        <is>
          <t>NIE</t>
        </is>
      </c>
      <c r="I334" s="11" t="inlineStr">
        <is>
          <t>DZIAŁA</t>
        </is>
      </c>
      <c r="J334" s="12" t="inlineStr">
        <is>
          <t>email-marketing.controller.ts:36,81,119,139</t>
        </is>
      </c>
      <c r="K334" s="11" t="inlineStr">
        <is>
          <t>PRZEWAGA</t>
        </is>
      </c>
      <c r="L334" s="11" t="inlineStr">
        <is>
          <t>—</t>
        </is>
      </c>
      <c r="M334" s="11" t="inlineStr">
        <is>
          <t>—</t>
        </is>
      </c>
      <c r="N334" s="12" t="inlineStr">
        <is>
          <t>double opt-in + cordon antyspamowy</t>
        </is>
      </c>
    </row>
    <row r="335">
      <c r="A335" s="11" t="inlineStr">
        <is>
          <t>Q-06</t>
        </is>
      </c>
      <c r="B335" s="12" t="inlineStr">
        <is>
          <t>Q</t>
        </is>
      </c>
      <c r="C335" s="11" t="inlineStr">
        <is>
          <t>VPS / cloud w tym samym panelu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TAK</t>
        </is>
      </c>
      <c r="H335" s="11" t="inlineStr">
        <is>
          <t>TAK</t>
        </is>
      </c>
      <c r="I335" s="11" t="inlineStr">
        <is>
          <t>FLAGA</t>
        </is>
      </c>
      <c r="J335" s="12" t="inlineStr">
        <is>
          <t>vps.controller.ts:53,59,69; HETZNER_API_TOKEN</t>
        </is>
      </c>
      <c r="K335" s="11" t="inlineStr">
        <is>
          <t>CZĘŚCIOWY</t>
        </is>
      </c>
      <c r="L335" s="11" t="inlineStr">
        <is>
          <t>ŚREDNIA</t>
        </is>
      </c>
      <c r="M335" s="11" t="inlineStr">
        <is>
          <t>M</t>
        </is>
      </c>
      <c r="N335" s="12" t="inlineStr">
        <is>
          <t>bez tokenu menu prowadzi do pustego stanu</t>
        </is>
      </c>
    </row>
    <row r="336">
      <c r="A336" s="11" t="inlineStr">
        <is>
          <t>Q-07</t>
        </is>
      </c>
      <c r="B336" s="12" t="inlineStr">
        <is>
          <t>Q</t>
        </is>
      </c>
      <c r="C336" s="11" t="inlineStr">
        <is>
          <t>VPS — konsola / VNC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CZĘŚĆ</t>
        </is>
      </c>
      <c r="H336" s="11" t="inlineStr">
        <is>
          <t>CZĘŚĆ</t>
        </is>
      </c>
      <c r="I336" s="11" t="inlineStr">
        <is>
          <t>BRAK</t>
        </is>
      </c>
      <c r="J336" s="12" t="inlineStr">
        <is>
          <t>—</t>
        </is>
      </c>
      <c r="K336" s="11" t="inlineStr">
        <is>
          <t>LUKA</t>
        </is>
      </c>
      <c r="L336" s="11" t="inlineStr">
        <is>
          <t>NISKA</t>
        </is>
      </c>
      <c r="M336" s="11" t="inlineStr">
        <is>
          <t>M</t>
        </is>
      </c>
      <c r="N336" s="12" t="inlineStr"/>
    </row>
    <row r="337">
      <c r="A337" s="11" t="inlineStr">
        <is>
          <t>Q-08</t>
        </is>
      </c>
      <c r="B337" s="12" t="inlineStr">
        <is>
          <t>Q</t>
        </is>
      </c>
      <c r="C337" s="11" t="inlineStr">
        <is>
          <t>VPS — snapshoty i rebuild</t>
        </is>
      </c>
      <c r="D337" s="11" t="inlineStr">
        <is>
          <t>NIE</t>
        </is>
      </c>
      <c r="E337" s="11" t="inlineStr">
        <is>
          <t>NIE</t>
        </is>
      </c>
      <c r="F337" s="11" t="inlineStr">
        <is>
          <t>NIE</t>
        </is>
      </c>
      <c r="G337" s="11" t="inlineStr">
        <is>
          <t>CZĘŚĆ</t>
        </is>
      </c>
      <c r="H337" s="11" t="inlineStr">
        <is>
          <t>TAK</t>
        </is>
      </c>
      <c r="I337" s="11" t="inlineStr">
        <is>
          <t>BRAK</t>
        </is>
      </c>
      <c r="J337" s="12" t="inlineStr">
        <is>
          <t>—</t>
        </is>
      </c>
      <c r="K337" s="11" t="inlineStr">
        <is>
          <t>LUKA</t>
        </is>
      </c>
      <c r="L337" s="11" t="inlineStr">
        <is>
          <t>NISKA</t>
        </is>
      </c>
      <c r="M337" s="11" t="inlineStr">
        <is>
          <t>M</t>
        </is>
      </c>
      <c r="N337" s="12" t="inlineStr"/>
    </row>
    <row r="338">
      <c r="A338" s="11" t="inlineStr">
        <is>
          <t>Q-09</t>
        </is>
      </c>
      <c r="B338" s="12" t="inlineStr">
        <is>
          <t>Q</t>
        </is>
      </c>
      <c r="C338" s="11" t="inlineStr">
        <is>
          <t>Panel responsywny na telefonie</t>
        </is>
      </c>
      <c r="D338" s="11" t="inlineStr">
        <is>
          <t>CZĘŚĆ</t>
        </is>
      </c>
      <c r="E338" s="11" t="inlineStr">
        <is>
          <t>TAK</t>
        </is>
      </c>
      <c r="F338" s="11" t="inlineStr">
        <is>
          <t>CZĘŚĆ</t>
        </is>
      </c>
      <c r="G338" s="11" t="inlineStr">
        <is>
          <t>CZĘŚĆ</t>
        </is>
      </c>
      <c r="H338" s="11" t="inlineStr">
        <is>
          <t>TAK</t>
        </is>
      </c>
      <c r="I338" s="11" t="inlineStr">
        <is>
          <t>b.d.</t>
        </is>
      </c>
      <c r="J338" s="12" t="inlineStr">
        <is>
          <t>brak audytu w repo</t>
        </is>
      </c>
      <c r="K338" s="11" t="inlineStr">
        <is>
          <t>CZĘŚCIOWY</t>
        </is>
      </c>
      <c r="L338" s="11" t="inlineStr">
        <is>
          <t>WYSOKA</t>
        </is>
      </c>
      <c r="M338" s="11" t="inlineStr">
        <is>
          <t>M</t>
        </is>
      </c>
      <c r="N338" s="12" t="inlineStr">
        <is>
          <t>twardy wymóg zapisany w decyzji brandingowej DA</t>
        </is>
      </c>
    </row>
    <row r="339">
      <c r="A339" s="11" t="inlineStr">
        <is>
          <t>Q-10</t>
        </is>
      </c>
      <c r="B339" s="12" t="inlineStr">
        <is>
          <t>Q</t>
        </is>
      </c>
      <c r="C339" s="11" t="inlineStr">
        <is>
          <t>Natywna aplikacja mobilna</t>
        </is>
      </c>
      <c r="D339" s="11" t="inlineStr">
        <is>
          <t>NIE</t>
        </is>
      </c>
      <c r="E339" s="11" t="inlineStr">
        <is>
          <t>NIE</t>
        </is>
      </c>
      <c r="F339" s="11" t="inlineStr">
        <is>
          <t>NIE</t>
        </is>
      </c>
      <c r="G339" s="11" t="inlineStr">
        <is>
          <t>CZĘŚĆ</t>
        </is>
      </c>
      <c r="H339" s="11" t="inlineStr">
        <is>
          <t>CZĘŚĆ</t>
        </is>
      </c>
      <c r="I339" s="11" t="inlineStr">
        <is>
          <t>BRAK</t>
        </is>
      </c>
      <c r="J339" s="12" t="inlineStr">
        <is>
          <t>—</t>
        </is>
      </c>
      <c r="K339" s="11" t="inlineStr">
        <is>
          <t>POZA ZAKRESEM</t>
        </is>
      </c>
      <c r="L339" s="11" t="inlineStr">
        <is>
          <t>NISKA</t>
        </is>
      </c>
      <c r="M339" s="11" t="inlineStr">
        <is>
          <t>—</t>
        </is>
      </c>
      <c r="N339" s="12" t="inlineStr">
        <is>
          <t>tylko home.pl (iOS)</t>
        </is>
      </c>
    </row>
    <row r="340">
      <c r="A340" s="11" t="inlineStr">
        <is>
          <t>Q-11</t>
        </is>
      </c>
      <c r="B340" s="12" t="inlineStr">
        <is>
          <t>Q</t>
        </is>
      </c>
      <c r="C340" s="11" t="inlineStr">
        <is>
          <t>Tryb prosty / zaawansowany panelu</t>
        </is>
      </c>
      <c r="D340" s="11" t="inlineStr">
        <is>
          <t>NIE</t>
        </is>
      </c>
      <c r="E340" s="11" t="inlineStr">
        <is>
          <t>NIE</t>
        </is>
      </c>
      <c r="F340" s="11" t="inlineStr">
        <is>
          <t>NIE</t>
        </is>
      </c>
      <c r="G340" s="11" t="inlineStr">
        <is>
          <t>NIE</t>
        </is>
      </c>
      <c r="H340" s="11" t="inlineStr">
        <is>
          <t>CZĘŚĆ</t>
        </is>
      </c>
      <c r="I340" s="11" t="inlineStr">
        <is>
          <t>DZIAŁA</t>
        </is>
      </c>
      <c r="J340" s="12" t="inlineStr">
        <is>
          <t>page.tsx:139 — ukrywa 7 zakładek</t>
        </is>
      </c>
      <c r="K340" s="11" t="inlineStr">
        <is>
          <t>PRZEWAGA</t>
        </is>
      </c>
      <c r="L340" s="11" t="inlineStr">
        <is>
          <t>—</t>
        </is>
      </c>
      <c r="M340" s="11" t="inlineStr">
        <is>
          <t>—</t>
        </is>
      </c>
      <c r="N340" s="12" t="inlineStr"/>
    </row>
    <row r="341">
      <c r="A341" s="11" t="inlineStr">
        <is>
          <t>Q-12</t>
        </is>
      </c>
      <c r="B341" s="12" t="inlineStr">
        <is>
          <t>Q</t>
        </is>
      </c>
      <c r="C341" s="11" t="inlineStr">
        <is>
          <t>Kreator pierwszych kroków (onboarding)</t>
        </is>
      </c>
      <c r="D341" s="11" t="inlineStr">
        <is>
          <t>NIE</t>
        </is>
      </c>
      <c r="E341" s="11" t="inlineStr">
        <is>
          <t>CZĘŚĆ</t>
        </is>
      </c>
      <c r="F341" s="11" t="inlineStr">
        <is>
          <t>NIE</t>
        </is>
      </c>
      <c r="G341" s="11" t="inlineStr">
        <is>
          <t>CZĘŚĆ</t>
        </is>
      </c>
      <c r="H341" s="11" t="inlineStr">
        <is>
          <t>TAK</t>
        </is>
      </c>
      <c r="I341" s="11" t="inlineStr">
        <is>
          <t>DZIAŁA</t>
        </is>
      </c>
      <c r="J341" s="12" t="inlineStr">
        <is>
          <t>onboarding-wizard.tsx:52</t>
        </is>
      </c>
      <c r="K341" s="11" t="inlineStr">
        <is>
          <t>PARYTET</t>
        </is>
      </c>
      <c r="L341" s="11" t="inlineStr">
        <is>
          <t>—</t>
        </is>
      </c>
      <c r="M341" s="11" t="inlineStr">
        <is>
          <t>—</t>
        </is>
      </c>
      <c r="N341" s="12" t="inlineStr">
        <is>
          <t>tylko nawigacja</t>
        </is>
      </c>
    </row>
    <row r="342">
      <c r="A342" s="11" t="inlineStr">
        <is>
          <t>Q-13</t>
        </is>
      </c>
      <c r="B342" s="12" t="inlineStr">
        <is>
          <t>Q</t>
        </is>
      </c>
      <c r="C342" s="11" t="inlineStr">
        <is>
          <t>Command palette dla operatora</t>
        </is>
      </c>
      <c r="D342" s="11" t="inlineStr">
        <is>
          <t>NIE</t>
        </is>
      </c>
      <c r="E342" s="11" t="inlineStr">
        <is>
          <t>NIE</t>
        </is>
      </c>
      <c r="F342" s="11" t="inlineStr">
        <is>
          <t>NIE</t>
        </is>
      </c>
      <c r="G342" s="11" t="inlineStr">
        <is>
          <t>—</t>
        </is>
      </c>
      <c r="H342" s="11" t="inlineStr">
        <is>
          <t>—</t>
        </is>
      </c>
      <c r="I342" s="11" t="inlineStr">
        <is>
          <t>DZIAŁA</t>
        </is>
      </c>
      <c r="J342" s="12" t="inlineStr">
        <is>
          <t>command-palette-actions.ts</t>
        </is>
      </c>
      <c r="K342" s="11" t="inlineStr">
        <is>
          <t>PRZEWAGA</t>
        </is>
      </c>
      <c r="L342" s="11" t="inlineStr">
        <is>
          <t>—</t>
        </is>
      </c>
      <c r="M342" s="11" t="inlineStr">
        <is>
          <t>—</t>
        </is>
      </c>
      <c r="N342" s="12" t="inlineStr"/>
    </row>
    <row r="343">
      <c r="A343" s="11" t="inlineStr">
        <is>
          <t>Q-14</t>
        </is>
      </c>
      <c r="B343" s="12" t="inlineStr">
        <is>
          <t>Q</t>
        </is>
      </c>
      <c r="C343" s="11" t="inlineStr">
        <is>
          <t>Kreator uruchomienia węzła</t>
        </is>
      </c>
      <c r="D343" s="11" t="inlineStr">
        <is>
          <t>TAK</t>
        </is>
      </c>
      <c r="E343" s="11" t="inlineStr">
        <is>
          <t>TAK</t>
        </is>
      </c>
      <c r="F343" s="11" t="inlineStr">
        <is>
          <t>TAK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CZĘŚCIOWE</t>
        </is>
      </c>
      <c r="J343" s="12" t="inlineStr">
        <is>
          <t>node-wizard.tsx:277,288 — realnie tylko init + bootstrap; 7 z 9 kroków to treść runbooka (wizard-content.ts:21-40)</t>
        </is>
      </c>
      <c r="K343" s="11" t="inlineStr">
        <is>
          <t>CZĘŚCIOWY</t>
        </is>
      </c>
      <c r="L343" s="11" t="inlineStr">
        <is>
          <t>WYSOKA</t>
        </is>
      </c>
      <c r="M343" s="11" t="inlineStr">
        <is>
          <t>M</t>
        </is>
      </c>
      <c r="N343" s="12" t="inlineStr">
        <is>
          <t>w tym brakuje kroku konfiguracji backupu — patrz H-19</t>
        </is>
      </c>
    </row>
    <row r="344">
      <c r="A344" s="11" t="inlineStr">
        <is>
          <t>Q-15</t>
        </is>
      </c>
      <c r="B344" s="12" t="inlineStr">
        <is>
          <t>Q</t>
        </is>
      </c>
      <c r="C344" s="11" t="inlineStr">
        <is>
          <t>Live-readiness (checklista przed startem)</t>
        </is>
      </c>
      <c r="D344" s="11" t="inlineStr">
        <is>
          <t>NIE</t>
        </is>
      </c>
      <c r="E344" s="11" t="inlineStr">
        <is>
          <t>NIE</t>
        </is>
      </c>
      <c r="F344" s="11" t="inlineStr">
        <is>
          <t>NIE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DZIAŁA</t>
        </is>
      </c>
      <c r="J344" s="12" t="inlineStr">
        <is>
          <t>live-readiness.service.ts — 14 checków</t>
        </is>
      </c>
      <c r="K344" s="11" t="inlineStr">
        <is>
          <t>PRZEWAGA</t>
        </is>
      </c>
      <c r="L344" s="11" t="inlineStr">
        <is>
          <t>—</t>
        </is>
      </c>
      <c r="M344" s="11" t="inlineStr">
        <is>
          <t>—</t>
        </is>
      </c>
      <c r="N344" s="12" t="inlineStr">
        <is>
          <t>dobre narzędzie; nie sprawdza odtwarzalności kopii</t>
        </is>
      </c>
    </row>
    <row r="345">
      <c r="A345" s="11" t="inlineStr">
        <is>
          <t>Q-16</t>
        </is>
      </c>
      <c r="B345" s="12" t="inlineStr">
        <is>
          <t>Q</t>
        </is>
      </c>
      <c r="C345" s="11" t="inlineStr">
        <is>
          <t>Metryki biznesowe (MRR, churn)</t>
        </is>
      </c>
      <c r="D345" s="11" t="inlineStr">
        <is>
          <t>NIE</t>
        </is>
      </c>
      <c r="E345" s="11" t="inlineStr">
        <is>
          <t>NIE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business-metrics.admin.controller.ts:15; test D1</t>
        </is>
      </c>
      <c r="K345" s="11" t="inlineStr">
        <is>
          <t>PARYTET</t>
        </is>
      </c>
      <c r="L345" s="11" t="inlineStr">
        <is>
          <t>—</t>
        </is>
      </c>
      <c r="M345" s="11" t="inlineStr">
        <is>
          <t>—</t>
        </is>
      </c>
      <c r="N345" s="12" t="inlineStr"/>
    </row>
    <row r="346">
      <c r="A346" s="11" t="inlineStr">
        <is>
          <t>Q-17</t>
        </is>
      </c>
      <c r="B346" s="12" t="inlineStr">
        <is>
          <t>Q</t>
        </is>
      </c>
      <c r="C346" s="11" t="inlineStr">
        <is>
          <t>Grafana SSO dla operatora</t>
        </is>
      </c>
      <c r="D346" s="11" t="inlineStr">
        <is>
          <t>NIE</t>
        </is>
      </c>
      <c r="E346" s="11" t="inlineStr">
        <is>
          <t>CZĘŚĆ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grafana-auth.controller.ts</t>
        </is>
      </c>
      <c r="K346" s="11" t="inlineStr">
        <is>
          <t>PRZEWAGA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Q-18</t>
        </is>
      </c>
      <c r="B347" s="12" t="inlineStr">
        <is>
          <t>Q</t>
        </is>
      </c>
      <c r="C347" s="11" t="inlineStr">
        <is>
          <t>VPN WireGuard dla dostępu operatorskiego</t>
        </is>
      </c>
      <c r="D347" s="11" t="inlineStr">
        <is>
          <t>NIE</t>
        </is>
      </c>
      <c r="E347" s="11" t="inlineStr">
        <is>
          <t>NIE</t>
        </is>
      </c>
      <c r="F347" s="11" t="inlineStr">
        <is>
          <t>NIE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vpn.admin.controller.ts:29; vpn.service.ts:14-25</t>
        </is>
      </c>
      <c r="K347" s="11" t="inlineStr">
        <is>
          <t>PRZEWAGA</t>
        </is>
      </c>
      <c r="L347" s="11" t="inlineStr">
        <is>
          <t>—</t>
        </is>
      </c>
      <c r="M347" s="11" t="inlineStr">
        <is>
          <t>—</t>
        </is>
      </c>
      <c r="N347" s="12" t="inlineStr"/>
    </row>
    <row r="348">
      <c r="A348" s="11" t="inlineStr">
        <is>
          <t>X-01</t>
        </is>
      </c>
      <c r="B348" s="12" t="inlineStr">
        <is>
          <t>X</t>
        </is>
      </c>
      <c r="C348" s="11" t="inlineStr">
        <is>
          <t>CI uruchamiające testy</t>
        </is>
      </c>
      <c r="D348" s="11" t="inlineStr">
        <is>
          <t>—</t>
        </is>
      </c>
      <c r="E348" s="11" t="inlineStr">
        <is>
          <t>—</t>
        </is>
      </c>
      <c r="F348" s="11" t="inlineStr">
        <is>
          <t>—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.github/workflows/ci.yml — typecheck, testy API, build, smoke migracji Prisma, gitleaks, pnpm audit, Trivy, dependabot</t>
        </is>
      </c>
      <c r="K348" s="11" t="inlineStr">
        <is>
          <t>PARYTET</t>
        </is>
      </c>
      <c r="L348" s="11" t="inlineStr">
        <is>
          <t>—</t>
        </is>
      </c>
      <c r="M348" s="11" t="inlineStr">
        <is>
          <t>S</t>
        </is>
      </c>
      <c r="N348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49">
      <c r="A349" s="11" t="inlineStr">
        <is>
          <t>X-02</t>
        </is>
      </c>
      <c r="B349" s="12" t="inlineStr">
        <is>
          <t>X</t>
        </is>
      </c>
      <c r="C349" s="11" t="inlineStr">
        <is>
          <t>Status wymagany do merge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DZIAŁA</t>
        </is>
      </c>
      <c r="J349" s="12" t="inlineStr">
        <is>
          <t>ruleset „gałęzie wdrożeniowe — wymagaj zielonego CI" (id 21161479), Active, zakres: gałąź domyślna + live-release-readiness; wymagane 4 checki z ci.yml</t>
        </is>
      </c>
      <c r="K349" s="11" t="inlineStr">
        <is>
          <t>PARYTET</t>
        </is>
      </c>
      <c r="L349" s="11" t="inlineStr">
        <is>
          <t>—</t>
        </is>
      </c>
      <c r="M349" s="11" t="inlineStr">
        <is>
          <t>S</t>
        </is>
      </c>
      <c r="N349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</row>
    <row r="350">
      <c r="A350" s="11" t="inlineStr">
        <is>
          <t>X-03</t>
        </is>
      </c>
      <c r="B350" s="12" t="inlineStr">
        <is>
          <t>X</t>
        </is>
      </c>
      <c r="C350" s="11" t="inlineStr">
        <is>
          <t>Testy uruchamiane przed wdrożeniem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CZĘŚCIOWE</t>
        </is>
      </c>
      <c r="J350" s="12" t="inlineStr">
        <is>
          <t>.github/workflows/deploy.yml — job test-gate (typecheck + pnpm --filter api test), build-push ma needs: test-gate</t>
        </is>
      </c>
      <c r="K350" s="11" t="inlineStr">
        <is>
          <t>CZĘŚCIOWY</t>
        </is>
      </c>
      <c r="L350" s="11" t="inlineStr">
        <is>
          <t>WYSOKA</t>
        </is>
      </c>
      <c r="M350" s="11" t="inlineStr">
        <is>
          <t>S</t>
        </is>
      </c>
      <c r="N350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1">
      <c r="A351" s="11" t="inlineStr">
        <is>
          <t>X-04</t>
        </is>
      </c>
      <c r="B351" s="12" t="inlineStr">
        <is>
          <t>X</t>
        </is>
      </c>
      <c r="C351" s="11" t="inlineStr">
        <is>
          <t>Testy integracyjne / e2e API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CZĘŚCIOWE</t>
        </is>
      </c>
      <c r="J351" s="12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  <c r="K351" s="11" t="inlineStr">
        <is>
          <t>CZĘŚCIOWY</t>
        </is>
      </c>
      <c r="L351" s="11" t="inlineStr">
        <is>
          <t>WYSOKA</t>
        </is>
      </c>
      <c r="M351" s="11" t="inlineStr">
        <is>
          <t>L</t>
        </is>
      </c>
      <c r="N351" s="12" t="inlineStr">
        <is>
          <t>CZĘŚCIOWE od 2026-08-22 — pierwsze testy integracyjne w historii tego projektu. Do tej pory WSZYSTKIE testy API podstawiały fałszywą Prismę: dowodziły, że logika jest poprawna, nie że zapytanie zwraca to, czego się po nim spodziewamy. | Uruchomione naprawdę, nie tylko napisane: postawiłem Postgresa 16, zaaplikowałem 100 migracji, wygenerowałem klienta i puściłem pakiet — 15 testów zielonych. Sprawdzone, że czerwienią się na regresji: usunięcie zwolnienia pojemności z account-deletion czerwieni 4 z 6 testów księgi. | Co złapały, czego atrapy nie mogły: że Postgres zwraca Float (overcommit) jako number a nie Decimal, że groupBy z filtrem statusu faktycznie pomija konta DELETED, że okno świeżości telemetrii działa na prawdziwym ORDER BY, że wybór najnowszej próbki na subskrypcję nie sumuje okna. | ZAKRES: pokryty jest placement (NodeSelectorService) i cykl życia księgi pojemności (autoskalowanie, usunięcie konta). NIE są pokryte: ścieżki HTTP przez supertest, provisioning end-to-end, płatności, webhooki, KSeF. Dlatego CZĘŚCIOWE, nie DZIAŁA — pozycja opisuje testy integracyjne CAŁEGO API. | Job w CI celowo NIE jest jeszcze wymagany do scalenia (ruleset z X-02): dokładanie nieprzetestowanego w tym repo checka jako wymaganego zablokowałoby merge na ślepo. Do dopisania po pierwszym zielonym przebiegu na main. Poziom dowodu: D1 do czasu tego przebiegu, potem D2. | Ograniczenie warsztatu, warte zapisania: nie da się ich uruchomić ani na maszynie PM-a (klient Prismy zbudowany pod macOS, sandbox to Linux), ani domyślnie w kontenerze (binaries.prisma.sh poza listą dozwolonych hostów). Wymagało zbudowania środowiska od zera. CI jest jedynym miejscem, gdzie biegną rutynowo. Dokumentacja: docs/zadania/X-04-testy-integracyjne-api.md | D2 OSIĄGNIĘTE 2026-08-22: przebieg CI #57 zielony w komplecie — sześć jobów, w tym „API integration tests" z Postgresem 16.</t>
        </is>
      </c>
    </row>
    <row r="352">
      <c r="A352" s="11" t="inlineStr">
        <is>
          <t>X-05</t>
        </is>
      </c>
      <c r="B352" s="12" t="inlineStr">
        <is>
          <t>X</t>
        </is>
      </c>
      <c r="C352" s="11" t="inlineStr">
        <is>
          <t>Testy paneli frontowych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BRAK</t>
        </is>
      </c>
      <c r="J352" s="12" t="inlineStr">
        <is>
          <t>admin-panel i staff-panel: 0 plików; client-panel: 1 plik bez runnera (brak skryptu test w package.json:5-11)</t>
        </is>
      </c>
      <c r="K352" s="11" t="inlineStr">
        <is>
          <t>LUKA</t>
        </is>
      </c>
      <c r="L352" s="11" t="inlineStr">
        <is>
          <t>ŚREDNIA</t>
        </is>
      </c>
      <c r="M352" s="11" t="inlineStr">
        <is>
          <t>L</t>
        </is>
      </c>
      <c r="N352" s="12" t="inlineStr"/>
    </row>
    <row r="353">
      <c r="A353" s="11" t="inlineStr">
        <is>
          <t>X-06</t>
        </is>
      </c>
      <c r="B353" s="12" t="inlineStr">
        <is>
          <t>X</t>
        </is>
      </c>
      <c r="C353" s="11" t="inlineStr">
        <is>
          <t>Pokrycie testami modułu auth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zero plików .spec w apps/api/src/auth</t>
        </is>
      </c>
      <c r="K353" s="11" t="inlineStr">
        <is>
          <t>LUKA</t>
        </is>
      </c>
      <c r="L353" s="11" t="inlineStr">
        <is>
          <t>WYSOKA</t>
        </is>
      </c>
      <c r="M353" s="11" t="inlineStr">
        <is>
          <t>M</t>
        </is>
      </c>
      <c r="N353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4">
      <c r="A354" s="11" t="inlineStr">
        <is>
          <t>X-07</t>
        </is>
      </c>
      <c r="B354" s="12" t="inlineStr">
        <is>
          <t>X</t>
        </is>
      </c>
      <c r="C354" s="11" t="inlineStr">
        <is>
          <t>Pokrycie testami klienta KSeF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ksef-v2.client.ts (487 l. kryptografii + API skarbowe) — ZERO testów; testowany jest tylko builder XML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X-01.</t>
        </is>
      </c>
    </row>
    <row r="355">
      <c r="A355" s="11" t="inlineStr">
        <is>
          <t>X-08</t>
        </is>
      </c>
      <c r="B355" s="12" t="inlineStr">
        <is>
          <t>X</t>
        </is>
      </c>
      <c r="C355" s="11" t="inlineStr">
        <is>
          <t>Pokrycie testami ścieżki backup/restore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offsite-restore.service.ts (regex chroniący przed path traversal na wejściu od klienta) — ZERO testów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M</t>
        </is>
      </c>
      <c r="N355" s="12" t="inlineStr">
        <is>
          <t>Reklasyfikacja jak X-01 — ale patrz Z-03: brak testów walidacji wejścia migracji to nie jest kwestia jakości, tylko przyczyna luki wykonania kodu.</t>
        </is>
      </c>
    </row>
    <row r="356">
      <c r="A356" s="11" t="inlineStr">
        <is>
          <t>X-09</t>
        </is>
      </c>
      <c r="B356" s="12" t="inlineStr">
        <is>
          <t>X</t>
        </is>
      </c>
      <c r="C356" s="11" t="inlineStr">
        <is>
          <t>Pokrycie testami DirectAdminService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BRAK</t>
        </is>
      </c>
      <c r="J356" s="12" t="inlineStr">
        <is>
          <t>directadmin.service.ts ma 3057 linii; testowany jest wyłącznie helper mergeAdminSettingsPayload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L</t>
        </is>
      </c>
      <c r="N356" s="12" t="inlineStr"/>
    </row>
    <row r="357">
      <c r="A357" s="11" t="inlineStr">
        <is>
          <t>X-10</t>
        </is>
      </c>
      <c r="B357" s="12" t="inlineStr">
        <is>
          <t>X</t>
        </is>
      </c>
      <c r="C357" s="11" t="inlineStr">
        <is>
          <t>Testy RBAC sprawdzające zachowanie, nie metadane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ATRAPA</t>
        </is>
      </c>
      <c r="J357" s="12" t="inlineStr">
        <is>
          <t>3 pliki spec czytają Reflect.getMetadata(ROLES_KEY) — weryfikują, że dekorator napisano, nie że guard blokuje</t>
        </is>
      </c>
      <c r="K357" s="11" t="inlineStr">
        <is>
          <t>LUKA</t>
        </is>
      </c>
      <c r="L357" s="11" t="inlineStr">
        <is>
          <t>WYSOKA</t>
        </is>
      </c>
      <c r="M357" s="11" t="inlineStr">
        <is>
          <t>M</t>
        </is>
      </c>
      <c r="N357" s="12" t="inlineStr">
        <is>
          <t>pokrycie pozorne w najdroższym możliwym miejscu</t>
        </is>
      </c>
    </row>
    <row r="358">
      <c r="A358" s="11" t="inlineStr">
        <is>
          <t>X-11</t>
        </is>
      </c>
      <c r="B358" s="12" t="inlineStr">
        <is>
          <t>X</t>
        </is>
      </c>
      <c r="C358" s="11" t="inlineStr">
        <is>
          <t>Testy API w osobnym jobie CI, nie za typecheckiem</t>
        </is>
      </c>
      <c r="D358" s="11" t="inlineStr">
        <is>
          <t>—</t>
        </is>
      </c>
      <c r="E358" s="11" t="inlineStr">
        <is>
          <t>—</t>
        </is>
      </c>
      <c r="F358" s="11" t="inlineStr">
        <is>
          <t>—</t>
        </is>
      </c>
      <c r="G358" s="11" t="inlineStr">
        <is>
          <t>—</t>
        </is>
      </c>
      <c r="H358" s="11" t="inlineStr">
        <is>
          <t>—</t>
        </is>
      </c>
      <c r="I358" s="11" t="inlineStr">
        <is>
          <t>DZIAŁA</t>
        </is>
      </c>
      <c r="J358" s="12" t="inlineStr">
        <is>
          <t>.github/workflows/ci.yml — osobny job api-tests o nazwie „API unit tests"</t>
        </is>
      </c>
      <c r="K358" s="11" t="inlineStr">
        <is>
          <t>PARYTET</t>
        </is>
      </c>
      <c r="L358" s="11" t="inlineStr">
        <is>
          <t>—</t>
        </is>
      </c>
      <c r="M358" s="11" t="inlineStr">
        <is>
          <t>S</t>
        </is>
      </c>
      <c r="N358" s="12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</row>
    <row r="359">
      <c r="A359" s="11" t="inlineStr">
        <is>
          <t>X-12</t>
        </is>
      </c>
      <c r="B359" s="12" t="inlineStr">
        <is>
          <t>X</t>
        </is>
      </c>
      <c r="C359" s="11" t="inlineStr">
        <is>
          <t>Skrypty węzła serwowane przez API obecne w obrazie produkcyjnym</t>
        </is>
      </c>
      <c r="D359" s="11" t="inlineStr">
        <is>
          <t>—</t>
        </is>
      </c>
      <c r="E359" s="11" t="inlineStr">
        <is>
          <t>—</t>
        </is>
      </c>
      <c r="F359" s="11" t="inlineStr">
        <is>
          <t>—</t>
        </is>
      </c>
      <c r="G359" s="11" t="inlineStr">
        <is>
          <t>—</t>
        </is>
      </c>
      <c r="H359" s="11" t="inlineStr">
        <is>
          <t>—</t>
        </is>
      </c>
      <c r="I359" s="11" t="inlineStr">
        <is>
          <t>DZIAŁA</t>
        </is>
      </c>
      <c r="J359" s="12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K359" s="11" t="inlineStr">
        <is>
          <t>PARYTET</t>
        </is>
      </c>
      <c r="L359" s="11" t="inlineStr">
        <is>
          <t>—</t>
        </is>
      </c>
      <c r="M359" s="11" t="inlineStr">
        <is>
          <t>S</t>
        </is>
      </c>
      <c r="N359" s="12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</row>
    <row r="360">
      <c r="A360" s="11" t="inlineStr">
        <is>
          <t>X-13</t>
        </is>
      </c>
      <c r="B360" s="12" t="inlineStr">
        <is>
          <t>X</t>
        </is>
      </c>
      <c r="C360" s="11" t="inlineStr">
        <is>
          <t>Jedna gałąź wdrożeniowa — main</t>
        </is>
      </c>
      <c r="D360" s="11" t="inlineStr">
        <is>
          <t>—</t>
        </is>
      </c>
      <c r="E360" s="11" t="inlineStr">
        <is>
          <t>—</t>
        </is>
      </c>
      <c r="F360" s="11" t="inlineStr">
        <is>
          <t>—</t>
        </is>
      </c>
      <c r="G360" s="11" t="inlineStr">
        <is>
          <t>—</t>
        </is>
      </c>
      <c r="H360" s="11" t="inlineStr">
        <is>
          <t>—</t>
        </is>
      </c>
      <c r="I360" s="11" t="inlineStr">
        <is>
          <t>DZIAŁA</t>
        </is>
      </c>
      <c r="J360" s="12" t="inlineStr">
        <is>
          <t>.github/workflows/deploy.yml — on.push.branches: [main]</t>
        </is>
      </c>
      <c r="K360" s="11" t="inlineStr">
        <is>
          <t>PARYTET</t>
        </is>
      </c>
      <c r="L360" s="11" t="inlineStr">
        <is>
          <t>—</t>
        </is>
      </c>
      <c r="M360" s="11" t="inlineStr">
        <is>
          <t>S</t>
        </is>
      </c>
      <c r="N360" s="12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</row>
    <row r="361">
      <c r="A361" s="11" t="inlineStr">
        <is>
          <t>Z-12</t>
        </is>
      </c>
      <c r="B361" s="12" t="inlineStr">
        <is>
          <t>K</t>
        </is>
      </c>
      <c r="C361" s="11" t="inlineStr">
        <is>
          <t>Placement kont nadsubskrybuje zasoby węzła zamiast rezerwować pełne limity planu</t>
        </is>
      </c>
      <c r="D361" s="11" t="inlineStr">
        <is>
          <t>TAK</t>
        </is>
      </c>
      <c r="E361" s="11" t="inlineStr">
        <is>
          <t>TAK</t>
        </is>
      </c>
      <c r="F361" s="11" t="inlineStr">
        <is>
          <t>TAK</t>
        </is>
      </c>
      <c r="G361" s="11" t="inlineStr">
        <is>
          <t>TAK</t>
        </is>
      </c>
      <c r="H361" s="11" t="inlineStr">
        <is>
          <t>TAK</t>
        </is>
      </c>
      <c r="I361" s="11" t="inlineStr">
        <is>
          <t>DZIAŁA</t>
        </is>
      </c>
      <c r="J361" s="12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K361" s="11" t="inlineStr">
        <is>
          <t>PARYTET</t>
        </is>
      </c>
      <c r="L361" s="11" t="inlineStr">
        <is>
          <t>—</t>
        </is>
      </c>
      <c r="M361" s="11" t="inlineStr">
        <is>
          <t>M</t>
        </is>
      </c>
      <c r="N361" s="12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</row>
    <row r="362">
      <c r="A362" s="11" t="inlineStr">
        <is>
          <t>Z-13</t>
        </is>
      </c>
      <c r="B362" s="12" t="inlineStr">
        <is>
          <t>M</t>
        </is>
      </c>
      <c r="C362" s="11" t="inlineStr">
        <is>
          <t>Pakiet sprzedawany na stronie istnieje jako plan w bazie</t>
        </is>
      </c>
      <c r="D362" s="11" t="inlineStr">
        <is>
          <t>TAK</t>
        </is>
      </c>
      <c r="E362" s="11" t="inlineStr">
        <is>
          <t>TAK</t>
        </is>
      </c>
      <c r="F362" s="11" t="inlineStr">
        <is>
          <t>TAK</t>
        </is>
      </c>
      <c r="G362" s="11" t="inlineStr">
        <is>
          <t>TAK</t>
        </is>
      </c>
      <c r="H362" s="11" t="inlineStr">
        <is>
          <t>TAK</t>
        </is>
      </c>
      <c r="I362" s="11" t="inlineStr">
        <is>
          <t>DZIAŁA</t>
        </is>
      </c>
      <c r="J362" s="12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K362" s="11" t="inlineStr">
        <is>
          <t>PARYTET</t>
        </is>
      </c>
      <c r="L362" s="11" t="inlineStr">
        <is>
          <t>—</t>
        </is>
      </c>
      <c r="M362" s="11" t="inlineStr">
        <is>
          <t>S</t>
        </is>
      </c>
      <c r="N362" s="12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</row>
    <row r="363">
      <c r="A363" s="11" t="inlineStr">
        <is>
          <t>Z-14</t>
        </is>
      </c>
      <c r="B363" s="12" t="inlineStr">
        <is>
          <t>P</t>
        </is>
      </c>
      <c r="C363" s="11" t="inlineStr">
        <is>
          <t>Treść oferty nie obiecuje zasobów, których nie da się dotrzymać jednocześnie</t>
        </is>
      </c>
      <c r="D363" s="11" t="inlineStr">
        <is>
          <t>TAK</t>
        </is>
      </c>
      <c r="E363" s="11" t="inlineStr">
        <is>
          <t>TAK</t>
        </is>
      </c>
      <c r="F363" s="11" t="inlineStr">
        <is>
          <t>TAK</t>
        </is>
      </c>
      <c r="G363" s="11" t="inlineStr">
        <is>
          <t>TAK</t>
        </is>
      </c>
      <c r="H363" s="11" t="inlineStr">
        <is>
          <t>TAK</t>
        </is>
      </c>
      <c r="I363" s="11" t="inlineStr">
        <is>
          <t>DZIAŁA</t>
        </is>
      </c>
      <c r="J363" s="12" t="inlineStr">
        <is>
          <t>apps/www/src/app/(frontend)/hosting/page.tsx — „do 8 GB RAM, do 2 vCPU”; apps/www/src/app/(frontend)/components/Pricing.tsx — ta sama zmiana w karcie pakietu</t>
        </is>
      </c>
      <c r="K363" s="11" t="inlineStr">
        <is>
          <t>PARYTET</t>
        </is>
      </c>
      <c r="L363" s="11" t="inlineStr">
        <is>
          <t>—</t>
        </is>
      </c>
      <c r="M363" s="11" t="inlineStr">
        <is>
          <t>S</t>
        </is>
      </c>
      <c r="N363" s="12" t="inlineStr">
        <is>
          <t>Zamknięte 2026-08-22. Strona pisała „Baza w cenie: 50 GB NVMe, 8 GB RAM, 2 vCPU”. Przy gęstości, przy której węzeł w ogóle się domyka (51 kont), oznaczałoby to 408 GB RAM obiecane na maszynie ze 128 GB. Sformułowanie „w cenie” to obietnica rezerwacji; RAM i CPU są w LVE sufitami burst, więc poprawne jest „do”. Dysk zostaje bez zmiany — quota dyskowa jest realnie egzekwowana i 50 GB to faktyczna alokacja. To ten sam typ błędu, który audyt wychwycił w oferta.md: zdanie prawdziwe dla jednego klienta i nieprawdziwe dla wszystkich naraz. Decyzja PM-a z 2026-08-22. Dokumentacja: docs/strategy/DECYZJA_CENOWA_2026-08.md</t>
        </is>
      </c>
    </row>
    <row r="364">
      <c r="A364" s="11" t="inlineStr">
        <is>
          <t>Z-15</t>
        </is>
      </c>
      <c r="B364" s="12" t="inlineStr">
        <is>
          <t>K</t>
        </is>
      </c>
      <c r="C364" s="11" t="inlineStr">
        <is>
          <t>Alert wyprzedzający, gdy realne zużycie węzła zbliża się do progu</t>
        </is>
      </c>
      <c r="D364" s="11" t="inlineStr">
        <is>
          <t>TAK</t>
        </is>
      </c>
      <c r="E364" s="11" t="inlineStr">
        <is>
          <t>TAK</t>
        </is>
      </c>
      <c r="F364" s="11" t="inlineStr">
        <is>
          <t>CZĘŚĆ</t>
        </is>
      </c>
      <c r="G364" s="11" t="inlineStr">
        <is>
          <t>CZĘŚĆ</t>
        </is>
      </c>
      <c r="H364" s="11" t="inlineStr">
        <is>
          <t>TAK</t>
        </is>
      </c>
      <c r="I364" s="11" t="inlineStr">
        <is>
          <t>BRAK</t>
        </is>
      </c>
      <c r="J364" s="12" t="inlineStr">
        <is>
          <t>node-capacity.ts — bramka fizyczna odmawia po przekroczeniu progu, nie przed</t>
        </is>
      </c>
      <c r="K364" s="11" t="inlineStr">
        <is>
          <t>LUKA</t>
        </is>
      </c>
      <c r="L364" s="11" t="inlineStr">
        <is>
          <t>ŚREDNIA</t>
        </is>
      </c>
      <c r="M364" s="11" t="inlineStr">
        <is>
          <t>S</t>
        </is>
      </c>
      <c r="N364" s="12" t="inlineStr">
        <is>
          <t>Odkryte przy zamykaniu Z-12. Bramka realnego zużycia działa poprawnie, ale odzywa się dopiero wtedy, gdy węzeł jest już pełny — a operator dowiaduje się o tym z nieudanej sprzedaży. To jest ten sam wzorzec co przy X-12: mechanizm działa, tylko informacja dociera po fakcie. Do zrobienia: próg ostrzegawczy (np. 70% pojemności fizycznej) podpięty pod istniejący ops-watchdog.scheduler.ts, który już liczy procenty wykorzystania i wysyła alerty. Przy okazji: nikt nie liczy sumy nadsubskrypcji po całej flocie — przy jednym węźle bez znaczenia, przy pięciu już nie.</t>
        </is>
      </c>
    </row>
    <row r="365">
      <c r="A365" s="11" t="inlineStr">
        <is>
          <t>Z-16</t>
        </is>
      </c>
      <c r="B365" s="12" t="inlineStr">
        <is>
          <t>J</t>
        </is>
      </c>
      <c r="C365" s="11" t="inlineStr">
        <is>
          <t>Autoskalowanie pyta węzeł o pojemność i dowozi sufit obiecany w ofercie</t>
        </is>
      </c>
      <c r="D365" s="11" t="inlineStr">
        <is>
          <t>TAK</t>
        </is>
      </c>
      <c r="E365" s="11" t="inlineStr">
        <is>
          <t>TAK</t>
        </is>
      </c>
      <c r="F365" s="11" t="inlineStr">
        <is>
          <t>CZĘŚĆ</t>
        </is>
      </c>
      <c r="G365" s="11" t="inlineStr">
        <is>
          <t>CZĘŚĆ</t>
        </is>
      </c>
      <c r="H365" s="11" t="inlineStr">
        <is>
          <t>TAK</t>
        </is>
      </c>
      <c r="I365" s="11" t="inlineStr">
        <is>
          <t>DZIAŁA</t>
        </is>
      </c>
      <c r="J365" s="12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K365" s="11" t="inlineStr">
        <is>
          <t>PARYTET</t>
        </is>
      </c>
      <c r="L365" s="11" t="inlineStr">
        <is>
          <t>—</t>
        </is>
      </c>
      <c r="M365" s="11" t="inlineStr">
        <is>
          <t>M</t>
        </is>
      </c>
      <c r="N365" s="12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</row>
    <row r="366">
      <c r="A366" s="11" t="inlineStr">
        <is>
          <t>Z-17</t>
        </is>
      </c>
      <c r="B366" s="12" t="inlineStr">
        <is>
          <t>J</t>
        </is>
      </c>
      <c r="C366" s="11" t="inlineStr">
        <is>
          <t>Klient widzi, że autoskalowanie dało mu mniej, niż potrzebował</t>
        </is>
      </c>
      <c r="D366" s="11" t="inlineStr">
        <is>
          <t>NIE</t>
        </is>
      </c>
      <c r="E366" s="11" t="inlineStr">
        <is>
          <t>NIE</t>
        </is>
      </c>
      <c r="F366" s="11" t="inlineStr">
        <is>
          <t>NIE</t>
        </is>
      </c>
      <c r="G366" s="11" t="inlineStr">
        <is>
          <t>CZĘŚĆ</t>
        </is>
      </c>
      <c r="H366" s="11" t="inlineStr">
        <is>
          <t>TAK</t>
        </is>
      </c>
      <c r="I366" s="11" t="inlineStr">
        <is>
          <t>BRAK</t>
        </is>
      </c>
      <c r="J366" s="12" t="inlineStr">
        <is>
          <t>autoscaling-engine.service.ts — obcięcie zostawia wpis w dzienniku audytu i warn w logu, ale panel klienta nie pokazuje niczego</t>
        </is>
      </c>
      <c r="K366" s="11" t="inlineStr">
        <is>
          <t>LUKA</t>
        </is>
      </c>
      <c r="L366" s="11" t="inlineStr">
        <is>
          <t>ŚREDNIA</t>
        </is>
      </c>
      <c r="M366" s="11" t="inlineStr">
        <is>
          <t>S</t>
        </is>
      </c>
      <c r="N366" s="12" t="inlineStr">
        <is>
          <t>Odkryte przy zamykaniu Z-16. Gdy węzeł nie ma pełnej nadwyżki, konto dostaje tyle, ile się da — i to jest właściwe zachowanie. Ale klient płaci za autoskalowanie godzinowo i nie dowiaduje się, że w szczycie dostał połowę tego, czego strona potrzebowała. Widzi wolną stronę i nie wie dlaczego. | To nie jest kosmetyka interfejsu: przy usłudze rozliczanej za realne użycie informacja o tym, że usługa nie dowiozła, jest częścią usługi. Bez niej pierwsze zgłoszenie do BOK-u brzmi „strona muliła w Black Friday”, a odpowiedź wymaga grzebania w dzienniku audytu. | Do zrobienia: wpis w historii autoskalowania widoczny w panelu klienta plus, przy powtarzających się obcięciach, sygnał od nas — bo to my mamy za mało węzłów, nie on za mały pakiet.</t>
        </is>
      </c>
    </row>
    <row r="367">
      <c r="A367" s="11" t="inlineStr">
        <is>
          <t>X-14</t>
        </is>
      </c>
      <c r="B367" s="12" t="inlineStr">
        <is>
          <t>X</t>
        </is>
      </c>
      <c r="C367" s="11" t="inlineStr">
        <is>
          <t>CI sprawdza DANE po migracji, nie tylko czy migracja się wykonała</t>
        </is>
      </c>
      <c r="D367" s="11" t="inlineStr">
        <is>
          <t>—</t>
        </is>
      </c>
      <c r="E367" s="11" t="inlineStr">
        <is>
          <t>—</t>
        </is>
      </c>
      <c r="F367" s="11" t="inlineStr">
        <is>
          <t>—</t>
        </is>
      </c>
      <c r="G367" s="11" t="inlineStr">
        <is>
          <t>—</t>
        </is>
      </c>
      <c r="H367" s="11" t="inlineStr">
        <is>
          <t>—</t>
        </is>
      </c>
      <c r="I367" s="11" t="inlineStr">
        <is>
          <t>DZIAŁA</t>
        </is>
      </c>
      <c r="J367" s="12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K367" s="11" t="inlineStr">
        <is>
          <t>PARYTET</t>
        </is>
      </c>
      <c r="L367" s="11" t="inlineStr">
        <is>
          <t>—</t>
        </is>
      </c>
      <c r="M367" s="11" t="inlineStr">
        <is>
          <t>S</t>
        </is>
      </c>
      <c r="N367" s="12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</row>
    <row r="368">
      <c r="A368" s="11" t="inlineStr">
        <is>
          <t>X-15</t>
        </is>
      </c>
      <c r="B368" s="12" t="inlineStr">
        <is>
          <t>X</t>
        </is>
      </c>
      <c r="C368" s="11" t="inlineStr">
        <is>
          <t>Niezmiennik księgi pojemności sprawdzany liczbowo, nie tekstowo</t>
        </is>
      </c>
      <c r="D368" s="11" t="inlineStr">
        <is>
          <t>—</t>
        </is>
      </c>
      <c r="E368" s="11" t="inlineStr">
        <is>
          <t>—</t>
        </is>
      </c>
      <c r="F368" s="11" t="inlineStr">
        <is>
          <t>—</t>
        </is>
      </c>
      <c r="G368" s="11" t="inlineStr">
        <is>
          <t>—</t>
        </is>
      </c>
      <c r="H368" s="11" t="inlineStr">
        <is>
          <t>—</t>
        </is>
      </c>
      <c r="I368" s="11" t="inlineStr">
        <is>
          <t>DZIAŁA</t>
        </is>
      </c>
      <c r="J368" s="12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K368" s="11" t="inlineStr">
        <is>
          <t>PARYTET</t>
        </is>
      </c>
      <c r="L368" s="11" t="inlineStr">
        <is>
          <t>—</t>
        </is>
      </c>
      <c r="M368" s="11" t="inlineStr">
        <is>
          <t>S</t>
        </is>
      </c>
      <c r="N368" s="12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</row>
    <row r="369">
      <c r="A369" s="11" t="inlineStr">
        <is>
          <t>X-17</t>
        </is>
      </c>
      <c r="B369" s="12" t="inlineStr">
        <is>
          <t>X</t>
        </is>
      </c>
      <c r="C369" s="11" t="inlineStr">
        <is>
          <t>Joby CI budują zależności workspace'u zanim uruchomią testy</t>
        </is>
      </c>
      <c r="D369" s="11" t="inlineStr">
        <is>
          <t>—</t>
        </is>
      </c>
      <c r="E369" s="11" t="inlineStr">
        <is>
          <t>—</t>
        </is>
      </c>
      <c r="F369" s="11" t="inlineStr">
        <is>
          <t>—</t>
        </is>
      </c>
      <c r="G369" s="11" t="inlineStr">
        <is>
          <t>—</t>
        </is>
      </c>
      <c r="H369" s="11" t="inlineStr">
        <is>
          <t>—</t>
        </is>
      </c>
      <c r="I369" s="11" t="inlineStr">
        <is>
          <t>DZIAŁA</t>
        </is>
      </c>
      <c r="J369" s="12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K369" s="11" t="inlineStr">
        <is>
          <t>PARYTET</t>
        </is>
      </c>
      <c r="L369" s="11" t="inlineStr">
        <is>
          <t>—</t>
        </is>
      </c>
      <c r="M369" s="11" t="inlineStr">
        <is>
          <t>S</t>
        </is>
      </c>
      <c r="N369" s="12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</row>
    <row r="370">
      <c r="A370" s="11" t="inlineStr">
        <is>
          <t>X-18</t>
        </is>
      </c>
      <c r="B370" s="12" t="inlineStr">
        <is>
          <t>X</t>
        </is>
      </c>
      <c r="C370" s="11" t="inlineStr">
        <is>
          <t>Zależności podniesione do najnowszych bezpiecznych wersji</t>
        </is>
      </c>
      <c r="D370" s="11" t="inlineStr">
        <is>
          <t>—</t>
        </is>
      </c>
      <c r="E370" s="11" t="inlineStr">
        <is>
          <t>—</t>
        </is>
      </c>
      <c r="F370" s="11" t="inlineStr">
        <is>
          <t>—</t>
        </is>
      </c>
      <c r="G370" s="11" t="inlineStr">
        <is>
          <t>—</t>
        </is>
      </c>
      <c r="H370" s="11" t="inlineStr">
        <is>
          <t>—</t>
        </is>
      </c>
      <c r="I370" s="11" t="inlineStr">
        <is>
          <t>DZIAŁA</t>
        </is>
      </c>
      <c r="J370" s="12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K370" s="11" t="inlineStr">
        <is>
          <t>PARYTET</t>
        </is>
      </c>
      <c r="L370" s="11" t="inlineStr">
        <is>
          <t>—</t>
        </is>
      </c>
      <c r="M370" s="11" t="inlineStr">
        <is>
          <t>M</t>
        </is>
      </c>
      <c r="N370" s="12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</row>
    <row r="371">
      <c r="A371" s="11" t="inlineStr">
        <is>
          <t>X-19</t>
        </is>
      </c>
      <c r="B371" s="12" t="inlineStr">
        <is>
          <t>X</t>
        </is>
      </c>
      <c r="C371" s="11" t="inlineStr">
        <is>
          <t>Dług lintera odsłonięty przez Next 16 i włączenie ESLinta w API</t>
        </is>
      </c>
      <c r="D371" s="11" t="inlineStr">
        <is>
          <t>—</t>
        </is>
      </c>
      <c r="E371" s="11" t="inlineStr">
        <is>
          <t>—</t>
        </is>
      </c>
      <c r="F371" s="11" t="inlineStr">
        <is>
          <t>—</t>
        </is>
      </c>
      <c r="G371" s="11" t="inlineStr">
        <is>
          <t>—</t>
        </is>
      </c>
      <c r="H371" s="11" t="inlineStr">
        <is>
          <t>—</t>
        </is>
      </c>
      <c r="I371" s="11" t="inlineStr">
        <is>
          <t>CZĘŚCIOWE</t>
        </is>
      </c>
      <c r="J371" s="12" t="inlineStr">
        <is>
          <t>libs/eslint-config/node.mjs oraz apps/*/eslint.config.mjs — reguły włączone, ale część jako ostrzeżenia; 209 ostrzeżeń w panelach, 58 w API</t>
        </is>
      </c>
      <c r="K371" s="11" t="inlineStr">
        <is>
          <t>CZĘŚCIOWY</t>
        </is>
      </c>
      <c r="L371" s="11" t="inlineStr">
        <is>
          <t>ŚREDNIA</t>
        </is>
      </c>
      <c r="M371" s="11" t="inlineStr">
        <is>
          <t>M</t>
        </is>
      </c>
      <c r="N371" s="12" t="inlineStr">
        <is>
          <t>Odkryte przy X-18. Next 16 usunęło komendę `next lint`, więc panele przeszły na płaską konfigurację i eslint wołany wprost. Nowszy eslint-config-next włącza reguły, których poprzednia konfiguracja nie egzekwowała — przede wszystkim rodzinę react-hooks z React Compilera. W panelu klienta odsłoniło to 105 znalezisk. | Osobno: apps/api i libs/directadmin-sdk wołały `eslint` BEZ ŻADNEJ konfiguracji w repozytorium — jedyny plik, libs/eslint-config/base.js, jest w starym formacie eslintrc i nic go nie importowało. Krok lintowania tych pakietów nie sprawdzał niczego. Dodana płaska konfiguracja node.mjs. | NAJWAŻNIEJSZE: nowe reguły wyłapały REALNY BUG. W admin-panel/autoscaling/pricing-table.tsx useMemo stał PO wczesnym return — przy pustej liście reguł hook nie wykonywał się wcale, a po dodaniu pierwszej stawki React widział inną liczbę hooków i komponent się wywalał. Czyli: panel cennika autoskalowania psuł się dokładnie w momencie dodania pierwszej reguły. Naprawione. Drugi: JSX konstruowany w try/catch w pulpicie admina — try nie chronił przed niczym, bo React renderuje zwrócony element po wyjściu z funkcji. | Reguły NIE są wyłączone, tylko obniżone do ostrzeżeń, z komentarzem wskazującym tę pozycję. Wracają na 'error' przy jej zamykaniu. | Wyjątek trwały: no-control-regex zostaje wyłączone — znaki sterujące w regexach walidacyjnych są zamierzone. no-useless-escape zostaje ostrzeżeniem świadomie: cztery wystąpienia siedzą w regexach walidujących wejście (kody promocyjne, ścieżki plików, załączniki), a zmiana regexa walidacyjnego przy okazji podnoszenia zależności to dokładnie ten rodzaj zmiany, który Z-03 kazał robić z testem na każdy przypadek.</t>
        </is>
      </c>
    </row>
    <row r="372">
      <c r="A372" s="11" t="inlineStr">
        <is>
          <t>X-20</t>
        </is>
      </c>
      <c r="B372" s="12" t="inlineStr">
        <is>
          <t>X</t>
        </is>
      </c>
      <c r="C372" s="11" t="inlineStr">
        <is>
          <t>Decyzja i migracja na Prismę 7</t>
        </is>
      </c>
      <c r="D372" s="11" t="inlineStr">
        <is>
          <t>—</t>
        </is>
      </c>
      <c r="E372" s="11" t="inlineStr">
        <is>
          <t>—</t>
        </is>
      </c>
      <c r="F372" s="11" t="inlineStr">
        <is>
          <t>—</t>
        </is>
      </c>
      <c r="G372" s="11" t="inlineStr">
        <is>
          <t>—</t>
        </is>
      </c>
      <c r="H372" s="11" t="inlineStr">
        <is>
          <t>—</t>
        </is>
      </c>
      <c r="I372" s="11" t="inlineStr">
        <is>
          <t>BRAK</t>
        </is>
      </c>
      <c r="J372" s="12" t="inlineStr">
        <is>
          <t>libs/database/package.json — prisma 6.19.3; schema.prisma:17 — datasource url = env("DATABASE_URL"), składnia usunięta w Prismie 7</t>
        </is>
      </c>
      <c r="K372" s="11" t="inlineStr">
        <is>
          <t>LUKA</t>
        </is>
      </c>
      <c r="L372" s="11" t="inlineStr">
        <is>
          <t>ŚREDNIA</t>
        </is>
      </c>
      <c r="M372" s="11" t="inlineStr">
        <is>
          <t>L</t>
        </is>
      </c>
      <c r="N372" s="12" t="inlineStr">
        <is>
          <t>Odkryte przy X-18, świadomie odłożone. Prisma 7 nie jest podniesieniem wersji, tylko zmianą architektury dostępu do bazy: właściwość `url` znika z datasource w schemacie i przenosi się do prisma.config.ts, a PrismaClient wymaga przekazania driver adaptera (@prisma/adapter-pg) albo adresu Accelerate. Sprawdzone realnie — `prisma generate` na 7.9.1 kończy się błędem P1012. | Dotyka: prisma.service.ts, libs/database/src/index.ts, seed, jobów CI, testów integracyjnych i sposobu, w jaki produkcja dostaje DATABASE_URL. Czyli każdej ścieżki do bazy naraz. | Argument za zrobieniem: zamyka ostatnią wysoką podatność (deepmerge-ts). Argument za odłożeniem: zmiana w warstwie danych na dwa sprinty przed startem sprzedaży, przy siedmiu otwartych blokerach, której nie da się w pełni zweryfikować lokalnie — binaries.prisma.sh jest poza listą dozwolonych hostów w obu moich środowiskach, więc jedyną weryfikacją byłoby CI. | Do zrobienia po starcie, z własnym sprintem i testem integracyjnym na każdej ścieżce zapisu.</t>
        </is>
      </c>
    </row>
    <row r="373">
      <c r="A373" s="11" t="inlineStr">
        <is>
          <t>X-21</t>
        </is>
      </c>
      <c r="B373" s="12" t="inlineStr">
        <is>
          <t>X</t>
        </is>
      </c>
      <c r="C373" s="11" t="inlineStr">
        <is>
          <t>Deklaracje typów opisują tę wersję biblioteki, która jest zainstalowana</t>
        </is>
      </c>
      <c r="D373" s="11" t="inlineStr">
        <is>
          <t>—</t>
        </is>
      </c>
      <c r="E373" s="11" t="inlineStr">
        <is>
          <t>—</t>
        </is>
      </c>
      <c r="F373" s="11" t="inlineStr">
        <is>
          <t>—</t>
        </is>
      </c>
      <c r="G373" s="11" t="inlineStr">
        <is>
          <t>—</t>
        </is>
      </c>
      <c r="H373" s="11" t="inlineStr">
        <is>
          <t>—</t>
        </is>
      </c>
      <c r="I373" s="11" t="inlineStr">
        <is>
          <t>DZIAŁA</t>
        </is>
      </c>
      <c r="J373" s="12" t="inlineStr">
        <is>
          <t>apps/api/package.json — @types/archiver ^8.0.0 przy archiver ^8.0.0; apps/api/src/test/typy-zgodne-z-runtime.spec.ts — 12 testów; package.json — engines.node "&gt;=22.12"</t>
        </is>
      </c>
      <c r="K373" s="11" t="inlineStr">
        <is>
          <t>PARYTET</t>
        </is>
      </c>
      <c r="L373" s="11" t="inlineStr">
        <is>
          <t>—</t>
        </is>
      </c>
      <c r="M373" s="11" t="inlineStr">
        <is>
          <t>S</t>
        </is>
      </c>
      <c r="N373" s="12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</row>
    <row r="374">
      <c r="A374" s="11" t="inlineStr">
        <is>
          <t>X-22</t>
        </is>
      </c>
      <c r="B374" s="12" t="inlineStr">
        <is>
          <t>X</t>
        </is>
      </c>
      <c r="C374" s="11" t="inlineStr">
        <is>
          <t>Eksport danych osobowych (RODO art. 20) sprawdzany testem end-to-end</t>
        </is>
      </c>
      <c r="D374" s="11" t="inlineStr">
        <is>
          <t>—</t>
        </is>
      </c>
      <c r="E374" s="11" t="inlineStr">
        <is>
          <t>—</t>
        </is>
      </c>
      <c r="F374" s="11" t="inlineStr">
        <is>
          <t>—</t>
        </is>
      </c>
      <c r="G374" s="11" t="inlineStr">
        <is>
          <t>—</t>
        </is>
      </c>
      <c r="H374" s="11" t="inlineStr">
        <is>
          <t>—</t>
        </is>
      </c>
      <c r="I374" s="11" t="inlineStr">
        <is>
          <t>BRAK</t>
        </is>
      </c>
      <c r="J374" s="12" t="inlineStr">
        <is>
          <t>apps/api/src/compliance/data-export.service.ts — buildZipToFile bez żadnego testu; apps/api/src/compliance/*.spec.ts — brak pokrycia tej ścieżki</t>
        </is>
      </c>
      <c r="K374" s="11" t="inlineStr">
        <is>
          <t>LUKA</t>
        </is>
      </c>
      <c r="L374" s="11" t="inlineStr">
        <is>
          <t>WYSOKA</t>
        </is>
      </c>
      <c r="M374" s="11" t="inlineStr">
        <is>
          <t>M</t>
        </is>
      </c>
      <c r="N374" s="12" t="inlineStr">
        <is>
          <t>Odkryte przy X-21. Eksport danych osobowych wywalał się w runtime przy każdym żądaniu przez cały okres między podniesieniem archivera a 2026-08-22 i NIC tego nie zgłosiło — bo tej ścieżki nie dotyka żaden test. Strażnik z X-21 pilnuje teraz zgodności typów z runtime'em, ale to jest obejście od strony zależności, nie dowód, że eksport działa. | To jest OBOWIĄZEK USTAWOWY (RODO art. 20 — prawo do przenoszenia danych), z terminem miesiąca na odpowiedź. Ścieżka, której nie sprawdza nic, a której awaria jest naruszeniem, nie sprawdzeniem. | DO ZROBIENIA: test integracyjny, który zakłada konto z danymi w każdej sekcji (profil, subskrypcje, faktury, zgłoszenia, załączniki), wywołuje eksport, rozpakowuje wynikowy ZIP i sprawdza, że każda sekcja jest w środku i daje się sparsować. Plus ten sam wzorzec dla buildDefaultHostingPageBundle (tar.gz rozpakowany, index.html obecny). | Dopiero taki test daje D2. D3 wymaga wywołania eksportu na produkcji i obejrzenia pliku.</t>
        </is>
      </c>
    </row>
    <row r="375">
      <c r="A375" s="11" t="inlineStr">
        <is>
          <t>X-23</t>
        </is>
      </c>
      <c r="B375" s="12" t="inlineStr">
        <is>
          <t>X</t>
        </is>
      </c>
      <c r="C375" s="11" t="inlineStr">
        <is>
          <t>Bramka podatności zatrzymuje wdrożenie, a nie tylko dopisuje adnotację</t>
        </is>
      </c>
      <c r="D375" s="11" t="inlineStr">
        <is>
          <t>—</t>
        </is>
      </c>
      <c r="E375" s="11" t="inlineStr">
        <is>
          <t>—</t>
        </is>
      </c>
      <c r="F375" s="11" t="inlineStr">
        <is>
          <t>—</t>
        </is>
      </c>
      <c r="G375" s="11" t="inlineStr">
        <is>
          <t>—</t>
        </is>
      </c>
      <c r="H375" s="11" t="inlineStr">
        <is>
          <t>—</t>
        </is>
      </c>
      <c r="I375" s="11" t="inlineStr">
        <is>
          <t>DZIAŁA</t>
        </is>
      </c>
      <c r="J375" s="12" t="inlineStr">
        <is>
          <t>ops/ci/audyt-bramka.cjs; ops/ci/podatnosci-dopuszczone.json; .github/workflows/ci.yml — krok „Bramka podatności" bez continue-on-error; apps/api/src/test/bramka-podatnosci.spec.ts — 15 testów; krok Lint też odmiękczony; .github/dependabot.yml — 3 reguły ignore z terminem; apps/api/src/test/dependabot-wyciszenia.spec.ts — 6 testów</t>
        </is>
      </c>
      <c r="K375" s="11" t="inlineStr">
        <is>
          <t>PARYTET</t>
        </is>
      </c>
      <c r="L375" s="11" t="inlineStr">
        <is>
          <t>—</t>
        </is>
      </c>
      <c r="M375" s="11" t="inlineStr">
        <is>
          <t>S</t>
        </is>
      </c>
      <c r="N375" s="12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</t>
        </is>
      </c>
    </row>
    <row r="376">
      <c r="A376" s="11" t="inlineStr">
        <is>
          <t>M-34</t>
        </is>
      </c>
      <c r="B376" s="12" t="inlineStr">
        <is>
          <t>M</t>
        </is>
      </c>
      <c r="C376" s="11" t="inlineStr">
        <is>
          <t>Model prepaid potwierdzony z księgową — doładowanie bez faktury zaliczkowej</t>
        </is>
      </c>
      <c r="D376" s="11" t="inlineStr">
        <is>
          <t>—</t>
        </is>
      </c>
      <c r="E376" s="11" t="inlineStr">
        <is>
          <t>—</t>
        </is>
      </c>
      <c r="F376" s="11" t="inlineStr">
        <is>
          <t>—</t>
        </is>
      </c>
      <c r="G376" s="11" t="inlineStr">
        <is>
          <t>TAK</t>
        </is>
      </c>
      <c r="H376" s="11" t="inlineStr">
        <is>
          <t>TAK</t>
        </is>
      </c>
      <c r="I376" s="11" t="inlineStr">
        <is>
          <t>b.d.</t>
        </is>
      </c>
      <c r="J376" s="12" t="inlineStr">
        <is>
          <t>faktura-za-portfel.ts — TYPY_SPRZEDAZY nie obejmuje TOPUP; billing.service.ts:handleCheckoutCompleted — doładowanie kredytuje portfel i nie tworzy dokumentu</t>
        </is>
      </c>
      <c r="K376" s="11" t="inlineStr">
        <is>
          <t>CZĘŚCIOWY</t>
        </is>
      </c>
      <c r="L376" s="11" t="inlineStr">
        <is>
          <t>WYSOKA</t>
        </is>
      </c>
      <c r="M376" s="11" t="inlineStr">
        <is>
          <t>S</t>
        </is>
      </c>
      <c r="N376" s="12" t="inlineStr">
        <is>
          <t>Odkryte przy Z-01, decyzja podjęta 2026-08-22 i WYMAGA POTWIERDZENIA. Przyjęliśmy model prepaid: doładowanie portfela nie jest sprzedażą, tylko wpłatą na poczet usług, więc nie generuje faktury; VAT powstaje przy świadczeniu usługi, czyli przy obciążeniu portfela, i tam idzie dokument. Klient dostaje potwierdzenie wpłaty mailem, nie fakturę. | RYZYKO: jeżeli środki z portfela dałoby się wydać wyłącznie na konkretną, z góry określoną usługę, organ podatkowy może uznać wpłatę za zaliczkę wymagającą faktury zaliczkowej (art. 106b ust. 1 pkt 4 ustawy o VAT). U nas środki są uniwersalne — idą na abonament, domeny, VPS, autoskalowanie i monitoring — co przemawia za modelem prepaid, ale to jest argument, nie rozstrzygnięcie. | DO ZROBIENIA PRZED STARTEM SPRZEDAŻY: potwierdzić model z księgową na piśmie i zapisać decyzję w repo z datą. Jeżeli wyjdzie, że potrzebne są faktury zaliczkowe, to osobny sprint: faktura końcowa musi odwoływać się do zaliczkowej i odejmować rozliczoną kwotę, a KSeF ma na to osobny typ dokumentu. | NIE jest to bloker w sensie kodu — mechanizm działa i jest spójny. Jest to bloker w sensie decyzji: sprzedaż ruszająca przy nierozstrzygniętym modelu podatkowym generuje dług, który rośnie z każdą wpłatą.</t>
        </is>
      </c>
    </row>
  </sheetData>
  <autoFilter ref="A1:N376"/>
  <conditionalFormatting sqref="D2:D376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76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76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76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76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76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76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76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2026-08-22T15:45:35Z</dcterms:created>
  <dcterms:modified xmlns:dcterms="http://purl.org/dc/terms/" xmlns:xsi="http://www.w3.org/2001/XMLSchema-instance" xsi:type="dcterms:W3CDTF">2026-08-22T15:45:35Z</dcterms:modified>
</cp:coreProperties>
</file>