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COUNTIF(Macierz!$K$2:$K$380,A6)</f>
        <v/>
      </c>
    </row>
    <row r="7">
      <c r="A7" s="5" t="inlineStr">
        <is>
          <t>PRZEWAGA</t>
        </is>
      </c>
      <c r="B7" s="5">
        <f>COUNTIF(Macierz!$K$2:$K$380,A7)</f>
        <v/>
      </c>
    </row>
    <row r="8">
      <c r="A8" s="5" t="inlineStr">
        <is>
          <t>CZĘŚCIOWY</t>
        </is>
      </c>
      <c r="B8" s="5">
        <f>COUNTIF(Macierz!$K$2:$K$380,A8)</f>
        <v/>
      </c>
    </row>
    <row r="9">
      <c r="A9" s="5" t="inlineStr">
        <is>
          <t>LUKA</t>
        </is>
      </c>
      <c r="B9" s="5">
        <f>COUNTIF(Macierz!$K$2:$K$380,A9)</f>
        <v/>
      </c>
    </row>
    <row r="10">
      <c r="A10" s="5" t="inlineStr">
        <is>
          <t>POZA ZAKRESEM</t>
        </is>
      </c>
      <c r="B10" s="5">
        <f>COUNTIF(Macierz!$K$2:$K$380,A10)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COUNTIF(Macierz!$I$2:$I$380,A15)</f>
        <v/>
      </c>
    </row>
    <row r="16">
      <c r="A16" s="5" t="inlineStr">
        <is>
          <t>CZĘŚCIOWE</t>
        </is>
      </c>
      <c r="B16" s="5">
        <f>COUNTIF(Macierz!$I$2:$I$380,A16)</f>
        <v/>
      </c>
    </row>
    <row r="17">
      <c r="A17" s="5" t="inlineStr">
        <is>
          <t>FLAGA</t>
        </is>
      </c>
      <c r="B17" s="5">
        <f>COUNTIF(Macierz!$I$2:$I$380,A17)</f>
        <v/>
      </c>
    </row>
    <row r="18">
      <c r="A18" s="5" t="inlineStr">
        <is>
          <t>ATRAPA</t>
        </is>
      </c>
      <c r="B18" s="5">
        <f>COUNTIF(Macierz!$I$2:$I$380,A18)</f>
        <v/>
      </c>
    </row>
    <row r="19">
      <c r="A19" s="5" t="inlineStr">
        <is>
          <t>ENDPOINT BEZ UI</t>
        </is>
      </c>
      <c r="B19" s="5">
        <f>COUNTIF(Macierz!$I$2:$I$380,A19)</f>
        <v/>
      </c>
    </row>
    <row r="20">
      <c r="A20" s="5" t="inlineStr">
        <is>
          <t>BRAK</t>
        </is>
      </c>
      <c r="B20" s="5">
        <f>COUNTIF(Macierz!$I$2:$I$380,A20)</f>
        <v/>
      </c>
    </row>
    <row r="21">
      <c r="A21" s="5" t="inlineStr">
        <is>
          <t>b.d.</t>
        </is>
      </c>
      <c r="B21" s="5">
        <f>COUNTIF(Macierz!$I$2:$I$380,A21)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COUNTIF(Macierz!$L$2:$L$380,A26)</f>
        <v/>
      </c>
    </row>
    <row r="27">
      <c r="A27" s="5" t="inlineStr">
        <is>
          <t>WYSOKA</t>
        </is>
      </c>
      <c r="B27" s="5">
        <f>COUNTIF(Macierz!$L$2:$L$380,A27)</f>
        <v/>
      </c>
    </row>
    <row r="28">
      <c r="A28" s="5" t="inlineStr">
        <is>
          <t>ŚREDNIA</t>
        </is>
      </c>
      <c r="B28" s="5">
        <f>COUNTIF(Macierz!$L$2:$L$380,A28)</f>
        <v/>
      </c>
    </row>
    <row r="29">
      <c r="A29" s="5" t="inlineStr">
        <is>
          <t>NISKA</t>
        </is>
      </c>
      <c r="B29" s="5">
        <f>COUNTIF(Macierz!$L$2:$L$380,A29)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COUNTIF(Macierz!$B$2:$B$380,"A")</f>
        <v/>
      </c>
      <c r="C33" s="7">
        <f>COUNTIFS(Macierz!$B$2:$B$380,"A",Macierz!$K$2:$K$380,"PARYTET")+COUNTIFS(Macierz!$B$2:$B$380,"A",Macierz!$K$2:$K$380,"PRZEWAGA")</f>
        <v/>
      </c>
      <c r="D33" s="7">
        <f>COUNTIFS(Macierz!$B$2:$B$380,"A",Macierz!$K$2:$K$380,"LUKA")</f>
        <v/>
      </c>
      <c r="E33" s="7">
        <f>COUNTIFS(Macierz!$B$2:$B$380,"A",Macierz!$L$2:$L$380,"BLOKER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COUNTIF(Macierz!$B$2:$B$380,"B")</f>
        <v/>
      </c>
      <c r="C34" s="7">
        <f>COUNTIFS(Macierz!$B$2:$B$380,"B",Macierz!$K$2:$K$380,"PARYTET")+COUNTIFS(Macierz!$B$2:$B$380,"B",Macierz!$K$2:$K$380,"PRZEWAGA")</f>
        <v/>
      </c>
      <c r="D34" s="7">
        <f>COUNTIFS(Macierz!$B$2:$B$380,"B",Macierz!$K$2:$K$380,"LUKA")</f>
        <v/>
      </c>
      <c r="E34" s="7">
        <f>COUNTIFS(Macierz!$B$2:$B$380,"B",Macierz!$L$2:$L$380,"BLOKER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COUNTIF(Macierz!$B$2:$B$380,"C")</f>
        <v/>
      </c>
      <c r="C35" s="7">
        <f>COUNTIFS(Macierz!$B$2:$B$380,"C",Macierz!$K$2:$K$380,"PARYTET")+COUNTIFS(Macierz!$B$2:$B$380,"C",Macierz!$K$2:$K$380,"PRZEWAGA")</f>
        <v/>
      </c>
      <c r="D35" s="7">
        <f>COUNTIFS(Macierz!$B$2:$B$380,"C",Macierz!$K$2:$K$380,"LUKA")</f>
        <v/>
      </c>
      <c r="E35" s="7">
        <f>COUNTIFS(Macierz!$B$2:$B$380,"C",Macierz!$L$2:$L$380,"BLOKER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COUNTIF(Macierz!$B$2:$B$380,"D")</f>
        <v/>
      </c>
      <c r="C36" s="7">
        <f>COUNTIFS(Macierz!$B$2:$B$380,"D",Macierz!$K$2:$K$380,"PARYTET")+COUNTIFS(Macierz!$B$2:$B$380,"D",Macierz!$K$2:$K$380,"PRZEWAGA")</f>
        <v/>
      </c>
      <c r="D36" s="7">
        <f>COUNTIFS(Macierz!$B$2:$B$380,"D",Macierz!$K$2:$K$380,"LUKA")</f>
        <v/>
      </c>
      <c r="E36" s="7">
        <f>COUNTIFS(Macierz!$B$2:$B$380,"D",Macierz!$L$2:$L$380,"BLOKER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COUNTIF(Macierz!$B$2:$B$380,"E")</f>
        <v/>
      </c>
      <c r="C37" s="7">
        <f>COUNTIFS(Macierz!$B$2:$B$380,"E",Macierz!$K$2:$K$380,"PARYTET")+COUNTIFS(Macierz!$B$2:$B$380,"E",Macierz!$K$2:$K$380,"PRZEWAGA")</f>
        <v/>
      </c>
      <c r="D37" s="7">
        <f>COUNTIFS(Macierz!$B$2:$B$380,"E",Macierz!$K$2:$K$380,"LUKA")</f>
        <v/>
      </c>
      <c r="E37" s="7">
        <f>COUNTIFS(Macierz!$B$2:$B$380,"E",Macierz!$L$2:$L$380,"BLOKER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COUNTIF(Macierz!$B$2:$B$380,"F")</f>
        <v/>
      </c>
      <c r="C38" s="7">
        <f>COUNTIFS(Macierz!$B$2:$B$380,"F",Macierz!$K$2:$K$380,"PARYTET")+COUNTIFS(Macierz!$B$2:$B$380,"F",Macierz!$K$2:$K$380,"PRZEWAGA")</f>
        <v/>
      </c>
      <c r="D38" s="7">
        <f>COUNTIFS(Macierz!$B$2:$B$380,"F",Macierz!$K$2:$K$380,"LUKA")</f>
        <v/>
      </c>
      <c r="E38" s="7">
        <f>COUNTIFS(Macierz!$B$2:$B$380,"F",Macierz!$L$2:$L$380,"BLOKER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COUNTIF(Macierz!$B$2:$B$380,"G")</f>
        <v/>
      </c>
      <c r="C39" s="7">
        <f>COUNTIFS(Macierz!$B$2:$B$380,"G",Macierz!$K$2:$K$380,"PARYTET")+COUNTIFS(Macierz!$B$2:$B$380,"G",Macierz!$K$2:$K$380,"PRZEWAGA")</f>
        <v/>
      </c>
      <c r="D39" s="7">
        <f>COUNTIFS(Macierz!$B$2:$B$380,"G",Macierz!$K$2:$K$380,"LUKA")</f>
        <v/>
      </c>
      <c r="E39" s="7">
        <f>COUNTIFS(Macierz!$B$2:$B$380,"G",Macierz!$L$2:$L$380,"BLOKER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COUNTIF(Macierz!$B$2:$B$380,"H")</f>
        <v/>
      </c>
      <c r="C40" s="7">
        <f>COUNTIFS(Macierz!$B$2:$B$380,"H",Macierz!$K$2:$K$380,"PARYTET")+COUNTIFS(Macierz!$B$2:$B$380,"H",Macierz!$K$2:$K$380,"PRZEWAGA")</f>
        <v/>
      </c>
      <c r="D40" s="7">
        <f>COUNTIFS(Macierz!$B$2:$B$380,"H",Macierz!$K$2:$K$380,"LUKA")</f>
        <v/>
      </c>
      <c r="E40" s="7">
        <f>COUNTIFS(Macierz!$B$2:$B$380,"H",Macierz!$L$2:$L$380,"BLOKER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COUNTIF(Macierz!$B$2:$B$380,"I")</f>
        <v/>
      </c>
      <c r="C41" s="7">
        <f>COUNTIFS(Macierz!$B$2:$B$380,"I",Macierz!$K$2:$K$380,"PARYTET")+COUNTIFS(Macierz!$B$2:$B$380,"I",Macierz!$K$2:$K$380,"PRZEWAGA")</f>
        <v/>
      </c>
      <c r="D41" s="7">
        <f>COUNTIFS(Macierz!$B$2:$B$380,"I",Macierz!$K$2:$K$380,"LUKA")</f>
        <v/>
      </c>
      <c r="E41" s="7">
        <f>COUNTIFS(Macierz!$B$2:$B$380,"I",Macierz!$L$2:$L$380,"BLOKER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COUNTIF(Macierz!$B$2:$B$380,"J")</f>
        <v/>
      </c>
      <c r="C42" s="7">
        <f>COUNTIFS(Macierz!$B$2:$B$380,"J",Macierz!$K$2:$K$380,"PARYTET")+COUNTIFS(Macierz!$B$2:$B$380,"J",Macierz!$K$2:$K$380,"PRZEWAGA")</f>
        <v/>
      </c>
      <c r="D42" s="7">
        <f>COUNTIFS(Macierz!$B$2:$B$380,"J",Macierz!$K$2:$K$380,"LUKA")</f>
        <v/>
      </c>
      <c r="E42" s="7">
        <f>COUNTIFS(Macierz!$B$2:$B$380,"J",Macierz!$L$2:$L$380,"BLOKER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COUNTIF(Macierz!$B$2:$B$380,"K")</f>
        <v/>
      </c>
      <c r="C43" s="7">
        <f>COUNTIFS(Macierz!$B$2:$B$380,"K",Macierz!$K$2:$K$380,"PARYTET")+COUNTIFS(Macierz!$B$2:$B$380,"K",Macierz!$K$2:$K$380,"PRZEWAGA")</f>
        <v/>
      </c>
      <c r="D43" s="7">
        <f>COUNTIFS(Macierz!$B$2:$B$380,"K",Macierz!$K$2:$K$380,"LUKA")</f>
        <v/>
      </c>
      <c r="E43" s="7">
        <f>COUNTIFS(Macierz!$B$2:$B$380,"K",Macierz!$L$2:$L$380,"BLOKER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COUNTIF(Macierz!$B$2:$B$380,"L")</f>
        <v/>
      </c>
      <c r="C44" s="7">
        <f>COUNTIFS(Macierz!$B$2:$B$380,"L",Macierz!$K$2:$K$380,"PARYTET")+COUNTIFS(Macierz!$B$2:$B$380,"L",Macierz!$K$2:$K$380,"PRZEWAGA")</f>
        <v/>
      </c>
      <c r="D44" s="7">
        <f>COUNTIFS(Macierz!$B$2:$B$380,"L",Macierz!$K$2:$K$380,"LUKA")</f>
        <v/>
      </c>
      <c r="E44" s="7">
        <f>COUNTIFS(Macierz!$B$2:$B$380,"L",Macierz!$L$2:$L$380,"BLOKER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COUNTIF(Macierz!$B$2:$B$380,"M")</f>
        <v/>
      </c>
      <c r="C45" s="7">
        <f>COUNTIFS(Macierz!$B$2:$B$380,"M",Macierz!$K$2:$K$380,"PARYTET")+COUNTIFS(Macierz!$B$2:$B$380,"M",Macierz!$K$2:$K$380,"PRZEWAGA")</f>
        <v/>
      </c>
      <c r="D45" s="7">
        <f>COUNTIFS(Macierz!$B$2:$B$380,"M",Macierz!$K$2:$K$380,"LUKA")</f>
        <v/>
      </c>
      <c r="E45" s="7">
        <f>COUNTIFS(Macierz!$B$2:$B$380,"M",Macierz!$L$2:$L$380,"BLOKER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COUNTIF(Macierz!$B$2:$B$380,"N")</f>
        <v/>
      </c>
      <c r="C46" s="7">
        <f>COUNTIFS(Macierz!$B$2:$B$380,"N",Macierz!$K$2:$K$380,"PARYTET")+COUNTIFS(Macierz!$B$2:$B$380,"N",Macierz!$K$2:$K$380,"PRZEWAGA")</f>
        <v/>
      </c>
      <c r="D46" s="7">
        <f>COUNTIFS(Macierz!$B$2:$B$380,"N",Macierz!$K$2:$K$380,"LUKA")</f>
        <v/>
      </c>
      <c r="E46" s="7">
        <f>COUNTIFS(Macierz!$B$2:$B$380,"N",Macierz!$L$2:$L$380,"BLOKER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COUNTIF(Macierz!$B$2:$B$380,"O")</f>
        <v/>
      </c>
      <c r="C47" s="7">
        <f>COUNTIFS(Macierz!$B$2:$B$380,"O",Macierz!$K$2:$K$380,"PARYTET")+COUNTIFS(Macierz!$B$2:$B$380,"O",Macierz!$K$2:$K$380,"PRZEWAGA")</f>
        <v/>
      </c>
      <c r="D47" s="7">
        <f>COUNTIFS(Macierz!$B$2:$B$380,"O",Macierz!$K$2:$K$380,"LUKA")</f>
        <v/>
      </c>
      <c r="E47" s="7">
        <f>COUNTIFS(Macierz!$B$2:$B$380,"O",Macierz!$L$2:$L$380,"BLOKER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COUNTIF(Macierz!$B$2:$B$380,"P")</f>
        <v/>
      </c>
      <c r="C48" s="7">
        <f>COUNTIFS(Macierz!$B$2:$B$380,"P",Macierz!$K$2:$K$380,"PARYTET")+COUNTIFS(Macierz!$B$2:$B$380,"P",Macierz!$K$2:$K$380,"PRZEWAGA")</f>
        <v/>
      </c>
      <c r="D48" s="7">
        <f>COUNTIFS(Macierz!$B$2:$B$380,"P",Macierz!$K$2:$K$380,"LUKA")</f>
        <v/>
      </c>
      <c r="E48" s="7">
        <f>COUNTIFS(Macierz!$B$2:$B$380,"P",Macierz!$L$2:$L$380,"BLOKER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COUNTIF(Macierz!$B$2:$B$380,"Q")</f>
        <v/>
      </c>
      <c r="C49" s="7">
        <f>COUNTIFS(Macierz!$B$2:$B$380,"Q",Macierz!$K$2:$K$380,"PARYTET")+COUNTIFS(Macierz!$B$2:$B$380,"Q",Macierz!$K$2:$K$380,"PRZEWAGA")</f>
        <v/>
      </c>
      <c r="D49" s="7">
        <f>COUNTIFS(Macierz!$B$2:$B$380,"Q",Macierz!$K$2:$K$380,"LUKA")</f>
        <v/>
      </c>
      <c r="E49" s="7">
        <f>COUNTIFS(Macierz!$B$2:$B$380,"Q",Macierz!$L$2:$L$380,"BLOKER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COUNTIF(Macierz!$B$2:$B$380,"X")</f>
        <v/>
      </c>
      <c r="C50" s="7">
        <f>COUNTIFS(Macierz!$B$2:$B$380,"X",Macierz!$K$2:$K$380,"PARYTET")+COUNTIFS(Macierz!$B$2:$B$380,"X",Macierz!$K$2:$K$380,"PRZEWAGA")</f>
        <v/>
      </c>
      <c r="D50" s="7">
        <f>COUNTIFS(Macierz!$B$2:$B$380,"X",Macierz!$K$2:$K$380,"LUKA")</f>
        <v/>
      </c>
      <c r="E50" s="7">
        <f>COUNTIFS(Macierz!$B$2:$B$380,"X",Macierz!$L$2:$L$380,"BLOKER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COUNTIF(Macierz!$B$2:$B$380,"Z")</f>
        <v/>
      </c>
      <c r="C51" s="7">
        <f>COUNTIFS(Macierz!$B$2:$B$380,"Z",Macierz!$K$2:$K$380,"PARYTET")+COUNTIFS(Macierz!$B$2:$B$380,"Z",Macierz!$K$2:$K$380,"PRZEWAGA")</f>
        <v/>
      </c>
      <c r="D51" s="7">
        <f>COUNTIFS(Macierz!$B$2:$B$380,"Z",Macierz!$K$2:$K$380,"LUKA")</f>
        <v/>
      </c>
      <c r="E51" s="7">
        <f>COUNTIFS(Macierz!$B$2:$B$380,"Z",Macierz!$L$2:$L$380,"BLOKER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CZĘŚCIOWE</t>
        </is>
      </c>
      <c r="J176" s="12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K176" s="11" t="inlineStr">
        <is>
          <t>CZĘŚCIOWY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DZIAŁA</t>
        </is>
      </c>
      <c r="J244" s="12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K244" s="11" t="inlineStr">
        <is>
          <t>PARYTET</t>
        </is>
      </c>
      <c r="L244" s="11" t="inlineStr">
        <is>
          <t>—</t>
        </is>
      </c>
      <c r="M244" s="11" t="inlineStr">
        <is>
          <t>L</t>
        </is>
      </c>
      <c r="N244" s="12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DZIAŁA</t>
        </is>
      </c>
      <c r="J272" s="12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K272" s="11" t="inlineStr">
        <is>
          <t>PARYTET</t>
        </is>
      </c>
      <c r="L272" s="11" t="inlineStr">
        <is>
          <t>—</t>
        </is>
      </c>
      <c r="M272" s="11" t="inlineStr">
        <is>
          <t>L</t>
        </is>
      </c>
      <c r="N272" s="12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DZIAŁA</t>
        </is>
      </c>
      <c r="J274" s="12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K274" s="11" t="inlineStr">
        <is>
          <t>PARYTET</t>
        </is>
      </c>
      <c r="L274" s="11" t="inlineStr">
        <is>
          <t>—</t>
        </is>
      </c>
      <c r="M274" s="11" t="inlineStr">
        <is>
          <t>M</t>
        </is>
      </c>
      <c r="N274" s="12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  <row r="373">
      <c r="A373" s="11" t="inlineStr">
        <is>
          <t>X-21</t>
        </is>
      </c>
      <c r="B373" s="12" t="inlineStr">
        <is>
          <t>X</t>
        </is>
      </c>
      <c r="C373" s="11" t="inlineStr">
        <is>
          <t>Deklaracje typów opisują tę wersję biblioteki, która jest zainstalowana</t>
        </is>
      </c>
      <c r="D373" s="11" t="inlineStr">
        <is>
          <t>—</t>
        </is>
      </c>
      <c r="E373" s="11" t="inlineStr">
        <is>
          <t>—</t>
        </is>
      </c>
      <c r="F373" s="11" t="inlineStr">
        <is>
          <t>—</t>
        </is>
      </c>
      <c r="G373" s="11" t="inlineStr">
        <is>
          <t>—</t>
        </is>
      </c>
      <c r="H373" s="11" t="inlineStr">
        <is>
          <t>—</t>
        </is>
      </c>
      <c r="I373" s="11" t="inlineStr">
        <is>
          <t>DZIAŁA</t>
        </is>
      </c>
      <c r="J373" s="12" t="inlineStr">
        <is>
          <t>apps/api/package.json — @types/archiver ^8.0.0 przy archiver ^8.0.0; apps/api/src/test/typy-zgodne-z-runtime.spec.ts — 12 testów; package.json — engines.node "&gt;=22.12"</t>
        </is>
      </c>
      <c r="K373" s="11" t="inlineStr">
        <is>
          <t>PARYTET</t>
        </is>
      </c>
      <c r="L373" s="11" t="inlineStr">
        <is>
          <t>—</t>
        </is>
      </c>
      <c r="M373" s="11" t="inlineStr">
        <is>
          <t>S</t>
        </is>
      </c>
      <c r="N373" s="12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</row>
    <row r="374">
      <c r="A374" s="11" t="inlineStr">
        <is>
          <t>X-22</t>
        </is>
      </c>
      <c r="B374" s="12" t="inlineStr">
        <is>
          <t>X</t>
        </is>
      </c>
      <c r="C374" s="11" t="inlineStr">
        <is>
          <t>Eksport danych osobowych (RODO art. 20) sprawdzany testem end-to-end</t>
        </is>
      </c>
      <c r="D374" s="11" t="inlineStr">
        <is>
          <t>—</t>
        </is>
      </c>
      <c r="E374" s="11" t="inlineStr">
        <is>
          <t>—</t>
        </is>
      </c>
      <c r="F374" s="11" t="inlineStr">
        <is>
          <t>—</t>
        </is>
      </c>
      <c r="G374" s="11" t="inlineStr">
        <is>
          <t>—</t>
        </is>
      </c>
      <c r="H374" s="11" t="inlineStr">
        <is>
          <t>—</t>
        </is>
      </c>
      <c r="I374" s="11" t="inlineStr">
        <is>
          <t>BRAK</t>
        </is>
      </c>
      <c r="J374" s="12" t="inlineStr">
        <is>
          <t>apps/api/src/compliance/data-export.service.ts — buildZipToFile bez żadnego testu; apps/api/src/compliance/*.spec.ts — brak pokrycia tej ścieżki</t>
        </is>
      </c>
      <c r="K374" s="11" t="inlineStr">
        <is>
          <t>LUKA</t>
        </is>
      </c>
      <c r="L374" s="11" t="inlineStr">
        <is>
          <t>WYSOKA</t>
        </is>
      </c>
      <c r="M374" s="11" t="inlineStr">
        <is>
          <t>M</t>
        </is>
      </c>
      <c r="N374" s="12" t="inlineStr">
        <is>
          <t>Odkryte przy X-21. Eksport danych osobowych wywalał się w runtime przy każdym żądaniu przez cały okres między podniesieniem archivera a 2026-08-22 i NIC tego nie zgłosiło — bo tej ścieżki nie dotyka żaden test. Strażnik z X-21 pilnuje teraz zgodności typów z runtime'em, ale to jest obejście od strony zależności, nie dowód, że eksport działa. | To jest OBOWIĄZEK USTAWOWY (RODO art. 20 — prawo do przenoszenia danych), z terminem miesiąca na odpowiedź. Ścieżka, której nie sprawdza nic, a której awaria jest naruszeniem, nie sprawdzeniem. | DO ZROBIENIA: test integracyjny, który zakłada konto z danymi w każdej sekcji (profil, subskrypcje, faktury, zgłoszenia, załączniki), wywołuje eksport, rozpakowuje wynikowy ZIP i sprawdza, że każda sekcja jest w środku i daje się sparsować. Plus ten sam wzorzec dla buildDefaultHostingPageBundle (tar.gz rozpakowany, index.html obecny). | Dopiero taki test daje D2. D3 wymaga wywołania eksportu na produkcji i obejrzenia pliku.</t>
        </is>
      </c>
    </row>
    <row r="375">
      <c r="A375" s="11" t="inlineStr">
        <is>
          <t>X-23</t>
        </is>
      </c>
      <c r="B375" s="12" t="inlineStr">
        <is>
          <t>X</t>
        </is>
      </c>
      <c r="C375" s="11" t="inlineStr">
        <is>
          <t>Bramka podatności zatrzymuje wdrożenie, a nie tylko dopisuje adnotację</t>
        </is>
      </c>
      <c r="D375" s="11" t="inlineStr">
        <is>
          <t>—</t>
        </is>
      </c>
      <c r="E375" s="11" t="inlineStr">
        <is>
          <t>—</t>
        </is>
      </c>
      <c r="F375" s="11" t="inlineStr">
        <is>
          <t>—</t>
        </is>
      </c>
      <c r="G375" s="11" t="inlineStr">
        <is>
          <t>—</t>
        </is>
      </c>
      <c r="H375" s="11" t="inlineStr">
        <is>
          <t>—</t>
        </is>
      </c>
      <c r="I375" s="11" t="inlineStr">
        <is>
          <t>DZIAŁA</t>
        </is>
      </c>
      <c r="J375" s="12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K375" s="11" t="inlineStr">
        <is>
          <t>PARYTET</t>
        </is>
      </c>
      <c r="L375" s="11" t="inlineStr">
        <is>
          <t>—</t>
        </is>
      </c>
      <c r="M375" s="11" t="inlineStr">
        <is>
          <t>S</t>
        </is>
      </c>
      <c r="N375" s="12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</row>
    <row r="376">
      <c r="A376" s="11" t="inlineStr">
        <is>
          <t>M-34</t>
        </is>
      </c>
      <c r="B376" s="12" t="inlineStr">
        <is>
          <t>M</t>
        </is>
      </c>
      <c r="C376" s="11" t="inlineStr">
        <is>
          <t>Model prepaid potwierdzony z księgową — doładowanie bez faktury zaliczkowej</t>
        </is>
      </c>
      <c r="D376" s="11" t="inlineStr">
        <is>
          <t>—</t>
        </is>
      </c>
      <c r="E376" s="11" t="inlineStr">
        <is>
          <t>—</t>
        </is>
      </c>
      <c r="F376" s="11" t="inlineStr">
        <is>
          <t>—</t>
        </is>
      </c>
      <c r="G376" s="11" t="inlineStr">
        <is>
          <t>TAK</t>
        </is>
      </c>
      <c r="H376" s="11" t="inlineStr">
        <is>
          <t>TAK</t>
        </is>
      </c>
      <c r="I376" s="11" t="inlineStr">
        <is>
          <t>b.d.</t>
        </is>
      </c>
      <c r="J376" s="12" t="inlineStr">
        <is>
          <t>faktura-za-portfel.ts — TYPY_SPRZEDAZY nie obejmuje TOPUP; billing.service.ts:handleCheckoutCompleted — doładowanie kredytuje portfel i nie tworzy dokumentu</t>
        </is>
      </c>
      <c r="K376" s="11" t="inlineStr">
        <is>
          <t>CZĘŚCIOWY</t>
        </is>
      </c>
      <c r="L376" s="11" t="inlineStr">
        <is>
          <t>WYSOKA</t>
        </is>
      </c>
      <c r="M376" s="11" t="inlineStr">
        <is>
          <t>S</t>
        </is>
      </c>
      <c r="N376" s="12" t="inlineStr">
        <is>
          <t>Odkryte przy Z-01, decyzja podjęta 2026-08-22 i WYMAGA POTWIERDZENIA. Przyjęliśmy model prepaid: doładowanie portfela nie jest sprzedażą, tylko wpłatą na poczet usług, więc nie generuje faktury; VAT powstaje przy świadczeniu usługi, czyli przy obciążeniu portfela, i tam idzie dokument. Klient dostaje potwierdzenie wpłaty mailem, nie fakturę. | RYZYKO: jeżeli środki z portfela dałoby się wydać wyłącznie na konkretną, z góry określoną usługę, organ podatkowy może uznać wpłatę za zaliczkę wymagającą faktury zaliczkowej (art. 106b ust. 1 pkt 4 ustawy o VAT). U nas środki są uniwersalne — idą na abonament, domeny, VPS, autoskalowanie i monitoring — co przemawia za modelem prepaid, ale to jest argument, nie rozstrzygnięcie. | DO ZROBIENIA PRZED STARTEM SPRZEDAŻY: potwierdzić model z księgową na piśmie i zapisać decyzję w repo z datą. Jeżeli wyjdzie, że potrzebne są faktury zaliczkowe, to osobny sprint: faktura końcowa musi odwoływać się do zaliczkowej i odejmować rozliczoną kwotę, a KSeF ma na to osobny typ dokumentu. | NIE jest to bloker w sensie kodu — mechanizm działa i jest spójny. Jest to bloker w sensie decyzji: sprzedaż ruszająca przy nierozstrzygniętym modelu podatkowym generuje dług, który rośnie z każdą wpłatą.</t>
        </is>
      </c>
    </row>
    <row r="377">
      <c r="A377" s="11" t="inlineStr">
        <is>
          <t>X-24</t>
        </is>
      </c>
      <c r="B377" s="12" t="inlineStr">
        <is>
          <t>X</t>
        </is>
      </c>
      <c r="C377" s="11" t="inlineStr">
        <is>
          <t>Panel admina woła ścieżki, które API naprawdę wystawia</t>
        </is>
      </c>
      <c r="D377" s="11" t="inlineStr">
        <is>
          <t>—</t>
        </is>
      </c>
      <c r="E377" s="11" t="inlineStr">
        <is>
          <t>—</t>
        </is>
      </c>
      <c r="F377" s="11" t="inlineStr">
        <is>
          <t>—</t>
        </is>
      </c>
      <c r="G377" s="11" t="inlineStr">
        <is>
          <t>—</t>
        </is>
      </c>
      <c r="H377" s="11" t="inlineStr">
        <is>
          <t>—</t>
        </is>
      </c>
      <c r="I377" s="11" t="inlineStr">
        <is>
          <t>DZIAŁA</t>
        </is>
      </c>
      <c r="J377" s="12" t="inlineStr">
        <is>
          <t>apps/api/src/test/sciezki-panelu.spec.ts — 5 testów; porównuje wywołania adminApi() z panelu z trasami zadeklarowanymi w kontrolerach API</t>
        </is>
      </c>
      <c r="K377" s="11" t="inlineStr">
        <is>
          <t>PARYTET</t>
        </is>
      </c>
      <c r="L377" s="11" t="inlineStr">
        <is>
          <t>—</t>
        </is>
      </c>
      <c r="M377" s="11" t="inlineStr">
        <is>
          <t>S</t>
        </is>
      </c>
      <c r="N377" s="12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</row>
    <row r="378">
      <c r="A378" s="11" t="inlineStr">
        <is>
          <t>X-25</t>
        </is>
      </c>
      <c r="B378" s="12" t="inlineStr">
        <is>
          <t>X</t>
        </is>
      </c>
      <c r="C378" s="11" t="inlineStr">
        <is>
          <t>Asercje po migracji biegną także na produkcji, z rollbackiem przy naruszeniu</t>
        </is>
      </c>
      <c r="D378" s="11" t="inlineStr">
        <is>
          <t>—</t>
        </is>
      </c>
      <c r="E378" s="11" t="inlineStr">
        <is>
          <t>—</t>
        </is>
      </c>
      <c r="F378" s="11" t="inlineStr">
        <is>
          <t>—</t>
        </is>
      </c>
      <c r="G378" s="11" t="inlineStr">
        <is>
          <t>—</t>
        </is>
      </c>
      <c r="H378" s="11" t="inlineStr">
        <is>
          <t>—</t>
        </is>
      </c>
      <c r="I378" s="11" t="inlineStr">
        <is>
          <t>DZIAŁA</t>
        </is>
      </c>
      <c r="J378" s="12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K378" s="11" t="inlineStr">
        <is>
          <t>PARYTET</t>
        </is>
      </c>
      <c r="L378" s="11" t="inlineStr">
        <is>
          <t>—</t>
        </is>
      </c>
      <c r="M378" s="11" t="inlineStr">
        <is>
          <t>S</t>
        </is>
      </c>
      <c r="N378" s="12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</row>
    <row r="379">
      <c r="A379" s="11" t="inlineStr">
        <is>
          <t>X-26</t>
        </is>
      </c>
      <c r="B379" s="12" t="inlineStr">
        <is>
          <t>X</t>
        </is>
      </c>
      <c r="C379" s="11" t="inlineStr">
        <is>
          <t>Skrypty powłoki mają bit wykonywalności — także po świeżym git clone</t>
        </is>
      </c>
      <c r="D379" s="11" t="inlineStr">
        <is>
          <t>—</t>
        </is>
      </c>
      <c r="E379" s="11" t="inlineStr">
        <is>
          <t>—</t>
        </is>
      </c>
      <c r="F379" s="11" t="inlineStr">
        <is>
          <t>—</t>
        </is>
      </c>
      <c r="G379" s="11" t="inlineStr">
        <is>
          <t>—</t>
        </is>
      </c>
      <c r="H379" s="11" t="inlineStr">
        <is>
          <t>—</t>
        </is>
      </c>
      <c r="I379" s="11" t="inlineStr">
        <is>
          <t>DZIAŁA</t>
        </is>
      </c>
      <c r="J379" s="12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K379" s="11" t="inlineStr">
        <is>
          <t>PARYTET</t>
        </is>
      </c>
      <c r="L379" s="11" t="inlineStr">
        <is>
          <t>—</t>
        </is>
      </c>
      <c r="M379" s="11" t="inlineStr">
        <is>
          <t>S</t>
        </is>
      </c>
      <c r="N379" s="12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</row>
    <row r="380">
      <c r="A380" s="11" t="inlineStr">
        <is>
          <t>X-27</t>
        </is>
      </c>
      <c r="B380" s="12" t="inlineStr">
        <is>
          <t>X</t>
        </is>
      </c>
      <c r="C380" s="11" t="inlineStr">
        <is>
          <t>Obraz, który trafia na serwer, buduje się przed scaleniem</t>
        </is>
      </c>
      <c r="D380" s="11" t="inlineStr">
        <is>
          <t>—</t>
        </is>
      </c>
      <c r="E380" s="11" t="inlineStr">
        <is>
          <t>—</t>
        </is>
      </c>
      <c r="F380" s="11" t="inlineStr">
        <is>
          <t>—</t>
        </is>
      </c>
      <c r="G380" s="11" t="inlineStr">
        <is>
          <t>—</t>
        </is>
      </c>
      <c r="H380" s="11" t="inlineStr">
        <is>
          <t>—</t>
        </is>
      </c>
      <c r="I380" s="11" t="inlineStr">
        <is>
          <t>DZIAŁA</t>
        </is>
      </c>
      <c r="J380" s="12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K380" s="11" t="inlineStr">
        <is>
          <t>PARYTET</t>
        </is>
      </c>
      <c r="L380" s="11" t="inlineStr">
        <is>
          <t>—</t>
        </is>
      </c>
      <c r="M380" s="11" t="inlineStr">
        <is>
          <t>S</t>
        </is>
      </c>
      <c r="N380" s="12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</row>
  </sheetData>
  <autoFilter ref="A1:N380"/>
  <conditionalFormatting sqref="D2:D380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80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80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80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80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80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80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80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2026-08-22T18:58:02Z</dcterms:created>
  <dcterms:modified xmlns:dcterms="http://purl.org/dc/terms/" xmlns:xsi="http://www.w3.org/2001/XMLSchema-instance" xsi:type="dcterms:W3CDTF">2026-08-22T18:58:02Z</dcterms:modified>
</cp:coreProperties>
</file>