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2026-10-12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COUNTIF(Macierz!$K$2:$K$441,A6)</f>
        <v/>
      </c>
    </row>
    <row r="7">
      <c r="A7" s="5" t="inlineStr">
        <is>
          <t>PRZEWAGA</t>
        </is>
      </c>
      <c r="B7" s="5">
        <f>COUNTIF(Macierz!$K$2:$K$441,A7)</f>
        <v/>
      </c>
    </row>
    <row r="8">
      <c r="A8" s="5" t="inlineStr">
        <is>
          <t>CZĘŚCIOWY</t>
        </is>
      </c>
      <c r="B8" s="5">
        <f>COUNTIF(Macierz!$K$2:$K$441,A8)</f>
        <v/>
      </c>
    </row>
    <row r="9">
      <c r="A9" s="5" t="inlineStr">
        <is>
          <t>LUKA</t>
        </is>
      </c>
      <c r="B9" s="5">
        <f>COUNTIF(Macierz!$K$2:$K$441,A9)</f>
        <v/>
      </c>
    </row>
    <row r="10">
      <c r="A10" s="5" t="inlineStr">
        <is>
          <t>POZA ZAKRESEM</t>
        </is>
      </c>
      <c r="B10" s="5">
        <f>COUNTIF(Macierz!$K$2:$K$441,A10)</f>
        <v/>
      </c>
    </row>
    <row r="13">
      <c r="A13" s="3" t="inlineStr">
        <is>
          <t>Stan implementacji</t>
        </is>
      </c>
    </row>
    <row r="14">
      <c r="A14" s="4" t="inlineStr">
        <is>
          <t>Wartość</t>
        </is>
      </c>
      <c r="B14" s="4" t="inlineStr">
        <is>
          <t>Pozycji</t>
        </is>
      </c>
    </row>
    <row r="15">
      <c r="A15" s="5" t="inlineStr">
        <is>
          <t>DZIAŁA</t>
        </is>
      </c>
      <c r="B15" s="5">
        <f>COUNTIF(Macierz!$I$2:$I$441,A15)</f>
        <v/>
      </c>
    </row>
    <row r="16">
      <c r="A16" s="5" t="inlineStr">
        <is>
          <t>CZĘŚCIOWE</t>
        </is>
      </c>
      <c r="B16" s="5">
        <f>COUNTIF(Macierz!$I$2:$I$441,A16)</f>
        <v/>
      </c>
    </row>
    <row r="17">
      <c r="A17" s="5" t="inlineStr">
        <is>
          <t>FLAGA</t>
        </is>
      </c>
      <c r="B17" s="5">
        <f>COUNTIF(Macierz!$I$2:$I$441,A17)</f>
        <v/>
      </c>
    </row>
    <row r="18">
      <c r="A18" s="5" t="inlineStr">
        <is>
          <t>ATRAPA</t>
        </is>
      </c>
      <c r="B18" s="5">
        <f>COUNTIF(Macierz!$I$2:$I$441,A18)</f>
        <v/>
      </c>
    </row>
    <row r="19">
      <c r="A19" s="5" t="inlineStr">
        <is>
          <t>ENDPOINT BEZ UI</t>
        </is>
      </c>
      <c r="B19" s="5">
        <f>COUNTIF(Macierz!$I$2:$I$441,A19)</f>
        <v/>
      </c>
    </row>
    <row r="20">
      <c r="A20" s="5" t="inlineStr">
        <is>
          <t>BRAK</t>
        </is>
      </c>
      <c r="B20" s="5">
        <f>COUNTIF(Macierz!$I$2:$I$441,A20)</f>
        <v/>
      </c>
    </row>
    <row r="21">
      <c r="A21" s="5" t="inlineStr">
        <is>
          <t>b.d.</t>
        </is>
      </c>
      <c r="B21" s="5">
        <f>COUNTIF(Macierz!$I$2:$I$441,A21)</f>
        <v/>
      </c>
    </row>
    <row r="24">
      <c r="A24" s="3" t="inlineStr">
        <is>
          <t>Krytyczność luk</t>
        </is>
      </c>
    </row>
    <row r="25">
      <c r="A25" s="4" t="inlineStr">
        <is>
          <t>Wartość</t>
        </is>
      </c>
      <c r="B25" s="4" t="inlineStr">
        <is>
          <t>Pozycji</t>
        </is>
      </c>
    </row>
    <row r="26">
      <c r="A26" s="6" t="inlineStr">
        <is>
          <t>BLOKER STARTU</t>
        </is>
      </c>
      <c r="B26" s="6">
        <f>COUNTIF(Macierz!$L$2:$L$441,A26)</f>
        <v/>
      </c>
    </row>
    <row r="27">
      <c r="A27" s="5" t="inlineStr">
        <is>
          <t>WYSOKA</t>
        </is>
      </c>
      <c r="B27" s="5">
        <f>COUNTIF(Macierz!$L$2:$L$441,A27)</f>
        <v/>
      </c>
    </row>
    <row r="28">
      <c r="A28" s="5" t="inlineStr">
        <is>
          <t>ŚREDNIA</t>
        </is>
      </c>
      <c r="B28" s="5">
        <f>COUNTIF(Macierz!$L$2:$L$441,A28)</f>
        <v/>
      </c>
    </row>
    <row r="29">
      <c r="A29" s="5" t="inlineStr">
        <is>
          <t>NISKA</t>
        </is>
      </c>
      <c r="B29" s="5">
        <f>COUNTIF(Macierz!$L$2:$L$441,A29)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COUNTIF(Macierz!$B$2:$B$441,"A")</f>
        <v/>
      </c>
      <c r="C33" s="7">
        <f>COUNTIFS(Macierz!$B$2:$B$441,"A",Macierz!$K$2:$K$441,"PARYTET")+COUNTIFS(Macierz!$B$2:$B$441,"A",Macierz!$K$2:$K$441,"PRZEWAGA")</f>
        <v/>
      </c>
      <c r="D33" s="7">
        <f>COUNTIFS(Macierz!$B$2:$B$441,"A",Macierz!$K$2:$K$441,"LUKA")</f>
        <v/>
      </c>
      <c r="E33" s="7">
        <f>COUNTIFS(Macierz!$B$2:$B$441,"A",Macierz!$L$2:$L$441,"BLOKER STARTU")</f>
        <v/>
      </c>
      <c r="F33" s="8">
        <f>IFERROR(C33/B33,0)</f>
        <v/>
      </c>
    </row>
    <row r="34">
      <c r="A34" s="7" t="inlineStr">
        <is>
          <t>B — Runtime WWW</t>
        </is>
      </c>
      <c r="B34" s="7">
        <f>COUNTIF(Macierz!$B$2:$B$441,"B")</f>
        <v/>
      </c>
      <c r="C34" s="7">
        <f>COUNTIFS(Macierz!$B$2:$B$441,"B",Macierz!$K$2:$K$441,"PARYTET")+COUNTIFS(Macierz!$B$2:$B$441,"B",Macierz!$K$2:$K$441,"PRZEWAGA")</f>
        <v/>
      </c>
      <c r="D34" s="7">
        <f>COUNTIFS(Macierz!$B$2:$B$441,"B",Macierz!$K$2:$K$441,"LUKA")</f>
        <v/>
      </c>
      <c r="E34" s="7">
        <f>COUNTIFS(Macierz!$B$2:$B$441,"B",Macierz!$L$2:$L$441,"BLOKER STARTU")</f>
        <v/>
      </c>
      <c r="F34" s="8">
        <f>IFERROR(C34/B34,0)</f>
        <v/>
      </c>
    </row>
    <row r="35">
      <c r="A35" s="7" t="inlineStr">
        <is>
          <t>C — Pliki, FTP, SSH, Git</t>
        </is>
      </c>
      <c r="B35" s="7">
        <f>COUNTIF(Macierz!$B$2:$B$441,"C")</f>
        <v/>
      </c>
      <c r="C35" s="7">
        <f>COUNTIFS(Macierz!$B$2:$B$441,"C",Macierz!$K$2:$K$441,"PARYTET")+COUNTIFS(Macierz!$B$2:$B$441,"C",Macierz!$K$2:$K$441,"PRZEWAGA")</f>
        <v/>
      </c>
      <c r="D35" s="7">
        <f>COUNTIFS(Macierz!$B$2:$B$441,"C",Macierz!$K$2:$K$441,"LUKA")</f>
        <v/>
      </c>
      <c r="E35" s="7">
        <f>COUNTIFS(Macierz!$B$2:$B$441,"C",Macierz!$L$2:$L$441,"BLOKER STARTU")</f>
        <v/>
      </c>
      <c r="F35" s="8">
        <f>IFERROR(C35/B35,0)</f>
        <v/>
      </c>
    </row>
    <row r="36">
      <c r="A36" s="7" t="inlineStr">
        <is>
          <t>D — Bazy danych</t>
        </is>
      </c>
      <c r="B36" s="7">
        <f>COUNTIF(Macierz!$B$2:$B$441,"D")</f>
        <v/>
      </c>
      <c r="C36" s="7">
        <f>COUNTIFS(Macierz!$B$2:$B$441,"D",Macierz!$K$2:$K$441,"PARYTET")+COUNTIFS(Macierz!$B$2:$B$441,"D",Macierz!$K$2:$K$441,"PRZEWAGA")</f>
        <v/>
      </c>
      <c r="D36" s="7">
        <f>COUNTIFS(Macierz!$B$2:$B$441,"D",Macierz!$K$2:$K$441,"LUKA")</f>
        <v/>
      </c>
      <c r="E36" s="7">
        <f>COUNTIFS(Macierz!$B$2:$B$441,"D",Macierz!$L$2:$L$441,"BLOKER STARTU")</f>
        <v/>
      </c>
      <c r="F36" s="8">
        <f>IFERROR(C36/B36,0)</f>
        <v/>
      </c>
    </row>
    <row r="37">
      <c r="A37" s="7" t="inlineStr">
        <is>
          <t>E — Poczta</t>
        </is>
      </c>
      <c r="B37" s="7">
        <f>COUNTIF(Macierz!$B$2:$B$441,"E")</f>
        <v/>
      </c>
      <c r="C37" s="7">
        <f>COUNTIFS(Macierz!$B$2:$B$441,"E",Macierz!$K$2:$K$441,"PARYTET")+COUNTIFS(Macierz!$B$2:$B$441,"E",Macierz!$K$2:$K$441,"PRZEWAGA")</f>
        <v/>
      </c>
      <c r="D37" s="7">
        <f>COUNTIFS(Macierz!$B$2:$B$441,"E",Macierz!$K$2:$K$441,"LUKA")</f>
        <v/>
      </c>
      <c r="E37" s="7">
        <f>COUNTIFS(Macierz!$B$2:$B$441,"E",Macierz!$L$2:$L$441,"BLOKER STARTU")</f>
        <v/>
      </c>
      <c r="F37" s="8">
        <f>IFERROR(C37/B37,0)</f>
        <v/>
      </c>
    </row>
    <row r="38">
      <c r="A38" s="7" t="inlineStr">
        <is>
          <t>F — DNS</t>
        </is>
      </c>
      <c r="B38" s="7">
        <f>COUNTIF(Macierz!$B$2:$B$441,"F")</f>
        <v/>
      </c>
      <c r="C38" s="7">
        <f>COUNTIFS(Macierz!$B$2:$B$441,"F",Macierz!$K$2:$K$441,"PARYTET")+COUNTIFS(Macierz!$B$2:$B$441,"F",Macierz!$K$2:$K$441,"PRZEWAGA")</f>
        <v/>
      </c>
      <c r="D38" s="7">
        <f>COUNTIFS(Macierz!$B$2:$B$441,"F",Macierz!$K$2:$K$441,"LUKA")</f>
        <v/>
      </c>
      <c r="E38" s="7">
        <f>COUNTIFS(Macierz!$B$2:$B$441,"F",Macierz!$L$2:$L$441,"BLOKER STARTU")</f>
        <v/>
      </c>
      <c r="F38" s="8">
        <f>IFERROR(C38/B38,0)</f>
        <v/>
      </c>
    </row>
    <row r="39">
      <c r="A39" s="7" t="inlineStr">
        <is>
          <t>G — SSL i bezpieczeństwo</t>
        </is>
      </c>
      <c r="B39" s="7">
        <f>COUNTIF(Macierz!$B$2:$B$441,"G")</f>
        <v/>
      </c>
      <c r="C39" s="7">
        <f>COUNTIFS(Macierz!$B$2:$B$441,"G",Macierz!$K$2:$K$441,"PARYTET")+COUNTIFS(Macierz!$B$2:$B$441,"G",Macierz!$K$2:$K$441,"PRZEWAGA")</f>
        <v/>
      </c>
      <c r="D39" s="7">
        <f>COUNTIFS(Macierz!$B$2:$B$441,"G",Macierz!$K$2:$K$441,"LUKA")</f>
        <v/>
      </c>
      <c r="E39" s="7">
        <f>COUNTIFS(Macierz!$B$2:$B$441,"G",Macierz!$L$2:$L$441,"BLOKER STARTU")</f>
        <v/>
      </c>
      <c r="F39" s="8">
        <f>IFERROR(C39/B39,0)</f>
        <v/>
      </c>
    </row>
    <row r="40">
      <c r="A40" s="7" t="inlineStr">
        <is>
          <t>H — Backup i odtwarzanie</t>
        </is>
      </c>
      <c r="B40" s="7">
        <f>COUNTIF(Macierz!$B$2:$B$441,"H")</f>
        <v/>
      </c>
      <c r="C40" s="7">
        <f>COUNTIFS(Macierz!$B$2:$B$441,"H",Macierz!$K$2:$K$441,"PARYTET")+COUNTIFS(Macierz!$B$2:$B$441,"H",Macierz!$K$2:$K$441,"PRZEWAGA")</f>
        <v/>
      </c>
      <c r="D40" s="7">
        <f>COUNTIFS(Macierz!$B$2:$B$441,"H",Macierz!$K$2:$K$441,"LUKA")</f>
        <v/>
      </c>
      <c r="E40" s="7">
        <f>COUNTIFS(Macierz!$B$2:$B$441,"H",Macierz!$L$2:$L$441,"BLOKER STARTU")</f>
        <v/>
      </c>
      <c r="F40" s="8">
        <f>IFERROR(C40/B40,0)</f>
        <v/>
      </c>
    </row>
    <row r="41">
      <c r="A41" s="7" t="inlineStr">
        <is>
          <t>I — Aplikacje i WordPress</t>
        </is>
      </c>
      <c r="B41" s="7">
        <f>COUNTIF(Macierz!$B$2:$B$441,"I")</f>
        <v/>
      </c>
      <c r="C41" s="7">
        <f>COUNTIFS(Macierz!$B$2:$B$441,"I",Macierz!$K$2:$K$441,"PARYTET")+COUNTIFS(Macierz!$B$2:$B$441,"I",Macierz!$K$2:$K$441,"PRZEWAGA")</f>
        <v/>
      </c>
      <c r="D41" s="7">
        <f>COUNTIFS(Macierz!$B$2:$B$441,"I",Macierz!$K$2:$K$441,"LUKA")</f>
        <v/>
      </c>
      <c r="E41" s="7">
        <f>COUNTIFS(Macierz!$B$2:$B$441,"I",Macierz!$L$2:$L$441,"BLOKER STARTU")</f>
        <v/>
      </c>
      <c r="F41" s="8">
        <f>IFERROR(C41/B41,0)</f>
        <v/>
      </c>
    </row>
    <row r="42">
      <c r="A42" s="7" t="inlineStr">
        <is>
          <t>J — Wydajność i cache</t>
        </is>
      </c>
      <c r="B42" s="7">
        <f>COUNTIF(Macierz!$B$2:$B$441,"J")</f>
        <v/>
      </c>
      <c r="C42" s="7">
        <f>COUNTIFS(Macierz!$B$2:$B$441,"J",Macierz!$K$2:$K$441,"PARYTET")+COUNTIFS(Macierz!$B$2:$B$441,"J",Macierz!$K$2:$K$441,"PRZEWAGA")</f>
        <v/>
      </c>
      <c r="D42" s="7">
        <f>COUNTIFS(Macierz!$B$2:$B$441,"J",Macierz!$K$2:$K$441,"LUKA")</f>
        <v/>
      </c>
      <c r="E42" s="7">
        <f>COUNTIFS(Macierz!$B$2:$B$441,"J",Macierz!$L$2:$L$441,"BLOKER STARTU")</f>
        <v/>
      </c>
      <c r="F42" s="8">
        <f>IFERROR(C42/B42,0)</f>
        <v/>
      </c>
    </row>
    <row r="43">
      <c r="A43" s="7" t="inlineStr">
        <is>
          <t>K — Statystyki, logi, limity</t>
        </is>
      </c>
      <c r="B43" s="7">
        <f>COUNTIF(Macierz!$B$2:$B$441,"K")</f>
        <v/>
      </c>
      <c r="C43" s="7">
        <f>COUNTIFS(Macierz!$B$2:$B$441,"K",Macierz!$K$2:$K$441,"PARYTET")+COUNTIFS(Macierz!$B$2:$B$441,"K",Macierz!$K$2:$K$441,"PRZEWAGA")</f>
        <v/>
      </c>
      <c r="D43" s="7">
        <f>COUNTIFS(Macierz!$B$2:$B$441,"K",Macierz!$K$2:$K$441,"LUKA")</f>
        <v/>
      </c>
      <c r="E43" s="7">
        <f>COUNTIFS(Macierz!$B$2:$B$441,"K",Macierz!$L$2:$L$441,"BLOKER STARTU")</f>
        <v/>
      </c>
      <c r="F43" s="8">
        <f>IFERROR(C43/B43,0)</f>
        <v/>
      </c>
    </row>
    <row r="44">
      <c r="A44" s="7" t="inlineStr">
        <is>
          <t>L — Automatyzacja</t>
        </is>
      </c>
      <c r="B44" s="7">
        <f>COUNTIF(Macierz!$B$2:$B$441,"L")</f>
        <v/>
      </c>
      <c r="C44" s="7">
        <f>COUNTIFS(Macierz!$B$2:$B$441,"L",Macierz!$K$2:$K$441,"PARYTET")+COUNTIFS(Macierz!$B$2:$B$441,"L",Macierz!$K$2:$K$441,"PRZEWAGA")</f>
        <v/>
      </c>
      <c r="D44" s="7">
        <f>COUNTIFS(Macierz!$B$2:$B$441,"L",Macierz!$K$2:$K$441,"LUKA")</f>
        <v/>
      </c>
      <c r="E44" s="7">
        <f>COUNTIFS(Macierz!$B$2:$B$441,"L",Macierz!$L$2:$L$441,"BLOKER STARTU")</f>
        <v/>
      </c>
      <c r="F44" s="8">
        <f>IFERROR(C44/B44,0)</f>
        <v/>
      </c>
    </row>
    <row r="45">
      <c r="A45" s="7" t="inlineStr">
        <is>
          <t>M — Rozliczenia</t>
        </is>
      </c>
      <c r="B45" s="7">
        <f>COUNTIF(Macierz!$B$2:$B$441,"M")</f>
        <v/>
      </c>
      <c r="C45" s="7">
        <f>COUNTIFS(Macierz!$B$2:$B$441,"M",Macierz!$K$2:$K$441,"PARYTET")+COUNTIFS(Macierz!$B$2:$B$441,"M",Macierz!$K$2:$K$441,"PRZEWAGA")</f>
        <v/>
      </c>
      <c r="D45" s="7">
        <f>COUNTIFS(Macierz!$B$2:$B$441,"M",Macierz!$K$2:$K$441,"LUKA")</f>
        <v/>
      </c>
      <c r="E45" s="7">
        <f>COUNTIFS(Macierz!$B$2:$B$441,"M",Macierz!$L$2:$L$441,"BLOKER STARTU")</f>
        <v/>
      </c>
      <c r="F45" s="8">
        <f>IFERROR(C45/B45,0)</f>
        <v/>
      </c>
    </row>
    <row r="46">
      <c r="A46" s="7" t="inlineStr">
        <is>
          <t>N — Wsparcie i ops</t>
        </is>
      </c>
      <c r="B46" s="7">
        <f>COUNTIF(Macierz!$B$2:$B$441,"N")</f>
        <v/>
      </c>
      <c r="C46" s="7">
        <f>COUNTIFS(Macierz!$B$2:$B$441,"N",Macierz!$K$2:$K$441,"PARYTET")+COUNTIFS(Macierz!$B$2:$B$441,"N",Macierz!$K$2:$K$441,"PRZEWAGA")</f>
        <v/>
      </c>
      <c r="D46" s="7">
        <f>COUNTIFS(Macierz!$B$2:$B$441,"N",Macierz!$K$2:$K$441,"LUKA")</f>
        <v/>
      </c>
      <c r="E46" s="7">
        <f>COUNTIFS(Macierz!$B$2:$B$441,"N",Macierz!$L$2:$L$441,"BLOKER STARTU")</f>
        <v/>
      </c>
      <c r="F46" s="8">
        <f>IFERROR(C46/B46,0)</f>
        <v/>
      </c>
    </row>
    <row r="47">
      <c r="A47" s="7" t="inlineStr">
        <is>
          <t>O — Multi-user i reseller</t>
        </is>
      </c>
      <c r="B47" s="7">
        <f>COUNTIF(Macierz!$B$2:$B$441,"O")</f>
        <v/>
      </c>
      <c r="C47" s="7">
        <f>COUNTIFS(Macierz!$B$2:$B$441,"O",Macierz!$K$2:$K$441,"PARYTET")+COUNTIFS(Macierz!$B$2:$B$441,"O",Macierz!$K$2:$K$441,"PRZEWAGA")</f>
        <v/>
      </c>
      <c r="D47" s="7">
        <f>COUNTIFS(Macierz!$B$2:$B$441,"O",Macierz!$K$2:$K$441,"LUKA")</f>
        <v/>
      </c>
      <c r="E47" s="7">
        <f>COUNTIFS(Macierz!$B$2:$B$441,"O",Macierz!$L$2:$L$441,"BLOKER STARTU")</f>
        <v/>
      </c>
      <c r="F47" s="8">
        <f>IFERROR(C47/B47,0)</f>
        <v/>
      </c>
    </row>
    <row r="48">
      <c r="A48" s="7" t="inlineStr">
        <is>
          <t>P — Zgodność</t>
        </is>
      </c>
      <c r="B48" s="7">
        <f>COUNTIF(Macierz!$B$2:$B$441,"P")</f>
        <v/>
      </c>
      <c r="C48" s="7">
        <f>COUNTIFS(Macierz!$B$2:$B$441,"P",Macierz!$K$2:$K$441,"PARYTET")+COUNTIFS(Macierz!$B$2:$B$441,"P",Macierz!$K$2:$K$441,"PRZEWAGA")</f>
        <v/>
      </c>
      <c r="D48" s="7">
        <f>COUNTIFS(Macierz!$B$2:$B$441,"P",Macierz!$K$2:$K$441,"LUKA")</f>
        <v/>
      </c>
      <c r="E48" s="7">
        <f>COUNTIFS(Macierz!$B$2:$B$441,"P",Macierz!$L$2:$L$441,"BLOKER STARTU")</f>
        <v/>
      </c>
      <c r="F48" s="8">
        <f>IFERROR(C48/B48,0)</f>
        <v/>
      </c>
    </row>
    <row r="49">
      <c r="A49" s="7" t="inlineStr">
        <is>
          <t>Q — Przewaga</t>
        </is>
      </c>
      <c r="B49" s="7">
        <f>COUNTIF(Macierz!$B$2:$B$441,"Q")</f>
        <v/>
      </c>
      <c r="C49" s="7">
        <f>COUNTIFS(Macierz!$B$2:$B$441,"Q",Macierz!$K$2:$K$441,"PARYTET")+COUNTIFS(Macierz!$B$2:$B$441,"Q",Macierz!$K$2:$K$441,"PRZEWAGA")</f>
        <v/>
      </c>
      <c r="D49" s="7">
        <f>COUNTIFS(Macierz!$B$2:$B$441,"Q",Macierz!$K$2:$K$441,"LUKA")</f>
        <v/>
      </c>
      <c r="E49" s="7">
        <f>COUNTIFS(Macierz!$B$2:$B$441,"Q",Macierz!$L$2:$L$441,"BLOKER STARTU")</f>
        <v/>
      </c>
      <c r="F49" s="8">
        <f>IFERROR(C49/B49,0)</f>
        <v/>
      </c>
    </row>
    <row r="50">
      <c r="A50" s="7" t="inlineStr">
        <is>
          <t>X — Infrastruktura jakości</t>
        </is>
      </c>
      <c r="B50" s="7">
        <f>COUNTIF(Macierz!$B$2:$B$441,"X")</f>
        <v/>
      </c>
      <c r="C50" s="7">
        <f>COUNTIFS(Macierz!$B$2:$B$441,"X",Macierz!$K$2:$K$441,"PARYTET")+COUNTIFS(Macierz!$B$2:$B$441,"X",Macierz!$K$2:$K$441,"PRZEWAGA")</f>
        <v/>
      </c>
      <c r="D50" s="7">
        <f>COUNTIFS(Macierz!$B$2:$B$441,"X",Macierz!$K$2:$K$441,"LUKA")</f>
        <v/>
      </c>
      <c r="E50" s="7">
        <f>COUNTIFS(Macierz!$B$2:$B$441,"X",Macierz!$L$2:$L$441,"BLOKER STARTU")</f>
        <v/>
      </c>
      <c r="F50" s="8">
        <f>IFERROR(C50/B50,0)</f>
        <v/>
      </c>
    </row>
    <row r="51">
      <c r="A51" s="7" t="inlineStr">
        <is>
          <t>Z — Pass adwersaryjny</t>
        </is>
      </c>
      <c r="B51" s="7">
        <f>COUNTIF(Macierz!$B$2:$B$441,"Z")</f>
        <v/>
      </c>
      <c r="C51" s="7">
        <f>COUNTIFS(Macierz!$B$2:$B$441,"Z",Macierz!$K$2:$K$441,"PARYTET")+COUNTIFS(Macierz!$B$2:$B$441,"Z",Macierz!$K$2:$K$441,"PRZEWAGA")</f>
        <v/>
      </c>
      <c r="D51" s="7">
        <f>COUNTIFS(Macierz!$B$2:$B$441,"Z",Macierz!$K$2:$K$441,"LUKA")</f>
        <v/>
      </c>
      <c r="E51" s="7">
        <f>COUNTIFS(Macierz!$B$2:$B$441,"Z",Macierz!$L$2:$L$441,"BLOKER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 | 2026-10-10: przycisk „Zaloguj jako klient” w panelu obsługi tylko z CUSTOMERS_VIEW + CUSTOMERS_IMPERSONATE (staff-panel lib/staff-access.ts:31-35, test zaloguj-jako-klient.spec.tsx); passkey klienta zablokowany w sesji impersonacji (33d775dc, audyt bezpieczeństwa 09.10 A07).</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 | 2026-10-10: wspólna lista RBL_ZONES bez SORBS (deliverability/rbl.ts:5-10); monitoring IP węzłów admin-readiness/rbl-reputation.scheduler.ts:62-63,126 (stan „nieznany”, NODE_RBL_UNKNOWN); test rbl-reputation.scheduler.spec.ts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 | 2026-10-10: monitoring reputacji IP węzłów liczył timeout listy jako „brak wpisu”, więc awaria DNS wyglądała jak czyste IP. Teraz stan „nieznany” z alertem do adminów (przypomnienie najwyżej raz na dobę na węzeł) i wpisem na pulpicie (stan-platformy.ts:149). dnsbl.sorbs.net usunięty z list (SORBS zamknięty w 2024). D2. Do sprawdzenia na węźle: czy resolver API nie jest odrzucany przez Spamhaus (alert „nieznany”).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 | 2026-10-10: gotowość t1 na karcie węzła w adminie: offsite 10.10 03:51 OK (D3 10.10 ok. 13:00).</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K176" s="11" t="inlineStr">
        <is>
          <t>PARYTET</t>
        </is>
      </c>
      <c r="L176" s="11" t="inlineStr">
        <is>
          <t>WYSOKA</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 | 2026-10-10 (przegląd): „potwierdzone odtworzenie” w poziomie D3 tej pozycji to próba z 2026-08-22 — ta sama, której ważność wygasła 21.09 (H-20). Werdykt bez zmian, bo pozycja dotyczy powstawania kopii, nie odtwarzania, ale odczytu kopii control-plane w tej aktualizacji nie było; dowód odtwarzalności tej kopii wraca razem z H-20 (PB-54).</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 | 2026-10-09: autoscaling-billing.service.ts:158-196 (reszta groszy, Account.scaledCostCarryPln), :282,297-331 doplataZaPodbicie (Account.scaledBlockPaid*, schema.prisma:1303-1313); test autoskalowanie-rozliczenie.int-spec.ts:81-118,133-260</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 | 2026-10-10: rozliczenie bloków 15 min domknięte w dwóch miejscach: (1) podbicie poziomu w trakcie opłaconego bloku dopłaca proporcjonalnie różnicę za pozostałe minuty (spadek bez zwrotu, dopłata raz przy równoległych przebiegach silnika i crona, rabat operatora i rozliczenie poza Verris też ją obejmują); (2) reszta groszy przechodzi między blokami — blok za 0,0165 zł nie jest już zaokrąglany w górę przy każdym pobraniu (suma pobrań zgodna z cennikiem zamiast +21%). Wdrożone 10.10 (integracja API 351/351). Pieniądze → D3 przy pierwszym szczycie z portfelem na t1.</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 | 2026-10-10: sonda monitoringu sprawdza host przez tę samą listę zastrzeżonych zakresów co migracje i webhooki (site-monitor.service.ts:25,830 → resolvePublicHost; 7d5cc87c, test site-monitor-ssrf.spec.ts).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 | 2026-10-10: pływający asystent pracowników w panelu admina z kontekstem strony (components/asystent.tsx, asystent-actions.ts); wiedza STAFF to słownik „?” i 3 runbooki z białej listy (test na sekrety, IP i e-maile); runbooki nie trafiają do bazy wiedzy klienta (628c061d). Z prawdziwym dostawcą AI w panelu admina — niesprawdzone.</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 | 2026-10-09: vat.ts:20-21,75 (spoza UE netto tylko po weryfikacji obsługi); vat-weryfikacja.service.ts + vat-weryfikacja.admin.controller.ts:28,39,50 (weryfikacja, cofnięcie, dane nabywcy — BILLING_MANAGE); users.service.ts:548-555 (po 1. płatności klient nie zmienia kraju ani NIP); test vat-weryfikacja-nabywcy.int-spec.ts, vat-weryfikacja.service.spec.ts</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 | 2026-10-10: decyzja właściciela 09.10 — nabywca spoza UE płaci netto („np”) dopiero po ręcznej weryfikacji przez obsługę (kto, kiedy i na jakiej podstawie — w dzienniku); do tego czasu 23% jak w Polsce. Po pierwszej płatności klient nie zmienia sam kraju ani NIP — zmienia obsługa („Dane nabywcy” na karcie klienta, Fala 1B). Status VAT nabywcy na karcie klienta w adminie (status-vat-nabywcy.tsx); hotfix React #441 przy wczytywaniu karty (a0a1420a). Wdrożone 10.10; D3 10.10 ok. 13:00: karta klienta d3 się wczytuje. Weryfikacja nabywcy spoza UE na żywo — przy pierwszym takim kliencie (pieniądze → D3).</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CZĘŚCIOWE</t>
        </is>
      </c>
      <c r="J254" s="12" t="inlineStr">
        <is>
          <t>ksef.admin.controller.ts:38; zero wystąpień UPO w admin-panel | 2026-10-10: ksef.admin.controller.ts:37-42 (GET /admin/ksef/invoices/:id/upo); admin invoices/[invoiceId]/page.tsx — „Pobierz UPO” przez app/api/invoices-upo/[id]/route.ts:18; test route.spec.ts</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 | 2026-10-10 (B1): PATCH /admin/billing/promo-codes/:id — billing.admin.controller.ts:89 → promo.service.ts:214 updatePromoCode (active, validTo, maxRedemptions, opis; dziennik przed/po); admin promo-codes/akcje-kodu.tsx („Wyłącz”/„Edytuj”); test kody-promocyjne.int-spec.ts:172-252</t>
        </is>
      </c>
      <c r="K262" s="11" t="inlineStr">
        <is>
          <t>PARYTET</t>
        </is>
      </c>
      <c r="L262" s="11" t="inlineStr">
        <is>
          <t>ŚREDNIA</t>
        </is>
      </c>
      <c r="M262" s="11" t="inlineStr">
        <is>
          <t>—</t>
        </is>
      </c>
      <c r="N262" s="12" t="inlineStr">
        <is>
          <t>ZERO testów | 2026-10-10: „ZERO testów” nieaktualne — kody-promocyjne.int-spec.ts pokrywa voucher, limity przy równoległych żądaniach, kod na zakup i odnowienie. Bloker B1 z audytu paneli operatora (OD-20: kodu nie dało się wyłączyć ani skrócić) zamknięty: wyłączony albo przeterminowany kod jest odrzucany przy zakupie i przy odnowieniu (test :209-251). Wdrożone 10.10. D3 10.10 ok. 13:00: kody promocyjne w panelu admina z przyciskami „Wyłącz”/„Edytuj” działają.</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 | 2026-10-09 (7d5cc87c): jedna lista zastrzeżonych zakresów ops/scripts/lib/zastrzezone-zakresy.txt dla API (migration-net.util.ts:14-24,97 — także adresy control-plane i węzłów z adresy-wezlow.rejestr.ts; webhook-post.ts:78-90) i guarda węzła (migration-input-guard.sh:114-145,290 — m.in. NAT64 64:ff9b::/96, 6to4, Teredo); API w produkcji nie startuje bez VERRIS_CONTROL_PLANE_IPS (podpis-skryptow.ts:77-87); testy zastrzezone-zakresy.spec.ts (rozjazd kopii listy = czerwień), ssrf-adresy-wezlow.int-spec.ts</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 | 2026-10-10: granica SSRF z audytu bezpieczeństwa 09.10 — wcześniej listy zakresów w API i w guardzie węzła się różniły (adres NAT64 64:ff9b::7f00:1 = 127.0.0.1 przechodził), a adresy control-plane nie były zastrzeżone. Wdrożone 10.10. D3 t1 10.10 00:02 (Onboard LIVE wgrał nowy guard): `64:ff9b::7f00:1` → odmowa, `8.8.8.8` → OK.</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 | 2026-10-10 (B2): zapis tylko z KB_MANAGE — kb.admin.controller.ts:29,52-110 (StaffPermissionsGuard + @StaffPerm), role-systemowe.ts:38,86; test kb.admin.controller.spec.ts</t>
        </is>
      </c>
      <c r="K285" s="11" t="inlineStr">
        <is>
          <t>PARYTET</t>
        </is>
      </c>
      <c r="L285" s="11" t="inlineStr">
        <is>
          <t>—</t>
        </is>
      </c>
      <c r="M285" s="11" t="inlineStr">
        <is>
          <t>—</t>
        </is>
      </c>
      <c r="N285" s="12" t="inlineStr">
        <is>
          <t>2026-10-10: B2 z audytu paneli operatora zamknięty — wcześniej każdy STAFF mógł zmieniać i usuwać artykuły widoczne dla klientów i indeksowane przez asystenta; KB_MANAGE mają L4 i Marketing. Panel obsługi /knowledge pokazuje artykuły bazy wiedzy zamiast pustych szablonów (2df53554). D3 10.10 ok. 13:00: artykuły są, ale Markdown nie jest renderowany (surowe ## i bloki kodu — staff knowledge/page.tsx:82 wypisuje bodyMarkdown jako tekst) — błąd UX do Fali 2 (PB-51). Artykuł „Autoskalowanie” na produkcji nadal obiecuje „rekomendacje zmiany planu” — poprawione teksty (3dcec634) czekają na wklejenie do CMS przez właściciela.</t>
        </is>
      </c>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 | 2026-10-10 (Fala 1B): admin customers/[userId]/historia-klienta.tsx — Komunikacja (GET /admin/email-log/user/:id; tokeny i linki jednorazowe maskowane w email-log.service.ts:120-143), historia logowań w Dostępach, „Kto oglądał” w Dzienniku; sekcje wspólne z obsługą (lib/sekcje-karty-klienta.ts:10,30); „Dane nabywcy” (vat-weryfikacja.admin.controller.ts:50); test karta-klienta.spec.tsx</t>
        </is>
      </c>
      <c r="K299" s="11" t="inlineStr">
        <is>
          <t>PRZEWAGA</t>
        </is>
      </c>
      <c r="L299" s="11" t="inlineStr">
        <is>
          <t>—</t>
        </is>
      </c>
      <c r="M299" s="11" t="inlineStr">
        <is>
          <t>—</t>
        </is>
      </c>
      <c r="N299" s="12" t="inlineStr">
        <is>
          <t>2026-10-10: 08.10: spójna karta klienta w panelu obsługi i admina, każde otwarcie karty przez operatora w dzienniku, L1 otwiera kartę usługi w podglądzie (pakiet obsługi). 10.10 Fala 1B: Komunikacja, logowania, „Kto oglądał” i dane nabywcy na karcie klienta — trzy pierwsze na razie tylko dla ADMIN (KARTY_TYLKO_ADMIN), dla L1 w Fali 2 wg decyzji D9. D3 10.10 ok. 13:00: karta klienta d3 — Komunikacja i Dostępy (historia logowań 30 dni) działają. ZNALEZISKO D3: reset hasła klienta w adminie pokazuje operatorowi nowe hasło (operational-forms.tsx:276 → users.admin.controller.ts:207) — sprzeczne z decyzją D3 z 10.10 (operator nie zna haseł) → Fala 2A (PB-51).</t>
        </is>
      </c>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 | 2026-10-10: martwe uprawnienia podpięte — audit.admin.controller.ts:31 (AUDIT_VIEW), compliance.admin.controller.ts:113-143 (COMPLIANCE_MANAGE), plans.admin.controller.ts:36 (PLANS_MANAGE), test martwe-uprawnienia.spec.ts:40-75; front admina fail-closed przy błędzie API uprawnień (admin-panel lib/staff-access.ts:20-21); menu obsługi wg uprawnień (staff-panel lib/menu-obslugi.ts + spec); „Zaloguj jako klient” tylko z CUSTOMERS_IMPERSONATE (staff-panel lib/staff-access.ts:31-35)</t>
        </is>
      </c>
      <c r="K312" s="11" t="inlineStr">
        <is>
          <t>PARYTET</t>
        </is>
      </c>
      <c r="L312" s="11" t="inlineStr">
        <is>
          <t>—</t>
        </is>
      </c>
      <c r="M312" s="11" t="inlineStr">
        <is>
          <t>—</t>
        </is>
      </c>
      <c r="N312" s="12" t="inlineStr">
        <is>
          <t>2026-10-10: 08.10: role L1–L4 i funkcyjne, wnioski o operację (pakiet obsługi). 10.10 Fala 1A: RBAC operatora egzekwowany w API i w obu panelach (D2). ZOSTAJE przed betą: przejście ról L1–L4 na żywo przez przełączenie roli istniejącego konta staff — bez tego RBAC zostaje na D2.</t>
        </is>
      </c>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 | 2026-10-10: karta operatora /operators/[id] (role, blokada, Grafana) i „Twoje konto” (2FA, passkey, break-glass); stan 2FA i passkey zespołu na liście (operators/page.tsx; users.admin.service.ts:54-121; test stan-2fa-zespolu.int-spec.ts); poczta zespołu „Zawieś skrzynkę” (878dcc18)</t>
        </is>
      </c>
      <c r="K313" s="11" t="inlineStr">
        <is>
          <t>PARYTET</t>
        </is>
      </c>
      <c r="L313" s="11" t="inlineStr">
        <is>
          <t>—</t>
        </is>
      </c>
      <c r="M313" s="11" t="inlineStr">
        <is>
          <t>—</t>
        </is>
      </c>
      <c r="N313" s="12" t="inlineStr">
        <is>
          <t>2026-10-10: porządki admina (patch 12) i Fala 1B. Przełącznik wymuszenia 2FA dla zespołu w panelu (decyzja D10, ADMIN) — Fala 2A (PB-51); do tego czasu zmienna REQUIRE_2FA_FOR_STAFF (auth.service.ts:702).</t>
        </is>
      </c>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 | 2026-10-10: white label — metodologia raportu EKO bez nazw oprogramowania węzła (eco-report.service.ts; test common/biala-etykieta-teksty-klienta.spec.ts:12; 414d4937).</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 | 2026-10-10: admin components/command-palette.tsx + lib/akcje/{rejestr,wezel,klient,usluga,faktura,globalne,szukaj}.ts — tryb obiekt → działanie; wyszukiwarka API: węzły, zgłoszenia i migracje z uprawnieniami per typ (search.service.ts:69); testy command-palette.spec.tsx, szukaj.spec.ts</t>
        </is>
      </c>
      <c r="K343" s="11" t="inlineStr">
        <is>
          <t>PRZEWAGA</t>
        </is>
      </c>
      <c r="L343" s="11" t="inlineStr">
        <is>
          <t>—</t>
        </is>
      </c>
      <c r="M343" s="11" t="inlineStr">
        <is>
          <t>—</t>
        </is>
      </c>
      <c r="N343" s="12" t="inlineStr">
        <is>
          <t>2026-10-10: porządki admina — Cmd+K ze słowami kluczowymi i stronami spoza menu, skrót ⌘K; „onboard t1” prowadzi do karty i podświetla przycisk; akcja bez uprawnień prowadzi do „Wyślij wniosek”; SSO do DA węzła uruchamia się prosto z palety (d6bb2e88). D2.</t>
        </is>
      </c>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 | 2026-10-09: ops/caddy/Caddyfile:90-110 (vpn_only: panele obsługi i admina oraz GlitchTip tylko z CADDY_INTERNAL_ALLOW_CIDR; pusta albo zbyt szeroka lista /0–/7 = 403 dla wszystkich), ops/caddy/start.sh:25-28 (zła lista nie kładzie proxy, panele zamknięte); test panele-wewnetrzne-vpn.spec.ts</t>
        </is>
      </c>
      <c r="K348" s="11" t="inlineStr">
        <is>
          <t>PRZEWAGA</t>
        </is>
      </c>
      <c r="L348" s="11" t="inlineStr">
        <is>
          <t>—</t>
        </is>
      </c>
      <c r="M348" s="11" t="inlineStr">
        <is>
          <t>—</t>
        </is>
      </c>
      <c r="N348" s="12" t="inlineStr">
        <is>
          <t>2026-10-10: domknięty fail-open z audytu bezpieczeństwa 09.10 — domyślna wartość w docker-compose.prod.yml była „0.0.0.0/0 ::/0”, czyli panele operatora były osiągalne z internetu mimo VPN. Teraz fail-closed; produkcja CADDY_INTERNAL_ALLOW_CIDR=10.88.0.0/24, rekordy AAAA admin/staff usunięte. D3 10.10 ok. 13:00: bez VPN panel admina i obsługi → 403, przez VPN działają.</t>
        </is>
      </c>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 | 2026-10-10: ta sama klasa błędu w panelu admina — miejsca `.catch(() =&gt; [])` (role, kolejka zakładania, karta węzła i inne) pokazują „Nie udało się wczytać — Spróbuj ponownie” (components/nie-wczytano.tsx + spec; e00968bb) zamiast pustej listy.</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row r="441">
      <c r="A441" s="11" t="inlineStr">
        <is>
          <t>SEC-11</t>
        </is>
      </c>
      <c r="B441" s="12" t="inlineStr">
        <is>
          <t>G</t>
        </is>
      </c>
      <c r="C441" s="11" t="inlineStr">
        <is>
          <t>CSP z nonce w panelach i na www — bez 'unsafe-inline' w script-src</t>
        </is>
      </c>
      <c r="D441" s="11" t="inlineStr">
        <is>
          <t>—</t>
        </is>
      </c>
      <c r="E441" s="11" t="inlineStr">
        <is>
          <t>—</t>
        </is>
      </c>
      <c r="F441" s="11" t="inlineStr">
        <is>
          <t>—</t>
        </is>
      </c>
      <c r="G441" s="11" t="inlineStr">
        <is>
          <t>—</t>
        </is>
      </c>
      <c r="H441" s="11" t="inlineStr">
        <is>
          <t>—</t>
        </is>
      </c>
      <c r="I441" s="11" t="inlineStr">
        <is>
          <t>DZIAŁA</t>
        </is>
      </c>
      <c r="J441" s="12"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K441" s="11" t="inlineStr">
        <is>
          <t>PARYTET</t>
        </is>
      </c>
      <c r="L441" s="11" t="inlineStr">
        <is>
          <t>WYSOKA</t>
        </is>
      </c>
      <c r="M441" s="11" t="inlineStr">
        <is>
          <t>S</t>
        </is>
      </c>
      <c r="N441" s="12"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row>
  </sheetData>
  <autoFilter ref="A1:N441"/>
  <conditionalFormatting sqref="D2:D441">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1">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1">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1">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1">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1">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1">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1">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2026-10-12T09:36:39Z</dcterms:created>
  <dcterms:modified xmlns:dcterms="http://purl.org/dc/terms/" xmlns:xsi="http://www.w3.org/2001/XMLSchema-instance" xsi:type="dcterms:W3CDTF">2026-10-12T09:36:39Z</dcterms:modified>
</cp:coreProperties>
</file>