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'Macierz'!$A$1:$N$429</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2026-09-21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COUNTIF(Macierz!$K$2:$K$429,A6)</f>
        <v/>
      </c>
    </row>
    <row r="7">
      <c r="A7" s="5" t="inlineStr">
        <is>
          <t>PRZEWAGA</t>
        </is>
      </c>
      <c r="B7" s="5">
        <f>COUNTIF(Macierz!$K$2:$K$429,A7)</f>
        <v/>
      </c>
    </row>
    <row r="8">
      <c r="A8" s="5" t="inlineStr">
        <is>
          <t>CZĘŚCIOWY</t>
        </is>
      </c>
      <c r="B8" s="5">
        <f>COUNTIF(Macierz!$K$2:$K$429,A8)</f>
        <v/>
      </c>
    </row>
    <row r="9">
      <c r="A9" s="5" t="inlineStr">
        <is>
          <t>LUKA</t>
        </is>
      </c>
      <c r="B9" s="5">
        <f>COUNTIF(Macierz!$K$2:$K$429,A9)</f>
        <v/>
      </c>
    </row>
    <row r="10">
      <c r="A10" s="5" t="inlineStr">
        <is>
          <t>POZA ZAKRESEM</t>
        </is>
      </c>
      <c r="B10" s="5">
        <f>COUNTIF(Macierz!$K$2:$K$429,A10)</f>
        <v/>
      </c>
    </row>
    <row r="13">
      <c r="A13" s="3" t="inlineStr">
        <is>
          <t>Stan implementacji</t>
        </is>
      </c>
    </row>
    <row r="14">
      <c r="A14" s="4" t="inlineStr">
        <is>
          <t>Wartość</t>
        </is>
      </c>
      <c r="B14" s="4" t="inlineStr">
        <is>
          <t>Pozycji</t>
        </is>
      </c>
    </row>
    <row r="15">
      <c r="A15" s="5" t="inlineStr">
        <is>
          <t>DZIAŁA</t>
        </is>
      </c>
      <c r="B15" s="5">
        <f>COUNTIF(Macierz!$I$2:$I$429,A15)</f>
        <v/>
      </c>
    </row>
    <row r="16">
      <c r="A16" s="5" t="inlineStr">
        <is>
          <t>CZĘŚCIOWE</t>
        </is>
      </c>
      <c r="B16" s="5">
        <f>COUNTIF(Macierz!$I$2:$I$429,A16)</f>
        <v/>
      </c>
    </row>
    <row r="17">
      <c r="A17" s="5" t="inlineStr">
        <is>
          <t>FLAGA</t>
        </is>
      </c>
      <c r="B17" s="5">
        <f>COUNTIF(Macierz!$I$2:$I$429,A17)</f>
        <v/>
      </c>
    </row>
    <row r="18">
      <c r="A18" s="5" t="inlineStr">
        <is>
          <t>ATRAPA</t>
        </is>
      </c>
      <c r="B18" s="5">
        <f>COUNTIF(Macierz!$I$2:$I$429,A18)</f>
        <v/>
      </c>
    </row>
    <row r="19">
      <c r="A19" s="5" t="inlineStr">
        <is>
          <t>ENDPOINT BEZ UI</t>
        </is>
      </c>
      <c r="B19" s="5">
        <f>COUNTIF(Macierz!$I$2:$I$429,A19)</f>
        <v/>
      </c>
    </row>
    <row r="20">
      <c r="A20" s="5" t="inlineStr">
        <is>
          <t>BRAK</t>
        </is>
      </c>
      <c r="B20" s="5">
        <f>COUNTIF(Macierz!$I$2:$I$429,A20)</f>
        <v/>
      </c>
    </row>
    <row r="21">
      <c r="A21" s="5" t="inlineStr">
        <is>
          <t>b.d.</t>
        </is>
      </c>
      <c r="B21" s="5">
        <f>COUNTIF(Macierz!$I$2:$I$429,A21)</f>
        <v/>
      </c>
    </row>
    <row r="24">
      <c r="A24" s="3" t="inlineStr">
        <is>
          <t>Krytyczność luk</t>
        </is>
      </c>
    </row>
    <row r="25">
      <c r="A25" s="4" t="inlineStr">
        <is>
          <t>Wartość</t>
        </is>
      </c>
      <c r="B25" s="4" t="inlineStr">
        <is>
          <t>Pozycji</t>
        </is>
      </c>
    </row>
    <row r="26">
      <c r="A26" s="6" t="inlineStr">
        <is>
          <t>BLOKER STARTU</t>
        </is>
      </c>
      <c r="B26" s="6">
        <f>COUNTIF(Macierz!$L$2:$L$429,A26)</f>
        <v/>
      </c>
    </row>
    <row r="27">
      <c r="A27" s="5" t="inlineStr">
        <is>
          <t>WYSOKA</t>
        </is>
      </c>
      <c r="B27" s="5">
        <f>COUNTIF(Macierz!$L$2:$L$429,A27)</f>
        <v/>
      </c>
    </row>
    <row r="28">
      <c r="A28" s="5" t="inlineStr">
        <is>
          <t>ŚREDNIA</t>
        </is>
      </c>
      <c r="B28" s="5">
        <f>COUNTIF(Macierz!$L$2:$L$429,A28)</f>
        <v/>
      </c>
    </row>
    <row r="29">
      <c r="A29" s="5" t="inlineStr">
        <is>
          <t>NISKA</t>
        </is>
      </c>
      <c r="B29" s="5">
        <f>COUNTIF(Macierz!$L$2:$L$429,A29)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COUNTIF(Macierz!$B$2:$B$429,"A")</f>
        <v/>
      </c>
      <c r="C33" s="7">
        <f>COUNTIFS(Macierz!$B$2:$B$429,"A",Macierz!$K$2:$K$429,"PARYTET")+COUNTIFS(Macierz!$B$2:$B$429,"A",Macierz!$K$2:$K$429,"PRZEWAGA")</f>
        <v/>
      </c>
      <c r="D33" s="7">
        <f>COUNTIFS(Macierz!$B$2:$B$429,"A",Macierz!$K$2:$K$429,"LUKA")</f>
        <v/>
      </c>
      <c r="E33" s="7">
        <f>COUNTIFS(Macierz!$B$2:$B$429,"A",Macierz!$L$2:$L$429,"BLOKER STARTU")</f>
        <v/>
      </c>
      <c r="F33" s="8">
        <f>IFERROR(C33/B33,0)</f>
        <v/>
      </c>
    </row>
    <row r="34">
      <c r="A34" s="7" t="inlineStr">
        <is>
          <t>B — Runtime WWW</t>
        </is>
      </c>
      <c r="B34" s="7">
        <f>COUNTIF(Macierz!$B$2:$B$429,"B")</f>
        <v/>
      </c>
      <c r="C34" s="7">
        <f>COUNTIFS(Macierz!$B$2:$B$429,"B",Macierz!$K$2:$K$429,"PARYTET")+COUNTIFS(Macierz!$B$2:$B$429,"B",Macierz!$K$2:$K$429,"PRZEWAGA")</f>
        <v/>
      </c>
      <c r="D34" s="7">
        <f>COUNTIFS(Macierz!$B$2:$B$429,"B",Macierz!$K$2:$K$429,"LUKA")</f>
        <v/>
      </c>
      <c r="E34" s="7">
        <f>COUNTIFS(Macierz!$B$2:$B$429,"B",Macierz!$L$2:$L$429,"BLOKER STARTU")</f>
        <v/>
      </c>
      <c r="F34" s="8">
        <f>IFERROR(C34/B34,0)</f>
        <v/>
      </c>
    </row>
    <row r="35">
      <c r="A35" s="7" t="inlineStr">
        <is>
          <t>C — Pliki, FTP, SSH, Git</t>
        </is>
      </c>
      <c r="B35" s="7">
        <f>COUNTIF(Macierz!$B$2:$B$429,"C")</f>
        <v/>
      </c>
      <c r="C35" s="7">
        <f>COUNTIFS(Macierz!$B$2:$B$429,"C",Macierz!$K$2:$K$429,"PARYTET")+COUNTIFS(Macierz!$B$2:$B$429,"C",Macierz!$K$2:$K$429,"PRZEWAGA")</f>
        <v/>
      </c>
      <c r="D35" s="7">
        <f>COUNTIFS(Macierz!$B$2:$B$429,"C",Macierz!$K$2:$K$429,"LUKA")</f>
        <v/>
      </c>
      <c r="E35" s="7">
        <f>COUNTIFS(Macierz!$B$2:$B$429,"C",Macierz!$L$2:$L$429,"BLOKER STARTU")</f>
        <v/>
      </c>
      <c r="F35" s="8">
        <f>IFERROR(C35/B35,0)</f>
        <v/>
      </c>
    </row>
    <row r="36">
      <c r="A36" s="7" t="inlineStr">
        <is>
          <t>D — Bazy danych</t>
        </is>
      </c>
      <c r="B36" s="7">
        <f>COUNTIF(Macierz!$B$2:$B$429,"D")</f>
        <v/>
      </c>
      <c r="C36" s="7">
        <f>COUNTIFS(Macierz!$B$2:$B$429,"D",Macierz!$K$2:$K$429,"PARYTET")+COUNTIFS(Macierz!$B$2:$B$429,"D",Macierz!$K$2:$K$429,"PRZEWAGA")</f>
        <v/>
      </c>
      <c r="D36" s="7">
        <f>COUNTIFS(Macierz!$B$2:$B$429,"D",Macierz!$K$2:$K$429,"LUKA")</f>
        <v/>
      </c>
      <c r="E36" s="7">
        <f>COUNTIFS(Macierz!$B$2:$B$429,"D",Macierz!$L$2:$L$429,"BLOKER STARTU")</f>
        <v/>
      </c>
      <c r="F36" s="8">
        <f>IFERROR(C36/B36,0)</f>
        <v/>
      </c>
    </row>
    <row r="37">
      <c r="A37" s="7" t="inlineStr">
        <is>
          <t>E — Poczta</t>
        </is>
      </c>
      <c r="B37" s="7">
        <f>COUNTIF(Macierz!$B$2:$B$429,"E")</f>
        <v/>
      </c>
      <c r="C37" s="7">
        <f>COUNTIFS(Macierz!$B$2:$B$429,"E",Macierz!$K$2:$K$429,"PARYTET")+COUNTIFS(Macierz!$B$2:$B$429,"E",Macierz!$K$2:$K$429,"PRZEWAGA")</f>
        <v/>
      </c>
      <c r="D37" s="7">
        <f>COUNTIFS(Macierz!$B$2:$B$429,"E",Macierz!$K$2:$K$429,"LUKA")</f>
        <v/>
      </c>
      <c r="E37" s="7">
        <f>COUNTIFS(Macierz!$B$2:$B$429,"E",Macierz!$L$2:$L$429,"BLOKER STARTU")</f>
        <v/>
      </c>
      <c r="F37" s="8">
        <f>IFERROR(C37/B37,0)</f>
        <v/>
      </c>
    </row>
    <row r="38">
      <c r="A38" s="7" t="inlineStr">
        <is>
          <t>F — DNS</t>
        </is>
      </c>
      <c r="B38" s="7">
        <f>COUNTIF(Macierz!$B$2:$B$429,"F")</f>
        <v/>
      </c>
      <c r="C38" s="7">
        <f>COUNTIFS(Macierz!$B$2:$B$429,"F",Macierz!$K$2:$K$429,"PARYTET")+COUNTIFS(Macierz!$B$2:$B$429,"F",Macierz!$K$2:$K$429,"PRZEWAGA")</f>
        <v/>
      </c>
      <c r="D38" s="7">
        <f>COUNTIFS(Macierz!$B$2:$B$429,"F",Macierz!$K$2:$K$429,"LUKA")</f>
        <v/>
      </c>
      <c r="E38" s="7">
        <f>COUNTIFS(Macierz!$B$2:$B$429,"F",Macierz!$L$2:$L$429,"BLOKER STARTU")</f>
        <v/>
      </c>
      <c r="F38" s="8">
        <f>IFERROR(C38/B38,0)</f>
        <v/>
      </c>
    </row>
    <row r="39">
      <c r="A39" s="7" t="inlineStr">
        <is>
          <t>G — SSL i bezpieczeństwo</t>
        </is>
      </c>
      <c r="B39" s="7">
        <f>COUNTIF(Macierz!$B$2:$B$429,"G")</f>
        <v/>
      </c>
      <c r="C39" s="7">
        <f>COUNTIFS(Macierz!$B$2:$B$429,"G",Macierz!$K$2:$K$429,"PARYTET")+COUNTIFS(Macierz!$B$2:$B$429,"G",Macierz!$K$2:$K$429,"PRZEWAGA")</f>
        <v/>
      </c>
      <c r="D39" s="7">
        <f>COUNTIFS(Macierz!$B$2:$B$429,"G",Macierz!$K$2:$K$429,"LUKA")</f>
        <v/>
      </c>
      <c r="E39" s="7">
        <f>COUNTIFS(Macierz!$B$2:$B$429,"G",Macierz!$L$2:$L$429,"BLOKER STARTU")</f>
        <v/>
      </c>
      <c r="F39" s="8">
        <f>IFERROR(C39/B39,0)</f>
        <v/>
      </c>
    </row>
    <row r="40">
      <c r="A40" s="7" t="inlineStr">
        <is>
          <t>H — Backup i odtwarzanie</t>
        </is>
      </c>
      <c r="B40" s="7">
        <f>COUNTIF(Macierz!$B$2:$B$429,"H")</f>
        <v/>
      </c>
      <c r="C40" s="7">
        <f>COUNTIFS(Macierz!$B$2:$B$429,"H",Macierz!$K$2:$K$429,"PARYTET")+COUNTIFS(Macierz!$B$2:$B$429,"H",Macierz!$K$2:$K$429,"PRZEWAGA")</f>
        <v/>
      </c>
      <c r="D40" s="7">
        <f>COUNTIFS(Macierz!$B$2:$B$429,"H",Macierz!$K$2:$K$429,"LUKA")</f>
        <v/>
      </c>
      <c r="E40" s="7">
        <f>COUNTIFS(Macierz!$B$2:$B$429,"H",Macierz!$L$2:$L$429,"BLOKER STARTU")</f>
        <v/>
      </c>
      <c r="F40" s="8">
        <f>IFERROR(C40/B40,0)</f>
        <v/>
      </c>
    </row>
    <row r="41">
      <c r="A41" s="7" t="inlineStr">
        <is>
          <t>I — Aplikacje i WordPress</t>
        </is>
      </c>
      <c r="B41" s="7">
        <f>COUNTIF(Macierz!$B$2:$B$429,"I")</f>
        <v/>
      </c>
      <c r="C41" s="7">
        <f>COUNTIFS(Macierz!$B$2:$B$429,"I",Macierz!$K$2:$K$429,"PARYTET")+COUNTIFS(Macierz!$B$2:$B$429,"I",Macierz!$K$2:$K$429,"PRZEWAGA")</f>
        <v/>
      </c>
      <c r="D41" s="7">
        <f>COUNTIFS(Macierz!$B$2:$B$429,"I",Macierz!$K$2:$K$429,"LUKA")</f>
        <v/>
      </c>
      <c r="E41" s="7">
        <f>COUNTIFS(Macierz!$B$2:$B$429,"I",Macierz!$L$2:$L$429,"BLOKER STARTU")</f>
        <v/>
      </c>
      <c r="F41" s="8">
        <f>IFERROR(C41/B41,0)</f>
        <v/>
      </c>
    </row>
    <row r="42">
      <c r="A42" s="7" t="inlineStr">
        <is>
          <t>J — Wydajność i cache</t>
        </is>
      </c>
      <c r="B42" s="7">
        <f>COUNTIF(Macierz!$B$2:$B$429,"J")</f>
        <v/>
      </c>
      <c r="C42" s="7">
        <f>COUNTIFS(Macierz!$B$2:$B$429,"J",Macierz!$K$2:$K$429,"PARYTET")+COUNTIFS(Macierz!$B$2:$B$429,"J",Macierz!$K$2:$K$429,"PRZEWAGA")</f>
        <v/>
      </c>
      <c r="D42" s="7">
        <f>COUNTIFS(Macierz!$B$2:$B$429,"J",Macierz!$K$2:$K$429,"LUKA")</f>
        <v/>
      </c>
      <c r="E42" s="7">
        <f>COUNTIFS(Macierz!$B$2:$B$429,"J",Macierz!$L$2:$L$429,"BLOKER STARTU")</f>
        <v/>
      </c>
      <c r="F42" s="8">
        <f>IFERROR(C42/B42,0)</f>
        <v/>
      </c>
    </row>
    <row r="43">
      <c r="A43" s="7" t="inlineStr">
        <is>
          <t>K — Statystyki, logi, limity</t>
        </is>
      </c>
      <c r="B43" s="7">
        <f>COUNTIF(Macierz!$B$2:$B$429,"K")</f>
        <v/>
      </c>
      <c r="C43" s="7">
        <f>COUNTIFS(Macierz!$B$2:$B$429,"K",Macierz!$K$2:$K$429,"PARYTET")+COUNTIFS(Macierz!$B$2:$B$429,"K",Macierz!$K$2:$K$429,"PRZEWAGA")</f>
        <v/>
      </c>
      <c r="D43" s="7">
        <f>COUNTIFS(Macierz!$B$2:$B$429,"K",Macierz!$K$2:$K$429,"LUKA")</f>
        <v/>
      </c>
      <c r="E43" s="7">
        <f>COUNTIFS(Macierz!$B$2:$B$429,"K",Macierz!$L$2:$L$429,"BLOKER STARTU")</f>
        <v/>
      </c>
      <c r="F43" s="8">
        <f>IFERROR(C43/B43,0)</f>
        <v/>
      </c>
    </row>
    <row r="44">
      <c r="A44" s="7" t="inlineStr">
        <is>
          <t>L — Automatyzacja</t>
        </is>
      </c>
      <c r="B44" s="7">
        <f>COUNTIF(Macierz!$B$2:$B$429,"L")</f>
        <v/>
      </c>
      <c r="C44" s="7">
        <f>COUNTIFS(Macierz!$B$2:$B$429,"L",Macierz!$K$2:$K$429,"PARYTET")+COUNTIFS(Macierz!$B$2:$B$429,"L",Macierz!$K$2:$K$429,"PRZEWAGA")</f>
        <v/>
      </c>
      <c r="D44" s="7">
        <f>COUNTIFS(Macierz!$B$2:$B$429,"L",Macierz!$K$2:$K$429,"LUKA")</f>
        <v/>
      </c>
      <c r="E44" s="7">
        <f>COUNTIFS(Macierz!$B$2:$B$429,"L",Macierz!$L$2:$L$429,"BLOKER STARTU")</f>
        <v/>
      </c>
      <c r="F44" s="8">
        <f>IFERROR(C44/B44,0)</f>
        <v/>
      </c>
    </row>
    <row r="45">
      <c r="A45" s="7" t="inlineStr">
        <is>
          <t>M — Rozliczenia</t>
        </is>
      </c>
      <c r="B45" s="7">
        <f>COUNTIF(Macierz!$B$2:$B$429,"M")</f>
        <v/>
      </c>
      <c r="C45" s="7">
        <f>COUNTIFS(Macierz!$B$2:$B$429,"M",Macierz!$K$2:$K$429,"PARYTET")+COUNTIFS(Macierz!$B$2:$B$429,"M",Macierz!$K$2:$K$429,"PRZEWAGA")</f>
        <v/>
      </c>
      <c r="D45" s="7">
        <f>COUNTIFS(Macierz!$B$2:$B$429,"M",Macierz!$K$2:$K$429,"LUKA")</f>
        <v/>
      </c>
      <c r="E45" s="7">
        <f>COUNTIFS(Macierz!$B$2:$B$429,"M",Macierz!$L$2:$L$429,"BLOKER STARTU")</f>
        <v/>
      </c>
      <c r="F45" s="8">
        <f>IFERROR(C45/B45,0)</f>
        <v/>
      </c>
    </row>
    <row r="46">
      <c r="A46" s="7" t="inlineStr">
        <is>
          <t>N — Wsparcie i ops</t>
        </is>
      </c>
      <c r="B46" s="7">
        <f>COUNTIF(Macierz!$B$2:$B$429,"N")</f>
        <v/>
      </c>
      <c r="C46" s="7">
        <f>COUNTIFS(Macierz!$B$2:$B$429,"N",Macierz!$K$2:$K$429,"PARYTET")+COUNTIFS(Macierz!$B$2:$B$429,"N",Macierz!$K$2:$K$429,"PRZEWAGA")</f>
        <v/>
      </c>
      <c r="D46" s="7">
        <f>COUNTIFS(Macierz!$B$2:$B$429,"N",Macierz!$K$2:$K$429,"LUKA")</f>
        <v/>
      </c>
      <c r="E46" s="7">
        <f>COUNTIFS(Macierz!$B$2:$B$429,"N",Macierz!$L$2:$L$429,"BLOKER STARTU")</f>
        <v/>
      </c>
      <c r="F46" s="8">
        <f>IFERROR(C46/B46,0)</f>
        <v/>
      </c>
    </row>
    <row r="47">
      <c r="A47" s="7" t="inlineStr">
        <is>
          <t>O — Multi-user i reseller</t>
        </is>
      </c>
      <c r="B47" s="7">
        <f>COUNTIF(Macierz!$B$2:$B$429,"O")</f>
        <v/>
      </c>
      <c r="C47" s="7">
        <f>COUNTIFS(Macierz!$B$2:$B$429,"O",Macierz!$K$2:$K$429,"PARYTET")+COUNTIFS(Macierz!$B$2:$B$429,"O",Macierz!$K$2:$K$429,"PRZEWAGA")</f>
        <v/>
      </c>
      <c r="D47" s="7">
        <f>COUNTIFS(Macierz!$B$2:$B$429,"O",Macierz!$K$2:$K$429,"LUKA")</f>
        <v/>
      </c>
      <c r="E47" s="7">
        <f>COUNTIFS(Macierz!$B$2:$B$429,"O",Macierz!$L$2:$L$429,"BLOKER STARTU")</f>
        <v/>
      </c>
      <c r="F47" s="8">
        <f>IFERROR(C47/B47,0)</f>
        <v/>
      </c>
    </row>
    <row r="48">
      <c r="A48" s="7" t="inlineStr">
        <is>
          <t>P — Zgodność</t>
        </is>
      </c>
      <c r="B48" s="7">
        <f>COUNTIF(Macierz!$B$2:$B$429,"P")</f>
        <v/>
      </c>
      <c r="C48" s="7">
        <f>COUNTIFS(Macierz!$B$2:$B$429,"P",Macierz!$K$2:$K$429,"PARYTET")+COUNTIFS(Macierz!$B$2:$B$429,"P",Macierz!$K$2:$K$429,"PRZEWAGA")</f>
        <v/>
      </c>
      <c r="D48" s="7">
        <f>COUNTIFS(Macierz!$B$2:$B$429,"P",Macierz!$K$2:$K$429,"LUKA")</f>
        <v/>
      </c>
      <c r="E48" s="7">
        <f>COUNTIFS(Macierz!$B$2:$B$429,"P",Macierz!$L$2:$L$429,"BLOKER STARTU")</f>
        <v/>
      </c>
      <c r="F48" s="8">
        <f>IFERROR(C48/B48,0)</f>
        <v/>
      </c>
    </row>
    <row r="49">
      <c r="A49" s="7" t="inlineStr">
        <is>
          <t>Q — Przewaga</t>
        </is>
      </c>
      <c r="B49" s="7">
        <f>COUNTIF(Macierz!$B$2:$B$429,"Q")</f>
        <v/>
      </c>
      <c r="C49" s="7">
        <f>COUNTIFS(Macierz!$B$2:$B$429,"Q",Macierz!$K$2:$K$429,"PARYTET")+COUNTIFS(Macierz!$B$2:$B$429,"Q",Macierz!$K$2:$K$429,"PRZEWAGA")</f>
        <v/>
      </c>
      <c r="D49" s="7">
        <f>COUNTIFS(Macierz!$B$2:$B$429,"Q",Macierz!$K$2:$K$429,"LUKA")</f>
        <v/>
      </c>
      <c r="E49" s="7">
        <f>COUNTIFS(Macierz!$B$2:$B$429,"Q",Macierz!$L$2:$L$429,"BLOKER STARTU")</f>
        <v/>
      </c>
      <c r="F49" s="8">
        <f>IFERROR(C49/B49,0)</f>
        <v/>
      </c>
    </row>
    <row r="50">
      <c r="A50" s="7" t="inlineStr">
        <is>
          <t>X — Infrastruktura jakości</t>
        </is>
      </c>
      <c r="B50" s="7">
        <f>COUNTIF(Macierz!$B$2:$B$429,"X")</f>
        <v/>
      </c>
      <c r="C50" s="7">
        <f>COUNTIFS(Macierz!$B$2:$B$429,"X",Macierz!$K$2:$K$429,"PARYTET")+COUNTIFS(Macierz!$B$2:$B$429,"X",Macierz!$K$2:$K$429,"PRZEWAGA")</f>
        <v/>
      </c>
      <c r="D50" s="7">
        <f>COUNTIFS(Macierz!$B$2:$B$429,"X",Macierz!$K$2:$K$429,"LUKA")</f>
        <v/>
      </c>
      <c r="E50" s="7">
        <f>COUNTIFS(Macierz!$B$2:$B$429,"X",Macierz!$L$2:$L$429,"BLOKER STARTU")</f>
        <v/>
      </c>
      <c r="F50" s="8">
        <f>IFERROR(C50/B50,0)</f>
        <v/>
      </c>
    </row>
    <row r="51">
      <c r="A51" s="7" t="inlineStr">
        <is>
          <t>Z — Pass adwersaryjny</t>
        </is>
      </c>
      <c r="B51" s="7">
        <f>COUNTIF(Macierz!$B$2:$B$429,"Z")</f>
        <v/>
      </c>
      <c r="C51" s="7">
        <f>COUNTIFS(Macierz!$B$2:$B$429,"Z",Macierz!$K$2:$K$429,"PARYTET")+COUNTIFS(Macierz!$B$2:$B$429,"Z",Macierz!$K$2:$K$429,"PRZEWAGA")</f>
        <v/>
      </c>
      <c r="D51" s="7">
        <f>COUNTIFS(Macierz!$B$2:$B$429,"Z",Macierz!$K$2:$K$429,"LUKA")</f>
        <v/>
      </c>
      <c r="E51" s="7">
        <f>COUNTIFS(Macierz!$B$2:$B$429,"Z",Macierz!$L$2:$L$429,"BLOKER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2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ENDPOINT BEZ UI</t>
        </is>
      </c>
      <c r="J11" s="12" t="inlineStr">
        <is>
          <t>domains.controller.ts:133</t>
        </is>
      </c>
      <c r="K11" s="11" t="inlineStr">
        <is>
          <t>LUKA</t>
        </is>
      </c>
      <c r="L11" s="11" t="inlineStr">
        <is>
          <t>ŚREDNIA</t>
        </is>
      </c>
      <c r="M11" s="11" t="inlineStr">
        <is>
          <t>S</t>
        </is>
      </c>
      <c r="N11" s="12" t="inlineStr">
        <is>
          <t>Skorygowane: brak wywołania potwierdzony, ale obejście istnieje (panel rejestratora). Nie spełnia żadnego z czterech warunków blokera.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CZĘŚCIOWE</t>
        </is>
      </c>
      <c r="J17" s="12" t="inlineStr">
        <is>
          <t>domains.service.ts:92-153 — runChecklist robi resolve4/resolve6/resolveNs + handshake TLS</t>
        </is>
      </c>
      <c r="K17" s="11" t="inlineStr">
        <is>
          <t>CZĘŚCIOWY</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BRAK</t>
        </is>
      </c>
      <c r="J25" s="12" t="inlineStr">
        <is>
          <t>brak @Post w users.admin.controller.ts</t>
        </is>
      </c>
      <c r="K25" s="11" t="inlineStr">
        <is>
          <t>LUKA</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ENDPOINT BEZ UI</t>
        </is>
      </c>
      <c r="J26" s="12" t="inlineStr">
        <is>
          <t>subscriptions.admin.controller.ts:192</t>
        </is>
      </c>
      <c r="K26" s="11" t="inlineStr">
        <is>
          <t>LUKA</t>
        </is>
      </c>
      <c r="L26" s="11" t="inlineStr">
        <is>
          <t>WYSOKA</t>
        </is>
      </c>
      <c r="M26" s="11" t="inlineStr">
        <is>
          <t>S</t>
        </is>
      </c>
      <c r="N26" s="12" t="inlineStr">
        <is>
          <t>Skorygowane: endpoint działa i jest osiągalny (curl + DirectAdmin), auto-suspend za brak płatności działa. Brakuje UI, nie możliwości zatrzymania szkody.</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ENDPOINT BEZ UI</t>
        </is>
      </c>
      <c r="J27" s="12" t="inlineStr">
        <is>
          <t>subscriptions.admin.controller.ts:210</t>
        </is>
      </c>
      <c r="K27" s="11" t="inlineStr">
        <is>
          <t>LUKA</t>
        </is>
      </c>
      <c r="L27" s="11" t="inlineStr">
        <is>
          <t>WYSOKA</t>
        </is>
      </c>
      <c r="M27" s="11" t="inlineStr">
        <is>
          <t>S</t>
        </is>
      </c>
      <c r="N27" s="12" t="inlineStr">
        <is>
          <t>Skorygowane: jak A-25, endpoint subscriptions.admin.controller.ts:210 działa z chargeRenewal.</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BRAK</t>
        </is>
      </c>
      <c r="J59" s="12" t="inlineStr">
        <is>
          <t>files.service.ts:320 — tylko extract</t>
        </is>
      </c>
      <c r="K59" s="11" t="inlineStr">
        <is>
          <t>LUKA</t>
        </is>
      </c>
      <c r="L59" s="11" t="inlineStr">
        <is>
          <t>ŚREDNIA</t>
        </is>
      </c>
      <c r="M59" s="11" t="inlineStr">
        <is>
          <t>S</t>
        </is>
      </c>
      <c r="N59" s="12" t="inlineStr">
        <is>
          <t>standard we wszystkich panelach</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BRAK</t>
        </is>
      </c>
      <c r="J66" s="12" t="inlineStr">
        <is>
          <t>—</t>
        </is>
      </c>
      <c r="K66" s="11" t="inlineStr">
        <is>
          <t>LUKA</t>
        </is>
      </c>
      <c r="L66" s="11" t="inlineStr">
        <is>
          <t>WYSOKA</t>
        </is>
      </c>
      <c r="M66" s="11" t="inlineStr">
        <is>
          <t>S</t>
        </is>
      </c>
      <c r="N66" s="12" t="inlineStr">
        <is>
          <t>brak jakiejkolwiek ścieżki edycji istniejącego konta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CZĘŚCIOWE</t>
        </is>
      </c>
      <c r="J86" s="12" t="inlineStr">
        <is>
          <t>link do DA zamiast SSO</t>
        </is>
      </c>
      <c r="K86" s="11" t="inlineStr">
        <is>
          <t>CZĘŚCIOWY</t>
        </is>
      </c>
      <c r="L86" s="11" t="inlineStr">
        <is>
          <t>ŚREDNIA</t>
        </is>
      </c>
      <c r="M86" s="11" t="inlineStr">
        <is>
          <t>S</t>
        </is>
      </c>
      <c r="N86" s="12" t="inlineStr">
        <is>
          <t>dostępny, ale przez wyjście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BRAK</t>
        </is>
      </c>
      <c r="J99" s="12" t="inlineStr">
        <is>
          <t>hosting-email-actions.ts:41 zachowuje starą quotę</t>
        </is>
      </c>
      <c r="K99" s="11" t="inlineStr">
        <is>
          <t>LUKA</t>
        </is>
      </c>
      <c r="L99" s="11" t="inlineStr">
        <is>
          <t>WYSOKA</t>
        </is>
      </c>
      <c r="M99" s="11" t="inlineStr">
        <is>
          <t>S</t>
        </is>
      </c>
      <c r="N99" s="12" t="inlineStr">
        <is>
          <t>brak jakiejkolwiek ścieżki edycji — klient musi usunąć i odtworzyć skrzynkę</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CZĘŚCIOWE</t>
        </is>
      </c>
      <c r="J107" s="12" t="inlineStr">
        <is>
          <t>link do DA</t>
        </is>
      </c>
      <c r="K107" s="11" t="inlineStr">
        <is>
          <t>CZĘŚCIOWY</t>
        </is>
      </c>
      <c r="L107" s="11" t="inlineStr">
        <is>
          <t>ŚREDNIA</t>
        </is>
      </c>
      <c r="M107" s="11" t="inlineStr">
        <is>
          <t>S</t>
        </is>
      </c>
      <c r="N107" s="12" t="inlineStr"/>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ENDPOINT BEZ UI</t>
        </is>
      </c>
      <c r="J109" s="12" t="inlineStr">
        <is>
          <t>services.controller.ts:114</t>
        </is>
      </c>
      <c r="K109" s="11" t="inlineStr">
        <is>
          <t>LUKA</t>
        </is>
      </c>
      <c r="L109" s="11" t="inlineStr">
        <is>
          <t>WYSOKA</t>
        </is>
      </c>
      <c r="M109" s="11" t="inlineStr">
        <is>
          <t>S</t>
        </is>
      </c>
      <c r="N109" s="12" t="inlineStr">
        <is>
          <t>deliverability-panel.tsx:26 to komponent osierocony — nikt go nie importuje</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ENDPOINT BEZ UI</t>
        </is>
      </c>
      <c r="J110" s="12" t="inlineStr">
        <is>
          <t>services.controller.ts:114</t>
        </is>
      </c>
      <c r="K110" s="11" t="inlineStr">
        <is>
          <t>LUKA</t>
        </is>
      </c>
      <c r="L110" s="11" t="inlineStr">
        <is>
          <t>WYSOKA</t>
        </is>
      </c>
      <c r="M110" s="11" t="inlineStr">
        <is>
          <t>S</t>
        </is>
      </c>
      <c r="N110" s="12" t="inlineStr">
        <is>
          <t>j.w.</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ENDPOINT BEZ UI</t>
        </is>
      </c>
      <c r="J111" s="12" t="inlineStr">
        <is>
          <t>services.controller.ts:114</t>
        </is>
      </c>
      <c r="K111" s="11" t="inlineStr">
        <is>
          <t>LUKA</t>
        </is>
      </c>
      <c r="L111" s="11" t="inlineStr">
        <is>
          <t>WYSOKA</t>
        </is>
      </c>
      <c r="M111" s="11" t="inlineStr">
        <is>
          <t>S</t>
        </is>
      </c>
      <c r="N111" s="12" t="inlineStr">
        <is>
          <t>j.w.</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ENDPOINT BEZ UI</t>
        </is>
      </c>
      <c r="J112" s="12" t="inlineStr">
        <is>
          <t>services.controller.ts:114</t>
        </is>
      </c>
      <c r="K112" s="11" t="inlineStr">
        <is>
          <t>LUKA</t>
        </is>
      </c>
      <c r="L112" s="11" t="inlineStr">
        <is>
          <t>ŚREDNIA</t>
        </is>
      </c>
      <c r="M112" s="11" t="inlineStr">
        <is>
          <t>S</t>
        </is>
      </c>
      <c r="N112" s="12" t="inlineStr">
        <is>
          <t>backend w pełni działa, brak wejścia z UI</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BRAK</t>
        </is>
      </c>
      <c r="J114" s="12" t="inlineStr">
        <is>
          <t>—</t>
        </is>
      </c>
      <c r="K114" s="11" t="inlineStr">
        <is>
          <t>LUKA</t>
        </is>
      </c>
      <c r="L114" s="11" t="inlineStr">
        <is>
          <t>ŚREDNIA</t>
        </is>
      </c>
      <c r="M114" s="11" t="inlineStr">
        <is>
          <t>S</t>
        </is>
      </c>
      <c r="N114" s="12" t="inlineStr">
        <is>
          <t>cyber_Folks publikuje jawnie: 1000/dobę, 300/15 min</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ATRAPA</t>
        </is>
      </c>
      <c r="J120" s="12" t="inlineStr">
        <is>
          <t>dns-manager.tsx:79,91 — komponent osierocony; dns/page.tsx:15 przekierowuje gdzie indziej</t>
        </is>
      </c>
      <c r="K120" s="11" t="inlineStr">
        <is>
          <t>LUKA</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ATRAPA</t>
        </is>
      </c>
      <c r="J121" s="12" t="inlineStr">
        <is>
          <t>j.w.</t>
        </is>
      </c>
      <c r="K121" s="11" t="inlineStr">
        <is>
          <t>LUKA</t>
        </is>
      </c>
      <c r="L121" s="11" t="inlineStr">
        <is>
          <t>WYSOKA</t>
        </is>
      </c>
      <c r="M121" s="11" t="inlineStr">
        <is>
          <t>S</t>
        </is>
      </c>
      <c r="N121" s="12" t="inlineStr"/>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ATRAPA</t>
        </is>
      </c>
      <c r="J130" s="12" t="inlineStr">
        <is>
          <t>zależne od F-01</t>
        </is>
      </c>
      <c r="K130" s="11" t="inlineStr">
        <is>
          <t>LUKA</t>
        </is>
      </c>
      <c r="L130" s="11" t="inlineStr">
        <is>
          <t>ŚREDNIA</t>
        </is>
      </c>
      <c r="M130" s="11" t="inlineStr">
        <is>
          <t>S</t>
        </is>
      </c>
      <c r="N130" s="12" t="inlineStr"/>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CZĘŚCIOWE</t>
        </is>
      </c>
      <c r="J150" s="12" t="inlineStr">
        <is>
          <t>session-idle-guard.tsx</t>
        </is>
      </c>
      <c r="K150" s="11" t="inlineStr">
        <is>
          <t>CZĘŚCIOWY</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CZĘŚCIOWE</t>
        </is>
      </c>
      <c r="J151" s="12" t="inlineStr">
        <is>
          <t>rate-limit.guard.ts — ZERO testów</t>
        </is>
      </c>
      <c r="K151" s="11" t="inlineStr">
        <is>
          <t>CZĘŚCIOWY</t>
        </is>
      </c>
      <c r="L151" s="11" t="inlineStr">
        <is>
          <t>WYSOKA</t>
        </is>
      </c>
      <c r="M151" s="11" t="inlineStr">
        <is>
          <t>S</t>
        </is>
      </c>
      <c r="N151" s="12" t="inlineStr">
        <is>
          <t>brak dowodu D2 na krytycznym guardzie</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BRAK</t>
        </is>
      </c>
      <c r="J153" s="12" t="inlineStr">
        <is>
          <t>—</t>
        </is>
      </c>
      <c r="K153" s="11" t="inlineStr">
        <is>
          <t>LUKA</t>
        </is>
      </c>
      <c r="L153" s="11" t="inlineStr">
        <is>
          <t>NISKA</t>
        </is>
      </c>
      <c r="M153" s="11" t="inlineStr">
        <is>
          <t>S</t>
        </is>
      </c>
      <c r="N153" s="12" t="inlineStr"/>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hosting-restore.service.ts:167</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ATRAPA</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BRAK</t>
        </is>
      </c>
      <c r="J173" s="12" t="inlineStr">
        <is>
          <t>node-account-restore.sh:82-99 ma tryb restore; offsite-restore.service.ts:94 przyjmuje wyłącznie list|fetch</t>
        </is>
      </c>
      <c r="K173" s="11" t="inlineStr">
        <is>
          <t>LUKA</t>
        </is>
      </c>
      <c r="L173" s="11" t="inlineStr">
        <is>
          <t>WYSOKA</t>
        </is>
      </c>
      <c r="M173" s="11" t="inlineStr">
        <is>
          <t>S</t>
        </is>
      </c>
      <c r="N173" s="12" t="inlineStr">
        <is>
          <t>Skorygowane: tryb restore jest martwy z poziomu produktu, ale żywy z CLI (node-account-restore.sh:120-124) i udokumentowany w runbooku.</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ENDPOINT BEZ UI</t>
        </is>
      </c>
      <c r="J174" s="12" t="inlineStr">
        <is>
          <t>subscriptions.admin.controller.ts:69,86 — zero wywołań w admin-panel</t>
        </is>
      </c>
      <c r="K174" s="11" t="inlineStr">
        <is>
          <t>LUKA</t>
        </is>
      </c>
      <c r="L174" s="11" t="inlineStr">
        <is>
          <t>ŚREDNIA</t>
        </is>
      </c>
      <c r="M174" s="11" t="inlineStr">
        <is>
          <t>S</t>
        </is>
      </c>
      <c r="N174" s="12" t="inlineStr">
        <is>
          <t>Skorygowane: klient ma self-restore z kopii lokalnych, operator ma działający endpoint. Brakuje przycisku.</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BRAK</t>
        </is>
      </c>
      <c r="J175" s="12" t="inlineStr">
        <is>
          <t>node-onboard-live.sh:240-244 tylko log_warn; wizard węzła (wizard-content.ts:21-40) nie ma kroku backupu</t>
        </is>
      </c>
      <c r="K175" s="11" t="inlineStr">
        <is>
          <t>LUKA</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CZĘŚCIOWE</t>
        </is>
      </c>
      <c r="J178" s="12" t="inlineStr">
        <is>
          <t>panel off-site siedzi w zakładce „Usage”, nie „Kopie zapasowe” (page.tsx:74,128,313,319)</t>
        </is>
      </c>
      <c r="K178" s="11" t="inlineStr">
        <is>
          <t>CZĘŚCIOWY</t>
        </is>
      </c>
      <c r="L178" s="11" t="inlineStr">
        <is>
          <t>WYSOKA</t>
        </is>
      </c>
      <c r="M178" s="11" t="inlineStr">
        <is>
          <t>S</t>
        </is>
      </c>
      <c r="N178" s="12" t="inlineStr">
        <is>
          <t>klient w kryzysie tego nie znajdzie</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services.controller.ts:187</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CZĘŚCIOWE</t>
        </is>
      </c>
      <c r="J198" s="12" t="inlineStr">
        <is>
          <t>services.controller.ts:1001</t>
        </is>
      </c>
      <c r="K198" s="11" t="inlineStr">
        <is>
          <t>CZĘŚCIOWY</t>
        </is>
      </c>
      <c r="L198" s="11" t="inlineStr">
        <is>
          <t>ŚREDNIA</t>
        </is>
      </c>
      <c r="M198" s="11" t="inlineStr">
        <is>
          <t>S</t>
        </is>
      </c>
      <c r="N198" s="12" t="inlineStr">
        <is>
          <t>OSŁABIONE: migration-preflight.service.ts:93-131 — dla SFTP/SSH, czyli głównego kanału plików, testowany jest wyłącznie baner portu. Literówka w haśle przejdzie preflight.</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CZĘŚCIOWE</t>
        </is>
      </c>
      <c r="J202" s="12" t="inlineStr">
        <is>
          <t>migrations.staff.controller.ts:75,90,126</t>
        </is>
      </c>
      <c r="K202" s="11" t="inlineStr">
        <is>
          <t>CZĘŚCIOWY</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CZĘŚCIOWE</t>
        </is>
      </c>
      <c r="J221" s="12" t="inlineStr">
        <is>
          <t>monitoring dostępności działa; brak alertów o limitach zasobów</t>
        </is>
      </c>
      <c r="K221" s="11" t="inlineStr">
        <is>
          <t>CZĘŚCIOWY</t>
        </is>
      </c>
      <c r="L221" s="11" t="inlineStr">
        <is>
          <t>ŚREDNIA</t>
        </is>
      </c>
      <c r="M221" s="11" t="inlineStr">
        <is>
          <t>S</t>
        </is>
      </c>
      <c r="N221" s="12" t="inlineStr"/>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BRAK</t>
        </is>
      </c>
      <c r="J230" s="12" t="inlineStr">
        <is>
          <t>—</t>
        </is>
      </c>
      <c r="K230" s="11" t="inlineStr">
        <is>
          <t>LUKA</t>
        </is>
      </c>
      <c r="L230" s="11" t="inlineStr">
        <is>
          <t>ŚREDNIA</t>
        </is>
      </c>
      <c r="M230" s="11" t="inlineStr">
        <is>
          <t>S</t>
        </is>
      </c>
      <c r="N230" s="12" t="inlineStr">
        <is>
          <t>obecnie usuń i dodaj ponownie</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BRAK</t>
        </is>
      </c>
      <c r="J246" s="12" t="inlineStr">
        <is>
          <t>brak flagi isDuplicate, brak endpointu</t>
        </is>
      </c>
      <c r="K246" s="11" t="inlineStr">
        <is>
          <t>LUKA</t>
        </is>
      </c>
      <c r="L246" s="11" t="inlineStr">
        <is>
          <t>ŚREDNIA</t>
        </is>
      </c>
      <c r="M246" s="11" t="inlineStr">
        <is>
          <t>M</t>
        </is>
      </c>
      <c r="N246" s="12" t="inlineStr">
        <is>
          <t>Skorygowane: brak flagi potwierdzony, ale przy fakturze ustrukturyzowanej i PDF wystawianym na żądanie duplikat nie blokuje sprzedaży.</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BRAK</t>
        </is>
      </c>
      <c r="J247" s="12" t="inlineStr">
        <is>
          <t>InvoiceStatus.VOID w schema.prisma:1354 nigdy nie ustawiany</t>
        </is>
      </c>
      <c r="K247" s="11" t="inlineStr">
        <is>
          <t>LUKA</t>
        </is>
      </c>
      <c r="L247" s="11" t="inlineStr">
        <is>
          <t>WYSOKA</t>
        </is>
      </c>
      <c r="M247" s="11" t="inlineStr">
        <is>
          <t>S</t>
        </is>
      </c>
      <c r="N247" s="12" t="inlineStr"/>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BRAK</t>
        </is>
      </c>
      <c r="J248" s="12" t="inlineStr">
        <is>
          <t>invoices.service.ts:17 — DEFAULT_VAT_RATE = 23 na sztywno</t>
        </is>
      </c>
      <c r="K248" s="11" t="inlineStr">
        <is>
          <t>LUKA</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CZĘŚCIOWE</t>
        </is>
      </c>
      <c r="J249" s="12" t="inlineStr">
        <is>
          <t>invoice-pdf.service.ts:61 formatuje PLN/EUR/USD; brak kursu i przeliczenia (art. 31a)</t>
        </is>
      </c>
      <c r="K249" s="11" t="inlineStr">
        <is>
          <t>CZĘŚCIOWY</t>
        </is>
      </c>
      <c r="L249" s="11" t="inlineStr">
        <is>
          <t>WYSOKA</t>
        </is>
      </c>
      <c r="M249" s="11" t="inlineStr">
        <is>
          <t>M</t>
        </is>
      </c>
      <c r="N249" s="12" t="inlineStr">
        <is>
          <t>KSeF odrzuca wszystko poza PLN (fa3-xml.builder.ts:64-66)</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LUKA</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LUKA</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LUKA</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LUKA</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CZĘŚCIOWE</t>
        </is>
      </c>
      <c r="J263" s="12" t="inlineStr">
        <is>
          <t>renewal-reminder.scheduler.ts — przypomnienie, nie proforma</t>
        </is>
      </c>
      <c r="K263" s="11" t="inlineStr">
        <is>
          <t>CZĘŚCIOWY</t>
        </is>
      </c>
      <c r="L263" s="11" t="inlineStr">
        <is>
          <t>ŚREDNIA</t>
        </is>
      </c>
      <c r="M263" s="11" t="inlineStr">
        <is>
          <t>S</t>
        </is>
      </c>
      <c r="N263" s="12" t="inlineStr">
        <is>
          <t>wszystkie 5 hostingów PL wystawia proformę</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BRAK</t>
        </is>
      </c>
      <c r="J265" s="12" t="inlineStr">
        <is>
          <t>billing.controller.ts:38 tylko GET, brak DELETE</t>
        </is>
      </c>
      <c r="K265" s="11" t="inlineStr">
        <is>
          <t>LUKA</t>
        </is>
      </c>
      <c r="L265" s="11" t="inlineStr">
        <is>
          <t>WYSOKA</t>
        </is>
      </c>
      <c r="M265" s="11" t="inlineStr">
        <is>
          <t>S</t>
        </is>
      </c>
      <c r="N265" s="12" t="inlineStr">
        <is>
          <t>wymóg konsumencki</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BRAK</t>
        </is>
      </c>
      <c r="J266" s="12" t="inlineStr">
        <is>
          <t>karta zapisuje się tylko przy okazji Stripe Checkout</t>
        </is>
      </c>
      <c r="K266" s="11" t="inlineStr">
        <is>
          <t>LUKA</t>
        </is>
      </c>
      <c r="L266" s="11" t="inlineStr">
        <is>
          <t>ŚREDNIA</t>
        </is>
      </c>
      <c r="M266" s="11" t="inlineStr">
        <is>
          <t>S</t>
        </is>
      </c>
      <c r="N266" s="12" t="inlineStr"/>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ENDPOINT BEZ UI</t>
        </is>
      </c>
      <c r="J267" s="12" t="inlineStr">
        <is>
          <t>billing.controller.ts:70 — zero odwołań w panelu</t>
        </is>
      </c>
      <c r="K267" s="11" t="inlineStr">
        <is>
          <t>LUKA</t>
        </is>
      </c>
      <c r="L267" s="11" t="inlineStr">
        <is>
          <t>NISKA</t>
        </is>
      </c>
      <c r="M267" s="11" t="inlineStr">
        <is>
          <t>S</t>
        </is>
      </c>
      <c r="N267" s="12" t="inlineStr"/>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BRAK</t>
        </is>
      </c>
      <c r="J277" s="12" t="inlineStr">
        <is>
          <t>renewal.scheduler.ts:74-78 wybiera wyłącznie status ACTIVE — subskrypcja w PAST_DUE (:236-241) nie jest ponawiana; getPaymentRetryUrl (subscriptions.service.ts:1509-1516) odrzuca wszystko poza STRIPE_CARD</t>
        </is>
      </c>
      <c r="K277" s="11" t="inlineStr">
        <is>
          <t>LUKA</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brak jakiegokolwiek zapytania/raportu; luka Z-02 była otwarta do 2026-08-21</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BRAK</t>
        </is>
      </c>
      <c r="J279" s="12" t="inlineStr">
        <is>
          <t>node-migration-worker.sh — host źródła pochodzi z formularza i nie jest niczym ograniczony</t>
        </is>
      </c>
      <c r="K279" s="11" t="inlineStr">
        <is>
          <t>LUKA</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b.d.</t>
        </is>
      </c>
      <c r="J281" s="12" t="inlineStr">
        <is>
          <t>brak przeglądu; sprawdzone tylko wystąpienia Date.now() w kluczach</t>
        </is>
      </c>
      <c r="K281" s="11" t="inlineStr">
        <is>
          <t>LUKA</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ENDPOINT BEZ UI</t>
        </is>
      </c>
      <c r="J288" s="12" t="inlineStr">
        <is>
          <t>product-ops.admin.controller.ts:371; brak UI tworzenia</t>
        </is>
      </c>
      <c r="K288" s="11" t="inlineStr">
        <is>
          <t>LUKA</t>
        </is>
      </c>
      <c r="L288" s="11" t="inlineStr">
        <is>
          <t>WYSOKA</t>
        </is>
      </c>
      <c r="M288" s="11" t="inlineStr">
        <is>
          <t>S</t>
        </is>
      </c>
      <c r="N288" s="12" t="inlineStr">
        <is>
          <t>w kryzysie nie ma jak zakomunikować awarii</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ENDPOINT BEZ UI</t>
        </is>
      </c>
      <c r="J292" s="12" t="inlineStr">
        <is>
          <t>product-ops.admin.controller.ts:281,307,342,427; product-ops/data.ts:78-85 to same GET-y</t>
        </is>
      </c>
      <c r="K292" s="11" t="inlineStr">
        <is>
          <t>LUKA</t>
        </is>
      </c>
      <c r="L292" s="11" t="inlineStr">
        <is>
          <t>WYSOKA</t>
        </is>
      </c>
      <c r="M292" s="11" t="inlineStr">
        <is>
          <t>M</t>
        </is>
      </c>
      <c r="N292" s="12" t="inlineStr">
        <is>
          <t>cały panel Product Ops/NOC jest read-only</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ENDPOINT BEZ UI</t>
        </is>
      </c>
      <c r="J293" s="12" t="inlineStr">
        <is>
          <t>product-ops.admin.controller.ts:342</t>
        </is>
      </c>
      <c r="K293" s="11" t="inlineStr">
        <is>
          <t>LUKA</t>
        </is>
      </c>
      <c r="L293" s="11" t="inlineStr">
        <is>
          <t>ŚREDNIA</t>
        </is>
      </c>
      <c r="M293" s="11" t="inlineStr">
        <is>
          <t>S</t>
        </is>
      </c>
      <c r="N293" s="12" t="inlineStr"/>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ENDPOINT BEZ UI</t>
        </is>
      </c>
      <c r="J295" s="12" t="inlineStr">
        <is>
          <t>outbound-cordon.admin.controller.ts:20,25,32; zero „cordon” w admin-panel</t>
        </is>
      </c>
      <c r="K295" s="11" t="inlineStr">
        <is>
          <t>LUKA</t>
        </is>
      </c>
      <c r="L295" s="11" t="inlineStr">
        <is>
          <t>WYSOKA</t>
        </is>
      </c>
      <c r="M295" s="11" t="inlineStr">
        <is>
          <t>S</t>
        </is>
      </c>
      <c r="N295" s="12" t="inlineStr">
        <is>
          <t>mechanizm działa, operator nie może go zobaczyć ani zdjąć</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sla-credit.scheduler.ts:79 — if (!policy.enabled) return; SLA_CREDITS_ENABLED default '0' (platform-settings.keys.ts:116)</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ATRAPA</t>
        </is>
      </c>
      <c r="J301" s="12" t="inlineStr">
        <is>
          <t>tickets/page.tsx:24 → /tickets/${id}; trasa nie istnieje w admin-panel</t>
        </is>
      </c>
      <c r="K301" s="11" t="inlineStr">
        <is>
          <t>LUKA</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b.d.</t>
        </is>
      </c>
      <c r="J328" s="12" t="inlineStr">
        <is>
          <t>poza kodem</t>
        </is>
      </c>
      <c r="K328" s="11" t="inlineStr">
        <is>
          <t>CZĘŚCIOWY</t>
        </is>
      </c>
      <c r="L328" s="11" t="inlineStr">
        <is>
          <t>ŚREDNIA</t>
        </is>
      </c>
      <c r="M328" s="11" t="inlineStr">
        <is>
          <t>S</t>
        </is>
      </c>
      <c r="N328" s="12" t="inlineStr">
        <is>
          <t>wszystkie 5 hostingów PL to eksponuje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eko do osadzenia na stronie klienta</t>
        </is>
      </c>
      <c r="D333" s="11" t="inlineStr">
        <is>
          <t>NIE</t>
        </is>
      </c>
      <c r="E333" s="11" t="inlineStr">
        <is>
          <t>NIE</t>
        </is>
      </c>
      <c r="F333" s="11" t="inlineStr">
        <is>
          <t>NIE</t>
        </is>
      </c>
      <c r="G333" s="11" t="inlineStr">
        <is>
          <t>NIE</t>
        </is>
      </c>
      <c r="H333" s="11" t="inlineStr">
        <is>
          <t>NIE</t>
        </is>
      </c>
      <c r="I333" s="11" t="inlineStr">
        <is>
          <t>DZIAŁA</t>
        </is>
      </c>
      <c r="J333" s="12" t="inlineStr">
        <is>
          <t>eco-public.controller.ts:32,74; test D1</t>
        </is>
      </c>
      <c r="K333" s="11" t="inlineStr">
        <is>
          <t>PRZEWAGA</t>
        </is>
      </c>
      <c r="L333" s="11" t="inlineStr">
        <is>
          <t>—</t>
        </is>
      </c>
      <c r="M333" s="11" t="inlineStr">
        <is>
          <t>—</t>
        </is>
      </c>
      <c r="N333" s="12" t="inlineStr">
        <is>
          <t>4 warianty + pixel odsłon</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D1 do czasu zielonej bramki na laptopie.</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BRAK</t>
        </is>
      </c>
      <c r="J354" s="12" t="inlineStr">
        <is>
          <t>zero plików .spec w apps/api/src/auth</t>
        </is>
      </c>
      <c r="K354" s="11" t="inlineStr">
        <is>
          <t>LUKA</t>
        </is>
      </c>
      <c r="L354" s="11" t="inlineStr">
        <is>
          <t>WYSOKA</t>
        </is>
      </c>
      <c r="M354" s="11" t="inlineStr">
        <is>
          <t>M</t>
        </is>
      </c>
      <c r="N354" s="12" t="inlineStr">
        <is>
          <t>Reklasyfikacja jak X-01 — z zastrzeżeniem, że po ustaleniach Z-02 i Z-04 to właśnie moduł auth i guardy są miejscem, gdzie brak testów już zamienił się w realne luki.</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LUKA</t>
        </is>
      </c>
      <c r="L355" s="11" t="inlineStr">
        <is>
          <t>WYSOKA</t>
        </is>
      </c>
      <c r="M355" s="11" t="inlineStr">
        <is>
          <t>M</t>
        </is>
      </c>
      <c r="N355" s="12" t="inlineStr">
        <is>
          <t>Reklasyfikacja jak X-01.</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BRAK</t>
        </is>
      </c>
      <c r="J356" s="12" t="inlineStr">
        <is>
          <t>offsite-restore.service.ts (regex chroniący przed path traversal na wejściu od klienta) — ZERO testów</t>
        </is>
      </c>
      <c r="K356" s="11" t="inlineStr">
        <is>
          <t>LUKA</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BRAK</t>
        </is>
      </c>
      <c r="J357" s="12" t="inlineStr">
        <is>
          <t>directadmin.service.ts ma 3057 linii; testowany jest wyłącznie helper mergeAdminSettingsPayload</t>
        </is>
      </c>
      <c r="K357" s="11" t="inlineStr">
        <is>
          <t>LUKA</t>
        </is>
      </c>
      <c r="L357" s="11" t="inlineStr">
        <is>
          <t>WYSOKA</t>
        </is>
      </c>
      <c r="M357" s="11" t="inlineStr">
        <is>
          <t>L</t>
        </is>
      </c>
      <c r="N357" s="12" t="inlineStr"/>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ATRAPA</t>
        </is>
      </c>
      <c r="J358" s="12" t="inlineStr">
        <is>
          <t>3 pliki spec czytają Reflect.getMetadata(ROLES_KEY) — weryfikują, że dekorator napisano, nie że guard blokuje</t>
        </is>
      </c>
      <c r="K358" s="11" t="inlineStr">
        <is>
          <t>LUKA</t>
        </is>
      </c>
      <c r="L358" s="11" t="inlineStr">
        <is>
          <t>WYSOKA</t>
        </is>
      </c>
      <c r="M358" s="11" t="inlineStr">
        <is>
          <t>M</t>
        </is>
      </c>
      <c r="N358" s="12" t="inlineStr">
        <is>
          <t>pokrycie pozorne w najdroższym możliwym miejscu</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BRAK</t>
        </is>
      </c>
      <c r="J365" s="12" t="inlineStr">
        <is>
          <t>node-capacity.ts — bramka fizyczna odmawia po przekroczeniu progu, nie przed</t>
        </is>
      </c>
      <c r="K365" s="11" t="inlineStr">
        <is>
          <t>LUKA</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BRAK</t>
        </is>
      </c>
      <c r="J367" s="12" t="inlineStr">
        <is>
          <t>autoscaling-engine.service.ts — obcięcie zostawia wpis w dzienniku audytu i warn w logu, ale panel klienta nie pokazuje niczego</t>
        </is>
      </c>
      <c r="K367" s="11" t="inlineStr">
        <is>
          <t>LUKA</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BRAK</t>
        </is>
      </c>
      <c r="J376" s="12" t="inlineStr">
        <is>
          <t>apps/api/src/compliance/data-export.service.ts — buildZipToFile bez żadnego testu; apps/api/src/compliance/*.spec.ts — brak pokrycia tej ścieżki</t>
        </is>
      </c>
      <c r="K376" s="11" t="inlineStr">
        <is>
          <t>LUKA</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CZĘŚCIOWE</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CZĘŚCIOWY</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b.d.</t>
        </is>
      </c>
      <c r="J378" s="12" t="inlineStr">
        <is>
          <t>faktura-za-portfel.ts — TYPY_SPRZEDAZY nie obejmuje TOPUP; billing.service.ts:handleCheckoutCompleted — doładowanie kredytuje portfel i nie tworzy dokumentu</t>
        </is>
      </c>
      <c r="K378" s="11" t="inlineStr">
        <is>
          <t>CZĘŚCIOWY</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CZĘŚCIOWE</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CZĘŚCIOWY</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docs/zadania/X-31-znak-zycia-kanalu-alertow.md</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CZĘŚCIOWE</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CZĘŚCIOWY</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docs/zadania/X-32-odrzucenie-martwego-joba.md</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BRAK</t>
        </is>
      </c>
      <c r="J390" s="12" t="inlineStr">
        <is>
          <t>package.json (korzeń) — @eslint/js ^10.0.1 przy braku jakiegokolwiek eslint.config.* w korzeniu; libs/eslint-config/node_modules: eslint 10.9.0 obok @eslint/js 9.39.5; apps/api, apps/www, apps/client-panel, apps/status-page, libs/directadmin-sdk — eslint 9.39.5</t>
        </is>
      </c>
      <c r="K390" s="11" t="inlineStr">
        <is>
          <t>LUKA</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BRAK</t>
        </is>
      </c>
      <c r="J392" s="12" t="inlineStr">
        <is>
          <t>audyt/dane/macierz.csv — ostatnia pozycja przed 2026-08-28 to X-34 z 24.08; brak w macierzy bylo 32 pozycji: DEP-01, ENV-01, ENV-02, X-37..X-48 (bez X-44 w macierzy), DEV-01, KSEF-01..05, PANEL-01, OPS-01, NODE-01..03, SEC-01..06</t>
        </is>
      </c>
      <c r="K392" s="11" t="inlineStr">
        <is>
          <t>LUKA</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CZĘŚCIOWE</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CZĘŚCIOWY</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LUKA</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CZĘŚCIOWY</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LUKA</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BRAK</t>
        </is>
      </c>
      <c r="J410" s="12" t="inlineStr">
        <is>
          <t>odczyt obu skryptów — `log_fail` ustawia `FAIL=1`, brak sprawdzenia returnów w `main`</t>
        </is>
      </c>
      <c r="K410" s="11" t="inlineStr">
        <is>
          <t>LUKA</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BRAK</t>
        </is>
      </c>
      <c r="J411" s="12" t="inlineStr">
        <is>
          <t>`schema.prisma:454` wobec `telemetry.service.ts:48-72`</t>
        </is>
      </c>
      <c r="K411" s="11" t="inlineStr">
        <is>
          <t>LUKA</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BRAK</t>
        </is>
      </c>
      <c r="J413" s="12" t="inlineStr">
        <is>
          <t>journalctl -k, 48 h: 15 wpisów DPT=443 + 5 wpisów DPT=80 na 172.19.0.3</t>
        </is>
      </c>
      <c r="K413" s="11" t="inlineStr">
        <is>
          <t>LUKA</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BRAK</t>
        </is>
      </c>
      <c r="J414" s="12" t="inlineStr">
        <is>
          <t>1 814 000 pakietów (RETURN) wobec 1796 wpisów w journalctl</t>
        </is>
      </c>
      <c r="K414" s="11" t="inlineStr">
        <is>
          <t>LUKA</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BRAK</t>
        </is>
      </c>
      <c r="J415" s="12" t="inlineStr">
        <is>
          <t>Panel: łańcuch = 2× RETURN, bez DROP; 1 814 000 pakietów przeszło ostatnim RETURN-em; `cgroup --path: NIEDOSTEPNE`</t>
        </is>
      </c>
      <c r="K415" s="11" t="inlineStr">
        <is>
          <t>LUKA</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BRAK</t>
        </is>
      </c>
      <c r="J417" s="12" t="inlineStr">
        <is>
          <t>zakres reguł w `security-control-plane-egress.sh`</t>
        </is>
      </c>
      <c r="K417" s="11" t="inlineStr">
        <is>
          <t>LUKA</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FAK-01</t>
        </is>
      </c>
      <c r="B429" s="12" t="inlineStr">
        <is>
          <t>M</t>
        </is>
      </c>
      <c r="C429" s="11" t="inlineStr">
        <is>
          <t>Panel nie wystawia faktury VAT rownolegle z programem ksiegowym</t>
        </is>
      </c>
      <c r="D429" s="11" t="inlineStr">
        <is>
          <t>—</t>
        </is>
      </c>
      <c r="E429" s="11" t="inlineStr">
        <is>
          <t>—</t>
        </is>
      </c>
      <c r="F429" s="11" t="inlineStr">
        <is>
          <t>—</t>
        </is>
      </c>
      <c r="G429" s="11" t="inlineStr">
        <is>
          <t>—</t>
        </is>
      </c>
      <c r="H429" s="11" t="inlineStr">
        <is>
          <t>—</t>
        </is>
      </c>
      <c r="I429" s="11" t="inlineStr">
        <is>
          <t>CZĘŚCIOWE</t>
        </is>
      </c>
      <c r="J429"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29" s="11" t="inlineStr">
        <is>
          <t>LUKA</t>
        </is>
      </c>
      <c r="L429" s="11" t="inlineStr">
        <is>
          <t>BLOKER STARTU</t>
        </is>
      </c>
      <c r="M429" s="11" t="inlineStr">
        <is>
          <t>M</t>
        </is>
      </c>
      <c r="N429"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BRAKUJE do DZIALA: zielona bramka (jest + int) na laptopie.</t>
        </is>
      </c>
    </row>
  </sheetData>
  <autoFilter ref="A1:N429"/>
  <conditionalFormatting sqref="D2:D429">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29">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29">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29">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29">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29">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29">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29">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2026-09-21T22:28:42Z</dcterms:created>
  <dcterms:modified xmlns:dcterms="http://purl.org/dc/terms/" xmlns:xsi="http://www.w3.org/2001/XMLSchema-instance" xsi:type="dcterms:W3CDTF">2026-09-21T22:28:42Z</dcterms:modified>
</cp:coreProperties>
</file>